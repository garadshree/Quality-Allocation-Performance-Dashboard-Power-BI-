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66925"/>
  <mc:AlternateContent xmlns:mc="http://schemas.openxmlformats.org/markup-compatibility/2006">
    <mc:Choice Requires="x15">
      <x15ac:absPath xmlns:x15ac="http://schemas.microsoft.com/office/spreadsheetml/2010/11/ac" url="https://candorworks-my.sharepoint.com/personal/shrinivas_garad_candorworks_com/Documents/Desktop/"/>
    </mc:Choice>
  </mc:AlternateContent>
  <xr:revisionPtr revIDLastSave="1" documentId="13_ncr:1_{BAA17E72-732E-4750-B9F1-BD348F72A6FC}" xr6:coauthVersionLast="47" xr6:coauthVersionMax="47" xr10:uidLastSave="{D1D041E6-8945-48CC-BA6C-05676BDDAB7E}"/>
  <bookViews>
    <workbookView xWindow="-108" yWindow="-108" windowWidth="23256" windowHeight="12456" firstSheet="45" activeTab="51" xr2:uid="{13AA7148-6124-44C9-82EF-732B194E5169}"/>
  </bookViews>
  <sheets>
    <sheet name="02nd Jan" sheetId="1" r:id="rId1"/>
    <sheet name="05th Jan" sheetId="2" r:id="rId2"/>
    <sheet name="06th Jan" sheetId="3" r:id="rId3"/>
    <sheet name="07th Jan" sheetId="4" r:id="rId4"/>
    <sheet name="8th Jan" sheetId="5" r:id="rId5"/>
    <sheet name="9th Jan" sheetId="6" r:id="rId6"/>
    <sheet name="12th Jan" sheetId="7" r:id="rId7"/>
    <sheet name="13th Jan" sheetId="8" r:id="rId8"/>
    <sheet name="14th Jan" sheetId="9" r:id="rId9"/>
    <sheet name="15th Jan" sheetId="10" r:id="rId10"/>
    <sheet name="16th Jan" sheetId="11" r:id="rId11"/>
    <sheet name="19th Jan" sheetId="12" r:id="rId12"/>
    <sheet name="20th Jan" sheetId="13" r:id="rId13"/>
    <sheet name="21st Jan" sheetId="14" r:id="rId14"/>
    <sheet name="22nd Jan" sheetId="15" r:id="rId15"/>
    <sheet name="23rd Jan" sheetId="16" r:id="rId16"/>
    <sheet name="26th Jan" sheetId="17" r:id="rId17"/>
    <sheet name="27th Jan" sheetId="18" r:id="rId18"/>
    <sheet name="28th Jan" sheetId="19" r:id="rId19"/>
    <sheet name="29th Jan" sheetId="20" r:id="rId20"/>
    <sheet name="30th Jan" sheetId="21" r:id="rId21"/>
    <sheet name="2nd Feb" sheetId="22" r:id="rId22"/>
    <sheet name="3rd Feb" sheetId="23" r:id="rId23"/>
    <sheet name="4th Feb" sheetId="24" r:id="rId24"/>
    <sheet name="5th Feb" sheetId="25" r:id="rId25"/>
    <sheet name="6th Feb" sheetId="26" r:id="rId26"/>
    <sheet name="9th Feb" sheetId="27" r:id="rId27"/>
    <sheet name="10th Feb" sheetId="28" r:id="rId28"/>
    <sheet name="11th Feb" sheetId="29" r:id="rId29"/>
    <sheet name="12th Feb" sheetId="30" r:id="rId30"/>
    <sheet name="13th Feb" sheetId="31" r:id="rId31"/>
    <sheet name="16th Feb" sheetId="32" r:id="rId32"/>
    <sheet name="17th Feb" sheetId="33" r:id="rId33"/>
    <sheet name="18th Feb" sheetId="34" r:id="rId34"/>
    <sheet name="19th Feb" sheetId="35" r:id="rId35"/>
    <sheet name="20th Feb" sheetId="36" r:id="rId36"/>
    <sheet name="23rd Feb" sheetId="37" r:id="rId37"/>
    <sheet name="24th Feb" sheetId="38" r:id="rId38"/>
    <sheet name="25th Feb" sheetId="39" r:id="rId39"/>
    <sheet name="26th Feb" sheetId="40" r:id="rId40"/>
    <sheet name="27th Feb" sheetId="41" r:id="rId41"/>
    <sheet name="02nd Mar" sheetId="42" r:id="rId42"/>
    <sheet name="03rd Mar" sheetId="43" r:id="rId43"/>
    <sheet name="4th Mar" sheetId="44" r:id="rId44"/>
    <sheet name="5th Mar" sheetId="45" r:id="rId45"/>
    <sheet name="6th Mar" sheetId="47" r:id="rId46"/>
    <sheet name="9th March" sheetId="48" r:id="rId47"/>
    <sheet name="10th March" sheetId="49" r:id="rId48"/>
    <sheet name="11th March" sheetId="50" r:id="rId49"/>
    <sheet name="12th March" sheetId="51" r:id="rId50"/>
    <sheet name="13th March" sheetId="52" r:id="rId51"/>
    <sheet name="16th March" sheetId="53" r:id="rId52"/>
  </sheets>
  <definedNames>
    <definedName name="_xlnm._FilterDatabase" localSheetId="0" hidden="1">'02nd Jan'!$A$1:$W$43</definedName>
    <definedName name="_xlnm._FilterDatabase" localSheetId="41" hidden="1">'02nd Mar'!$A$1:$V$127</definedName>
    <definedName name="_xlnm._FilterDatabase" localSheetId="42" hidden="1">'03rd Mar'!$A$1:$V$116</definedName>
    <definedName name="_xlnm._FilterDatabase" localSheetId="1" hidden="1">'05th Jan'!$A$1:$W$1</definedName>
    <definedName name="_xlnm._FilterDatabase" localSheetId="2" hidden="1">'06th Jan'!$A$1:$W$42</definedName>
    <definedName name="_xlnm._FilterDatabase" localSheetId="3" hidden="1">'07th Jan'!$A$1:$W$97</definedName>
    <definedName name="_xlnm._FilterDatabase" localSheetId="27" hidden="1">'10th Feb'!$A$1:$V$69</definedName>
    <definedName name="_xlnm._FilterDatabase" localSheetId="47" hidden="1">'10th March'!$A$1:$X$132</definedName>
    <definedName name="_xlnm._FilterDatabase" localSheetId="28" hidden="1">'11th Feb'!$A$1:$V$74</definedName>
    <definedName name="_xlnm._FilterDatabase" localSheetId="48" hidden="1">'11th March'!$A$1:$Y$102</definedName>
    <definedName name="_xlnm._FilterDatabase" localSheetId="29" hidden="1">'12th Feb'!$A$1:$V$49</definedName>
    <definedName name="_xlnm._FilterDatabase" localSheetId="6" hidden="1">'12th Jan'!$A$1:$V$158</definedName>
    <definedName name="_xlnm._FilterDatabase" localSheetId="49" hidden="1">'12th March'!$A$1:$Y$90</definedName>
    <definedName name="_xlnm._FilterDatabase" localSheetId="30" hidden="1">'13th Feb'!$A$1:$V$63</definedName>
    <definedName name="_xlnm._FilterDatabase" localSheetId="7" hidden="1">'13th Jan'!$A$1:$W$113</definedName>
    <definedName name="_xlnm._FilterDatabase" localSheetId="50" hidden="1">'13th March'!$A$1:$AB$92</definedName>
    <definedName name="_xlnm._FilterDatabase" localSheetId="8" hidden="1">'14th Jan'!$A$1:$X$121</definedName>
    <definedName name="_xlnm._FilterDatabase" localSheetId="9" hidden="1">'15th Jan'!$A$1:$W$96</definedName>
    <definedName name="_xlnm._FilterDatabase" localSheetId="31" hidden="1">'16th Feb'!$A$1:$V$82</definedName>
    <definedName name="_xlnm._FilterDatabase" localSheetId="10" hidden="1">'16th Jan'!$A$1:$X$81</definedName>
    <definedName name="_xlnm._FilterDatabase" localSheetId="51" hidden="1">'16th March'!$A$1:$Y$1</definedName>
    <definedName name="_xlnm._FilterDatabase" localSheetId="32" hidden="1">'17th Feb'!$A$1:$V$68</definedName>
    <definedName name="_xlnm._FilterDatabase" localSheetId="33" hidden="1">'18th Feb'!$A$1:$V$45</definedName>
    <definedName name="_xlnm._FilterDatabase" localSheetId="34" hidden="1">'19th Feb'!$A$1:$V$66</definedName>
    <definedName name="_xlnm._FilterDatabase" localSheetId="11" hidden="1">'19th Jan'!$A$1:$V$82</definedName>
    <definedName name="_xlnm._FilterDatabase" localSheetId="35" hidden="1">'20th Feb'!$A$1:$V$64</definedName>
    <definedName name="_xlnm._FilterDatabase" localSheetId="12" hidden="1">'20th Jan'!$A$1:$W$79</definedName>
    <definedName name="_xlnm._FilterDatabase" localSheetId="13" hidden="1">'21st Jan'!$A$1:$W$73</definedName>
    <definedName name="_xlnm._FilterDatabase" localSheetId="14" hidden="1">'22nd Jan'!$A$1:$V$51</definedName>
    <definedName name="_xlnm._FilterDatabase" localSheetId="36" hidden="1">'23rd Feb'!$A$1:$V$93</definedName>
    <definedName name="_xlnm._FilterDatabase" localSheetId="15" hidden="1">'23rd Jan'!$A$1:$V$68</definedName>
    <definedName name="_xlnm._FilterDatabase" localSheetId="37" hidden="1">'24th Feb'!$A$1:$V$1</definedName>
    <definedName name="_xlnm._FilterDatabase" localSheetId="38" hidden="1">'25th Feb'!$A$1:$V$69</definedName>
    <definedName name="_xlnm._FilterDatabase" localSheetId="39" hidden="1">'26th Feb'!$A$1:$V$74</definedName>
    <definedName name="_xlnm._FilterDatabase" localSheetId="16" hidden="1">'26th Jan'!$A$1:$W$54</definedName>
    <definedName name="_xlnm._FilterDatabase" localSheetId="40" hidden="1">'27th Feb'!$A$1:$V$63</definedName>
    <definedName name="_xlnm._FilterDatabase" localSheetId="17" hidden="1">'27th Jan'!$A$1:$V$47</definedName>
    <definedName name="_xlnm._FilterDatabase" localSheetId="18" hidden="1">'28th Jan'!$A$1:$W$46</definedName>
    <definedName name="_xlnm._FilterDatabase" localSheetId="19" hidden="1">'29th Jan'!$A$1:$W$42</definedName>
    <definedName name="_xlnm._FilterDatabase" localSheetId="21" hidden="1">'2nd Feb'!$A$1:$V$103</definedName>
    <definedName name="_xlnm._FilterDatabase" localSheetId="20" hidden="1">'30th Jan'!$A$1:$W$69</definedName>
    <definedName name="_xlnm._FilterDatabase" localSheetId="22" hidden="1">'3rd Feb'!$A$1:$V$1</definedName>
    <definedName name="_xlnm._FilterDatabase" localSheetId="23" hidden="1">'4th Feb'!$A$1:$V$98</definedName>
    <definedName name="_xlnm._FilterDatabase" localSheetId="43" hidden="1">'4th Mar'!$A$1:$V$143</definedName>
    <definedName name="_xlnm._FilterDatabase" localSheetId="24" hidden="1">'5th Feb'!$A$1:$V$77</definedName>
    <definedName name="_xlnm._FilterDatabase" localSheetId="44" hidden="1">'5th Mar'!$A$1:$V$127</definedName>
    <definedName name="_xlnm._FilterDatabase" localSheetId="25" hidden="1">'6th Feb'!$A$1:$V$75</definedName>
    <definedName name="_xlnm._FilterDatabase" localSheetId="45" hidden="1">'6th Mar'!$A$1:$V$119</definedName>
    <definedName name="_xlnm._FilterDatabase" localSheetId="4" hidden="1">'8th Jan'!$A$1:$V$109</definedName>
    <definedName name="_xlnm._FilterDatabase" localSheetId="26" hidden="1">'9th Feb'!$A$1:$V$99</definedName>
    <definedName name="_xlnm._FilterDatabase" localSheetId="5" hidden="1">'9th Jan'!$A$1:$V$125</definedName>
    <definedName name="_xlnm._FilterDatabase" localSheetId="46" hidden="1">'9th March'!$A$1:$V$150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155" i="53" l="1"/>
  <c r="U3" i="53" l="1"/>
  <c r="U4" i="53"/>
  <c r="U5" i="53"/>
  <c r="U6" i="53"/>
  <c r="U7" i="53"/>
  <c r="U8" i="53"/>
  <c r="U9" i="53"/>
  <c r="U10" i="53"/>
  <c r="U11" i="53"/>
  <c r="U12" i="53"/>
  <c r="U13" i="53"/>
  <c r="U14" i="53"/>
  <c r="U15" i="53"/>
  <c r="U16" i="53"/>
  <c r="U17" i="53"/>
  <c r="U18" i="53"/>
  <c r="U19" i="53"/>
  <c r="U20" i="53"/>
  <c r="U21" i="53"/>
  <c r="U22" i="53"/>
  <c r="U23" i="53"/>
  <c r="U24" i="53"/>
  <c r="U25" i="53"/>
  <c r="U26" i="53"/>
  <c r="U27" i="53"/>
  <c r="U28" i="53"/>
  <c r="U29" i="53"/>
  <c r="U30" i="53"/>
  <c r="U31" i="53"/>
  <c r="U32" i="53"/>
  <c r="U33" i="53"/>
  <c r="U34" i="53"/>
  <c r="U35" i="53"/>
  <c r="U36" i="53"/>
  <c r="U37" i="53"/>
  <c r="U38" i="53"/>
  <c r="U39" i="53"/>
  <c r="U40" i="53"/>
  <c r="U41" i="53"/>
  <c r="U42" i="53"/>
  <c r="U43" i="53"/>
  <c r="U44" i="53"/>
  <c r="U45" i="53"/>
  <c r="U46" i="53"/>
  <c r="U47" i="53"/>
  <c r="U48" i="53"/>
  <c r="U49" i="53"/>
  <c r="U50" i="53"/>
  <c r="U51" i="53"/>
  <c r="U52" i="53"/>
  <c r="U53" i="53"/>
  <c r="U54" i="53"/>
  <c r="U55" i="53"/>
  <c r="U56" i="53"/>
  <c r="U59" i="53"/>
  <c r="U62" i="53"/>
  <c r="U63" i="53"/>
  <c r="U64" i="53"/>
  <c r="U65" i="53"/>
  <c r="U66" i="53"/>
  <c r="U67" i="53"/>
  <c r="U68" i="53"/>
  <c r="U69" i="53"/>
  <c r="U70" i="53"/>
  <c r="U71" i="53"/>
  <c r="U72" i="53"/>
  <c r="U73" i="53"/>
  <c r="U74" i="53"/>
  <c r="U75" i="53"/>
  <c r="U76" i="53"/>
  <c r="U77" i="53"/>
  <c r="U78" i="53"/>
  <c r="U79" i="53"/>
  <c r="U80" i="53"/>
  <c r="U81" i="53"/>
  <c r="U82" i="53"/>
  <c r="U83" i="53"/>
  <c r="U84" i="53"/>
  <c r="U85" i="53"/>
  <c r="U86" i="53"/>
  <c r="U87" i="53"/>
  <c r="U88" i="53"/>
  <c r="U89" i="53"/>
  <c r="U90" i="53"/>
  <c r="U91" i="53"/>
  <c r="U92" i="53"/>
  <c r="U93" i="53"/>
  <c r="U94" i="53"/>
  <c r="U95" i="53"/>
  <c r="U96" i="53"/>
  <c r="U97" i="53"/>
  <c r="U98" i="53"/>
  <c r="U99" i="53"/>
  <c r="U100" i="53"/>
  <c r="U101" i="53"/>
  <c r="U102" i="53"/>
  <c r="U103" i="53"/>
  <c r="U104" i="53"/>
  <c r="U105" i="53"/>
  <c r="U106" i="53"/>
  <c r="U107" i="53"/>
  <c r="U108" i="53"/>
  <c r="U109" i="53"/>
  <c r="U110" i="53"/>
  <c r="U111" i="53"/>
  <c r="U112" i="53"/>
  <c r="U113" i="53"/>
  <c r="U114" i="53"/>
  <c r="U115" i="53"/>
  <c r="U116" i="53"/>
  <c r="U117" i="53"/>
  <c r="U118" i="53"/>
  <c r="U119" i="53"/>
  <c r="U120" i="53"/>
  <c r="U121" i="53"/>
  <c r="U122" i="53"/>
  <c r="U123" i="53"/>
  <c r="U124" i="53"/>
  <c r="U125" i="53"/>
  <c r="U126" i="53"/>
  <c r="U127" i="53"/>
  <c r="U128" i="53"/>
  <c r="U129" i="53"/>
  <c r="U130" i="53"/>
  <c r="U131" i="53"/>
  <c r="U132" i="53"/>
  <c r="U133" i="53"/>
  <c r="U134" i="53"/>
  <c r="U135" i="53"/>
  <c r="U136" i="53"/>
  <c r="U137" i="53"/>
  <c r="U138" i="53"/>
  <c r="U139" i="53"/>
  <c r="U140" i="53"/>
  <c r="U141" i="53"/>
  <c r="U142" i="53"/>
  <c r="U143" i="53"/>
  <c r="U144" i="53"/>
  <c r="U145" i="53"/>
  <c r="U146" i="53"/>
  <c r="U147" i="53"/>
  <c r="U148" i="53"/>
  <c r="U149" i="53"/>
  <c r="U150" i="53"/>
  <c r="U151" i="53"/>
  <c r="U152" i="53"/>
  <c r="U153" i="53"/>
  <c r="U154" i="53"/>
  <c r="U2" i="53"/>
  <c r="F6" i="52"/>
  <c r="I6" i="52"/>
  <c r="W22" i="52" l="1"/>
  <c r="W48" i="52" l="1"/>
  <c r="W66" i="52"/>
  <c r="W55" i="52"/>
  <c r="W27" i="52"/>
  <c r="W35" i="52"/>
  <c r="W65" i="52"/>
  <c r="W14" i="52"/>
  <c r="W17" i="52"/>
  <c r="W30" i="52"/>
  <c r="W28" i="52"/>
  <c r="W9" i="52"/>
  <c r="W75" i="52"/>
  <c r="W64" i="52"/>
  <c r="W68" i="52"/>
  <c r="W47" i="52"/>
  <c r="W29" i="52"/>
  <c r="W72" i="52"/>
  <c r="W33" i="52"/>
  <c r="W45" i="52"/>
  <c r="W39" i="52"/>
  <c r="W18" i="52"/>
  <c r="W23" i="52"/>
  <c r="W58" i="52"/>
  <c r="W25" i="52"/>
  <c r="W81" i="52"/>
  <c r="W61" i="52"/>
  <c r="W41" i="52"/>
  <c r="W10" i="52"/>
  <c r="W36" i="52"/>
  <c r="W84" i="52"/>
  <c r="W19" i="52"/>
  <c r="W32" i="52"/>
  <c r="W42" i="52"/>
  <c r="W43" i="52"/>
  <c r="W74" i="52"/>
  <c r="W69" i="52"/>
  <c r="W50" i="52"/>
  <c r="W40" i="52"/>
  <c r="W37" i="52"/>
  <c r="W59" i="52"/>
  <c r="W62" i="52"/>
  <c r="W34" i="52"/>
  <c r="W82" i="52"/>
  <c r="W70" i="52"/>
  <c r="W86" i="52"/>
  <c r="W5" i="52"/>
  <c r="W77" i="52"/>
  <c r="W3" i="52"/>
  <c r="W31" i="52"/>
  <c r="W87" i="52"/>
  <c r="W7" i="52"/>
  <c r="W73" i="52"/>
  <c r="W4" i="52"/>
  <c r="W83" i="52"/>
  <c r="W54" i="52"/>
  <c r="W52" i="52"/>
  <c r="W13" i="52"/>
  <c r="W26" i="52"/>
  <c r="W46" i="52"/>
  <c r="W63" i="52"/>
  <c r="W15" i="52"/>
  <c r="W88" i="52"/>
  <c r="W8" i="52"/>
  <c r="W38" i="52"/>
  <c r="W67" i="52"/>
  <c r="W44" i="52"/>
  <c r="W2" i="52"/>
  <c r="W90" i="52"/>
  <c r="W76" i="52"/>
  <c r="W57" i="52"/>
  <c r="W89" i="52"/>
  <c r="W91" i="52"/>
  <c r="W92" i="52"/>
  <c r="W21" i="52"/>
  <c r="W53" i="52"/>
  <c r="W49" i="52"/>
  <c r="W11" i="52"/>
  <c r="W78" i="52"/>
  <c r="W56" i="52"/>
  <c r="W71" i="52"/>
  <c r="W12" i="52"/>
  <c r="U89" i="51"/>
  <c r="U90" i="51"/>
  <c r="U88" i="51"/>
  <c r="U87" i="51"/>
  <c r="U86" i="51"/>
  <c r="U85" i="51"/>
  <c r="U84" i="51"/>
  <c r="U83" i="51"/>
  <c r="U3" i="51" l="1"/>
  <c r="U4" i="51"/>
  <c r="U5" i="51"/>
  <c r="U6" i="51"/>
  <c r="U7" i="51"/>
  <c r="U8" i="51"/>
  <c r="U9" i="51"/>
  <c r="U10" i="51"/>
  <c r="U11" i="51"/>
  <c r="U12" i="51"/>
  <c r="U13" i="51"/>
  <c r="U14" i="51"/>
  <c r="U15" i="51"/>
  <c r="U16" i="51"/>
  <c r="U17" i="51"/>
  <c r="U18" i="51"/>
  <c r="U19" i="51"/>
  <c r="U20" i="51"/>
  <c r="U21" i="51"/>
  <c r="U22" i="51"/>
  <c r="U23" i="51"/>
  <c r="U24" i="51"/>
  <c r="U25" i="51"/>
  <c r="U26" i="51"/>
  <c r="U27" i="51"/>
  <c r="U28" i="51"/>
  <c r="U29" i="51"/>
  <c r="U30" i="51"/>
  <c r="U31" i="51"/>
  <c r="U32" i="51"/>
  <c r="U33" i="51"/>
  <c r="U34" i="51"/>
  <c r="U35" i="51"/>
  <c r="U36" i="51"/>
  <c r="U37" i="51"/>
  <c r="U38" i="51"/>
  <c r="U39" i="51"/>
  <c r="U41" i="51"/>
  <c r="U42" i="51"/>
  <c r="U43" i="51"/>
  <c r="U44" i="51"/>
  <c r="U45" i="51"/>
  <c r="U46" i="51"/>
  <c r="U47" i="51"/>
  <c r="U48" i="51"/>
  <c r="U49" i="51"/>
  <c r="U50" i="51"/>
  <c r="U51" i="51"/>
  <c r="U52" i="51"/>
  <c r="U53" i="51"/>
  <c r="U54" i="51"/>
  <c r="U55" i="51"/>
  <c r="U56" i="51"/>
  <c r="U57" i="51"/>
  <c r="U58" i="51"/>
  <c r="U59" i="51"/>
  <c r="U60" i="51"/>
  <c r="U61" i="51"/>
  <c r="U62" i="51"/>
  <c r="U63" i="51"/>
  <c r="U64" i="51"/>
  <c r="U65" i="51"/>
  <c r="U66" i="51"/>
  <c r="U67" i="51"/>
  <c r="U68" i="51"/>
  <c r="U69" i="51"/>
  <c r="U70" i="51"/>
  <c r="U71" i="51"/>
  <c r="U72" i="51"/>
  <c r="U73" i="51"/>
  <c r="U74" i="51"/>
  <c r="U75" i="51"/>
  <c r="U76" i="51"/>
  <c r="U77" i="51"/>
  <c r="U78" i="51"/>
  <c r="U79" i="51"/>
  <c r="U80" i="51"/>
  <c r="U81" i="51"/>
  <c r="U82" i="51"/>
  <c r="U2" i="51"/>
  <c r="U131" i="49" l="1"/>
  <c r="U132" i="49"/>
  <c r="U129" i="49" l="1"/>
  <c r="U128" i="49" l="1"/>
  <c r="U3" i="49"/>
  <c r="U4" i="49"/>
  <c r="U5" i="49"/>
  <c r="U6" i="49"/>
  <c r="U7" i="49"/>
  <c r="U8" i="49"/>
  <c r="U9" i="49"/>
  <c r="U10" i="49"/>
  <c r="U11" i="49"/>
  <c r="U12" i="49"/>
  <c r="U13" i="49"/>
  <c r="U14" i="49"/>
  <c r="U15" i="49"/>
  <c r="U16" i="49"/>
  <c r="U17" i="49"/>
  <c r="U18" i="49"/>
  <c r="U19" i="49"/>
  <c r="U20" i="49"/>
  <c r="U21" i="49"/>
  <c r="U22" i="49"/>
  <c r="U23" i="49"/>
  <c r="U24" i="49"/>
  <c r="U25" i="49"/>
  <c r="U26" i="49"/>
  <c r="U27" i="49"/>
  <c r="U28" i="49"/>
  <c r="U29" i="49"/>
  <c r="U30" i="49"/>
  <c r="U31" i="49"/>
  <c r="U32" i="49"/>
  <c r="U33" i="49"/>
  <c r="U34" i="49"/>
  <c r="U35" i="49"/>
  <c r="U36" i="49"/>
  <c r="U37" i="49"/>
  <c r="U38" i="49"/>
  <c r="U39" i="49"/>
  <c r="U40" i="49"/>
  <c r="U42" i="49"/>
  <c r="U44" i="49"/>
  <c r="U45" i="49"/>
  <c r="U46" i="49"/>
  <c r="U47" i="49"/>
  <c r="U50" i="49"/>
  <c r="U51" i="49"/>
  <c r="U52" i="49"/>
  <c r="U53" i="49"/>
  <c r="U54" i="49"/>
  <c r="U55" i="49"/>
  <c r="U56" i="49"/>
  <c r="U58" i="49"/>
  <c r="U59" i="49"/>
  <c r="U60" i="49"/>
  <c r="U61" i="49"/>
  <c r="U62" i="49"/>
  <c r="U63" i="49"/>
  <c r="U64" i="49"/>
  <c r="U65" i="49"/>
  <c r="U66" i="49"/>
  <c r="U67" i="49"/>
  <c r="U68" i="49"/>
  <c r="U69" i="49"/>
  <c r="U70" i="49"/>
  <c r="U71" i="49"/>
  <c r="U72" i="49"/>
  <c r="U73" i="49"/>
  <c r="U74" i="49"/>
  <c r="U75" i="49"/>
  <c r="U76" i="49"/>
  <c r="U77" i="49"/>
  <c r="U78" i="49"/>
  <c r="U79" i="49"/>
  <c r="U80" i="49"/>
  <c r="U81" i="49"/>
  <c r="U82" i="49"/>
  <c r="U83" i="49"/>
  <c r="U84" i="49"/>
  <c r="U85" i="49"/>
  <c r="U86" i="49"/>
  <c r="U87" i="49"/>
  <c r="U88" i="49"/>
  <c r="U89" i="49"/>
  <c r="U90" i="49"/>
  <c r="U91" i="49"/>
  <c r="U92" i="49"/>
  <c r="U93" i="49"/>
  <c r="U94" i="49"/>
  <c r="U95" i="49"/>
  <c r="U96" i="49"/>
  <c r="U97" i="49"/>
  <c r="U98" i="49"/>
  <c r="U99" i="49"/>
  <c r="U100" i="49"/>
  <c r="U101" i="49"/>
  <c r="U102" i="49"/>
  <c r="U103" i="49"/>
  <c r="U104" i="49"/>
  <c r="U105" i="49"/>
  <c r="U106" i="49"/>
  <c r="U107" i="49"/>
  <c r="U108" i="49"/>
  <c r="U109" i="49"/>
  <c r="U110" i="49"/>
  <c r="U111" i="49"/>
  <c r="U112" i="49"/>
  <c r="U113" i="49"/>
  <c r="U114" i="49"/>
  <c r="U115" i="49"/>
  <c r="U116" i="49"/>
  <c r="U117" i="49"/>
  <c r="U118" i="49"/>
  <c r="U119" i="49"/>
  <c r="U120" i="49"/>
  <c r="U121" i="49"/>
  <c r="U122" i="49"/>
  <c r="U123" i="49"/>
  <c r="U124" i="49"/>
  <c r="U125" i="49"/>
  <c r="U126" i="49"/>
  <c r="U127" i="49"/>
  <c r="U2" i="49"/>
  <c r="U143" i="48"/>
  <c r="U18" i="48"/>
  <c r="U131" i="48"/>
  <c r="G128" i="48"/>
  <c r="F128" i="48"/>
  <c r="U148" i="48"/>
  <c r="U147" i="48"/>
  <c r="U121" i="48"/>
  <c r="U145" i="48" l="1"/>
  <c r="U149" i="48" l="1"/>
  <c r="U142" i="48"/>
  <c r="U3" i="48" l="1"/>
  <c r="U4" i="48"/>
  <c r="U5" i="48"/>
  <c r="U6" i="48"/>
  <c r="U7" i="48"/>
  <c r="U8" i="48"/>
  <c r="U9" i="48"/>
  <c r="U10" i="48"/>
  <c r="U11" i="48"/>
  <c r="U12" i="48"/>
  <c r="U13" i="48"/>
  <c r="U14" i="48"/>
  <c r="U15" i="48"/>
  <c r="U16" i="48"/>
  <c r="U17" i="48"/>
  <c r="U134" i="48"/>
  <c r="U19" i="48"/>
  <c r="U20" i="48"/>
  <c r="U21" i="48"/>
  <c r="U22" i="48"/>
  <c r="U150" i="48"/>
  <c r="U24" i="48"/>
  <c r="U25" i="48"/>
  <c r="U26" i="48"/>
  <c r="U27" i="48"/>
  <c r="U28" i="48"/>
  <c r="U29" i="48"/>
  <c r="U30" i="48"/>
  <c r="U31" i="48"/>
  <c r="U32" i="48"/>
  <c r="U33" i="48"/>
  <c r="U34" i="48"/>
  <c r="U35" i="48"/>
  <c r="U36" i="48"/>
  <c r="U122" i="48"/>
  <c r="U38" i="48"/>
  <c r="U39" i="48"/>
  <c r="U40" i="48"/>
  <c r="U41" i="48"/>
  <c r="U42" i="48"/>
  <c r="U43" i="48"/>
  <c r="U44" i="48"/>
  <c r="U45" i="48"/>
  <c r="U46" i="48"/>
  <c r="U47" i="48"/>
  <c r="U49" i="48"/>
  <c r="U50" i="48"/>
  <c r="U51" i="48"/>
  <c r="U52" i="48"/>
  <c r="U53" i="48"/>
  <c r="U54" i="48"/>
  <c r="U55" i="48"/>
  <c r="U56" i="48"/>
  <c r="U57" i="48"/>
  <c r="U58" i="48"/>
  <c r="U59" i="48"/>
  <c r="U60" i="48"/>
  <c r="U61" i="48"/>
  <c r="U62" i="48"/>
  <c r="U63" i="48"/>
  <c r="U64" i="48"/>
  <c r="U65" i="48"/>
  <c r="U66" i="48"/>
  <c r="U67" i="48"/>
  <c r="U71" i="48"/>
  <c r="U72" i="48"/>
  <c r="U73" i="48"/>
  <c r="U74" i="48"/>
  <c r="U75" i="48"/>
  <c r="U76" i="48"/>
  <c r="U77" i="48"/>
  <c r="U78" i="48"/>
  <c r="U79" i="48"/>
  <c r="U80" i="48"/>
  <c r="U81" i="48"/>
  <c r="U82" i="48"/>
  <c r="U84" i="48"/>
  <c r="U85" i="48"/>
  <c r="U86" i="48"/>
  <c r="U87" i="48"/>
  <c r="U88" i="48"/>
  <c r="U89" i="48"/>
  <c r="U90" i="48"/>
  <c r="U91" i="48"/>
  <c r="U92" i="48"/>
  <c r="U93" i="48"/>
  <c r="U94" i="48"/>
  <c r="U95" i="48"/>
  <c r="U96" i="48"/>
  <c r="U97" i="48"/>
  <c r="U98" i="48"/>
  <c r="U99" i="48"/>
  <c r="U100" i="48"/>
  <c r="U103" i="48"/>
  <c r="U104" i="48"/>
  <c r="U106" i="48"/>
  <c r="U107" i="48"/>
  <c r="U108" i="48"/>
  <c r="U109" i="48"/>
  <c r="U37" i="48"/>
  <c r="U113" i="48"/>
  <c r="U115" i="48"/>
  <c r="U144" i="48"/>
  <c r="U117" i="48"/>
  <c r="U118" i="48"/>
  <c r="U119" i="48"/>
  <c r="U120" i="48"/>
  <c r="U116" i="48"/>
  <c r="U123" i="48"/>
  <c r="U124" i="48"/>
  <c r="U125" i="48"/>
  <c r="U126" i="48"/>
  <c r="U127" i="48"/>
  <c r="U128" i="48"/>
  <c r="U129" i="48"/>
  <c r="U130" i="48"/>
  <c r="U110" i="48"/>
  <c r="U132" i="48"/>
  <c r="U133" i="48"/>
  <c r="U146" i="48"/>
  <c r="U135" i="48"/>
  <c r="U136" i="48"/>
  <c r="U137" i="48"/>
  <c r="U138" i="48"/>
  <c r="U139" i="48"/>
  <c r="U140" i="48"/>
  <c r="U141" i="48"/>
  <c r="U2" i="48"/>
  <c r="U119" i="47"/>
  <c r="U118" i="47"/>
  <c r="U117" i="47"/>
  <c r="U116" i="47"/>
  <c r="U115" i="47"/>
  <c r="U114" i="47"/>
  <c r="U113" i="47"/>
  <c r="U112" i="47"/>
  <c r="U111" i="47"/>
  <c r="U110" i="47"/>
  <c r="U109" i="47"/>
  <c r="U108" i="47"/>
  <c r="U107" i="47"/>
  <c r="U106" i="47"/>
  <c r="U105" i="47"/>
  <c r="U104" i="47"/>
  <c r="U103" i="47"/>
  <c r="U102" i="47"/>
  <c r="U101" i="47"/>
  <c r="U100" i="47"/>
  <c r="U99" i="47"/>
  <c r="U98" i="47"/>
  <c r="U97" i="47"/>
  <c r="U96" i="47"/>
  <c r="U95" i="47"/>
  <c r="U94" i="47"/>
  <c r="U93" i="47"/>
  <c r="U92" i="47"/>
  <c r="U91" i="47"/>
  <c r="U90" i="47"/>
  <c r="U89" i="47"/>
  <c r="U88" i="47"/>
  <c r="U87" i="47"/>
  <c r="U86" i="47"/>
  <c r="U85" i="47"/>
  <c r="U84" i="47"/>
  <c r="U83" i="47"/>
  <c r="U82" i="47"/>
  <c r="U81" i="47"/>
  <c r="U80" i="47"/>
  <c r="U79" i="47"/>
  <c r="U78" i="47"/>
  <c r="U77" i="47"/>
  <c r="U76" i="47"/>
  <c r="U75" i="47"/>
  <c r="U74" i="47"/>
  <c r="U73" i="47"/>
  <c r="U72" i="47"/>
  <c r="U71" i="47"/>
  <c r="U70" i="47"/>
  <c r="U69" i="47"/>
  <c r="U68" i="47"/>
  <c r="U67" i="47" l="1"/>
  <c r="U3" i="47"/>
  <c r="U4" i="47"/>
  <c r="U5" i="47"/>
  <c r="U6" i="47"/>
  <c r="U7" i="47"/>
  <c r="U8" i="47"/>
  <c r="U9" i="47"/>
  <c r="U10" i="47"/>
  <c r="U11" i="47"/>
  <c r="U12" i="47"/>
  <c r="U13" i="47"/>
  <c r="U14" i="47"/>
  <c r="U15" i="47"/>
  <c r="U16" i="47"/>
  <c r="U17" i="47"/>
  <c r="U18" i="47"/>
  <c r="U19" i="47"/>
  <c r="U20" i="47"/>
  <c r="U21" i="47"/>
  <c r="U22" i="47"/>
  <c r="U23" i="47"/>
  <c r="U24" i="47"/>
  <c r="U25" i="47"/>
  <c r="U26" i="47"/>
  <c r="U27" i="47"/>
  <c r="U28" i="47"/>
  <c r="U29" i="47"/>
  <c r="U30" i="47"/>
  <c r="U31" i="47"/>
  <c r="U32" i="47"/>
  <c r="U33" i="47"/>
  <c r="U34" i="47"/>
  <c r="U35" i="47"/>
  <c r="U36" i="47"/>
  <c r="U37" i="47"/>
  <c r="U38" i="47"/>
  <c r="U39" i="47"/>
  <c r="U40" i="47"/>
  <c r="U41" i="47"/>
  <c r="U42" i="47"/>
  <c r="U43" i="47"/>
  <c r="U44" i="47"/>
  <c r="U45" i="47"/>
  <c r="U46" i="47"/>
  <c r="U47" i="47"/>
  <c r="U48" i="47"/>
  <c r="U49" i="47"/>
  <c r="U50" i="47"/>
  <c r="U51" i="47"/>
  <c r="U52" i="47"/>
  <c r="U53" i="47"/>
  <c r="U54" i="47"/>
  <c r="U55" i="47"/>
  <c r="U56" i="47"/>
  <c r="U57" i="47"/>
  <c r="U58" i="47"/>
  <c r="U59" i="47"/>
  <c r="U60" i="47"/>
  <c r="U61" i="47"/>
  <c r="U62" i="47"/>
  <c r="U63" i="47"/>
  <c r="U64" i="47"/>
  <c r="U65" i="47"/>
  <c r="U66" i="47"/>
  <c r="U2" i="47"/>
  <c r="U127" i="45" l="1"/>
  <c r="G78" i="45"/>
  <c r="F78" i="45"/>
  <c r="G85" i="45"/>
  <c r="F85" i="45"/>
  <c r="G79" i="45"/>
  <c r="F79" i="45"/>
  <c r="G80" i="45"/>
  <c r="F80" i="45"/>
  <c r="F81" i="45"/>
  <c r="G84" i="45"/>
  <c r="F84" i="45"/>
  <c r="U126" i="45" l="1"/>
  <c r="U125" i="45"/>
  <c r="U124" i="45" l="1"/>
  <c r="U123" i="45" l="1"/>
  <c r="U122" i="45"/>
  <c r="U121" i="45"/>
  <c r="U3" i="45" l="1"/>
  <c r="U4" i="45"/>
  <c r="U5" i="45"/>
  <c r="U6" i="45"/>
  <c r="U7" i="45"/>
  <c r="U8" i="45"/>
  <c r="U9" i="45"/>
  <c r="U10" i="45"/>
  <c r="U11" i="45"/>
  <c r="U12" i="45"/>
  <c r="U13" i="45"/>
  <c r="U14" i="45"/>
  <c r="U15" i="45"/>
  <c r="U16" i="45"/>
  <c r="U17" i="45"/>
  <c r="U18" i="45"/>
  <c r="U19" i="45"/>
  <c r="U20" i="45"/>
  <c r="U21" i="45"/>
  <c r="U22" i="45"/>
  <c r="U23" i="45"/>
  <c r="U24" i="45"/>
  <c r="U25" i="45"/>
  <c r="U26" i="45"/>
  <c r="U27" i="45"/>
  <c r="U28" i="45"/>
  <c r="U29" i="45"/>
  <c r="U30" i="45"/>
  <c r="U31" i="45"/>
  <c r="U32" i="45"/>
  <c r="U33" i="45"/>
  <c r="U34" i="45"/>
  <c r="U35" i="45"/>
  <c r="U36" i="45"/>
  <c r="U37" i="45"/>
  <c r="U38" i="45"/>
  <c r="U39" i="45"/>
  <c r="U40" i="45"/>
  <c r="U41" i="45"/>
  <c r="U42" i="45"/>
  <c r="U43" i="45"/>
  <c r="U44" i="45"/>
  <c r="U45" i="45"/>
  <c r="U46" i="45"/>
  <c r="U47" i="45"/>
  <c r="U48" i="45"/>
  <c r="U49" i="45"/>
  <c r="U50" i="45"/>
  <c r="U51" i="45"/>
  <c r="U52" i="45"/>
  <c r="U53" i="45"/>
  <c r="U54" i="45"/>
  <c r="U55" i="45"/>
  <c r="U56" i="45"/>
  <c r="U57" i="45"/>
  <c r="U58" i="45"/>
  <c r="U59" i="45"/>
  <c r="U60" i="45"/>
  <c r="U61" i="45"/>
  <c r="U62" i="45"/>
  <c r="U63" i="45"/>
  <c r="U64" i="45"/>
  <c r="U65" i="45"/>
  <c r="U66" i="45"/>
  <c r="U67" i="45"/>
  <c r="U68" i="45"/>
  <c r="U69" i="45"/>
  <c r="U70" i="45"/>
  <c r="U71" i="45"/>
  <c r="U72" i="45"/>
  <c r="U73" i="45"/>
  <c r="U74" i="45"/>
  <c r="U75" i="45"/>
  <c r="U76" i="45"/>
  <c r="U77" i="45"/>
  <c r="U78" i="45"/>
  <c r="U79" i="45"/>
  <c r="U80" i="45"/>
  <c r="U81" i="45"/>
  <c r="U82" i="45"/>
  <c r="U83" i="45"/>
  <c r="U84" i="45"/>
  <c r="U85" i="45"/>
  <c r="U86" i="45"/>
  <c r="U87" i="45"/>
  <c r="U88" i="45"/>
  <c r="U89" i="45"/>
  <c r="U90" i="45"/>
  <c r="U91" i="45"/>
  <c r="U92" i="45"/>
  <c r="U93" i="45"/>
  <c r="U94" i="45"/>
  <c r="U95" i="45"/>
  <c r="U96" i="45"/>
  <c r="U97" i="45"/>
  <c r="U98" i="45"/>
  <c r="U99" i="45"/>
  <c r="U100" i="45"/>
  <c r="U101" i="45"/>
  <c r="U102" i="45"/>
  <c r="U103" i="45"/>
  <c r="U104" i="45"/>
  <c r="U105" i="45"/>
  <c r="U106" i="45"/>
  <c r="U107" i="45"/>
  <c r="U108" i="45"/>
  <c r="U109" i="45"/>
  <c r="U110" i="45"/>
  <c r="U111" i="45"/>
  <c r="U112" i="45"/>
  <c r="U113" i="45"/>
  <c r="U114" i="45"/>
  <c r="U115" i="45"/>
  <c r="U116" i="45"/>
  <c r="U117" i="45"/>
  <c r="U118" i="45"/>
  <c r="U119" i="45"/>
  <c r="U120" i="45"/>
  <c r="U2" i="45"/>
  <c r="U142" i="44"/>
  <c r="U143" i="44"/>
  <c r="U141" i="44" l="1"/>
  <c r="U140" i="44"/>
  <c r="U139" i="44"/>
  <c r="U3" i="44" l="1"/>
  <c r="U4" i="44"/>
  <c r="U5" i="44"/>
  <c r="U6" i="44"/>
  <c r="U7" i="44"/>
  <c r="U8" i="44"/>
  <c r="U9" i="44"/>
  <c r="U10" i="44"/>
  <c r="U11" i="44"/>
  <c r="U12" i="44"/>
  <c r="U13" i="44"/>
  <c r="U14" i="44"/>
  <c r="U15" i="44"/>
  <c r="U16" i="44"/>
  <c r="U17" i="44"/>
  <c r="U18" i="44"/>
  <c r="U19" i="44"/>
  <c r="U20" i="44"/>
  <c r="U21" i="44"/>
  <c r="U22" i="44"/>
  <c r="U23" i="44"/>
  <c r="U24" i="44"/>
  <c r="U25" i="44"/>
  <c r="U26" i="44"/>
  <c r="U27" i="44"/>
  <c r="U28" i="44"/>
  <c r="U29" i="44"/>
  <c r="U30" i="44"/>
  <c r="U31" i="44"/>
  <c r="U32" i="44"/>
  <c r="U33" i="44"/>
  <c r="U34" i="44"/>
  <c r="U35" i="44"/>
  <c r="U36" i="44"/>
  <c r="U37" i="44"/>
  <c r="U38" i="44"/>
  <c r="U39" i="44"/>
  <c r="U40" i="44"/>
  <c r="U41" i="44"/>
  <c r="U42" i="44"/>
  <c r="U43" i="44"/>
  <c r="U44" i="44"/>
  <c r="U45" i="44"/>
  <c r="U46" i="44"/>
  <c r="U47" i="44"/>
  <c r="U48" i="44"/>
  <c r="U49" i="44"/>
  <c r="U50" i="44"/>
  <c r="U51" i="44"/>
  <c r="U52" i="44"/>
  <c r="U53" i="44"/>
  <c r="U54" i="44"/>
  <c r="U55" i="44"/>
  <c r="U56" i="44"/>
  <c r="U57" i="44"/>
  <c r="U58" i="44"/>
  <c r="U59" i="44"/>
  <c r="U60" i="44"/>
  <c r="U61" i="44"/>
  <c r="U62" i="44"/>
  <c r="U63" i="44"/>
  <c r="U64" i="44"/>
  <c r="U65" i="44"/>
  <c r="U66" i="44"/>
  <c r="U67" i="44"/>
  <c r="U68" i="44"/>
  <c r="U69" i="44"/>
  <c r="U70" i="44"/>
  <c r="U71" i="44"/>
  <c r="U72" i="44"/>
  <c r="U73" i="44"/>
  <c r="U74" i="44"/>
  <c r="U75" i="44"/>
  <c r="U76" i="44"/>
  <c r="U77" i="44"/>
  <c r="U78" i="44"/>
  <c r="U79" i="44"/>
  <c r="U80" i="44"/>
  <c r="U81" i="44"/>
  <c r="U138" i="44"/>
  <c r="U83" i="44"/>
  <c r="U84" i="44"/>
  <c r="U85" i="44"/>
  <c r="U86" i="44"/>
  <c r="U87" i="44"/>
  <c r="U88" i="44"/>
  <c r="U89" i="44"/>
  <c r="U90" i="44"/>
  <c r="U91" i="44"/>
  <c r="U82" i="44"/>
  <c r="U93" i="44"/>
  <c r="U94" i="44"/>
  <c r="U95" i="44"/>
  <c r="U96" i="44"/>
  <c r="U97" i="44"/>
  <c r="U98" i="44"/>
  <c r="U99" i="44"/>
  <c r="U100" i="44"/>
  <c r="U101" i="44"/>
  <c r="U102" i="44"/>
  <c r="U103" i="44"/>
  <c r="U104" i="44"/>
  <c r="U105" i="44"/>
  <c r="U106" i="44"/>
  <c r="U107" i="44"/>
  <c r="U108" i="44"/>
  <c r="U109" i="44"/>
  <c r="U110" i="44"/>
  <c r="U111" i="44"/>
  <c r="U112" i="44"/>
  <c r="U113" i="44"/>
  <c r="U114" i="44"/>
  <c r="U115" i="44"/>
  <c r="U116" i="44"/>
  <c r="U117" i="44"/>
  <c r="U118" i="44"/>
  <c r="U127" i="44"/>
  <c r="U120" i="44"/>
  <c r="U121" i="44"/>
  <c r="U122" i="44"/>
  <c r="U123" i="44"/>
  <c r="U124" i="44"/>
  <c r="U125" i="44"/>
  <c r="U126" i="44"/>
  <c r="U92" i="44"/>
  <c r="U128" i="44"/>
  <c r="U129" i="44"/>
  <c r="U130" i="44"/>
  <c r="U131" i="44"/>
  <c r="U132" i="44"/>
  <c r="U133" i="44"/>
  <c r="U134" i="44"/>
  <c r="U135" i="44"/>
  <c r="U136" i="44"/>
  <c r="U137" i="44"/>
  <c r="U119" i="44"/>
  <c r="U2" i="44"/>
  <c r="U116" i="43"/>
  <c r="U115" i="43"/>
  <c r="U114" i="43"/>
  <c r="U105" i="43"/>
  <c r="U106" i="43"/>
  <c r="U107" i="43"/>
  <c r="U108" i="43"/>
  <c r="U109" i="43"/>
  <c r="U110" i="43"/>
  <c r="U111" i="43"/>
  <c r="U112" i="43"/>
  <c r="U113" i="43"/>
  <c r="F76" i="43"/>
  <c r="U3" i="43" l="1"/>
  <c r="U4" i="43"/>
  <c r="U5" i="43"/>
  <c r="U6" i="43"/>
  <c r="U7" i="43"/>
  <c r="U8" i="43"/>
  <c r="U9" i="43"/>
  <c r="U10" i="43"/>
  <c r="U11" i="43"/>
  <c r="U12" i="43"/>
  <c r="U13" i="43"/>
  <c r="U14" i="43"/>
  <c r="U15" i="43"/>
  <c r="U16" i="43"/>
  <c r="U17" i="43"/>
  <c r="U18" i="43"/>
  <c r="U19" i="43"/>
  <c r="U20" i="43"/>
  <c r="U21" i="43"/>
  <c r="U22" i="43"/>
  <c r="U23" i="43"/>
  <c r="U24" i="43"/>
  <c r="U25" i="43"/>
  <c r="U26" i="43"/>
  <c r="U27" i="43"/>
  <c r="U28" i="43"/>
  <c r="U29" i="43"/>
  <c r="U30" i="43"/>
  <c r="U31" i="43"/>
  <c r="U32" i="43"/>
  <c r="U33" i="43"/>
  <c r="U34" i="43"/>
  <c r="U35" i="43"/>
  <c r="U36" i="43"/>
  <c r="U37" i="43"/>
  <c r="U38" i="43"/>
  <c r="U39" i="43"/>
  <c r="U40" i="43"/>
  <c r="U41" i="43"/>
  <c r="U42" i="43"/>
  <c r="U43" i="43"/>
  <c r="U44" i="43"/>
  <c r="U45" i="43"/>
  <c r="U46" i="43"/>
  <c r="U47" i="43"/>
  <c r="U48" i="43"/>
  <c r="U49" i="43"/>
  <c r="U50" i="43"/>
  <c r="U51" i="43"/>
  <c r="U52" i="43"/>
  <c r="U53" i="43"/>
  <c r="U54" i="43"/>
  <c r="U55" i="43"/>
  <c r="U56" i="43"/>
  <c r="U57" i="43"/>
  <c r="U58" i="43"/>
  <c r="U59" i="43"/>
  <c r="U60" i="43"/>
  <c r="U61" i="43"/>
  <c r="U62" i="43"/>
  <c r="U63" i="43"/>
  <c r="U64" i="43"/>
  <c r="U65" i="43"/>
  <c r="U66" i="43"/>
  <c r="U67" i="43"/>
  <c r="U68" i="43"/>
  <c r="U69" i="43"/>
  <c r="U70" i="43"/>
  <c r="U71" i="43"/>
  <c r="U72" i="43"/>
  <c r="U73" i="43"/>
  <c r="U74" i="43"/>
  <c r="U75" i="43"/>
  <c r="U76" i="43"/>
  <c r="U78" i="43"/>
  <c r="U79" i="43"/>
  <c r="U80" i="43"/>
  <c r="U81" i="43"/>
  <c r="U82" i="43"/>
  <c r="U83" i="43"/>
  <c r="U84" i="43"/>
  <c r="U85" i="43"/>
  <c r="U86" i="43"/>
  <c r="U87" i="43"/>
  <c r="U88" i="43"/>
  <c r="U89" i="43"/>
  <c r="U90" i="43"/>
  <c r="U91" i="43"/>
  <c r="U92" i="43"/>
  <c r="U93" i="43"/>
  <c r="U94" i="43"/>
  <c r="U95" i="43"/>
  <c r="U96" i="43"/>
  <c r="U97" i="43"/>
  <c r="U98" i="43"/>
  <c r="U99" i="43"/>
  <c r="U100" i="43"/>
  <c r="U101" i="43"/>
  <c r="U102" i="43"/>
  <c r="U103" i="43"/>
  <c r="U104" i="43"/>
  <c r="U2" i="43"/>
  <c r="U127" i="42"/>
  <c r="U126" i="42"/>
  <c r="U125" i="42"/>
  <c r="U124" i="42"/>
  <c r="U123" i="42"/>
  <c r="U3" i="42"/>
  <c r="U4" i="42"/>
  <c r="U5" i="42"/>
  <c r="U6" i="42"/>
  <c r="U7" i="42"/>
  <c r="U8" i="42"/>
  <c r="U9" i="42"/>
  <c r="U10" i="42"/>
  <c r="U11" i="42"/>
  <c r="U12" i="42"/>
  <c r="U13" i="42"/>
  <c r="U14" i="42"/>
  <c r="U15" i="42"/>
  <c r="U16" i="42"/>
  <c r="U17" i="42"/>
  <c r="U18" i="42"/>
  <c r="U19" i="42"/>
  <c r="U20" i="42"/>
  <c r="U21" i="42"/>
  <c r="U22" i="42"/>
  <c r="U23" i="42"/>
  <c r="U24" i="42"/>
  <c r="U25" i="42"/>
  <c r="U26" i="42"/>
  <c r="U27" i="42"/>
  <c r="U28" i="42"/>
  <c r="U29" i="42"/>
  <c r="U30" i="42"/>
  <c r="U31" i="42"/>
  <c r="U32" i="42"/>
  <c r="U33" i="42"/>
  <c r="U34" i="42"/>
  <c r="U35" i="42"/>
  <c r="U36" i="42"/>
  <c r="U37" i="42"/>
  <c r="U38" i="42"/>
  <c r="U39" i="42"/>
  <c r="U40" i="42"/>
  <c r="U41" i="42"/>
  <c r="U42" i="42"/>
  <c r="U43" i="42"/>
  <c r="U44" i="42"/>
  <c r="U45" i="42"/>
  <c r="U46" i="42"/>
  <c r="U47" i="42"/>
  <c r="U48" i="42"/>
  <c r="U49" i="42"/>
  <c r="U50" i="42"/>
  <c r="U51" i="42"/>
  <c r="U52" i="42"/>
  <c r="U53" i="42"/>
  <c r="U54" i="42"/>
  <c r="U55" i="42"/>
  <c r="U56" i="42"/>
  <c r="U57" i="42"/>
  <c r="U58" i="42"/>
  <c r="U59" i="42"/>
  <c r="U60" i="42"/>
  <c r="U61" i="42"/>
  <c r="U62" i="42"/>
  <c r="U63" i="42"/>
  <c r="U64" i="42"/>
  <c r="U65" i="42"/>
  <c r="U66" i="42"/>
  <c r="U67" i="42"/>
  <c r="U68" i="42"/>
  <c r="U69" i="42"/>
  <c r="U70" i="42"/>
  <c r="U71" i="42"/>
  <c r="U72" i="42"/>
  <c r="U73" i="42"/>
  <c r="U74" i="42"/>
  <c r="U75" i="42"/>
  <c r="U76" i="42"/>
  <c r="U77" i="42"/>
  <c r="U78" i="42"/>
  <c r="U79" i="42"/>
  <c r="U80" i="42"/>
  <c r="U81" i="42"/>
  <c r="U82" i="42"/>
  <c r="U83" i="42"/>
  <c r="U84" i="42"/>
  <c r="U85" i="42"/>
  <c r="U86" i="42"/>
  <c r="U87" i="42"/>
  <c r="U88" i="42"/>
  <c r="U89" i="42"/>
  <c r="U90" i="42"/>
  <c r="U91" i="42"/>
  <c r="U92" i="42"/>
  <c r="U93" i="42"/>
  <c r="U94" i="42"/>
  <c r="U95" i="42"/>
  <c r="U96" i="42"/>
  <c r="U97" i="42"/>
  <c r="U98" i="42"/>
  <c r="U99" i="42"/>
  <c r="U100" i="42"/>
  <c r="U101" i="42"/>
  <c r="U102" i="42"/>
  <c r="U103" i="42"/>
  <c r="U104" i="42"/>
  <c r="U105" i="42"/>
  <c r="U106" i="42"/>
  <c r="U107" i="42"/>
  <c r="U108" i="42"/>
  <c r="U109" i="42"/>
  <c r="U110" i="42"/>
  <c r="U111" i="42"/>
  <c r="U112" i="42"/>
  <c r="U113" i="42"/>
  <c r="U114" i="42"/>
  <c r="U115" i="42"/>
  <c r="U116" i="42"/>
  <c r="U117" i="42"/>
  <c r="U118" i="42"/>
  <c r="U119" i="42"/>
  <c r="U120" i="42"/>
  <c r="U121" i="42"/>
  <c r="U122" i="42"/>
  <c r="U2" i="42"/>
  <c r="U62" i="41" l="1"/>
  <c r="U63" i="41"/>
  <c r="G41" i="41"/>
  <c r="F41" i="41"/>
  <c r="U61" i="41"/>
  <c r="U60" i="41"/>
  <c r="U59" i="41"/>
  <c r="U58" i="41"/>
  <c r="U57" i="41"/>
  <c r="U56" i="41" l="1"/>
  <c r="U55" i="41"/>
  <c r="U3" i="41"/>
  <c r="U4" i="41"/>
  <c r="U5" i="41"/>
  <c r="U6" i="41"/>
  <c r="U7" i="41"/>
  <c r="U8" i="41"/>
  <c r="U9" i="41"/>
  <c r="U10" i="41"/>
  <c r="U11" i="41"/>
  <c r="U12" i="41"/>
  <c r="U13" i="41"/>
  <c r="U15" i="41"/>
  <c r="U16" i="41"/>
  <c r="U17" i="41"/>
  <c r="U18" i="41"/>
  <c r="U19" i="41"/>
  <c r="U20" i="41"/>
  <c r="U21" i="41"/>
  <c r="U22" i="41"/>
  <c r="U23" i="41"/>
  <c r="U24" i="41"/>
  <c r="U25" i="41"/>
  <c r="U26" i="41"/>
  <c r="U27" i="41"/>
  <c r="U28" i="41"/>
  <c r="U29" i="41"/>
  <c r="U30" i="41"/>
  <c r="U31" i="41"/>
  <c r="U32" i="41"/>
  <c r="U33" i="41"/>
  <c r="U34" i="41"/>
  <c r="U35" i="41"/>
  <c r="U36" i="41"/>
  <c r="U37" i="41"/>
  <c r="U38" i="41"/>
  <c r="U39" i="41"/>
  <c r="U40" i="41"/>
  <c r="U41" i="41"/>
  <c r="U42" i="41"/>
  <c r="U43" i="41"/>
  <c r="U44" i="41"/>
  <c r="U45" i="41"/>
  <c r="U46" i="41"/>
  <c r="U47" i="41"/>
  <c r="U48" i="41"/>
  <c r="U49" i="41"/>
  <c r="U50" i="41"/>
  <c r="U51" i="41"/>
  <c r="U52" i="41"/>
  <c r="U53" i="41"/>
  <c r="U54" i="41"/>
  <c r="U2" i="41"/>
  <c r="U74" i="40"/>
  <c r="U73" i="40" l="1"/>
  <c r="U72" i="40" l="1"/>
  <c r="U71" i="40" l="1"/>
  <c r="U70" i="40" l="1"/>
  <c r="U69" i="40" l="1"/>
  <c r="U68" i="40" l="1"/>
  <c r="U67" i="40" l="1"/>
  <c r="U66" i="40"/>
  <c r="U65" i="40"/>
  <c r="U64" i="40"/>
  <c r="U63" i="40"/>
  <c r="U62" i="40"/>
  <c r="U61" i="40"/>
  <c r="U60" i="40"/>
  <c r="U59" i="40"/>
  <c r="U58" i="40"/>
  <c r="U57" i="40"/>
  <c r="U56" i="40"/>
  <c r="U55" i="40"/>
  <c r="U54" i="40"/>
  <c r="U53" i="40"/>
  <c r="U52" i="40"/>
  <c r="U51" i="40"/>
  <c r="U50" i="40"/>
  <c r="U49" i="40"/>
  <c r="U48" i="40"/>
  <c r="U47" i="40"/>
  <c r="U46" i="40"/>
  <c r="U45" i="40"/>
  <c r="U44" i="40"/>
  <c r="U43" i="40"/>
  <c r="U42" i="40"/>
  <c r="U41" i="40"/>
  <c r="U40" i="40"/>
  <c r="U39" i="40"/>
  <c r="U38" i="40"/>
  <c r="U37" i="40"/>
  <c r="U36" i="40"/>
  <c r="U35" i="40"/>
  <c r="U34" i="40"/>
  <c r="U33" i="40"/>
  <c r="U32" i="40"/>
  <c r="U31" i="40"/>
  <c r="U30" i="40"/>
  <c r="U29" i="40"/>
  <c r="U28" i="40"/>
  <c r="U27" i="40"/>
  <c r="U26" i="40"/>
  <c r="U25" i="40"/>
  <c r="U24" i="40"/>
  <c r="U23" i="40"/>
  <c r="U22" i="40"/>
  <c r="U21" i="40"/>
  <c r="U20" i="40"/>
  <c r="U19" i="40"/>
  <c r="U18" i="40"/>
  <c r="U17" i="40"/>
  <c r="U16" i="40"/>
  <c r="U15" i="40"/>
  <c r="U14" i="40"/>
  <c r="U13" i="40"/>
  <c r="U12" i="40"/>
  <c r="U11" i="40"/>
  <c r="U10" i="40"/>
  <c r="U9" i="40"/>
  <c r="U8" i="40"/>
  <c r="U7" i="40"/>
  <c r="U6" i="40"/>
  <c r="U5" i="40"/>
  <c r="U4" i="40"/>
  <c r="U3" i="40"/>
  <c r="U2" i="40"/>
  <c r="F53" i="39"/>
  <c r="G53" i="39"/>
  <c r="U66" i="38" l="1"/>
  <c r="U65" i="38"/>
  <c r="U64" i="38"/>
  <c r="U3" i="38" l="1"/>
  <c r="U4" i="38"/>
  <c r="U5" i="38"/>
  <c r="U6" i="38"/>
  <c r="U7" i="38"/>
  <c r="U8" i="38"/>
  <c r="U9" i="38"/>
  <c r="U10" i="38"/>
  <c r="U11" i="38"/>
  <c r="U12" i="38"/>
  <c r="U13" i="38"/>
  <c r="U14" i="38"/>
  <c r="U15" i="38"/>
  <c r="U16" i="38"/>
  <c r="U17" i="38"/>
  <c r="U18" i="38"/>
  <c r="U19" i="38"/>
  <c r="U20" i="38"/>
  <c r="U21" i="38"/>
  <c r="U22" i="38"/>
  <c r="U23" i="38"/>
  <c r="U24" i="38"/>
  <c r="U25" i="38"/>
  <c r="U26" i="38"/>
  <c r="U27" i="38"/>
  <c r="U28" i="38"/>
  <c r="U29" i="38"/>
  <c r="U30" i="38"/>
  <c r="U31" i="38"/>
  <c r="U32" i="38"/>
  <c r="U33" i="38"/>
  <c r="U34" i="38"/>
  <c r="U35" i="38"/>
  <c r="U36" i="38"/>
  <c r="U37" i="38"/>
  <c r="U38" i="38"/>
  <c r="U39" i="38"/>
  <c r="U40" i="38"/>
  <c r="U41" i="38"/>
  <c r="U42" i="38"/>
  <c r="U43" i="38"/>
  <c r="U44" i="38"/>
  <c r="U45" i="38"/>
  <c r="U46" i="38"/>
  <c r="U47" i="38"/>
  <c r="U48" i="38"/>
  <c r="U49" i="38"/>
  <c r="U50" i="38"/>
  <c r="U51" i="38"/>
  <c r="U52" i="38"/>
  <c r="U53" i="38"/>
  <c r="U54" i="38"/>
  <c r="U55" i="38"/>
  <c r="U56" i="38"/>
  <c r="U57" i="38"/>
  <c r="U58" i="38"/>
  <c r="U59" i="38"/>
  <c r="U60" i="38"/>
  <c r="U61" i="38"/>
  <c r="U62" i="38"/>
  <c r="U63" i="38"/>
  <c r="U2" i="38"/>
  <c r="U64" i="36" l="1"/>
  <c r="U63" i="36"/>
  <c r="G41" i="36" l="1"/>
  <c r="F41" i="36"/>
  <c r="U61" i="36" l="1"/>
  <c r="U62" i="36"/>
  <c r="G56" i="36"/>
  <c r="F56" i="36"/>
  <c r="F21" i="36" l="1"/>
  <c r="U21" i="36" l="1"/>
  <c r="U11" i="36" l="1"/>
  <c r="U60" i="36" l="1"/>
  <c r="U59" i="36"/>
  <c r="U58" i="36"/>
  <c r="U56" i="36" l="1"/>
  <c r="U57" i="36"/>
  <c r="U3" i="36" l="1"/>
  <c r="U4" i="36"/>
  <c r="U5" i="36"/>
  <c r="U6" i="36"/>
  <c r="U7" i="36"/>
  <c r="U8" i="36"/>
  <c r="U9" i="36"/>
  <c r="U10" i="36"/>
  <c r="U12" i="36"/>
  <c r="U13" i="36"/>
  <c r="U14" i="36"/>
  <c r="U15" i="36"/>
  <c r="U16" i="36"/>
  <c r="U17" i="36"/>
  <c r="U18" i="36"/>
  <c r="U19" i="36"/>
  <c r="U20" i="36"/>
  <c r="U22" i="36"/>
  <c r="U23" i="36"/>
  <c r="U24" i="36"/>
  <c r="U25" i="36"/>
  <c r="U26" i="36"/>
  <c r="U27" i="36"/>
  <c r="U28" i="36"/>
  <c r="U29" i="36"/>
  <c r="U30" i="36"/>
  <c r="U31" i="36"/>
  <c r="U32" i="36"/>
  <c r="U33" i="36"/>
  <c r="U34" i="36"/>
  <c r="U35" i="36"/>
  <c r="U36" i="36"/>
  <c r="U37" i="36"/>
  <c r="U38" i="36"/>
  <c r="U39" i="36"/>
  <c r="U40" i="36"/>
  <c r="U41" i="36"/>
  <c r="U42" i="36"/>
  <c r="U43" i="36"/>
  <c r="U44" i="36"/>
  <c r="U45" i="36"/>
  <c r="U46" i="36"/>
  <c r="U47" i="36"/>
  <c r="U48" i="36"/>
  <c r="U49" i="36"/>
  <c r="U50" i="36"/>
  <c r="U51" i="36"/>
  <c r="U52" i="36"/>
  <c r="U53" i="36"/>
  <c r="U54" i="36"/>
  <c r="U55" i="36"/>
  <c r="U2" i="36"/>
  <c r="F27" i="35" l="1"/>
  <c r="U59" i="35"/>
  <c r="U56" i="35"/>
  <c r="U57" i="35"/>
  <c r="U58" i="35"/>
  <c r="F7" i="35" l="1"/>
  <c r="G7" i="35"/>
  <c r="G2" i="35"/>
  <c r="F2" i="35"/>
  <c r="U3" i="35" l="1"/>
  <c r="U4" i="35"/>
  <c r="U5" i="35"/>
  <c r="U6" i="35"/>
  <c r="U7" i="35"/>
  <c r="U8" i="35"/>
  <c r="U9" i="35"/>
  <c r="U10" i="35"/>
  <c r="U11" i="35"/>
  <c r="U12" i="35"/>
  <c r="U13" i="35"/>
  <c r="U14" i="35"/>
  <c r="U15" i="35"/>
  <c r="U16" i="35"/>
  <c r="U17" i="35"/>
  <c r="U18" i="35"/>
  <c r="U19" i="35"/>
  <c r="U20" i="35"/>
  <c r="U21" i="35"/>
  <c r="U22" i="35"/>
  <c r="U23" i="35"/>
  <c r="U24" i="35"/>
  <c r="U25" i="35"/>
  <c r="U26" i="35"/>
  <c r="U27" i="35"/>
  <c r="U28" i="35"/>
  <c r="U29" i="35"/>
  <c r="U30" i="35"/>
  <c r="U31" i="35"/>
  <c r="U32" i="35"/>
  <c r="U33" i="35"/>
  <c r="U34" i="35"/>
  <c r="U35" i="35"/>
  <c r="U36" i="35"/>
  <c r="U37" i="35"/>
  <c r="U38" i="35"/>
  <c r="U39" i="35"/>
  <c r="U40" i="35"/>
  <c r="U41" i="35"/>
  <c r="U42" i="35"/>
  <c r="U43" i="35"/>
  <c r="U44" i="35"/>
  <c r="U45" i="35"/>
  <c r="U46" i="35"/>
  <c r="U47" i="35"/>
  <c r="U48" i="35"/>
  <c r="U49" i="35"/>
  <c r="U50" i="35"/>
  <c r="U51" i="35"/>
  <c r="U52" i="35"/>
  <c r="U53" i="35"/>
  <c r="U54" i="35"/>
  <c r="U55" i="35"/>
  <c r="U2" i="35"/>
  <c r="U3" i="34"/>
  <c r="U4" i="34"/>
  <c r="U5" i="34"/>
  <c r="U6" i="34"/>
  <c r="U7" i="34"/>
  <c r="U8" i="34"/>
  <c r="U9" i="34"/>
  <c r="U10" i="34"/>
  <c r="U11" i="34"/>
  <c r="U12" i="34"/>
  <c r="U13" i="34"/>
  <c r="U14" i="34"/>
  <c r="U15" i="34"/>
  <c r="U16" i="34"/>
  <c r="U17" i="34"/>
  <c r="U18" i="34"/>
  <c r="U19" i="34"/>
  <c r="U20" i="34"/>
  <c r="U21" i="34"/>
  <c r="U22" i="34"/>
  <c r="U23" i="34"/>
  <c r="U24" i="34"/>
  <c r="U25" i="34"/>
  <c r="U26" i="34"/>
  <c r="U27" i="34"/>
  <c r="U28" i="34"/>
  <c r="U29" i="34"/>
  <c r="U30" i="34"/>
  <c r="U31" i="34"/>
  <c r="U32" i="34"/>
  <c r="U33" i="34"/>
  <c r="U34" i="34"/>
  <c r="U35" i="34"/>
  <c r="U36" i="34"/>
  <c r="U37" i="34"/>
  <c r="U38" i="34"/>
  <c r="U39" i="34"/>
  <c r="U40" i="34"/>
  <c r="U41" i="34"/>
  <c r="U42" i="34"/>
  <c r="U43" i="34"/>
  <c r="U44" i="34"/>
  <c r="U45" i="34"/>
  <c r="U2" i="34" l="1"/>
  <c r="U68" i="33" l="1"/>
  <c r="U67" i="33"/>
  <c r="U66" i="33"/>
  <c r="U65" i="33"/>
  <c r="U64" i="33"/>
  <c r="U63" i="33"/>
  <c r="U62" i="33"/>
  <c r="U61" i="33"/>
  <c r="U60" i="33"/>
  <c r="U59" i="33"/>
  <c r="U58" i="33"/>
  <c r="U57" i="33"/>
  <c r="U56" i="33"/>
  <c r="U55" i="33"/>
  <c r="U54" i="33"/>
  <c r="U53" i="33"/>
  <c r="U52" i="33"/>
  <c r="U51" i="33"/>
  <c r="U50" i="33"/>
  <c r="U49" i="33"/>
  <c r="U48" i="33"/>
  <c r="U47" i="33"/>
  <c r="U46" i="33"/>
  <c r="U45" i="33"/>
  <c r="U44" i="33"/>
  <c r="U43" i="33"/>
  <c r="U42" i="33"/>
  <c r="U41" i="33"/>
  <c r="U40" i="33"/>
  <c r="U39" i="33"/>
  <c r="U38" i="33"/>
  <c r="U37" i="33"/>
  <c r="U36" i="33"/>
  <c r="U35" i="33"/>
  <c r="U34" i="33"/>
  <c r="U33" i="33"/>
  <c r="U32" i="33"/>
  <c r="U31" i="33"/>
  <c r="U30" i="33"/>
  <c r="U29" i="33"/>
  <c r="U28" i="33"/>
  <c r="U27" i="33"/>
  <c r="U26" i="33"/>
  <c r="U25" i="33"/>
  <c r="U24" i="33"/>
  <c r="U23" i="33"/>
  <c r="U22" i="33"/>
  <c r="U21" i="33"/>
  <c r="U20" i="33"/>
  <c r="U19" i="33"/>
  <c r="U18" i="33"/>
  <c r="U17" i="33"/>
  <c r="U16" i="33"/>
  <c r="U15" i="33"/>
  <c r="U14" i="33"/>
  <c r="U13" i="33"/>
  <c r="U12" i="33"/>
  <c r="U11" i="33"/>
  <c r="U10" i="33"/>
  <c r="U9" i="33"/>
  <c r="U8" i="33"/>
  <c r="U7" i="33"/>
  <c r="U6" i="33"/>
  <c r="U5" i="33"/>
  <c r="U4" i="33"/>
  <c r="U3" i="33"/>
  <c r="U2" i="33"/>
  <c r="U82" i="32"/>
  <c r="U81" i="32" l="1"/>
  <c r="U80" i="32"/>
  <c r="U79" i="32"/>
  <c r="U78" i="32"/>
  <c r="U77" i="32"/>
  <c r="U76" i="32"/>
  <c r="U75" i="32"/>
  <c r="U74" i="32"/>
  <c r="U73" i="32"/>
  <c r="U72" i="32"/>
  <c r="U71" i="32"/>
  <c r="U70" i="32"/>
  <c r="U69" i="32"/>
  <c r="U68" i="32"/>
  <c r="U67" i="32"/>
  <c r="U66" i="32"/>
  <c r="U65" i="32"/>
  <c r="U64" i="32"/>
  <c r="U63" i="32"/>
  <c r="U62" i="32"/>
  <c r="U61" i="32"/>
  <c r="U60" i="32"/>
  <c r="U59" i="32"/>
  <c r="U58" i="32"/>
  <c r="U57" i="32"/>
  <c r="U56" i="32"/>
  <c r="U55" i="32"/>
  <c r="U54" i="32"/>
  <c r="U53" i="32"/>
  <c r="U52" i="32"/>
  <c r="U51" i="32"/>
  <c r="U50" i="32"/>
  <c r="U49" i="32"/>
  <c r="U48" i="32"/>
  <c r="U47" i="32"/>
  <c r="U46" i="32"/>
  <c r="U45" i="32"/>
  <c r="U44" i="32"/>
  <c r="U43" i="32"/>
  <c r="U42" i="32"/>
  <c r="U41" i="32"/>
  <c r="U40" i="32"/>
  <c r="U39" i="32"/>
  <c r="U38" i="32"/>
  <c r="U37" i="32"/>
  <c r="U36" i="32"/>
  <c r="U35" i="32"/>
  <c r="U34" i="32"/>
  <c r="U33" i="32"/>
  <c r="U32" i="32"/>
  <c r="U31" i="32"/>
  <c r="U30" i="32"/>
  <c r="U29" i="32"/>
  <c r="U28" i="32"/>
  <c r="U27" i="32"/>
  <c r="U26" i="32"/>
  <c r="U25" i="32"/>
  <c r="U24" i="32"/>
  <c r="U23" i="32"/>
  <c r="U22" i="32"/>
  <c r="U21" i="32"/>
  <c r="U20" i="32"/>
  <c r="U19" i="32"/>
  <c r="U18" i="32"/>
  <c r="U17" i="32"/>
  <c r="U16" i="32"/>
  <c r="U15" i="32"/>
  <c r="U14" i="32"/>
  <c r="U13" i="32"/>
  <c r="U12" i="32"/>
  <c r="U11" i="32"/>
  <c r="U10" i="32"/>
  <c r="U9" i="32"/>
  <c r="U8" i="32"/>
  <c r="U7" i="32"/>
  <c r="U6" i="32"/>
  <c r="U5" i="32"/>
  <c r="U4" i="32"/>
  <c r="U3" i="32"/>
  <c r="U2" i="32"/>
  <c r="U63" i="31"/>
  <c r="U62" i="31"/>
  <c r="U60" i="31"/>
  <c r="U59" i="31"/>
  <c r="U53" i="31"/>
  <c r="U52" i="31"/>
  <c r="U50" i="31"/>
  <c r="U45" i="31"/>
  <c r="U25" i="31"/>
  <c r="U14" i="31"/>
  <c r="U2" i="31"/>
  <c r="U38" i="30"/>
  <c r="U34" i="30"/>
  <c r="U16" i="30"/>
  <c r="U27" i="30"/>
  <c r="U29" i="30"/>
  <c r="U30" i="30"/>
  <c r="U10" i="30"/>
  <c r="U23" i="30"/>
  <c r="U21" i="30"/>
  <c r="U37" i="30"/>
  <c r="U9" i="30"/>
  <c r="U39" i="30"/>
  <c r="U5" i="30"/>
  <c r="U15" i="30"/>
  <c r="U40" i="30"/>
  <c r="U2" i="30"/>
  <c r="U8" i="30"/>
  <c r="U11" i="30"/>
  <c r="U42" i="30"/>
  <c r="U4" i="30"/>
  <c r="U43" i="30"/>
  <c r="U44" i="30"/>
  <c r="U20" i="30"/>
  <c r="U47" i="30"/>
  <c r="U7" i="30"/>
  <c r="U24" i="30"/>
  <c r="U26" i="30"/>
  <c r="U36" i="30"/>
  <c r="U14" i="30"/>
  <c r="U28" i="30"/>
  <c r="U35" i="30"/>
  <c r="U31" i="30"/>
  <c r="U48" i="30"/>
  <c r="U19" i="30"/>
  <c r="U17" i="30"/>
  <c r="U22" i="30"/>
  <c r="U33" i="30"/>
  <c r="U6" i="30"/>
  <c r="U3" i="30"/>
  <c r="U13" i="30"/>
  <c r="U18" i="30"/>
  <c r="U49" i="30"/>
  <c r="U45" i="30"/>
  <c r="U46" i="30"/>
  <c r="U25" i="30"/>
  <c r="U12" i="30"/>
  <c r="U41" i="30"/>
  <c r="U32" i="30"/>
  <c r="U74" i="29"/>
  <c r="U73" i="29"/>
  <c r="U72" i="29"/>
  <c r="U69" i="29"/>
  <c r="U70" i="29"/>
  <c r="U71" i="29"/>
  <c r="U3" i="29" l="1"/>
  <c r="U4" i="29"/>
  <c r="U5" i="29"/>
  <c r="U6" i="29"/>
  <c r="U7" i="29"/>
  <c r="U8" i="29"/>
  <c r="U9" i="29"/>
  <c r="U10" i="29"/>
  <c r="U11" i="29"/>
  <c r="U12" i="29"/>
  <c r="U13" i="29"/>
  <c r="U14" i="29"/>
  <c r="U15" i="29"/>
  <c r="U16" i="29"/>
  <c r="U17" i="29"/>
  <c r="U18" i="29"/>
  <c r="U19" i="29"/>
  <c r="U20" i="29"/>
  <c r="U21" i="29"/>
  <c r="U22" i="29"/>
  <c r="U23" i="29"/>
  <c r="U24" i="29"/>
  <c r="U25" i="29"/>
  <c r="U26" i="29"/>
  <c r="U27" i="29"/>
  <c r="U28" i="29"/>
  <c r="U29" i="29"/>
  <c r="U30" i="29"/>
  <c r="U31" i="29"/>
  <c r="U32" i="29"/>
  <c r="U33" i="29"/>
  <c r="U34" i="29"/>
  <c r="U35" i="29"/>
  <c r="U36" i="29"/>
  <c r="U37" i="29"/>
  <c r="U38" i="29"/>
  <c r="U39" i="29"/>
  <c r="U40" i="29"/>
  <c r="U41" i="29"/>
  <c r="U42" i="29"/>
  <c r="U43" i="29"/>
  <c r="U44" i="29"/>
  <c r="U45" i="29"/>
  <c r="U46" i="29"/>
  <c r="U47" i="29"/>
  <c r="U48" i="29"/>
  <c r="U49" i="29"/>
  <c r="U50" i="29"/>
  <c r="U51" i="29"/>
  <c r="U52" i="29"/>
  <c r="U53" i="29"/>
  <c r="U54" i="29"/>
  <c r="U55" i="29"/>
  <c r="U56" i="29"/>
  <c r="U57" i="29"/>
  <c r="U58" i="29"/>
  <c r="U59" i="29"/>
  <c r="U60" i="29"/>
  <c r="U61" i="29"/>
  <c r="U62" i="29"/>
  <c r="U63" i="29"/>
  <c r="U64" i="29"/>
  <c r="U65" i="29"/>
  <c r="U66" i="29"/>
  <c r="U67" i="29"/>
  <c r="U68" i="29"/>
  <c r="U2" i="29"/>
  <c r="U68" i="28"/>
  <c r="U67" i="28" l="1"/>
  <c r="U66" i="28"/>
  <c r="U3" i="28" l="1"/>
  <c r="U4" i="28"/>
  <c r="U5" i="28"/>
  <c r="U6" i="28"/>
  <c r="U7" i="28"/>
  <c r="U8" i="28"/>
  <c r="U9" i="28"/>
  <c r="U10" i="28"/>
  <c r="U11" i="28"/>
  <c r="U12" i="28"/>
  <c r="U13" i="28"/>
  <c r="U14" i="28"/>
  <c r="U15" i="28"/>
  <c r="U16" i="28"/>
  <c r="U17" i="28"/>
  <c r="U18" i="28"/>
  <c r="U19" i="28"/>
  <c r="U20" i="28"/>
  <c r="U21" i="28"/>
  <c r="U22" i="28"/>
  <c r="U23" i="28"/>
  <c r="U24" i="28"/>
  <c r="U25" i="28"/>
  <c r="U26" i="28"/>
  <c r="U27" i="28"/>
  <c r="U28" i="28"/>
  <c r="U29" i="28"/>
  <c r="U30" i="28"/>
  <c r="U31" i="28"/>
  <c r="U32" i="28"/>
  <c r="U33" i="28"/>
  <c r="U34" i="28"/>
  <c r="U35" i="28"/>
  <c r="U36" i="28"/>
  <c r="U37" i="28"/>
  <c r="U38" i="28"/>
  <c r="U39" i="28"/>
  <c r="U40" i="28"/>
  <c r="U41" i="28"/>
  <c r="U42" i="28"/>
  <c r="U43" i="28"/>
  <c r="U44" i="28"/>
  <c r="U45" i="28"/>
  <c r="U46" i="28"/>
  <c r="U47" i="28"/>
  <c r="U48" i="28"/>
  <c r="U49" i="28"/>
  <c r="U50" i="28"/>
  <c r="U51" i="28"/>
  <c r="U52" i="28"/>
  <c r="U53" i="28"/>
  <c r="U54" i="28"/>
  <c r="U55" i="28"/>
  <c r="U56" i="28"/>
  <c r="U57" i="28"/>
  <c r="U58" i="28"/>
  <c r="U59" i="28"/>
  <c r="U60" i="28"/>
  <c r="U61" i="28"/>
  <c r="U62" i="28"/>
  <c r="U63" i="28"/>
  <c r="U64" i="28"/>
  <c r="U65" i="28"/>
  <c r="U2" i="28"/>
  <c r="U99" i="27" l="1"/>
  <c r="U98" i="27"/>
  <c r="U97" i="27"/>
  <c r="U96" i="27"/>
  <c r="U95" i="27"/>
  <c r="U94" i="27"/>
  <c r="U93" i="27"/>
  <c r="U92" i="27"/>
  <c r="U91" i="27"/>
  <c r="U90" i="27"/>
  <c r="U89" i="27"/>
  <c r="U88" i="27"/>
  <c r="U87" i="27"/>
  <c r="U86" i="27"/>
  <c r="U85" i="27"/>
  <c r="U84" i="27"/>
  <c r="U83" i="27"/>
  <c r="U82" i="27"/>
  <c r="U81" i="27"/>
  <c r="U80" i="27"/>
  <c r="U79" i="27"/>
  <c r="U78" i="27"/>
  <c r="U77" i="27"/>
  <c r="U76" i="27"/>
  <c r="U75" i="27"/>
  <c r="U74" i="27"/>
  <c r="U73" i="27"/>
  <c r="U72" i="27"/>
  <c r="U71" i="27"/>
  <c r="U70" i="27"/>
  <c r="U69" i="27"/>
  <c r="U68" i="27"/>
  <c r="U67" i="27"/>
  <c r="U66" i="27"/>
  <c r="U65" i="27"/>
  <c r="U64" i="27"/>
  <c r="U63" i="27"/>
  <c r="U62" i="27"/>
  <c r="U61" i="27"/>
  <c r="U60" i="27"/>
  <c r="U59" i="27"/>
  <c r="U58" i="27"/>
  <c r="U57" i="27"/>
  <c r="U56" i="27"/>
  <c r="U55" i="27"/>
  <c r="U54" i="27"/>
  <c r="U53" i="27"/>
  <c r="U52" i="27"/>
  <c r="U51" i="27"/>
  <c r="U50" i="27"/>
  <c r="U49" i="27"/>
  <c r="U48" i="27"/>
  <c r="U47" i="27"/>
  <c r="U46" i="27"/>
  <c r="U45" i="27"/>
  <c r="U44" i="27"/>
  <c r="U43" i="27"/>
  <c r="U42" i="27"/>
  <c r="U41" i="27"/>
  <c r="U40" i="27"/>
  <c r="U39" i="27"/>
  <c r="U38" i="27"/>
  <c r="U37" i="27"/>
  <c r="U36" i="27"/>
  <c r="U35" i="27"/>
  <c r="U34" i="27"/>
  <c r="U33" i="27"/>
  <c r="U32" i="27"/>
  <c r="U31" i="27"/>
  <c r="U30" i="27"/>
  <c r="U29" i="27"/>
  <c r="U28" i="27"/>
  <c r="U27" i="27"/>
  <c r="U26" i="27"/>
  <c r="U25" i="27"/>
  <c r="U24" i="27"/>
  <c r="U23" i="27"/>
  <c r="U22" i="27"/>
  <c r="U21" i="27"/>
  <c r="U20" i="27"/>
  <c r="U19" i="27"/>
  <c r="U18" i="27"/>
  <c r="U17" i="27"/>
  <c r="U16" i="27"/>
  <c r="U15" i="27"/>
  <c r="U14" i="27"/>
  <c r="U13" i="27"/>
  <c r="U12" i="27"/>
  <c r="U11" i="27"/>
  <c r="U10" i="27"/>
  <c r="U9" i="27"/>
  <c r="U8" i="27"/>
  <c r="U7" i="27"/>
  <c r="U6" i="27"/>
  <c r="U5" i="27"/>
  <c r="U4" i="27"/>
  <c r="U3" i="27"/>
  <c r="U2" i="27"/>
  <c r="U67" i="26"/>
  <c r="U68" i="26"/>
  <c r="U69" i="26"/>
  <c r="U70" i="26"/>
  <c r="U71" i="26"/>
  <c r="U72" i="26"/>
  <c r="U73" i="26"/>
  <c r="U74" i="26"/>
  <c r="U75" i="26"/>
  <c r="U11" i="26"/>
  <c r="U8" i="26"/>
  <c r="U22" i="26"/>
  <c r="U20" i="26"/>
  <c r="U34" i="26"/>
  <c r="U38" i="26"/>
  <c r="U37" i="26"/>
  <c r="U66" i="26"/>
  <c r="U65" i="26"/>
  <c r="U64" i="26"/>
  <c r="U2" i="26"/>
  <c r="U33" i="26"/>
  <c r="U32" i="26"/>
  <c r="U19" i="26"/>
  <c r="U18" i="26"/>
  <c r="U7" i="26"/>
  <c r="U31" i="26"/>
  <c r="U30" i="26"/>
  <c r="U45" i="26"/>
  <c r="U40" i="26"/>
  <c r="U61" i="26"/>
  <c r="U44" i="26"/>
  <c r="U43" i="26"/>
  <c r="U42" i="26"/>
  <c r="U29" i="26"/>
  <c r="U27" i="26"/>
  <c r="U6" i="26"/>
  <c r="U3" i="26"/>
  <c r="U12" i="26"/>
  <c r="U26" i="26"/>
  <c r="U17" i="26"/>
  <c r="U23" i="26"/>
  <c r="U25" i="26"/>
  <c r="U16" i="26"/>
  <c r="U10" i="26"/>
  <c r="U9" i="26"/>
  <c r="U5" i="26"/>
  <c r="U4" i="26"/>
  <c r="U56" i="26"/>
  <c r="U63" i="26"/>
  <c r="U62" i="26"/>
  <c r="U54" i="26"/>
  <c r="U53" i="26"/>
  <c r="U15" i="26"/>
  <c r="U35" i="26"/>
  <c r="U60" i="26"/>
  <c r="U59" i="26"/>
  <c r="U50" i="26"/>
  <c r="U49" i="26"/>
  <c r="U41" i="26"/>
  <c r="U36" i="26"/>
  <c r="U58" i="26"/>
  <c r="U57" i="26"/>
  <c r="U52" i="26"/>
  <c r="U51" i="26"/>
  <c r="U46" i="26"/>
  <c r="U28" i="26"/>
  <c r="U14" i="26"/>
  <c r="U13" i="26"/>
  <c r="U39" i="26"/>
  <c r="U55" i="26"/>
  <c r="U48" i="26"/>
  <c r="U47" i="26"/>
  <c r="U24" i="26"/>
  <c r="U21" i="26"/>
  <c r="U77" i="25"/>
  <c r="U76" i="25"/>
  <c r="U75" i="25"/>
  <c r="U74" i="25"/>
  <c r="U73" i="25"/>
  <c r="U72" i="25"/>
  <c r="U71" i="25"/>
  <c r="U70" i="25"/>
  <c r="U69" i="25"/>
  <c r="U68" i="25"/>
  <c r="U67" i="25"/>
  <c r="U66" i="25"/>
  <c r="U65" i="25"/>
  <c r="U64" i="25"/>
  <c r="U63" i="25"/>
  <c r="U62" i="25"/>
  <c r="U61" i="25"/>
  <c r="U60" i="25"/>
  <c r="U59" i="25"/>
  <c r="U58" i="25"/>
  <c r="U57" i="25"/>
  <c r="U56" i="25"/>
  <c r="U55" i="25"/>
  <c r="U54" i="25"/>
  <c r="U53" i="25"/>
  <c r="U52" i="25"/>
  <c r="U51" i="25"/>
  <c r="U50" i="25"/>
  <c r="U49" i="25"/>
  <c r="U48" i="25"/>
  <c r="U47" i="25"/>
  <c r="U46" i="25"/>
  <c r="U45" i="25"/>
  <c r="U44" i="25"/>
  <c r="U43" i="25"/>
  <c r="U42" i="25"/>
  <c r="U41" i="25"/>
  <c r="U40" i="25"/>
  <c r="U39" i="25"/>
  <c r="U38" i="25"/>
  <c r="U37" i="25"/>
  <c r="U36" i="25"/>
  <c r="U35" i="25"/>
  <c r="U34" i="25"/>
  <c r="U33" i="25"/>
  <c r="U32" i="25"/>
  <c r="U31" i="25"/>
  <c r="U30" i="25"/>
  <c r="U29" i="25"/>
  <c r="U28" i="25"/>
  <c r="U27" i="25"/>
  <c r="U26" i="25"/>
  <c r="U25" i="25"/>
  <c r="U24" i="25"/>
  <c r="U23" i="25"/>
  <c r="U22" i="25"/>
  <c r="U21" i="25"/>
  <c r="U20" i="25"/>
  <c r="U19" i="25"/>
  <c r="U18" i="25"/>
  <c r="U17" i="25"/>
  <c r="U16" i="25"/>
  <c r="U15" i="25"/>
  <c r="U14" i="25"/>
  <c r="U13" i="25"/>
  <c r="U12" i="25"/>
  <c r="U11" i="25"/>
  <c r="U10" i="25"/>
  <c r="U9" i="25"/>
  <c r="U8" i="25"/>
  <c r="U7" i="25"/>
  <c r="U6" i="25"/>
  <c r="U5" i="25"/>
  <c r="U4" i="25"/>
  <c r="U3" i="25"/>
  <c r="U2" i="25"/>
  <c r="U104" i="23" l="1"/>
  <c r="U103" i="23"/>
  <c r="U102" i="23"/>
  <c r="U101" i="23"/>
  <c r="U100" i="23"/>
  <c r="U99" i="23"/>
  <c r="U98" i="23"/>
  <c r="U97" i="23"/>
  <c r="U96" i="23"/>
  <c r="U95" i="23"/>
  <c r="U94" i="23"/>
  <c r="U93" i="23"/>
  <c r="U92" i="23"/>
  <c r="U91" i="23"/>
  <c r="R91" i="23"/>
  <c r="U90" i="23"/>
  <c r="R90" i="23"/>
  <c r="U89" i="23"/>
  <c r="R89" i="23"/>
  <c r="U88" i="23"/>
  <c r="R88" i="23"/>
  <c r="U87" i="23"/>
  <c r="U86" i="23"/>
  <c r="U85" i="23"/>
  <c r="U84" i="23"/>
  <c r="U83" i="23"/>
  <c r="R83" i="23"/>
  <c r="U82" i="23"/>
  <c r="U81" i="23"/>
  <c r="U80" i="23"/>
  <c r="U79" i="23"/>
  <c r="U78" i="23"/>
  <c r="U77" i="23"/>
  <c r="U76" i="23"/>
  <c r="R76" i="23"/>
  <c r="U75" i="23"/>
  <c r="R75" i="23"/>
  <c r="U74" i="23"/>
  <c r="U73" i="23"/>
  <c r="U72" i="23"/>
  <c r="U71" i="23"/>
  <c r="U70" i="23"/>
  <c r="U69" i="23"/>
  <c r="R69" i="23"/>
  <c r="U68" i="23"/>
  <c r="R68" i="23"/>
  <c r="U67" i="23"/>
  <c r="R67" i="23"/>
  <c r="U66" i="23"/>
  <c r="R66" i="23"/>
  <c r="U65" i="23"/>
  <c r="R65" i="23"/>
  <c r="U64" i="23"/>
  <c r="R64" i="23"/>
  <c r="U63" i="23"/>
  <c r="R63" i="23"/>
  <c r="U62" i="23"/>
  <c r="R62" i="23"/>
  <c r="U61" i="23"/>
  <c r="R61" i="23"/>
  <c r="U60" i="23"/>
  <c r="R60" i="23"/>
  <c r="U59" i="23"/>
  <c r="R59" i="23"/>
  <c r="U58" i="23"/>
  <c r="R58" i="23"/>
  <c r="U57" i="23"/>
  <c r="U56" i="23"/>
  <c r="U55" i="23"/>
  <c r="U54" i="23"/>
  <c r="R54" i="23"/>
  <c r="U53" i="23"/>
  <c r="R53" i="23"/>
  <c r="U52" i="23"/>
  <c r="U51" i="23"/>
  <c r="U50" i="23"/>
  <c r="U49" i="23"/>
  <c r="U48" i="23"/>
  <c r="U47" i="23"/>
  <c r="U46" i="23"/>
  <c r="U45" i="23"/>
  <c r="U44" i="23"/>
  <c r="U43" i="23"/>
  <c r="U42" i="23"/>
  <c r="R42" i="23"/>
  <c r="U41" i="23"/>
  <c r="R41" i="23"/>
  <c r="U40" i="23"/>
  <c r="U39" i="23"/>
  <c r="U38" i="23"/>
  <c r="U37" i="23"/>
  <c r="U36" i="23"/>
  <c r="U35" i="23"/>
  <c r="U34" i="23"/>
  <c r="U33" i="23"/>
  <c r="U32" i="23"/>
  <c r="U31" i="23"/>
  <c r="R31" i="23"/>
  <c r="U30" i="23"/>
  <c r="R30" i="23"/>
  <c r="U29" i="23"/>
  <c r="R29" i="23"/>
  <c r="U28" i="23"/>
  <c r="R28" i="23"/>
  <c r="U27" i="23"/>
  <c r="R27" i="23"/>
  <c r="U26" i="23"/>
  <c r="R26" i="23"/>
  <c r="U25" i="23"/>
  <c r="U24" i="23"/>
  <c r="U23" i="23"/>
  <c r="U22" i="23"/>
  <c r="U21" i="23"/>
  <c r="U20" i="23"/>
  <c r="U19" i="23"/>
  <c r="U18" i="23"/>
  <c r="U17" i="23"/>
  <c r="U16" i="23"/>
  <c r="U15" i="23"/>
  <c r="U14" i="23"/>
  <c r="U13" i="23"/>
  <c r="R13" i="23"/>
  <c r="U12" i="23"/>
  <c r="U11" i="23"/>
  <c r="U10" i="23"/>
  <c r="R10" i="23"/>
  <c r="U9" i="23"/>
  <c r="U8" i="23"/>
  <c r="U7" i="23"/>
  <c r="U6" i="23"/>
  <c r="U5" i="23"/>
  <c r="U4" i="23"/>
  <c r="U3" i="23"/>
  <c r="U2" i="23"/>
  <c r="R2" i="23"/>
  <c r="G39" i="22" l="1"/>
  <c r="F39" i="22"/>
  <c r="G18" i="15" l="1"/>
  <c r="F18" i="15"/>
  <c r="G31" i="15"/>
  <c r="F31" i="15"/>
  <c r="U79" i="13" l="1"/>
  <c r="U78" i="13" l="1"/>
  <c r="U77" i="13" l="1"/>
  <c r="U76" i="13" l="1"/>
  <c r="U3" i="13" l="1"/>
  <c r="U4" i="13"/>
  <c r="U5" i="13"/>
  <c r="U6" i="13"/>
  <c r="U7" i="13"/>
  <c r="U8" i="13"/>
  <c r="U9" i="13"/>
  <c r="U10" i="13"/>
  <c r="U11" i="13"/>
  <c r="U12" i="13"/>
  <c r="U13" i="13"/>
  <c r="U14" i="13"/>
  <c r="U15" i="13"/>
  <c r="U16" i="13"/>
  <c r="U17" i="13"/>
  <c r="U18" i="13"/>
  <c r="U19" i="13"/>
  <c r="U20" i="13"/>
  <c r="U21" i="13"/>
  <c r="U22" i="13"/>
  <c r="U23" i="13"/>
  <c r="U24" i="13"/>
  <c r="U25" i="13"/>
  <c r="U26" i="13"/>
  <c r="U27" i="13"/>
  <c r="U28" i="13"/>
  <c r="U29" i="13"/>
  <c r="U30" i="13"/>
  <c r="U31" i="13"/>
  <c r="U32" i="13"/>
  <c r="U33" i="13"/>
  <c r="U34" i="13"/>
  <c r="U35" i="13"/>
  <c r="U36" i="13"/>
  <c r="U37" i="13"/>
  <c r="U38" i="13"/>
  <c r="U39" i="13"/>
  <c r="U40" i="13"/>
  <c r="U41" i="13"/>
  <c r="U42" i="13"/>
  <c r="U43" i="13"/>
  <c r="U44" i="13"/>
  <c r="U45" i="13"/>
  <c r="U46" i="13"/>
  <c r="U47" i="13"/>
  <c r="U48" i="13"/>
  <c r="U49" i="13"/>
  <c r="U50" i="13"/>
  <c r="U51" i="13"/>
  <c r="U52" i="13"/>
  <c r="U53" i="13"/>
  <c r="U54" i="13"/>
  <c r="U55" i="13"/>
  <c r="U56" i="13"/>
  <c r="U57" i="13"/>
  <c r="U58" i="13"/>
  <c r="U59" i="13"/>
  <c r="U60" i="13"/>
  <c r="U61" i="13"/>
  <c r="U62" i="13"/>
  <c r="U63" i="13"/>
  <c r="U64" i="13"/>
  <c r="U65" i="13"/>
  <c r="U66" i="13"/>
  <c r="U67" i="13"/>
  <c r="U68" i="13"/>
  <c r="U69" i="13"/>
  <c r="U70" i="13"/>
  <c r="U71" i="13"/>
  <c r="U72" i="13"/>
  <c r="U73" i="13"/>
  <c r="U74" i="13"/>
  <c r="U75" i="13"/>
  <c r="U2" i="13"/>
  <c r="G116" i="9" l="1"/>
  <c r="F116" i="9"/>
  <c r="U3" i="9"/>
  <c r="U4" i="9"/>
  <c r="U5" i="9"/>
  <c r="U6" i="9"/>
  <c r="U7" i="9"/>
  <c r="U8" i="9"/>
  <c r="U9" i="9"/>
  <c r="U10" i="9"/>
  <c r="U11" i="9"/>
  <c r="U12" i="9"/>
  <c r="U13" i="9"/>
  <c r="U14" i="9"/>
  <c r="U15" i="9"/>
  <c r="U16" i="9"/>
  <c r="U17" i="9"/>
  <c r="U18" i="9"/>
  <c r="U19" i="9"/>
  <c r="U20" i="9"/>
  <c r="U21" i="9"/>
  <c r="U22" i="9"/>
  <c r="U23" i="9"/>
  <c r="U24" i="9"/>
  <c r="U25" i="9"/>
  <c r="U26" i="9"/>
  <c r="U27" i="9"/>
  <c r="U28" i="9"/>
  <c r="U29" i="9"/>
  <c r="U30" i="9"/>
  <c r="U31" i="9"/>
  <c r="U32" i="9"/>
  <c r="U33" i="9"/>
  <c r="U34" i="9"/>
  <c r="U35" i="9"/>
  <c r="U36" i="9"/>
  <c r="U37" i="9"/>
  <c r="U38" i="9"/>
  <c r="U39" i="9"/>
  <c r="U40" i="9"/>
  <c r="U41" i="9"/>
  <c r="U42" i="9"/>
  <c r="U43" i="9"/>
  <c r="U44" i="9"/>
  <c r="U45" i="9"/>
  <c r="U46" i="9"/>
  <c r="U47" i="9"/>
  <c r="U48" i="9"/>
  <c r="U49" i="9"/>
  <c r="U50" i="9"/>
  <c r="U51" i="9"/>
  <c r="U52" i="9"/>
  <c r="U53" i="9"/>
  <c r="U54" i="9"/>
  <c r="U55" i="9"/>
  <c r="U56" i="9"/>
  <c r="U57" i="9"/>
  <c r="U58" i="9"/>
  <c r="U59" i="9"/>
  <c r="U60" i="9"/>
  <c r="U61" i="9"/>
  <c r="U62" i="9"/>
  <c r="U63" i="9"/>
  <c r="U64" i="9"/>
  <c r="U65" i="9"/>
  <c r="U66" i="9"/>
  <c r="U67" i="9"/>
  <c r="U68" i="9"/>
  <c r="U69" i="9"/>
  <c r="U70" i="9"/>
  <c r="U71" i="9"/>
  <c r="U72" i="9"/>
  <c r="U73" i="9"/>
  <c r="U74" i="9"/>
  <c r="U75" i="9"/>
  <c r="U76" i="9"/>
  <c r="U77" i="9"/>
  <c r="U78" i="9"/>
  <c r="U79" i="9"/>
  <c r="U80" i="9"/>
  <c r="U81" i="9"/>
  <c r="U82" i="9"/>
  <c r="U83" i="9"/>
  <c r="U84" i="9"/>
  <c r="U85" i="9"/>
  <c r="U86" i="9"/>
  <c r="U87" i="9"/>
  <c r="U88" i="9"/>
  <c r="U89" i="9"/>
  <c r="U90" i="9"/>
  <c r="U91" i="9"/>
  <c r="U92" i="9"/>
  <c r="U93" i="9"/>
  <c r="U94" i="9"/>
  <c r="U95" i="9"/>
  <c r="U96" i="9"/>
  <c r="U97" i="9"/>
  <c r="U98" i="9"/>
  <c r="U99" i="9"/>
  <c r="U100" i="9"/>
  <c r="U101" i="9"/>
  <c r="U102" i="9"/>
  <c r="U103" i="9"/>
  <c r="U104" i="9"/>
  <c r="U105" i="9"/>
  <c r="U106" i="9"/>
  <c r="U107" i="9"/>
  <c r="U108" i="9"/>
  <c r="U109" i="9"/>
  <c r="U110" i="9"/>
  <c r="U111" i="9"/>
  <c r="U112" i="9"/>
  <c r="U113" i="9"/>
  <c r="U114" i="9"/>
  <c r="U115" i="9"/>
  <c r="U116" i="9"/>
  <c r="U117" i="9"/>
  <c r="U118" i="9"/>
  <c r="U119" i="9"/>
  <c r="U2" i="9"/>
  <c r="U3" i="8" l="1"/>
  <c r="U4" i="8"/>
  <c r="U5" i="8"/>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1" i="8"/>
  <c r="U42" i="8"/>
  <c r="U43" i="8"/>
  <c r="U44" i="8"/>
  <c r="U45" i="8"/>
  <c r="U46" i="8"/>
  <c r="U47" i="8"/>
  <c r="U48" i="8"/>
  <c r="U49" i="8"/>
  <c r="U50" i="8"/>
  <c r="U51" i="8"/>
  <c r="U52" i="8"/>
  <c r="U53" i="8"/>
  <c r="U54" i="8"/>
  <c r="U55" i="8"/>
  <c r="U56" i="8"/>
  <c r="U57" i="8"/>
  <c r="U58" i="8"/>
  <c r="U59" i="8"/>
  <c r="U60" i="8"/>
  <c r="U61" i="8"/>
  <c r="U62" i="8"/>
  <c r="U63" i="8"/>
  <c r="U64" i="8"/>
  <c r="U65" i="8"/>
  <c r="U66" i="8"/>
  <c r="U67" i="8"/>
  <c r="U69"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U99" i="8"/>
  <c r="U100" i="8"/>
  <c r="U101" i="8"/>
  <c r="U102" i="8"/>
  <c r="U103" i="8"/>
  <c r="U104" i="8"/>
  <c r="U105" i="8"/>
  <c r="U106" i="8"/>
  <c r="U107" i="8"/>
  <c r="U108" i="8"/>
  <c r="U109" i="8"/>
  <c r="U110" i="8"/>
  <c r="U111" i="8"/>
  <c r="U112" i="8"/>
  <c r="U113" i="8"/>
  <c r="U2" i="8"/>
  <c r="U3"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2" i="7"/>
  <c r="U71" i="5" l="1"/>
  <c r="U91" i="5"/>
  <c r="U52" i="5"/>
  <c r="U78" i="5"/>
  <c r="U88" i="5"/>
  <c r="U89" i="5"/>
  <c r="U108" i="5"/>
  <c r="U81" i="5"/>
  <c r="U57" i="5"/>
  <c r="U63" i="5"/>
  <c r="U64" i="5"/>
  <c r="U73" i="5"/>
  <c r="U106" i="5"/>
  <c r="U67" i="5"/>
  <c r="U21" i="5"/>
  <c r="U22" i="5"/>
  <c r="U23" i="5"/>
  <c r="U25" i="5"/>
  <c r="U26" i="5"/>
  <c r="U28" i="5"/>
  <c r="U29" i="5"/>
  <c r="U51" i="5"/>
  <c r="U65" i="5"/>
  <c r="U68" i="5"/>
  <c r="U69" i="5"/>
  <c r="U72" i="5"/>
  <c r="U85" i="5"/>
  <c r="U93" i="5"/>
  <c r="U95" i="5"/>
  <c r="U96" i="5"/>
  <c r="U98" i="5"/>
  <c r="U101" i="5"/>
  <c r="U102" i="5"/>
  <c r="U103" i="5"/>
  <c r="U104" i="5"/>
  <c r="U105" i="5"/>
  <c r="U107" i="5"/>
  <c r="U60" i="5"/>
  <c r="U58" i="5"/>
  <c r="U14" i="5"/>
  <c r="U34" i="5"/>
  <c r="U35" i="5"/>
  <c r="U36" i="5"/>
  <c r="U43" i="5"/>
  <c r="U97" i="5"/>
  <c r="U2" i="5"/>
  <c r="U3" i="5"/>
  <c r="U4" i="5"/>
  <c r="U5" i="5"/>
  <c r="U6" i="5"/>
  <c r="U7" i="5"/>
  <c r="U8" i="5"/>
  <c r="U9" i="5"/>
  <c r="U10" i="5"/>
  <c r="U11" i="5"/>
  <c r="U12" i="5"/>
  <c r="U13" i="5"/>
  <c r="U15" i="5"/>
  <c r="U16" i="5"/>
  <c r="U17" i="5"/>
  <c r="U18" i="5"/>
  <c r="U19" i="5"/>
  <c r="U20" i="5"/>
  <c r="U27" i="5"/>
  <c r="U30" i="5"/>
  <c r="U32" i="5"/>
  <c r="U33" i="5"/>
  <c r="U37" i="5"/>
  <c r="U38" i="5"/>
  <c r="U39" i="5"/>
  <c r="U40" i="5"/>
  <c r="U41" i="5"/>
  <c r="U42" i="5"/>
  <c r="U44" i="5"/>
  <c r="U45" i="5"/>
  <c r="U46" i="5"/>
  <c r="U47" i="5"/>
  <c r="U48" i="5"/>
  <c r="U49" i="5"/>
  <c r="U53" i="5"/>
  <c r="U50" i="5"/>
  <c r="U74" i="5"/>
  <c r="U75" i="5"/>
  <c r="U76" i="5"/>
  <c r="U77" i="5"/>
  <c r="U99" i="5"/>
  <c r="U100" i="5"/>
  <c r="U54" i="5"/>
  <c r="U79" i="5"/>
  <c r="U61" i="5"/>
  <c r="U82" i="5"/>
  <c r="U80" i="5"/>
  <c r="U31" i="5"/>
  <c r="U94" i="5"/>
  <c r="U83" i="5"/>
  <c r="U56" i="5"/>
  <c r="U55" i="5"/>
  <c r="U70" i="5"/>
  <c r="U92" i="5"/>
  <c r="G62" i="5"/>
  <c r="U62" i="5" s="1"/>
  <c r="F62" i="5"/>
  <c r="G66" i="5"/>
  <c r="U66" i="5" s="1"/>
  <c r="F66" i="5"/>
  <c r="G24" i="5" l="1"/>
  <c r="U24" i="5" s="1"/>
  <c r="F24" i="5"/>
  <c r="F40" i="3"/>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alcChain>
</file>

<file path=xl/sharedStrings.xml><?xml version="1.0" encoding="utf-8"?>
<sst xmlns="http://schemas.openxmlformats.org/spreadsheetml/2006/main" count="71144" uniqueCount="3730">
  <si>
    <t>SR</t>
  </si>
  <si>
    <t>Channels</t>
  </si>
  <si>
    <t>CampaignName</t>
  </si>
  <si>
    <t>Camp code</t>
  </si>
  <si>
    <t>Leads Required</t>
  </si>
  <si>
    <t>DailyPreQAAudit</t>
  </si>
  <si>
    <t>Qualified</t>
  </si>
  <si>
    <t>Auditor</t>
  </si>
  <si>
    <t>2nd Level Auditor</t>
  </si>
  <si>
    <t>Status</t>
  </si>
  <si>
    <t>L1 Published time</t>
  </si>
  <si>
    <t>L2 Published time</t>
  </si>
  <si>
    <t>FTE</t>
  </si>
  <si>
    <t>Remarks</t>
  </si>
  <si>
    <t>Source</t>
  </si>
  <si>
    <t>Database status</t>
  </si>
  <si>
    <t>Published by</t>
  </si>
  <si>
    <t>Campaign Level</t>
  </si>
  <si>
    <t>Allocation Sender</t>
  </si>
  <si>
    <t>Client</t>
  </si>
  <si>
    <t>Required Number Met or not (True / False)</t>
  </si>
  <si>
    <t>Comments</t>
  </si>
  <si>
    <t>End Client</t>
  </si>
  <si>
    <t>IN</t>
  </si>
  <si>
    <t>BOX</t>
  </si>
  <si>
    <t>AUD</t>
  </si>
  <si>
    <t>Net</t>
  </si>
  <si>
    <t>Adobe_CIOCMO_FY26Q1</t>
  </si>
  <si>
    <t>Crayon-APAC-AUS-NonTAL EMEA/37745903252 EP23</t>
  </si>
  <si>
    <t>Crayon-APAC-NZL-NonTAL EMEA/37745903252 EP23</t>
  </si>
  <si>
    <t>Crayon-APAC-IDN-NonTAL EMEA/37745903252 EP23</t>
  </si>
  <si>
    <t>Crayon-APAC-MYS-NonTAL EMEA/37745903252 EP23</t>
  </si>
  <si>
    <t>Crayon-APAC-PHL-NonTAL EMEA/37745903252 EP23</t>
  </si>
  <si>
    <t>FY261H Automotive</t>
  </si>
  <si>
    <t>Crayon-APAC-SGP-NonTAL EMEA/37745903252 EP23</t>
  </si>
  <si>
    <t>TSIA_Managed Services Benchmarking US_FY25Q3</t>
  </si>
  <si>
    <t>TSIA_Tech Services Benchmarking US_FY25Q3</t>
  </si>
  <si>
    <t>TSIA_Professional Services Benchmarking US_FY25Q3</t>
  </si>
  <si>
    <t>TSIA_Customer Success Benchmark_FY25Q3</t>
  </si>
  <si>
    <t>Adobe_Power SOL_IT_FY26Q1</t>
  </si>
  <si>
    <t>iProspect_Salesforce_Global Cloud Agenforce1000 BDM LeadGen_FY25Q4</t>
  </si>
  <si>
    <t>Databricks-AMER-US-AWS-Tal- NAM/30511305274 EP23</t>
  </si>
  <si>
    <t>2025 September - PI Launch</t>
  </si>
  <si>
    <t>iProspect_Salesforce_Global Cloud OpenOpp BDM Lead Gen_FY25Q4</t>
  </si>
  <si>
    <t>Silicon IP FY26 Q1</t>
  </si>
  <si>
    <t>Databricks-USCA-DBX-DE-NAM/30511305274 EP23</t>
  </si>
  <si>
    <t>Auditboard-EMEA-ABM-NAM 37475244185 EP23</t>
  </si>
  <si>
    <t>iProspect_Salesforce_Global Cloud Agenforce1000 ITBuyer LeadGen_FY25Q4</t>
  </si>
  <si>
    <t>Salesforce-ProfServe-DT-TAL - UKI - EMEA/32693022814 EP23</t>
  </si>
  <si>
    <t>Reward Gateway | DT | UKI | NonTAL | EMEA/37759647135</t>
  </si>
  <si>
    <t>CY25Q4 | NA | Direct Partners D7632F</t>
  </si>
  <si>
    <t>Reward Gateway | Double touch | UKI EMEA/32016313411</t>
  </si>
  <si>
    <t>iProspect_Salesforce Tableau_Upsell GlobalCloud LeadGen_FY25Q4</t>
  </si>
  <si>
    <t>iProspect_Salesforce_Global Cloud CrossSell ITBuyer Lead Gen_FY25Q4</t>
  </si>
  <si>
    <t>NetHawk_SentinelOne_Q4FY26_AUS_WHITEAPACE_PLATFORM</t>
  </si>
  <si>
    <t>NetHawk_SentinelOne_Q4FY26_AUS_WHITESPACE_ENDPOINT</t>
  </si>
  <si>
    <t>NetHawk_SentinelOne_Q4FY26_AUS_ABM TAL_PLATFORM</t>
  </si>
  <si>
    <t>NetHawk_SentinelOne_Q4FY26_AUS_ABM TAL_ENDPOINT</t>
  </si>
  <si>
    <t>NetHawk_SentinelOne_Q4FY26_AUS_WHITESPACE_CLOUD</t>
  </si>
  <si>
    <t>NetHawk_SentinelOne_Q4FY26_AUS_ABM TAL_CLOUD</t>
  </si>
  <si>
    <t>MAX</t>
  </si>
  <si>
    <t>Database</t>
  </si>
  <si>
    <t>B2</t>
  </si>
  <si>
    <t>B1</t>
  </si>
  <si>
    <t>Aishwarya</t>
  </si>
  <si>
    <t>Amruta</t>
  </si>
  <si>
    <t>Niketan</t>
  </si>
  <si>
    <t>Niyati</t>
  </si>
  <si>
    <t>Sumedha</t>
  </si>
  <si>
    <t>Mahesh</t>
  </si>
  <si>
    <t>Shrikant</t>
  </si>
  <si>
    <t>Srushti</t>
  </si>
  <si>
    <t>Shilpika</t>
  </si>
  <si>
    <t>Aishwarya / Sumedha</t>
  </si>
  <si>
    <t>Niyati / Shilpika</t>
  </si>
  <si>
    <t>Chandrkant / Amruta</t>
  </si>
  <si>
    <t>Niketan / Jaywant</t>
  </si>
  <si>
    <t>Srushti / Shilpika</t>
  </si>
  <si>
    <t>Chandrkant / Niketan</t>
  </si>
  <si>
    <t>Anand / Niyati</t>
  </si>
  <si>
    <t>Anand / Jaywant / Shrikant</t>
  </si>
  <si>
    <t>Amruta / Aishwarya / Sumedha</t>
  </si>
  <si>
    <t>Anand</t>
  </si>
  <si>
    <t>Chandrkant</t>
  </si>
  <si>
    <t>Jaywant</t>
  </si>
  <si>
    <t>Cancel</t>
  </si>
  <si>
    <t>Abhijeet</t>
  </si>
  <si>
    <t>Shweta</t>
  </si>
  <si>
    <t>Manisha</t>
  </si>
  <si>
    <t>Atul A</t>
  </si>
  <si>
    <t>Vishvajit</t>
  </si>
  <si>
    <t>Shahrukh</t>
  </si>
  <si>
    <t>Atul P</t>
  </si>
  <si>
    <t>Pooja</t>
  </si>
  <si>
    <t>Vivek</t>
  </si>
  <si>
    <t>Amit</t>
  </si>
  <si>
    <t>Abhijeet / Atul P</t>
  </si>
  <si>
    <t>Amit / Atul A</t>
  </si>
  <si>
    <t>Amit / Manisha</t>
  </si>
  <si>
    <t>Shweta / Shahrukh</t>
  </si>
  <si>
    <t>Atul P / Pooja</t>
  </si>
  <si>
    <t>Manisha / Pooja</t>
  </si>
  <si>
    <t>Atul A / Amit</t>
  </si>
  <si>
    <t>Vishvajit / Vivek</t>
  </si>
  <si>
    <t>Abhijeet / Pooja / Vishvajit</t>
  </si>
  <si>
    <t>Shahrukh / Vivek / Atul P</t>
  </si>
  <si>
    <t>Pooja / Vishvajit / Shweta</t>
  </si>
  <si>
    <t>Shahrukh / Atul P / Abhijeet</t>
  </si>
  <si>
    <t>Amit / Atul A / Vishvajit / Vivek / Vivek</t>
  </si>
  <si>
    <t>-</t>
  </si>
  <si>
    <t>High Priority</t>
  </si>
  <si>
    <t>Whatever Data is available, please audit</t>
  </si>
  <si>
    <t>Adobe</t>
  </si>
  <si>
    <t>Crayon</t>
  </si>
  <si>
    <t>Synopsys</t>
  </si>
  <si>
    <t>TSIA</t>
  </si>
  <si>
    <t>Salesforce</t>
  </si>
  <si>
    <t>Databricks</t>
  </si>
  <si>
    <t>Cohere Health</t>
  </si>
  <si>
    <t>Auditboard</t>
  </si>
  <si>
    <t>Reward Gateway</t>
  </si>
  <si>
    <t>Red Hat</t>
  </si>
  <si>
    <t>SentinelOne</t>
  </si>
  <si>
    <t>Rajesh</t>
  </si>
  <si>
    <t>Niyati / Niketan</t>
  </si>
  <si>
    <t>Chandrkant / Mahesh / Srushti</t>
  </si>
  <si>
    <t>Shilpika / Shrikant / Srushti</t>
  </si>
  <si>
    <t>Srushti / Shrikant</t>
  </si>
  <si>
    <t>Mahesh / Niketan</t>
  </si>
  <si>
    <t>Jaywant / Anand / Mahesh / Shrikant / Amruta</t>
  </si>
  <si>
    <t>Done</t>
  </si>
  <si>
    <t>Updated</t>
  </si>
  <si>
    <t>ANZ CMO - SMALL</t>
  </si>
  <si>
    <t>ANZ Marketing DM - BIG</t>
  </si>
  <si>
    <t>ANZ Marketing DM - SMALL</t>
  </si>
  <si>
    <t>English</t>
  </si>
  <si>
    <t>Salman</t>
  </si>
  <si>
    <t>Fonoa_AllVerticals_CS+1CQ_FY25Q4_DoubleTouch</t>
  </si>
  <si>
    <t>Fonoa_AllVerticals_CS+1CQ_FY25Q4_DoubleTouch_ValueAdd</t>
  </si>
  <si>
    <t>Fonoa_AllVerticals_CS+1CQ_FY25Q4_SingleTouch</t>
  </si>
  <si>
    <t>Fonoa_AllVerticals_CS+1CQ_FY25Q4_SingleTouch_ValueAdd</t>
  </si>
  <si>
    <t>Prashant</t>
  </si>
  <si>
    <t>Fonoa</t>
  </si>
  <si>
    <t>Techno New</t>
  </si>
  <si>
    <t>FinThrive Revenue Systems, LLC  FinThrive-BrandedDemand-Q4FY25-Finance-Compliance Track  Linked</t>
  </si>
  <si>
    <t>WV Email</t>
  </si>
  <si>
    <t>Datta</t>
  </si>
  <si>
    <t>Finthrive</t>
  </si>
  <si>
    <t>Klaviyo Ltd. Klaviyo FY25 Q4 UKI ABM LGM 6sense ICP in CRM Linked.xlsx</t>
  </si>
  <si>
    <t>Shivkumar</t>
  </si>
  <si>
    <t>Klaviyo</t>
  </si>
  <si>
    <t xml:space="preserve"> 23:14</t>
  </si>
  <si>
    <t>Database Exhausted</t>
  </si>
  <si>
    <t>Prathamesh</t>
  </si>
  <si>
    <t>Saket</t>
  </si>
  <si>
    <t>CY25Q4 | NA | Direct Partners 80608D</t>
  </si>
  <si>
    <t>Komal / Prathamesh</t>
  </si>
  <si>
    <t>Pooja / Saket</t>
  </si>
  <si>
    <t>CY25Q4 | NA | Direct Partners 9C48BA</t>
  </si>
  <si>
    <t>Sejal / Mahima</t>
  </si>
  <si>
    <t>CY25Q4 | NA | Direct Partners AF6C8A</t>
  </si>
  <si>
    <t>Jaywant / Amruta / Shrikant / Chandrakant</t>
  </si>
  <si>
    <t>Vishwajit / Manisha / Vivek / Shrinivas</t>
  </si>
  <si>
    <t>Weam</t>
  </si>
  <si>
    <t>FY26Q1_Global_CDO_na 331AD5</t>
  </si>
  <si>
    <t>High Priority - please publish before 8PM</t>
  </si>
  <si>
    <t>Informatica</t>
  </si>
  <si>
    <t>FY26Q1_Global_PC2C_na 823ACA</t>
  </si>
  <si>
    <t>Shilpika / Niyati / Shikant</t>
  </si>
  <si>
    <t>Amit / Atul A / Vivek</t>
  </si>
  <si>
    <t>DD</t>
  </si>
  <si>
    <t>Smarsh Program Q4'25</t>
  </si>
  <si>
    <t>Srushti / Ashish</t>
  </si>
  <si>
    <t>Abhijeet / Shahrukh</t>
  </si>
  <si>
    <t>Exclued US &amp; UK - ( 105 In Contact Center Program &amp; 105 in AI Segment )</t>
  </si>
  <si>
    <t>Smarsh</t>
  </si>
  <si>
    <t>ANZ creative DM - BIG</t>
  </si>
  <si>
    <t>ANZ creative DM - SMALL</t>
  </si>
  <si>
    <t>WOR_NA_CSY_24Q3_USCA_TAL_DD</t>
  </si>
  <si>
    <t>Vishwajit</t>
  </si>
  <si>
    <t>Worldline</t>
  </si>
  <si>
    <t>MJH Life Sciences|MJH Life Sciences - PT West Pharma - Dec '25 - Jan '26|Linked</t>
  </si>
  <si>
    <t>MJH Life Sciences</t>
  </si>
  <si>
    <t>CY25Q4 | Global | ABM | AppDev | CPL | Foroozan - Linked</t>
  </si>
  <si>
    <t>Abhishek</t>
  </si>
  <si>
    <t>Media Lab Global | FY26_Q4_Integration_Integrate Marketplace_Content Syndication_Composability_ | Linked</t>
  </si>
  <si>
    <t>Niketan / Sameer</t>
  </si>
  <si>
    <t>Amit / Shrinivas</t>
  </si>
  <si>
    <t>Aptean, Inc|Aptean UKI - Ben/Louise WMS FY25Q4 |Linked</t>
  </si>
  <si>
    <t>Aptean</t>
  </si>
  <si>
    <t>MJH Life Sciences|MJH Life Sciences - CA Agilent - Dec '25|Linked</t>
  </si>
  <si>
    <t>Chandrakant / Sameer</t>
  </si>
  <si>
    <t>Shrinivas / Manisha</t>
  </si>
  <si>
    <t>Sejal / Niyati</t>
  </si>
  <si>
    <t>Shweta / Atul A</t>
  </si>
  <si>
    <t>PagerDuty_GrowRevenue CustomerExperience NAM Single Touch_FY26Q3Q4</t>
  </si>
  <si>
    <t>Mahima</t>
  </si>
  <si>
    <t>PagerDuty</t>
  </si>
  <si>
    <t>PagerDuty_GrowRevenue InnovationVelocity NAM Single Touch_FY26Q3Q4</t>
  </si>
  <si>
    <t>PagerDuty_OpExcellence MitigateRisk NAM Single Touch_FY26Q3Q4</t>
  </si>
  <si>
    <t>Ashish</t>
  </si>
  <si>
    <t>PagerDuty_NetNew OpEx MitigateRisk NAM Single Touch_FY26Q4</t>
  </si>
  <si>
    <t>PagerDuty_NetNew OpEx ReduceCost NAM Single Touch_FY26Q4</t>
  </si>
  <si>
    <t>PagerDuty_OpExcellence AI-First NAM Single Touch_FY26Q3Q4</t>
  </si>
  <si>
    <t>Sameer / Niketan</t>
  </si>
  <si>
    <t>PagerDuty_OpExcellence ReduceCost NAM Single Touch_FY26Q3Q4</t>
  </si>
  <si>
    <t>PagerDuty_OpExcellence MitigateRisk EMEA non-UKI Single Touch_FY26Q3Q4</t>
  </si>
  <si>
    <t>PagerDuty_OpExcellence ReduceCost EMEA non-UKI Single Touch_FY26Q3Q4</t>
  </si>
  <si>
    <t>PagerDuty_GrowRevenue CustomerExperience EMEA UKI Single Touch_FY26Q3Q4</t>
  </si>
  <si>
    <t>Shrinivas</t>
  </si>
  <si>
    <t>PagerDuty_GrowRevenue InnovationVelocity EMEA UKI Single Touch_FY26Q3Q4</t>
  </si>
  <si>
    <t>PagerDuty_NetNew GrowRev InnovationVelocity EMEA UKI Single Touch_FY26Q4</t>
  </si>
  <si>
    <t>PagerDuty_NetNew OpEx MitigateRisk EMEA UKI Single Touch_FY26Q4</t>
  </si>
  <si>
    <t>PagerDuty_OpExcellence MitigateRisk EMEA UKI Single Touch_FY26Q3Q4</t>
  </si>
  <si>
    <t>Sameer</t>
  </si>
  <si>
    <t>PagerDuty_OpExcellence ReduceCost EMEA UKI Single Touch_FY26Q3Q4</t>
  </si>
  <si>
    <t>Zscaler_Commercial Two Touch CQ_Incremental_FY26Q1</t>
  </si>
  <si>
    <t>Require leads from each Region</t>
  </si>
  <si>
    <t>Zscaler</t>
  </si>
  <si>
    <t>Zscaler_Enterprise Two Touch CQ_Incremental_FY26Q1</t>
  </si>
  <si>
    <t>Zscaler_Majors Two Touch CQ_Incremental_FY26Q1</t>
  </si>
  <si>
    <t>Apptio_Prospect_Cloud_AMS_Commercial_FY25Q2</t>
  </si>
  <si>
    <t>Chandrakant</t>
  </si>
  <si>
    <t>Apptio</t>
  </si>
  <si>
    <t>Just Global_Databricks_Greenfield EMEA EXEC Incremental 2_FY26Q3</t>
  </si>
  <si>
    <t>File shared by MIS on email + Database</t>
  </si>
  <si>
    <t>MIS+Database</t>
  </si>
  <si>
    <t>Just Global_Databricks_Greenfield EMEA EXEC_FY26Q3</t>
  </si>
  <si>
    <t>Just Global_Databricks_Greenfield EMEA PRAC Incremental_FY26Q3</t>
  </si>
  <si>
    <t>Sumedha / Aishwarya</t>
  </si>
  <si>
    <t>Abhijeet / Saket</t>
  </si>
  <si>
    <t>Just Global_Databricks_Greenfield EMEA PRAC_FY26Q4</t>
  </si>
  <si>
    <t>Prathamesh / Komal</t>
  </si>
  <si>
    <t>Just Global_Databricks_Greenfield USCA EXEC_FY26Q3</t>
  </si>
  <si>
    <t>JUST_Databricks_Amer DBX USCA DE_FY26Q4</t>
  </si>
  <si>
    <t>JUST_Databricks_Amer DBX USCA DS_FY26Q4</t>
  </si>
  <si>
    <t>JUST_Databricks_Amer DBX USCA EXEC_FY26Q4</t>
  </si>
  <si>
    <t>Chandrakant / Amruta</t>
  </si>
  <si>
    <t>File shared by MIS on email</t>
  </si>
  <si>
    <t>RedHat_JustGlobal_RHEL_ASEAN_FY25Q4 - 8764</t>
  </si>
  <si>
    <t>RedHat_JustGlobal_RHEL_INDIA_FY25Q4 - 8764</t>
  </si>
  <si>
    <t>Komal</t>
  </si>
  <si>
    <t>Ascendix_ CRM_ CS_ 2 CQ CRE Brokerages_ FY25Q4</t>
  </si>
  <si>
    <t>Ascendix</t>
  </si>
  <si>
    <t>Ascendix_ CRM_ CS_ 2 CQ Warm Audience_ FY25Q4</t>
  </si>
  <si>
    <t>Aishwarya / Sumedha / Shrikant</t>
  </si>
  <si>
    <t>Abhijeet / Abhijeet / Vivek</t>
  </si>
  <si>
    <t>Abhishek / Komal / Prathamesh / Mahesh</t>
  </si>
  <si>
    <t>Vivek / Pooja / Saket / Atul A</t>
  </si>
  <si>
    <t>Slack_USCA WorkOS HQL+BuyingGroups_FY26Q3</t>
  </si>
  <si>
    <t>Slack</t>
  </si>
  <si>
    <t>Gainsight_ EMEA_AE_CS Leader_ 2 CQ_FY25Q4</t>
  </si>
  <si>
    <t>Gainsight</t>
  </si>
  <si>
    <t>Gainsight_ EMEA_AE_CS Leader_ 2 CQ_FY25Q4_ Incremental</t>
  </si>
  <si>
    <t>Mahesh / Jaywant / Abhishek</t>
  </si>
  <si>
    <t>Vivek / Vishwajit / Pooja</t>
  </si>
  <si>
    <t>Gainsight_ NA_ AE_CS Leader_ 2 CQ_FY25Q4</t>
  </si>
  <si>
    <t>Mahima / Sejal</t>
  </si>
  <si>
    <t>Gainsight_ NA_ AE_CS Leader_ 2 CQ_FY25Q4_ Incremental</t>
  </si>
  <si>
    <t>Ashish / Srushti</t>
  </si>
  <si>
    <t>Shweta / Pooja</t>
  </si>
  <si>
    <t>Gainsight_ NA_ SkillJar_CC Practitioners_ 2 CQ_FY25Q4</t>
  </si>
  <si>
    <t>Amruta / Chandrakant</t>
  </si>
  <si>
    <t>Atul A / Manisha</t>
  </si>
  <si>
    <t>Gainsight_ NA_ SkillJar_CC Practitioners_ 2 CQ_FY25Q4_ Incremental</t>
  </si>
  <si>
    <t>Intentsify_Data Offering Feed_FY26Q1</t>
  </si>
  <si>
    <t>Intentsify</t>
  </si>
  <si>
    <t>Intentsify_Display Advertising Offering Feed_FY26Q1</t>
  </si>
  <si>
    <t>Intentsify_Content Syndication Offering Feed_FY26Q1</t>
  </si>
  <si>
    <t>Sailpoint_BE Compliance 2T 1CQ EMEA_FY25Q4</t>
  </si>
  <si>
    <t>Sailpoint</t>
  </si>
  <si>
    <t>Sailpoint_BE Modernization 2T 1CQ EMEA_FY25Q4</t>
  </si>
  <si>
    <t>Sailpoint_BE Modernization 2T 1CQ APAC_FY25Q4</t>
  </si>
  <si>
    <t>Contentsquare_EMEA North_FY25Q4</t>
  </si>
  <si>
    <t>Sejal</t>
  </si>
  <si>
    <t>Contentsquare</t>
  </si>
  <si>
    <t>Contentsquare_France_FY25Q4</t>
  </si>
  <si>
    <t>PTC_AND_Sandy_EMEA_FY25Q3</t>
  </si>
  <si>
    <t>PTC</t>
  </si>
  <si>
    <t>PTC_HighTech_US_Meghan_EMEA_FY25Q3</t>
  </si>
  <si>
    <t>PTC_HighTech_US_Rabia_EMEA_FY25Q3</t>
  </si>
  <si>
    <t>Sailpoint_BE Mitigate Cyber Risk 2T 1CQ LATAM_FY25Q4</t>
  </si>
  <si>
    <t>Sailpoint_BE Modernization 2T 1CQ US_FY25Q4</t>
  </si>
  <si>
    <t>Sailpoint-BE Compliance 2T 1CQ US_FY25Q4</t>
  </si>
  <si>
    <t>Cancelled</t>
  </si>
  <si>
    <t>Saket / Pooja</t>
  </si>
  <si>
    <t>Dell_US_SB_CSG_EXP_WKSDepth_NVIDIA 2 CQ_FY26Q4</t>
  </si>
  <si>
    <t>Max</t>
  </si>
  <si>
    <t>MIS</t>
  </si>
  <si>
    <t>Dell</t>
  </si>
  <si>
    <t>Met</t>
  </si>
  <si>
    <t>Data Exhausted</t>
  </si>
  <si>
    <t>Blue</t>
  </si>
  <si>
    <t>Samsara_Trucking &amp; Fleet Management Q425 Renewal</t>
  </si>
  <si>
    <t>Manisha / Shrinivas</t>
  </si>
  <si>
    <t>Samsara</t>
  </si>
  <si>
    <t>Abhishek / Shrikant</t>
  </si>
  <si>
    <t>Vivek / Vishvajit</t>
  </si>
  <si>
    <t>High Priority - please publish before 6PM</t>
  </si>
  <si>
    <t>Srushti / Ashish / Niketan</t>
  </si>
  <si>
    <t>Shweta / Shahrukh / Manisha</t>
  </si>
  <si>
    <t>CGM_CyberArk_Securing Devs Global Double Touch Cross-Sell Incremental_FY25Q4</t>
  </si>
  <si>
    <t>Mahesh / Jaywant</t>
  </si>
  <si>
    <t>Audit ENT: Netherlands, Sweden &amp; Territory: Mexico</t>
  </si>
  <si>
    <t>CyberArk</t>
  </si>
  <si>
    <t>Srushti / Ashish / Niyati / Shilpika / Anand</t>
  </si>
  <si>
    <t>Shweta / Shahrukh / Amit / Atul A / Abhijeet</t>
  </si>
  <si>
    <t>HPE_RealmB2B_DE AI_FY26Q1</t>
  </si>
  <si>
    <t>Ashish / sejal</t>
  </si>
  <si>
    <t>Audit leads as per segment Pacing in specs bible</t>
  </si>
  <si>
    <t>HPE</t>
  </si>
  <si>
    <t>HPE_RealmB2B_DE Hybrid Cloud_FY26Q1</t>
  </si>
  <si>
    <t>HPE_RealmB2B_DE Networking_FY26Q1</t>
  </si>
  <si>
    <t xml:space="preserve">Sameer  / Sejal </t>
  </si>
  <si>
    <t>Pooja / Shahrukh</t>
  </si>
  <si>
    <t>HPE_RealmB2B_FR AI_FY26Q1</t>
  </si>
  <si>
    <t>HPE_RealmB2B_FR Hybrid Cloud_FY26Q1</t>
  </si>
  <si>
    <t>HPE_RealmB2B_India AI_FY26Q1</t>
  </si>
  <si>
    <t>HPE_RealmB2B_India Hybrid Cloud_FY26Q1</t>
  </si>
  <si>
    <t>Aishwariya / Sumedha</t>
  </si>
  <si>
    <t>Srushti / Ashish / Mahesh</t>
  </si>
  <si>
    <t>Shahrukh / Shweta / Vishvajit</t>
  </si>
  <si>
    <t>Genesys_EMEA_France_CX_FY26Q4_Incremental</t>
  </si>
  <si>
    <t>Aishwariya / Sumedha / Abhishek / Sejal</t>
  </si>
  <si>
    <t>Abhijeet / Atul A / Vivek / Shweta</t>
  </si>
  <si>
    <t>Genesys</t>
  </si>
  <si>
    <t>Prathamesh / Komal / Mahesh</t>
  </si>
  <si>
    <t>Saket / Pooja / Vishvajit</t>
  </si>
  <si>
    <t>Audit in US &amp; UK - ( 105 In Contact Center Program &amp; 105 in AI Segment )</t>
  </si>
  <si>
    <t>ANZ CMO - BIG</t>
  </si>
  <si>
    <t>Sejal / Srushti</t>
  </si>
  <si>
    <t>MFG_Google_GCP CorpMME _FY25Q4</t>
  </si>
  <si>
    <t>Mahesh / Jaywant / Abhishek / Shrikant</t>
  </si>
  <si>
    <t>Vivek / Vishvajit / Atul A / Pooja</t>
  </si>
  <si>
    <t>Google</t>
  </si>
  <si>
    <t>MFG_Google_GCP ENTGreenfield _FY25Q4</t>
  </si>
  <si>
    <t>Saket / Abhijeet</t>
  </si>
  <si>
    <t>MFG_Google_GCP StartupExisting _FY25Q4</t>
  </si>
  <si>
    <t>Intelligent Demand_Red Canary Integrated COM January_FY26Q1</t>
  </si>
  <si>
    <t>Anand / Niyati / Shilpika</t>
  </si>
  <si>
    <t>Amit / Atul A / Abhijeet</t>
  </si>
  <si>
    <t>Red Canary</t>
  </si>
  <si>
    <t>Intelligent Demand_Red Canary Integrated MM January_FY26Q1</t>
  </si>
  <si>
    <t>Chandrakant  / Amruta  / Niketan</t>
  </si>
  <si>
    <t>Manisha / Shrinivas / Shahrukh</t>
  </si>
  <si>
    <t>Intelligent Demand_Red Canary Integrated ENT January_FY26Q1</t>
  </si>
  <si>
    <t>Manisha / Shahrukh / Shrinivas</t>
  </si>
  <si>
    <t>Slack | AMER_US_USA_SLK_FY26_Q3_Pipeline360_X_CONC_CXIND_NA_CS_all-STRATEGIC-Agentforce--SlackL1-AgentforceOppties_X_PKG | Linked 89E275</t>
  </si>
  <si>
    <t>Splunk, Inc. | Splunk_FY26Q2_FMM-AMER_AMCA-CA_SEC-LCES_1-Touch_PIP_CS | Linked</t>
  </si>
  <si>
    <t>Splunk</t>
  </si>
  <si>
    <t>Palo Alto Networks | integrate-ngfw-sw_firewall-amer-multi-lead_gen-en- | Linked</t>
  </si>
  <si>
    <t>Palo Alto</t>
  </si>
  <si>
    <t>MJH Life Sciences|MJH Life Sciences - PE MHICC - Dec '25 - Jan '26|Linked</t>
  </si>
  <si>
    <t>Splunk, Inc. | Splunk_FY26Q2_FMM-AMER_ENT-CMT-MULTI_SEC-EIS_1-Touch_PIP_CS | Linked</t>
  </si>
  <si>
    <t>Palo Alto Networks | integrate-sase-shw-emea-fr-lead_gen-fr- | Linked</t>
  </si>
  <si>
    <t>Dell_US_SB_ISG_EXP_PANSERVER_Intel 3 CQ_FY26Q4</t>
  </si>
  <si>
    <t>Atul A / Amit / Atul A</t>
  </si>
  <si>
    <t>Dell_CA_ENT_CSG_ACQ_DTA_Intel_FY26Q4</t>
  </si>
  <si>
    <t>File Shared on Email</t>
  </si>
  <si>
    <t>Nutanix Webinar - Felicia -  IT Modernisation - Webinar - Jan 2025</t>
  </si>
  <si>
    <t>Prathamesh / Komal / Anand</t>
  </si>
  <si>
    <t>Saket / Pooja / Amit</t>
  </si>
  <si>
    <t>Nutanix</t>
  </si>
  <si>
    <t>PaloAlto_JG_SG&amp;ID_FY25Q4</t>
  </si>
  <si>
    <t>Aishwariya</t>
  </si>
  <si>
    <t>Simplify Compliance|Simplify Compliance LLC - Optum Webinar - TC3604 - Dec '25 - Jan '26|Linked</t>
  </si>
  <si>
    <t>Komal / Ashish</t>
  </si>
  <si>
    <t>Simplify Complianc</t>
  </si>
  <si>
    <t>Sameer / Amruta</t>
  </si>
  <si>
    <t>Cloudflare, Inc. | 2025_Q3_EMEA_Integrate_Connectivity Cloud_Platforms_DE_Double Touch | Linked</t>
  </si>
  <si>
    <t>Sohail</t>
  </si>
  <si>
    <t>File shared my MIS</t>
  </si>
  <si>
    <t>Praful</t>
  </si>
  <si>
    <t>Mahima / Srushti / Ashish / Anand / Shilpika / Niyati</t>
  </si>
  <si>
    <t>Shweta / Shahrukh / Vivek / Atul A / Amit / Vishvajit</t>
  </si>
  <si>
    <t>Shrikant / Komal</t>
  </si>
  <si>
    <t>Vivek / Saket</t>
  </si>
  <si>
    <t>Aledade_Pilot_CQs_FY25Q2-Q1</t>
  </si>
  <si>
    <t>MIS will share the file</t>
  </si>
  <si>
    <t>Aledade</t>
  </si>
  <si>
    <t>Aledade_Pilot_Standard_FY25Q2-Q1</t>
  </si>
  <si>
    <t>MFG_Google_GCP ENTGreenfield _Value Add_FY25Q4</t>
  </si>
  <si>
    <t>MFG_Google_GCP StartupGreenfield _Value Add_FY25Q4</t>
  </si>
  <si>
    <t>MFG_Google_GCP ENTExisting _Value Add_FY25Q4</t>
  </si>
  <si>
    <t>Abhijeet / Pooja</t>
  </si>
  <si>
    <t>MFG_Google_GCP StartupExisting _Value Add_FY25Q4</t>
  </si>
  <si>
    <t>Anand / Shilpika</t>
  </si>
  <si>
    <t>MFG_Google_GCP CorpMME _Value Add_FY25Q4</t>
  </si>
  <si>
    <t>Niyati / Mahesh</t>
  </si>
  <si>
    <t>Atul A / Vivek</t>
  </si>
  <si>
    <t>MFG_Google_GWS ENT_Value Add_FY25Q4</t>
  </si>
  <si>
    <t>Mahima / Srushti / Ashish / Sumedha</t>
  </si>
  <si>
    <t>Shweta / Pooja / Shweta / Abhijeet</t>
  </si>
  <si>
    <t>MFG_Google_GWS Corp MME_Value Add_FY25Q4</t>
  </si>
  <si>
    <t>Aishwarya / Shilpika / Anand / Niyati</t>
  </si>
  <si>
    <t>Atul A / Amit / Atul A / Amit</t>
  </si>
  <si>
    <t xml:space="preserve"> 17:46</t>
  </si>
  <si>
    <t>Niketan / Aishwarya</t>
  </si>
  <si>
    <t>Simplify Compliance</t>
  </si>
  <si>
    <t>Avalara | Avalara - SMB - TAL - Branded Demand - FY25Q4 | Linked</t>
  </si>
  <si>
    <t>Sumedha / Sameer</t>
  </si>
  <si>
    <t>Need file before 10 pm.</t>
  </si>
  <si>
    <t>Avalara</t>
  </si>
  <si>
    <t>Vishvajit / Vivek / Vishvajit / Vivek</t>
  </si>
  <si>
    <t>Target Only EMEA English</t>
  </si>
  <si>
    <t>Sailpoint_BE Mitigate Cyber Risk 2T 1CQ EMEA_GY25Q4</t>
  </si>
  <si>
    <t>SailPoint_BE Mitigate Cyber Risk 2T 1 CQ CA_FY25Q4</t>
  </si>
  <si>
    <t>Sailpoint_BE Mitigate Cyber Risk 2T 1CQ US_FY25Q4</t>
  </si>
  <si>
    <t>New Dailypay Franchise Program</t>
  </si>
  <si>
    <t>WV from Mail</t>
  </si>
  <si>
    <t>Dailypay</t>
  </si>
  <si>
    <t>Panda</t>
  </si>
  <si>
    <t>Feefo_Jan_Feb_GB_ST_Spec</t>
  </si>
  <si>
    <t>Feefo</t>
  </si>
  <si>
    <t>PIQ</t>
  </si>
  <si>
    <t>Cisco Meraki Dashboard_USCA_Q2</t>
  </si>
  <si>
    <t xml:space="preserve">Cisco </t>
  </si>
  <si>
    <t>Cisco SASE Firewall - Cisco Secure Access_MM</t>
  </si>
  <si>
    <t>CISCO - Meraki MX_USCA_Q2</t>
  </si>
  <si>
    <t>Cisco - MS - US/CA/UK/AU</t>
  </si>
  <si>
    <t>Jaywant / Abhishek</t>
  </si>
  <si>
    <t>Cisco Catalyst 9100 - CW 9170_MM</t>
  </si>
  <si>
    <t>Cisco Meraki SD-WAN_MM</t>
  </si>
  <si>
    <t>Carat_Microsoft_Cloud and AI Platforms_Migrate &amp; Modernize your Estate_SMC_Indonesia_FY26Q1</t>
  </si>
  <si>
    <t>Microsoft</t>
  </si>
  <si>
    <t>Carat_Microsoft_Cloud and AI Platforms_Unify Your Data Platform_SMB_Australia_FY26Q1</t>
  </si>
  <si>
    <t>Carat_Microsoft_Cloud and AI Platforms_Unify Your Data Platform_SMB_New Zealand_FY26Q1</t>
  </si>
  <si>
    <t>Carat_Microsoft_Cloud and AI Platforms_Unify Your Data Platform_SMB_United Kingdom_FY26Q1</t>
  </si>
  <si>
    <t>Carat_Microsoft_Cloud and AI Platforms_Unify Your Data Platform_SMB_United States_FY26Q1</t>
  </si>
  <si>
    <t>Carat_Microsoft_Cloud and AI Platforms_Migrate &amp; Modernize your Estate_SMC_Vietnam_FY26Q1</t>
  </si>
  <si>
    <t>Carat_Microsoft_Cloud and AI Platforms_Migrate &amp; Modernize your Estate_SMC_Thailand_FY26Q1</t>
  </si>
  <si>
    <t>Carat_Microsoft_Cloud and AI Platforms_Migrate &amp; Modernize your Estate_SMC_Singapore_FY26Q1</t>
  </si>
  <si>
    <t>Carat_Microsoft_Cloud and AI Platforms_Migrate &amp; Modernize your Estate_SMC_Philippines_FY26Q1</t>
  </si>
  <si>
    <t xml:space="preserve"> 18:41</t>
  </si>
  <si>
    <t>High Priority - Please publish before 6PM</t>
  </si>
  <si>
    <t>Salesforce-ESMB-Core-Crosscloud-Italy-Upweight 38592350792 EP23</t>
  </si>
  <si>
    <t>Niketan / Sameer / Amruta / Chandrakant / Sejal</t>
  </si>
  <si>
    <t>Manisha / Shrinivas / Shweta / Shahrukh / Abhijeet</t>
  </si>
  <si>
    <t>CY25Q4 | NA | Direct Partners B63FD3</t>
  </si>
  <si>
    <t>Komal / Prathamesh / Sumedha / Aishwarya</t>
  </si>
  <si>
    <t>Pooja / Saket / Abhijeet / Saket</t>
  </si>
  <si>
    <t>CY25Q4 | NA | Direct Partners DBF248</t>
  </si>
  <si>
    <t>Q425 - Endpoint ABM Campaign - CandorWorks - US</t>
  </si>
  <si>
    <t>Mahesh / Jaywant / Abhishek / Shrikant / Komal / Prathamesh</t>
  </si>
  <si>
    <t>Vishvajit / Pooja / Vivek / Saket / Manisha / Shahrukh</t>
  </si>
  <si>
    <t>High Priority - Please publish before 8PM</t>
  </si>
  <si>
    <t>Q425 - France ABM Campaign - CandorWorks</t>
  </si>
  <si>
    <t>Q425 - Germany ABM Campaign - CandorWorks</t>
  </si>
  <si>
    <t>Q425 - Platform ABM Campaign - CandorWorks - US</t>
  </si>
  <si>
    <t>Prathamesh / Niketan / Sameer</t>
  </si>
  <si>
    <t>Pooja / Manisha / Shrinivas</t>
  </si>
  <si>
    <t>Q425 - UK ABM Campaign - CandorWorks</t>
  </si>
  <si>
    <t>Amruta / Chandrakant / Sejal</t>
  </si>
  <si>
    <t>Manisha / Shrinivas / Shweta</t>
  </si>
  <si>
    <t>Vivek / Vishvajit / Vivek / Vishvajit</t>
  </si>
  <si>
    <t>Synopsys_Silicon IP_FY25Q4</t>
  </si>
  <si>
    <t>Dell_CA_MB_ISG_EXP_PANSERVER_Intel Industry Agnostic 4 CQ_FY26Q4</t>
  </si>
  <si>
    <t>PagerDuty_HQL OpEx AI-First NAM Single Touch_FY26Q4</t>
  </si>
  <si>
    <t>PagerDuty_HQL GrowRev InnovationVelocity NAM Single Touch_FY26Q4</t>
  </si>
  <si>
    <t>PagerDuty_HQL OpEx MitigateRisk NAM Single Touch_FY26Q4</t>
  </si>
  <si>
    <t>PagerDuty_HQL OpEx ReduceCost NAM Single Touch_FY26Q4</t>
  </si>
  <si>
    <t>PagerDuty_HQL GrowRev CustomerExperience NAM Single Touch_FY26Q4</t>
  </si>
  <si>
    <t>Nielsen_Hotstar_India_CS_TAL_FY25Q4</t>
  </si>
  <si>
    <t xml:space="preserve"> 18:08</t>
  </si>
  <si>
    <t>Nielsen</t>
  </si>
  <si>
    <t>Nielsen_Hotstar_India_CS_WS_FY25Q4</t>
  </si>
  <si>
    <t>PagerDuty_HQL OpEx AI-First EMEA non-UKI Single Touch_FY26Q4</t>
  </si>
  <si>
    <t xml:space="preserve"> 17:31</t>
  </si>
  <si>
    <t>PagerDuty_HQL OpEx AI-First EMEA UKI Single Touch_FY26Q4</t>
  </si>
  <si>
    <t>PagerDuty_HQL OpEx MitigateRisk EMEA non-UKI Single Touch_FY26Q4</t>
  </si>
  <si>
    <t>PagerDuty_HQL OpEx MitigateRisk EMEA UKI Single Touch_FY26Q4</t>
  </si>
  <si>
    <t>PagerDuty_HQL OpEx ReduceCost EMEA non-UKI Single Touch_FY26Q4</t>
  </si>
  <si>
    <t>PagerDuty_HQL OpEx ReduceCost EMEA UKI Single Touch_FY26Q4</t>
  </si>
  <si>
    <t>PANW EMEA_MELISA CS RENEWAL Cloud_ FY26Q2</t>
  </si>
  <si>
    <t>CereOne_Intel Lunar Lake_India_Single_Touch_CoveredL1L2</t>
  </si>
  <si>
    <t xml:space="preserve"> 17:36</t>
  </si>
  <si>
    <t>Prashant Raut</t>
  </si>
  <si>
    <t>Intel</t>
  </si>
  <si>
    <t>CereOne_Intel Lunar Lake_India_Single_Touch_NonTAL Accounts</t>
  </si>
  <si>
    <t>OMD_SAP_BDC&amp;I_IDP-023_USA_FY26Q1</t>
  </si>
  <si>
    <t>SAP</t>
  </si>
  <si>
    <t>OMD_SAP_SCM_BeNeLux_IDP-009_FY26Q1</t>
  </si>
  <si>
    <t>OMD_SAP_SCM_BeNeLux_IDP-022_FY26Q1</t>
  </si>
  <si>
    <t>OMD_SAP_SCM_Canada_IDP-009_FY26Q1</t>
  </si>
  <si>
    <t>OMD_SAP_SCM_Canada_IDP-022_FY26Q1</t>
  </si>
  <si>
    <t>OMD_SAP_CX_Nordics_IDP-041_FY26Q1</t>
  </si>
  <si>
    <t xml:space="preserve"> 17:18</t>
  </si>
  <si>
    <t>OMD_SAP_CX_BeNeLux_IDP-041_FY26Q1</t>
  </si>
  <si>
    <t>OMD_SAP_CX_Italy_IDP-015_FY21Q4</t>
  </si>
  <si>
    <t xml:space="preserve"> 18:49</t>
  </si>
  <si>
    <t xml:space="preserve"> 19:02</t>
  </si>
  <si>
    <t xml:space="preserve"> 19:12</t>
  </si>
  <si>
    <t xml:space="preserve"> 19:54</t>
  </si>
  <si>
    <t xml:space="preserve"> 20:02</t>
  </si>
  <si>
    <t xml:space="preserve"> 20:13</t>
  </si>
  <si>
    <t xml:space="preserve"> 20:20</t>
  </si>
  <si>
    <t xml:space="preserve"> 21:11</t>
  </si>
  <si>
    <t xml:space="preserve"> 21:13</t>
  </si>
  <si>
    <t xml:space="preserve"> 21:22</t>
  </si>
  <si>
    <t xml:space="preserve"> 21:53</t>
  </si>
  <si>
    <t xml:space="preserve"> 21:54</t>
  </si>
  <si>
    <t xml:space="preserve"> 22:09</t>
  </si>
  <si>
    <t xml:space="preserve"> 22:22</t>
  </si>
  <si>
    <t xml:space="preserve"> 22:27</t>
  </si>
  <si>
    <t xml:space="preserve"> 22:31</t>
  </si>
  <si>
    <t xml:space="preserve"> 22:47</t>
  </si>
  <si>
    <t xml:space="preserve"> 22:49</t>
  </si>
  <si>
    <t xml:space="preserve"> 23:30</t>
  </si>
  <si>
    <t xml:space="preserve"> 23:49</t>
  </si>
  <si>
    <t xml:space="preserve"> 00:07</t>
  </si>
  <si>
    <t>Pranav</t>
  </si>
  <si>
    <t>Carat_Microsoft_AI Business Solutions_Copilot and Agents at Work_ENT_Indonesia_FY26Q1</t>
  </si>
  <si>
    <t>Surbhi</t>
  </si>
  <si>
    <t>Carat_Microsoft_AI Business Solutions_Copilot and Agents at Work_ENT_Malaysia_FY26Q1</t>
  </si>
  <si>
    <t>Carat_Microsoft_AI Business Solutions_Copilot and Agents at Work_ENT_Philippines_FY26Q1</t>
  </si>
  <si>
    <t>Carat_Microsoft_AI Business Solutions_Copilot and Agents at Work_ENT_Singapore_FY26Q1</t>
  </si>
  <si>
    <t>Carat_Microsoft_AI Business Solutions_Copilot and Agents at Work_ENT_Thailand_FY26Q1</t>
  </si>
  <si>
    <t>Carat_Microsoft_AI Business Solutions_Copilot and Agents at Work_ENT_Vietnam_FY26Q1</t>
  </si>
  <si>
    <t>Carat_Microsoft_AI Business Solutions_Copilot and Agents at Work_SMC_Indonesia_FY26Q1</t>
  </si>
  <si>
    <t>Carat_Microsoft_AI Business Solutions_Copilot and Agents at Work_SMC_Malaysia_FY26Q1</t>
  </si>
  <si>
    <t>Abhishek G</t>
  </si>
  <si>
    <t>Carat_Microsoft_AI Business Solutions_Copilot and Agents at Work_SMC_Philippines_FY26Q1</t>
  </si>
  <si>
    <t>Carat_Microsoft_AI Business Solutions_Copilot and Agents at Work_SMC_Singapore_FY26Q1</t>
  </si>
  <si>
    <t>Carat_Microsoft_AI Business Solutions_Copilot and Agents at Work_SMC_Thailand_FY26Q1</t>
  </si>
  <si>
    <t>Carat_Microsoft_AI Business Solutions_Copilot and Agents at Work_SMC_Vietnam_FY26Q1</t>
  </si>
  <si>
    <t>Carat_Microsoft_AI Business Solutions_Sales Transformation with AI_SMC_India_FY26Q1</t>
  </si>
  <si>
    <t>Carat_Microsoft_AI Business Solutions_Sales Transformation with AI_SMC_Sri Lanka_FY26Q1</t>
  </si>
  <si>
    <t>Prathmesh</t>
  </si>
  <si>
    <t>Carat_Microsoft_Cloud and AI Platforms_Innovate with Azure AI Apps &amp; Agents_ENT_Brazil_FY26Q1</t>
  </si>
  <si>
    <t>Carat_Microsoft_Cloud and AI Platforms_Innovate with Azure AI Apps &amp; Agents_ENT_Chile_FY26Q1</t>
  </si>
  <si>
    <t>Carat_Microsoft_Cloud and AI Platforms_Innovate with Azure AI Apps &amp; Agents_ENT_China_FY26Q1</t>
  </si>
  <si>
    <t>Carat_Microsoft_Cloud and AI Platforms_Innovate with Azure AI Apps &amp; Agents_ENT_Mexico_FY26Q1</t>
  </si>
  <si>
    <t>Carat_Microsoft_Cloud and AI Platforms_Innovate with Azure AI Apps &amp; Agents_ENT_Taiwan_FY26Q1</t>
  </si>
  <si>
    <t>Carat_Microsoft_Cloud and AI Platforms_Unify Your Data Platform_SMB_Ireland_FY26Q1</t>
  </si>
  <si>
    <t>Carat_Microsoft_GitHub_GitHub Sales-Serve Accelerate Demand Gen_United States_FY26Q1</t>
  </si>
  <si>
    <t>Jaywant / Abhishek G / Shrikant</t>
  </si>
  <si>
    <t>Carat_Microsoft_Cloud and AI Platforms_Unify Your Data Platform_SMC_Taiwan_FY26Q1</t>
  </si>
  <si>
    <t>Carat_Microsoft_Cloud and AI Platforms_Unify Your Data Platform_SMC_Hong Kong_FY26Q1</t>
  </si>
  <si>
    <t>Carat_Microsoft_Cloud and AI Platforms_Innovate with Azure AI Apps &amp; Agents_SMC_Taiwan_FY26Q1</t>
  </si>
  <si>
    <t>Carat_Microsoft_Cloud and AI Platforms_Innovate with Azure AI Apps &amp; Agents_SMC_Hong Kong_FY26Q1</t>
  </si>
  <si>
    <t>Carat_Microsoft_Cloud and AI Platforms_Innovate with Azure AI Apps &amp; Agents_SMC_China_FY26Q1</t>
  </si>
  <si>
    <t>Carat_Microsoft_Cloud and AI Platforms_Unify Your Data Platform_SMC_China_FY26Q1</t>
  </si>
  <si>
    <t>Carat_Microsoft_Cloud and AI Platforms_Unify Your Data Platform_SMC_Guatemala_FY26Q1</t>
  </si>
  <si>
    <t>Carat_Microsoft_Cloud and AI Platforms_Unify Your Data Platform_SMC_Ecuador_FY26Q1</t>
  </si>
  <si>
    <t>Carat_Microsoft_Cloud and AI Platforms_Unify Your Data Platform_SMC_Dominican Republic_FY26Q1</t>
  </si>
  <si>
    <t>Carat_Microsoft_Cloud and AI Platforms_Unify Your Data Platform_SMC_Costa Rica_FY26Q1</t>
  </si>
  <si>
    <t>Carat_Microsoft_Cloud and AI Platforms_Unify Your Data Platform_SMC_Colombia_FY26Q1</t>
  </si>
  <si>
    <t>Carat_Microsoft_Cloud and AI Platforms_Migrate &amp; Modernize your Estate_ENT_Indonesia_FY26Q1</t>
  </si>
  <si>
    <t>Carat_Microsoft_Cloud and AI Platforms_Unify Your Data Platform_SMC_Trinidad and Tobago_FY26Q1</t>
  </si>
  <si>
    <t>Carat_Microsoft_Cloud and AI Platforms_Unify Your Data Platform_SMC_Puerto Rico_FY26Q1</t>
  </si>
  <si>
    <t>Carat_Microsoft_Cloud and AI Platforms_Unify Your Data Platform_SMC_Peru_FY26Q1</t>
  </si>
  <si>
    <t>Carat_Microsoft_Cloud and AI Platforms_Unify Your Data Platform_SMC_Panama_FY26Q1</t>
  </si>
  <si>
    <t>Carat_Microsoft_Cloud and AI Platforms_Unify Your Data Platform_SMC_Mexico_FY26Q1</t>
  </si>
  <si>
    <t>Carat_Microsoft_Cloud and AI Platforms_Unify Your Data Platform_SMC_Jamaica_FY26Q1</t>
  </si>
  <si>
    <t>Workday, Inc. | FY26 Q4 ANZ Core HCM (net new) | Linked</t>
  </si>
  <si>
    <t>MFG_Google_GCP ENTExisting _FY25Q4</t>
  </si>
  <si>
    <t>Need to complete the campaign.</t>
  </si>
  <si>
    <t>Komal / Pooja / Saket / Prathmesh</t>
  </si>
  <si>
    <t>MFG_Google_GCP StartupGreenfield _FY25Q4</t>
  </si>
  <si>
    <t>Niyati / Anand / Shilpika / Amit</t>
  </si>
  <si>
    <t>MFG_Google_GWS ENT_FY25Q4</t>
  </si>
  <si>
    <t>MIS will share the data.</t>
  </si>
  <si>
    <t>Database + MIS</t>
  </si>
  <si>
    <t>Shrinivas / Chandrakant</t>
  </si>
  <si>
    <t>Audit Territory: Mexico</t>
  </si>
  <si>
    <t>Sameer / Niketan / Shrinivas / Manisha / Chandrakant</t>
  </si>
  <si>
    <t>Audit leads as per segment pacing in Specs bible</t>
  </si>
  <si>
    <t>Srushti / Ashish / Sejal / Mahima / Shahrukh / Shweta</t>
  </si>
  <si>
    <t>HPE_RealmB2B_FR Networking_FY26Q1</t>
  </si>
  <si>
    <t>HPE_RealmB2B_JP AI_FY26Q1</t>
  </si>
  <si>
    <t>HPE_RealmB2B_JP Hybrid Cloud_FY26Q1</t>
  </si>
  <si>
    <t>HPE_RealmB2B_JP Networking_FY26Q1</t>
  </si>
  <si>
    <t>Uniphore_Contact Center_Nov-Jan_FY25Q4</t>
  </si>
  <si>
    <t>HPE_RealmB2B_India Networking_FY26Q1</t>
  </si>
  <si>
    <t>Jaywant / Shrikant</t>
  </si>
  <si>
    <t>WV From Mail</t>
  </si>
  <si>
    <t>Anand / Mahesh / Prathmesh</t>
  </si>
  <si>
    <t>Atul / Manisha / Pooja</t>
  </si>
  <si>
    <t>Palo Alto FY25Q4 | Cortex Cloud | Named | CAN/33569925144</t>
  </si>
  <si>
    <t>Palo Alto FY25Q4 | Cortex Cloud | Named | USA/33569925144</t>
  </si>
  <si>
    <t>Contentsquare_UKI_FY25Q4</t>
  </si>
  <si>
    <t>PTC_HighTech_CEE_Tanja_EMEA_FY25Q3</t>
  </si>
  <si>
    <t>Sailpoint_BE Compliance 2T 1CQ LATAM_FY25Q4</t>
  </si>
  <si>
    <t>Sailpoint_BE Mitigate Cyber Risk 2T 1CQ APAC_FY25Q4</t>
  </si>
  <si>
    <t>Sailpoint_BE Modernization 2T 1CQ LATAM_FY25Q4</t>
  </si>
  <si>
    <t>Abhijeet / Aishwarya</t>
  </si>
  <si>
    <t>RealPage_Industry Engagement_FY26Q1</t>
  </si>
  <si>
    <t>RealPage_Payments_FY26Q1</t>
  </si>
  <si>
    <t>RealPage_Property Operations_FY26Q1</t>
  </si>
  <si>
    <t>RealPage_RealCoverage Insurance_FY26Q1</t>
  </si>
  <si>
    <t>RealPage_Renter Engagement_G5_FY26Q1</t>
  </si>
  <si>
    <t>RealPage_Renter Engagement_Knock_FY26Q1</t>
  </si>
  <si>
    <t>RealPage_Renter Engagement_Leasing AI_FY26Q1</t>
  </si>
  <si>
    <t>RealPage_Renter Engagement_LOFT_FY26Q1</t>
  </si>
  <si>
    <t>RealPage_Revenue Management_FY26Q1</t>
  </si>
  <si>
    <t>RealPage_RUSM_FY26Q1</t>
  </si>
  <si>
    <t>RealPage_Screening_FY26Q1</t>
  </si>
  <si>
    <t>RealPage_SmartBuilding_FY26Q1</t>
  </si>
  <si>
    <t xml:space="preserve"> 4.30 PM</t>
  </si>
  <si>
    <t>Prathmesh / Chandrakant / Abhishek G</t>
  </si>
  <si>
    <t>Aishwarya / Komal / Ashish</t>
  </si>
  <si>
    <t>Abhijeet / Saket / Nilesh</t>
  </si>
  <si>
    <t>CY25Q4  NA  Direct Partners DBF248.</t>
  </si>
  <si>
    <t>Nilesh</t>
  </si>
  <si>
    <t>Genesys- Americas | Genesys 1:1 Deal Acceleration TAL 2025 | Linked</t>
  </si>
  <si>
    <t>Pratik</t>
  </si>
  <si>
    <t>Email</t>
  </si>
  <si>
    <t>Database + Email</t>
  </si>
  <si>
    <t>DB exhausted</t>
  </si>
  <si>
    <t>Workday</t>
  </si>
  <si>
    <t>RealPage</t>
  </si>
  <si>
    <t>Uniphore</t>
  </si>
  <si>
    <t>Database exhausted</t>
  </si>
  <si>
    <t>On email</t>
  </si>
  <si>
    <t>RealPage_Spend Management_FY26Q1</t>
  </si>
  <si>
    <t>Pawan</t>
  </si>
  <si>
    <t>US Private Whitespace TAL</t>
  </si>
  <si>
    <t>Amruta / Niketan / Sameer / Srushti / Sejal / Mahima / Sumedha / Ashish</t>
  </si>
  <si>
    <t>Shrinivas / Shrinivas / Manisha / Shahrukh / Pooja / Nilesh / Abhijeet / Vivek</t>
  </si>
  <si>
    <t>Niyati / Shrikant</t>
  </si>
  <si>
    <t>Atul A / Shweta</t>
  </si>
  <si>
    <t>Vivek / Mahesh</t>
  </si>
  <si>
    <t>Pratik / Vishvajit</t>
  </si>
  <si>
    <t>Jaywant / Shrikant / Sumedha</t>
  </si>
  <si>
    <t>Vishvajit / Vivek / Abhijeet</t>
  </si>
  <si>
    <t>Abhishek / Prathmesh / Komal / Sejal</t>
  </si>
  <si>
    <t>Amit / Saket / Pooja / Shahrukh</t>
  </si>
  <si>
    <t>Mahima / Ashish / Shahrukh</t>
  </si>
  <si>
    <t>Database + MIS will share the file.</t>
  </si>
  <si>
    <t>Database + WV Email</t>
  </si>
  <si>
    <t>Atul A / Anand</t>
  </si>
  <si>
    <t>MIS will share the file.</t>
  </si>
  <si>
    <t>Pooja / Anand</t>
  </si>
  <si>
    <t>Shilpika / Niyati</t>
  </si>
  <si>
    <t>Simplify Compliance|Simplify Compliance - Gallagher #3 - TC1496 - Dec '25 - Jan '26|Linked</t>
  </si>
  <si>
    <t>Simplify Compliance|Simplify Compliance - Gallagher #4 - TC1499 - Dec '25 - Jan '26|Linked</t>
  </si>
  <si>
    <t>Simplify Compliance|Simplify Compliance: AssetWorks Webinar - TC1508 - Jan - Feb '26|Linked</t>
  </si>
  <si>
    <t>Simplify Compliance|Simplify Compliance: Schneider Electric Webinar - TC1505 - Jan '26|Linked</t>
  </si>
  <si>
    <t>SAP_Concur_CS_ST_2CQ_FY25Q4 - INDIA</t>
  </si>
  <si>
    <t>Shrikant / Abhishek / Pooja</t>
  </si>
  <si>
    <t>File shared by MIS</t>
  </si>
  <si>
    <t>Audit as per segment Pacing in Specs bible</t>
  </si>
  <si>
    <t>Saket / Prathmesh / Komal / Shrinivas / Chandrakant / Atul A</t>
  </si>
  <si>
    <t>Contentsquare_France Data Silos_FY26Q1</t>
  </si>
  <si>
    <t>Contentsquare_Italy Data Silos_FY26Q1</t>
  </si>
  <si>
    <t>Contentsquare_NAM_FY25Q4</t>
  </si>
  <si>
    <t>Saket / Prathmesh / Komal</t>
  </si>
  <si>
    <t>OMD_SAP_CloudERP RISE - CFO_Cross MU APJ_FY26Q1</t>
  </si>
  <si>
    <t>OMD_SAP_CloudERP RISE - CFO_Cross MU EMEA_FY26Q1</t>
  </si>
  <si>
    <t>Shrinivas / Manisha / Chandrakant</t>
  </si>
  <si>
    <t>OMD_SAP_CloudERP RISE - CFO_Cross MU MEE_FY26Q1</t>
  </si>
  <si>
    <t>OMD_SAP_CloudERP RISE - CFO_Cross MU NA_FY26Q1</t>
  </si>
  <si>
    <t>Amit / Atul A / Anand</t>
  </si>
  <si>
    <t>OMD_SAP_CloudERP RISE - CIO_Cross MU APJ_FY26Q1</t>
  </si>
  <si>
    <t>OMD_SAP_CloudERP RISE - CIO_Cross MU EMEA_FY26Q1</t>
  </si>
  <si>
    <t>Amruta / Niketan / Sameer</t>
  </si>
  <si>
    <t>OMD_SAP_CloudERP RISE - CIO_Cross MU MEE_FY26Q1</t>
  </si>
  <si>
    <t>OMD_SAP_CloudERP RISE - CIO_Cross MU_NA_FY26Q1</t>
  </si>
  <si>
    <t>Shilpika / Niyati / Vishvajit</t>
  </si>
  <si>
    <t>Barracuda_Email Protection Campaign 1 RENEWAL_FY26Q1</t>
  </si>
  <si>
    <t>Audit all geo leads</t>
  </si>
  <si>
    <t>Barracuda</t>
  </si>
  <si>
    <t>Barracuda_XDR Campaign 1 RENEWAL_FY26Q1</t>
  </si>
  <si>
    <t>Barracuda_Data Protection_Campaign1 RENEWEL_FY26Q1</t>
  </si>
  <si>
    <t>Barracuda_MSP_Campaign 2 RENEWEL_FY26Q1</t>
  </si>
  <si>
    <t>TAX_SD_VTEX_CS26Q1_UNTAPPED_GLOBAL</t>
  </si>
  <si>
    <t>Vertex</t>
  </si>
  <si>
    <t>FINANCE_SD_VTEX_CS26Q1_UNTAPPED_GLOBAL</t>
  </si>
  <si>
    <t>IT_SD_VTEX_CS26Q1_UNTAPPED_GLOBAL</t>
  </si>
  <si>
    <t>TAX_SD_VTEX_CS26Q1_E2_GLOBAL</t>
  </si>
  <si>
    <t>FINANCE_SD_VTEX_CS26Q1_E2_GLOBAL</t>
  </si>
  <si>
    <t>IT_SD_VTEX_CS26Q1_E2_GLOBAL</t>
  </si>
  <si>
    <t>Shrikant / Abhishek</t>
  </si>
  <si>
    <t>Amit / Vivek</t>
  </si>
  <si>
    <t>Vimeo_Global_Reframe_Campaign_US_DT_TAL</t>
  </si>
  <si>
    <t>Vimeo</t>
  </si>
  <si>
    <t>Vimeo_Global_Reframe_Campaign_CA_DT_TAL</t>
  </si>
  <si>
    <t>Vimeo_Global_Reframe_Campaign_BR_DT_Spec</t>
  </si>
  <si>
    <t>Prathmesh / Komal</t>
  </si>
  <si>
    <t>Amruta / Mahesh / Jaywant</t>
  </si>
  <si>
    <t>Pooja / Saket / Shahrukh</t>
  </si>
  <si>
    <t>Abhishek / Sumedha / Aishwarya</t>
  </si>
  <si>
    <t>Israr / Israr / Israr</t>
  </si>
  <si>
    <t>Shrikant / Abhishek / Sameer</t>
  </si>
  <si>
    <t>Vishvajit / Vivek / Shrinivas</t>
  </si>
  <si>
    <t>Nielsen APAC_ROI_FY25Q4 - WS</t>
  </si>
  <si>
    <t>One10_T&amp;E_FY26Q1</t>
  </si>
  <si>
    <t>Shweta / Srushti</t>
  </si>
  <si>
    <t>One10</t>
  </si>
  <si>
    <t>PANW_EMEA BRANDTODEMAND DE_FY26Q4</t>
  </si>
  <si>
    <t>PANW_EMEA BRANDTODEMAND FR_FY26Q4</t>
  </si>
  <si>
    <t>Ashish / Shahrukh</t>
  </si>
  <si>
    <t>PANW_EMEA BRANDTODEMAND UK_FY26Q4</t>
  </si>
  <si>
    <t>Abhijeet / Sumedha</t>
  </si>
  <si>
    <t>Require leads on each Geos</t>
  </si>
  <si>
    <t>Aishwarya / Amit</t>
  </si>
  <si>
    <t>Require 50 on UKI &amp; 100 on Rest</t>
  </si>
  <si>
    <t>Shweta / Srushti / Sejal</t>
  </si>
  <si>
    <t>Carat_Microsoft_AI Business Solutions_ERP Transformation with AI_SMC_Belgium_FY26Q1</t>
  </si>
  <si>
    <t>Carat_Microsoft_AI Business Solutions_ERP Transformation with AI_SMC_Czechia_FY26Q1</t>
  </si>
  <si>
    <t>Carat_Microsoft_AI Business Solutions_ERP Transformation with AI_SMC_Denmark_FY26Q1</t>
  </si>
  <si>
    <t>Carat_Microsoft_AI Business Solutions_ERP Transformation with AI_SMC_Finland_FY26Q1</t>
  </si>
  <si>
    <t>Carat_Microsoft_AI Business Solutions_ERP Transformation with AI_SMC_Hungary_FY26Q1</t>
  </si>
  <si>
    <t>Carat_Microsoft_AI Business Solutions_ERP Transformation with AI_SMC_Norway_FY26Q1</t>
  </si>
  <si>
    <t>Carat_Microsoft_AI Business Solutions_ERP Transformation with AI_SMC_Poland_FY26Q1</t>
  </si>
  <si>
    <t>Carat_Microsoft_AI Business Solutions_ERP Transformation with AI_SMC_Romania_FY26Q1</t>
  </si>
  <si>
    <t>Carat_Microsoft_AI Business Solutions_ERP Transformation with AI_SMC_Sweden_FY26Q1</t>
  </si>
  <si>
    <t>Carat_Microsoft_AI Business Solutions_Innovate with Low Code AI &amp; Agents_ENT_China_FY26Q1</t>
  </si>
  <si>
    <t>Carat_Microsoft_AI Business Solutions_Innovate with Low Code AI &amp; Agents_ENT_Indonesia_FY26Q1</t>
  </si>
  <si>
    <t>Carat_Microsoft_AI Business Solutions_Innovate with Low Code AI &amp; Agents_ENT_Malaysia_FY26Q1</t>
  </si>
  <si>
    <t>Carat_Microsoft_AI Business Solutions_Innovate with Low Code AI &amp; Agents_ENT_Philippines_FY26Q1</t>
  </si>
  <si>
    <t>Carat_Microsoft_AI Business Solutions_Innovate with Low Code AI &amp; Agents_ENT_Singapore_FY26Q1</t>
  </si>
  <si>
    <t>Carat_Microsoft_AI Business Solutions_Innovate with Low Code AI &amp; Agents_ENT_Taiwan_FY26Q1</t>
  </si>
  <si>
    <t>Carat_Microsoft_AI Business Solutions_Innovate with Low Code AI &amp; Agents_ENT_Thailand_FY26Q1</t>
  </si>
  <si>
    <t>Carat_Microsoft_AI Business Solutions_Innovate with Low Code AI &amp; Agents_ENT_Vietnam_FY26Q1</t>
  </si>
  <si>
    <t>Carat_Microsoft_AI Business Solutions_Secure AI Productivity_SMC_China_FY26Q1</t>
  </si>
  <si>
    <t>Carat_Microsoft_AI Business Solutions_Secure AI Productivity_SMC_Hong Kong_FY26Q1</t>
  </si>
  <si>
    <t>Carat_Microsoft_AI Business Solutions_Secure AI Productivity_SMC_Taiwan_FY26Q1</t>
  </si>
  <si>
    <t>Carat_Microsoft_Cloud and AI Platforms_Unify Your Data Platform_ENT_India_FY26Q1</t>
  </si>
  <si>
    <t>Carat_Microsoft_Cloud and AI Platforms_Unify Your Data Platform_ENT_United States_FY26Q1</t>
  </si>
  <si>
    <t>Carat_Microsoft_Cloud and AI Platforms_Unify Your Data Platform_SMC_Angola_FY26Q1</t>
  </si>
  <si>
    <t>Carat_Microsoft_Cloud and AI Platforms_Unify Your Data Platform_SMC_Brazil_FY26Q1</t>
  </si>
  <si>
    <t>Carat_Microsoft_Cloud and AI Platforms_Unify Your Data Platform_SMC_India_FY26Q1</t>
  </si>
  <si>
    <t>Carat_Microsoft_Cloud and AI Platforms_Unify Your Data Platform_SMC_Kuwait_FY26Q1</t>
  </si>
  <si>
    <t>Carat_Microsoft_Cloud and AI Platforms_Unify Your Data Platform_SMC_Qatar_FY26Q1</t>
  </si>
  <si>
    <t>Carat_Microsoft_Cloud and AI Platforms_Unify Your Data Platform_SMC_Saudi Arabia_FY26Q1</t>
  </si>
  <si>
    <t>Carat_Microsoft_Cloud and AI Platforms_Unify Your Data Platform_SMC_South Africa_FY26Q1</t>
  </si>
  <si>
    <t>Carat_Microsoft_Cloud and AI Platforms_Unify Your Data Platform_SMC_United Arab Emirates_FY26Q1</t>
  </si>
  <si>
    <t>Carat_Microsoft_Security_Protect Cloud AI Platform and Apps_SMC_Indonesia_FY26Q1</t>
  </si>
  <si>
    <t>Carat_Microsoft_Security_Protect Cloud AI Platform and Apps_SMC_Malaysia_FY26Q1</t>
  </si>
  <si>
    <t>Carat_Microsoft_Security_Protect Cloud AI Platform and Apps_SMC_Singapore_FY26Q1</t>
  </si>
  <si>
    <t>Carat_Microsoft_Security_Protect Cloud AI Platform and Apps_SMC_Thailand_FY26Q1</t>
  </si>
  <si>
    <t>Carat_Microsoft_Security_Protect Cloud AI Platform and Apps_SMC_Vietnam_FY26Q1</t>
  </si>
  <si>
    <t>Carat_Microsoft_Cloud and AI Platforms_Azure AI Transformation BDM ENT_India_FY26Q1</t>
  </si>
  <si>
    <t>Carat_Microsoft_Cloud and AI Platforms_Azure AI Transformation BDM SMEC_Thailand_FY26Q1</t>
  </si>
  <si>
    <t>Carat_Microsoft_Cloud and AI Platforms_Azure AI Transformation BDM ENT_Taiwan_FY26Q1</t>
  </si>
  <si>
    <t>Carat_Microsoft_Cloud and AI Platforms_Azure AI Transformation BDM ENT_China_FY26Q1</t>
  </si>
  <si>
    <t>Carat_Microsoft_Cloud and AI Platforms_Azure AI Transformation BDM SMEC_Singapore_FY26Q1</t>
  </si>
  <si>
    <t>Carat_Microsoft_Cloud and AI Platforms_Azure AI Transformation BDM SMEC_Philippines_FY26Q1</t>
  </si>
  <si>
    <t>Carat_Microsoft_Cloud and AI Platforms_Azure AI Transformation BDM SMEC_Malaysia_FY26Q1</t>
  </si>
  <si>
    <t>Carat_Microsoft_Cloud and AI Platforms_Azure AI Transformation BDM SMEC_Cambodia_FY26Q1</t>
  </si>
  <si>
    <t>Carat_Microsoft_Cloud and AI Platforms_Azure AI Transformation BDM SMEC_Indonesia_FY26Q1</t>
  </si>
  <si>
    <t>Mahesh / Shilpika</t>
  </si>
  <si>
    <t>PTC_FA&amp;D_FY26Q1</t>
  </si>
  <si>
    <t>Israr</t>
  </si>
  <si>
    <t>Pooja + Shahrukh</t>
  </si>
  <si>
    <t xml:space="preserve"> 00:32</t>
  </si>
  <si>
    <t xml:space="preserve"> 00:35</t>
  </si>
  <si>
    <t>Not Met</t>
  </si>
  <si>
    <t>Adobe_Power SOL_Marketing_FY26Q1</t>
  </si>
  <si>
    <t>Shahrukh / Shweta</t>
  </si>
  <si>
    <t>OMD_SAP_FSM_BeNeLux_IDP-013_FY26Q1</t>
  </si>
  <si>
    <t>OMD_SAP_FSM_Canada_IDP-013_FY26Q1</t>
  </si>
  <si>
    <t>OMD_SAP_FSM_Canada_IDP-039_FY26Q1</t>
  </si>
  <si>
    <t>OMD_SAP_FSM_France_IDP-039_FY26Q1</t>
  </si>
  <si>
    <t>OMD_SAP_FSM_Italy_IDP-039_FY26Q1</t>
  </si>
  <si>
    <t>OMD_SAP_FSM_Nordics_IDP-013_FY26Q1</t>
  </si>
  <si>
    <t>OMD_SAP_FSM_Switzerland_IDP-013_FY26Q1</t>
  </si>
  <si>
    <t>OMD_SAP_FSM_USA_IDP-013_FY26Q1</t>
  </si>
  <si>
    <t>OMD_SAP_FSM_USA_IDP-039_FY26Q1</t>
  </si>
  <si>
    <t>FY26 Q2 SDR US PD</t>
  </si>
  <si>
    <t>Israr / Sohail</t>
  </si>
  <si>
    <t>NI/Emerson Test &amp; Measurement</t>
  </si>
  <si>
    <t xml:space="preserve">Jaywant / Abhishek </t>
  </si>
  <si>
    <t>Vivek / Vishwajit</t>
  </si>
  <si>
    <t>Need 3rd Level Audit on this</t>
  </si>
  <si>
    <t>Q1FY26_RingCentral_ABM_ENT_Prem2Cloud_Campaign</t>
  </si>
  <si>
    <t>RingCentral</t>
  </si>
  <si>
    <t>Q1FY26_RingCentral_ABM_MAJ_Prem2Cloud_Campaign</t>
  </si>
  <si>
    <t>Q1FY26_RingCentral_ABM_MM_Prem2Cloud_Campaign</t>
  </si>
  <si>
    <t>Q1FY26_RingCentral_DG_ENT_Complete_Communications_RingEX_Campaign</t>
  </si>
  <si>
    <t>Shrikant / Mahesh / Anand</t>
  </si>
  <si>
    <t>Abhijeet / Shahrukh / Pooja</t>
  </si>
  <si>
    <t>Q1FY26_RingCentral_DG_MAJ_Complete_Communications_RingEX_Campaign</t>
  </si>
  <si>
    <t>Q1FY26_RingCentral_DG_MM_Complete_Communications_RingEX_Campaign</t>
  </si>
  <si>
    <t>Palo Alto Networks | integrate-cortex-indigo-emea-gb-lead_gen-en- | Linked</t>
  </si>
  <si>
    <t>Infoblox | EMEA-OAD-Q2FY26-NET-DG-CS-Integrate-NetModern-Germany | Linked</t>
  </si>
  <si>
    <t>Infoblox</t>
  </si>
  <si>
    <t>Infoblox | OAD-Q2FY26-NET-DG-CS-Integrate-NetModern-CloudOps-APJ | Linked</t>
  </si>
  <si>
    <t>Rimini Street|Rimini Street-FY25Q4-Pilot RFP_HQL|Linked</t>
  </si>
  <si>
    <t>Rimini Street</t>
  </si>
  <si>
    <t>Simplify Compliance|Simplify Compliance: Advisory Board Webinar - TC TC3630 - Jan '26|Linked</t>
  </si>
  <si>
    <t>Mahesh / Abhijeet</t>
  </si>
  <si>
    <t>Vivek / Nilesh</t>
  </si>
  <si>
    <t>Simplify Compliance|Simplify Compliance: SAI360 Webinar - TC1463 - Dec '25 - Jan '26|Linked</t>
  </si>
  <si>
    <t>Simplify Compliance|Simplify Compliance: FireflyHealth Webinar - TC1495 - Dec '25 - Jan '26|Linked</t>
  </si>
  <si>
    <t>Simplify Compliance|Simplify Compliance: Schneider Electric - TC1486 - Dec '25|Linked</t>
  </si>
  <si>
    <t>Patachara</t>
  </si>
  <si>
    <t>Carat_Microsoft_AI Business Solutions_Copilot and Agents at Work_SMC_Belgium_FY26Q1</t>
  </si>
  <si>
    <t>Carat_Microsoft_AI Business Solutions_Copilot and Agents at Work_SMC_Bulgaria_FY26Q1</t>
  </si>
  <si>
    <t>Carat_Microsoft_AI Business Solutions_Copilot and Agents at Work_SMC_Cyprus_FY26Q1</t>
  </si>
  <si>
    <t>Carat_Microsoft_AI Business Solutions_Copilot and Agents at Work_SMC_Denmark_FY26Q1</t>
  </si>
  <si>
    <t>Carat_Microsoft_AI Business Solutions_Copilot and Agents at Work_SMC_Estonia_FY26Q1</t>
  </si>
  <si>
    <t>Carat_Microsoft_AI Business Solutions_Copilot and Agents at Work_SMC_Finland_FY26Q1</t>
  </si>
  <si>
    <t>Carat_Microsoft_AI Business Solutions_Copilot and Agents at Work_SMC_Greece_FY26Q1</t>
  </si>
  <si>
    <t>Carat_Microsoft_AI Business Solutions_Copilot and Agents at Work_SMC_Hungary_FY26Q1</t>
  </si>
  <si>
    <t>Carat_Microsoft_AI Business Solutions_Copilot and Agents at Work_SMC_Iceland_FY26Q1</t>
  </si>
  <si>
    <t>Carat_Microsoft_AI Business Solutions_Copilot and Agents at Work_SMC_Italy_FY26Q1</t>
  </si>
  <si>
    <t>Carat_Microsoft_AI Business Solutions_Copilot and Agents at Work_SMC_Latvia_FY26Q1</t>
  </si>
  <si>
    <t>Carat_Microsoft_AI Business Solutions_Copilot and Agents at Work_SMC_Lithuania_FY26Q1</t>
  </si>
  <si>
    <t>Carat_Microsoft_AI Business Solutions_Copilot and Agents at Work_SMC_Luxembourg_FY26Q1</t>
  </si>
  <si>
    <t>Carat_Microsoft_AI Business Solutions_Copilot and Agents at Work_SMC_Malta_FY26Q1</t>
  </si>
  <si>
    <t>Carat_Microsoft_AI Business Solutions_Copilot and Agents at Work_SMC_Norway_FY26Q1</t>
  </si>
  <si>
    <t>Carat_Microsoft_AI Business Solutions_Copilot and Agents at Work_SMC_Poland_FY26Q1</t>
  </si>
  <si>
    <t>Carat_Microsoft_AI Business Solutions_Copilot and Agents at Work_SMC_Portugal_FY26Q1</t>
  </si>
  <si>
    <t>Carat_Microsoft_AI Business Solutions_Copilot and Agents at Work_SMC_Romania_FY26Q1</t>
  </si>
  <si>
    <t>Carat_Microsoft_AI Business Solutions_Copilot and Agents at Work_SMC_Serbia_FY26Q1</t>
  </si>
  <si>
    <t>Carat_Microsoft_AI Business Solutions_Copilot and Agents at Work_SMC_Slovenia_FY26Q1</t>
  </si>
  <si>
    <t>Carat_Microsoft_AI Business Solutions_Copilot and Agents at Work_SMC_Spain_FY26Q1</t>
  </si>
  <si>
    <t>Carat_Microsoft_AI Business Solutions_Copilot and Agents at Work_SMC_Sweden_FY26Q1</t>
  </si>
  <si>
    <t>Carat_Microsoft_AI Business Solutions_Copilot and Agents at Work_SMC_Turkey_FY26Q1</t>
  </si>
  <si>
    <t>Carat_Microsoft_AI Business Solutions_Innovate with Low Code AI &amp; Agents_SMC_Canada_FY26Q1</t>
  </si>
  <si>
    <t>Carat_Microsoft_AI Business Solutions_Innovate with Low Code AI &amp; Agents_SMC_China_FY26Q1</t>
  </si>
  <si>
    <t>Carat_Microsoft_AI Business Solutions_Innovate with Low Code AI &amp; Agents_SMC_Hong Kong_FY26Q1</t>
  </si>
  <si>
    <t>Carat_Microsoft_AI Business Solutions_Innovate with Low Code AI &amp; Agents_SMC_India_FY26Q1</t>
  </si>
  <si>
    <t>Carat_Microsoft_AI Business Solutions_Innovate with Low Code AI &amp; Agents_SMC_Indonesia_FY26Q1</t>
  </si>
  <si>
    <t>Carat_Microsoft_AI Business Solutions_Innovate with Low Code AI &amp; Agents_SMC_Malaysia_FY26Q1</t>
  </si>
  <si>
    <t>Carat_Microsoft_AI Business Solutions_Innovate with Low Code AI &amp; Agents_SMC_Philippines_FY26Q1</t>
  </si>
  <si>
    <t>Carat_Microsoft_AI Business Solutions_Innovate with Low Code AI &amp; Agents_SMC_Singapore_FY26Q1</t>
  </si>
  <si>
    <t>Carat_Microsoft_AI Business Solutions_Innovate with Low Code AI &amp; Agents_SMC_Sri Lanka_FY26Q1</t>
  </si>
  <si>
    <t>Carat_Microsoft_AI Business Solutions_Innovate with Low Code AI &amp; Agents_SMC_Switzerland_FY26Q1</t>
  </si>
  <si>
    <t>Carat_Microsoft_AI Business Solutions_Innovate with Low Code AI &amp; Agents_SMC_Taiwan_FY26Q1</t>
  </si>
  <si>
    <t>Carat_Microsoft_AI Business Solutions_Innovate with Low Code AI &amp; Agents_SMC_Thailand_FY26Q1</t>
  </si>
  <si>
    <t>Carat_Microsoft_AI Business Solutions_Innovate with Low Code AI &amp; Agents_SMC_Vietnam_FY26Q1</t>
  </si>
  <si>
    <t>Carat_Microsoft_AI Business Solutions_Service Transformation with AI_ENT_China_FY26Q1</t>
  </si>
  <si>
    <t>Carat_Microsoft_AI Business Solutions_Service Transformation with AI_ENT_Taiwan_FY26Q1</t>
  </si>
  <si>
    <t>Carat_Microsoft_Cloud and AI Platforms_Azure AI Transformation BDM SMEC_China_FY26Q1</t>
  </si>
  <si>
    <t>Carat_Microsoft_Cloud and AI Platforms_Azure AI Transformation BDM SMEC_Hong Kong_FY26Q1</t>
  </si>
  <si>
    <t>Carat_Microsoft_Cloud and AI Platforms_Azure AI Transformation BDM SMEC_Korea_FY26Q1</t>
  </si>
  <si>
    <t>Carat_Microsoft_Cloud and AI Platforms_Azure AI Transformation BDM SMEC_Taiwan_FY26Q1</t>
  </si>
  <si>
    <t>Carat_Microsoft_Cloud and AI Platforms_Azure AI Transformation BDM SMEC_Vietnam_FY26Q1</t>
  </si>
  <si>
    <t>Carat_Microsoft_Cloud and AI Platforms_Migrate &amp; Modernize your Estate_ENT_Canada_FY26Q1</t>
  </si>
  <si>
    <t>Carat_Microsoft_Cloud and AI Platforms_Migrate &amp; Modernize your Estate_ENT_China_FY26Q1</t>
  </si>
  <si>
    <t>Carat_Microsoft_Cloud and AI Platforms_Migrate &amp; Modernize your Estate_ENT_France_FY26Q1</t>
  </si>
  <si>
    <t>Carat_Microsoft_Cloud and AI Platforms_Migrate &amp; Modernize your Estate_ENT_Korea_FY26Q1</t>
  </si>
  <si>
    <t>Carat_Microsoft_Cloud and AI Platforms_Migrate &amp; Modernize your Estate_ENT_Malaysia_FY26Q1</t>
  </si>
  <si>
    <t>Carat_Microsoft_Cloud and AI Platforms_Migrate &amp; Modernize your Estate_ENT_Philippines_FY26Q1</t>
  </si>
  <si>
    <t>Carat_Microsoft_Cloud and AI Platforms_Migrate &amp; Modernize your Estate_ENT_Taiwan_FY26Q1</t>
  </si>
  <si>
    <t>Carat_Microsoft_Cloud and AI Platforms_Migrate &amp; Modernize your Estate_ENT_Thailand_FY26Q1</t>
  </si>
  <si>
    <t>Carat_Microsoft_Cloud and AI Platforms_Migrate &amp; Modernize your Estate_ENT_Vietnam_FY26Q1</t>
  </si>
  <si>
    <t>Carat_Microsoft_Cloud and AI Platforms_Migrate &amp; Modernize your Estate_SMC_Canada_FY26Q1</t>
  </si>
  <si>
    <t>Carat_Microsoft_Cloud and AI Platforms_Unify Your Data Platform_ENT_Indonesia_FY26Q1</t>
  </si>
  <si>
    <t>Carat_Microsoft_Cloud and AI Platforms_Unify Your Data Platform_ENT_Malaysia_FY26Q1</t>
  </si>
  <si>
    <t>Carat_Microsoft_Cloud and AI Platforms_Unify Your Data Platform_ENT_Philippines_FY26Q1</t>
  </si>
  <si>
    <t>Carat_Microsoft_Cloud and AI Platforms_Unify Your Data Platform_ENT_Thailand_FY26Q1</t>
  </si>
  <si>
    <t>Carat_Microsoft_Cloud and AI Platforms_Unify Your Data Platform_ENT_Vietnam_FY26Q1</t>
  </si>
  <si>
    <t>Carat_Microsoft_Cloud and AI Platforms_Unify Your Data Platform_SMC_Argentina_FY26Q1</t>
  </si>
  <si>
    <t>Carat_Microsoft_Cloud and AI Platforms_Unify Your Data Platform_SMC_Chile_FY26Q1</t>
  </si>
  <si>
    <t>Carat_Microsoft_GitHub_GitHub Sales-Serve AI and Platform TAL_Spain_FY26Q1</t>
  </si>
  <si>
    <t>Carat_Microsoft_GitHub_GitHub Sales-Serve AI and Platform TAL_United States_FY26Q1</t>
  </si>
  <si>
    <t>Carat_Microsoft_Security_Modern SecOps with Unified Platform_SMC_United States_FY26Q1</t>
  </si>
  <si>
    <t>Audir all geo leads</t>
  </si>
  <si>
    <t>IronHorse_Uber for Business_Travel + Workplace GSA_FY26Q1</t>
  </si>
  <si>
    <t>Uber</t>
  </si>
  <si>
    <t>IronHorse_Uber for Business_Travel + Workplace Marketo_FY26Q1</t>
  </si>
  <si>
    <t>WIZ_IRINA CS_FY26Q1</t>
  </si>
  <si>
    <t>WIZ</t>
  </si>
  <si>
    <t>Betterup Content Syndication - Europe_Double-touch</t>
  </si>
  <si>
    <t>Prioritize VP+ once exhausted audit DR+</t>
  </si>
  <si>
    <t>Betterup</t>
  </si>
  <si>
    <t>Betterup Content Syndication - Europe_Single Touch</t>
  </si>
  <si>
    <t>Betterup Content Syndication - USA_Double-touch</t>
  </si>
  <si>
    <t>Betterup Content Syndication - USA_Single Touch</t>
  </si>
  <si>
    <t>Mahesh / Shrikant</t>
  </si>
  <si>
    <t>Abhishek / Jaywant / Anand</t>
  </si>
  <si>
    <t>Pooja / Abhijeet / Atul A</t>
  </si>
  <si>
    <t>Vishwajit / Vivek</t>
  </si>
  <si>
    <t>50 Leads in AU&amp;UK &amp; 50 In USCA</t>
  </si>
  <si>
    <t>DataBase</t>
  </si>
  <si>
    <t>ABC Fitness Pilot_FY26</t>
  </si>
  <si>
    <t>ABC Fitness</t>
  </si>
  <si>
    <t>Nethawk_RedHat_Auto_FY25Q4</t>
  </si>
  <si>
    <t>Mandatory Completion</t>
  </si>
  <si>
    <t>Chandrakant / Amruta / Shahrukh</t>
  </si>
  <si>
    <t>Shrinivas / Manisha / Nilesh</t>
  </si>
  <si>
    <t>Abhishek / Niyati</t>
  </si>
  <si>
    <t>Rushikesh</t>
  </si>
  <si>
    <t>Infoblox | EMEA-OAD-Q2FY26-NET-DG-CS-Integrate-NetModern | Linked</t>
  </si>
  <si>
    <t>Amol</t>
  </si>
  <si>
    <t>infoblox</t>
  </si>
  <si>
    <t>WV_10126007_Simplify ComplianceSimplify Compliance Schneider Electric Webinar - TC1505 - Jan '26Linked</t>
  </si>
  <si>
    <t>Aptean, Inc Aptean UKI - Ben Louise WMS FY25Q4 Linked</t>
  </si>
  <si>
    <t>Salesforce Central CHE Q4 EMEA/32758706990 EP23</t>
  </si>
  <si>
    <t>Box</t>
  </si>
  <si>
    <t>Komal / Pooja / Manisha / Shrinivas / Shahrukh / Shweta / Atul A / Amit / Vivek / Vishwajit</t>
  </si>
  <si>
    <t>Pooja / Sohail/  Pratik / Pratik / Nilesh / Nilesh / Patachara / Patachara / Pranav / Pranav</t>
  </si>
  <si>
    <t>Rahul / Shabir</t>
  </si>
  <si>
    <t>CGM_CyberArk_Securing Devs Global Multi-Touch(1CQ) Cross-Sell_FY25Q4CGM_CyberArk_Securing Devs Global Multi-Touch(1CQ) Cross-Sell_FY25Q4</t>
  </si>
  <si>
    <t>VIvek</t>
  </si>
  <si>
    <t>Data exhausted</t>
  </si>
  <si>
    <t>Veracode - BNL - NAM/37496614688 EP23</t>
  </si>
  <si>
    <t>Veracode</t>
  </si>
  <si>
    <t>Veracode - CAN - NAM/37496614688 EP23</t>
  </si>
  <si>
    <t>Veracode - DACH - NAM/37496614688 EP23</t>
  </si>
  <si>
    <t>Veracode - DNK/SWE - NAM/37496614688 EP23</t>
  </si>
  <si>
    <t>Veracode - FRA - NAM/37496614688 EP23</t>
  </si>
  <si>
    <t>Veracode - UKI - NAM/37496614688 EP23</t>
  </si>
  <si>
    <t>Veracode - USA - NAM/37496614688 EP23</t>
  </si>
  <si>
    <t>Mahesh/Jaywant/Komal/Prathamesh/Abhishek</t>
  </si>
  <si>
    <t>Vivek /Abhijeet/Saket/Pooja/Vishvajit</t>
  </si>
  <si>
    <t>Manisha/Shrinivas/Shweta</t>
  </si>
  <si>
    <t>Shahrukh/Shweta/Amit/Vivek</t>
  </si>
  <si>
    <t>Carat_Microsoft_AI Business Solutions_Copilot and Agents at Work_SMC_Czechia_FY26Q1</t>
  </si>
  <si>
    <t>Carat_Microsoft_AI Business Solutions_ERP Transformation with AI_SMC_Argentina_FY26Q1</t>
  </si>
  <si>
    <t>Carat_Microsoft_AI Business Solutions_ERP Transformation with AI_SMC_Brazil_FY26Q1</t>
  </si>
  <si>
    <t>Carat_Microsoft_AI Business Solutions_ERP Transformation with AI_SMC_Chile_FY26Q1</t>
  </si>
  <si>
    <t>Carat_Microsoft_AI Business Solutions_ERP Transformation with AI_SMC_China_FY26Q1</t>
  </si>
  <si>
    <t>Carat_Microsoft_AI Business Solutions_ERP Transformation with AI_SMC_Colombia_FY26Q1</t>
  </si>
  <si>
    <t>Carat_Microsoft_AI Business Solutions_ERP Transformation with AI_SMC_Costa Rica_FY26Q1</t>
  </si>
  <si>
    <t>Carat_Microsoft_AI Business Solutions_ERP Transformation with AI_SMC_Ecuador_FY26Q1</t>
  </si>
  <si>
    <t>Carat_Microsoft_AI Business Solutions_ERP Transformation with AI_SMC_Indonesia_FY26Q1</t>
  </si>
  <si>
    <t>Carat_Microsoft_AI Business Solutions_ERP Transformation with AI_SMC_Malaysia_FY26Q1</t>
  </si>
  <si>
    <t>Carat_Microsoft_AI Business Solutions_ERP Transformation with AI_SMC_Mexico_FY26Q1</t>
  </si>
  <si>
    <t>Carat_Microsoft_AI Business Solutions_ERP Transformation with AI_SMC_Peru_FY26Q1</t>
  </si>
  <si>
    <t>Carat_Microsoft_AI Business Solutions_ERP Transformation with AI_SMC_Philippines_FY26Q1</t>
  </si>
  <si>
    <t>Carat_Microsoft_AI Business Solutions_ERP Transformation with AI_SMC_Singapore_FY26Q1</t>
  </si>
  <si>
    <t>Carat_Microsoft_AI Business Solutions_ERP Transformation with AI_SMC_Taiwan_FY26Q1</t>
  </si>
  <si>
    <t>Carat_Microsoft_AI Business Solutions_ERP Transformation with AI_SMC_Thailand_FY26Q1</t>
  </si>
  <si>
    <t>Carat_Microsoft_AI Business Solutions_ERP Transformation with AI_SMC_Vietnam_FY26Q1</t>
  </si>
  <si>
    <t>Carat_Microsoft_AI Business Solutions_Innovate with Low Code AI &amp; Agents_ENT_Canada_FY26Q1</t>
  </si>
  <si>
    <t>Anand/Sumedha</t>
  </si>
  <si>
    <t>Carat_Microsoft_Cloud and AI Platforms_Migrate &amp; Modernize your Estate_SMC_China_FY26Q1</t>
  </si>
  <si>
    <t>Mahima/Ashish</t>
  </si>
  <si>
    <t>Carat_Microsoft_Cloud and AI Platforms_Migrate &amp; Modernize your Estate_SMC_France_FY26Q1</t>
  </si>
  <si>
    <t>Komal/Prathamesh</t>
  </si>
  <si>
    <t>Carat_Microsoft_Cloud and AI Platforms_Migrate &amp; Modernize your Estate_SMC_Hong Kong_FY26Q1</t>
  </si>
  <si>
    <t>Carat_Microsoft_Cloud and AI Platforms_Migrate &amp; Modernize your Estate_SMC_India_FY26Q1</t>
  </si>
  <si>
    <t>Jaywant/Abhishek</t>
  </si>
  <si>
    <t>Carat_Microsoft_Cloud and AI Platforms_Migrate &amp; Modernize your Estate_SMC_Ireland_FY26Q1</t>
  </si>
  <si>
    <t>Chandrakant/Niketan</t>
  </si>
  <si>
    <t>Carat_Microsoft_Cloud and AI Platforms_Migrate &amp; Modernize your Estate_SMC_Malaysia_FY26Q1</t>
  </si>
  <si>
    <t>Niketan/Sameer</t>
  </si>
  <si>
    <t>Carat_Microsoft_Cloud and AI Platforms_Migrate &amp; Modernize your Estate_SMC_Sri Lanka_FY26Q1</t>
  </si>
  <si>
    <t>Anand/Niyati</t>
  </si>
  <si>
    <t>Carat_Microsoft_Cloud and AI Platforms_Migrate &amp; Modernize your Estate_SMC_Taiwan_FY26Q1</t>
  </si>
  <si>
    <t>Carat_Microsoft_Cloud and AI Platforms_Migrate &amp; Modernize your Estate_SMC_United Kingdom_FY26Q1</t>
  </si>
  <si>
    <t>Shilpika/Niyati</t>
  </si>
  <si>
    <t>Carat_Microsoft_Cloud and AI Platforms_Migrate &amp; Modernize your Estate_SMC_United States_FY26Q1</t>
  </si>
  <si>
    <t>Mahesh/Jaywant</t>
  </si>
  <si>
    <t>Carat_Microsoft_Cloud and AI Platforms_Unify Your Data Platform_SMC_Sri Lanka_FY26Q1</t>
  </si>
  <si>
    <t>Carat_Microsoft_GitHub_GitHub Sales-Serve Security TAL_United States_FY26Q1</t>
  </si>
  <si>
    <t>Abhishek/Shrikant</t>
  </si>
  <si>
    <t>Carat_Microsoft_Security_Data Security_SMC_Argentina_FY26Q1</t>
  </si>
  <si>
    <t>Carat_Microsoft_Security_Data Security_SMC_Brazil_FY26Q1</t>
  </si>
  <si>
    <t>Carat_Microsoft_Security_Data Security_SMC_Chile_FY26Q1</t>
  </si>
  <si>
    <t>Carat_Microsoft_Security_Data Security_SMC_China_FY26Q1</t>
  </si>
  <si>
    <t>Carat_Microsoft_Security_Data Security_SMC_Colombia_FY26Q1</t>
  </si>
  <si>
    <t>Carat_Microsoft_Security_Data Security_SMC_Ecuador_FY26Q1</t>
  </si>
  <si>
    <t>Carat_Microsoft_Security_Data Security_SMC_Hong Kong_FY26Q1</t>
  </si>
  <si>
    <t>Carat_Microsoft_Security_Data Security_SMC_Mexico_FY26Q1</t>
  </si>
  <si>
    <t>Carat_Microsoft_Security_Data Security_SMC_Peru_FY26Q1</t>
  </si>
  <si>
    <t>Carat_Microsoft_Security_Data Security_SMC_Taiwan_FY26Q1</t>
  </si>
  <si>
    <t>Carat_Microsoft_Security_Data Security_SMC_Trinidad and Tobago_FY26Q1</t>
  </si>
  <si>
    <t>Carat_Microsoft_Security_Data Security_SMC_United States_FY26Q1</t>
  </si>
  <si>
    <t>Media Lab Global | FY26_Q4_Cross-Cloud_Integrate_Content Syndication_fins-integrate-fr | Linked</t>
  </si>
  <si>
    <t>Charter Works Inc.|Charter Works Inc. - End of Year - Dec '25 - Jan '26|Linked</t>
  </si>
  <si>
    <t>Charter Works</t>
  </si>
  <si>
    <t>Contentsquare_MENAT_FY25Q4</t>
  </si>
  <si>
    <t>FERMAT_Enterprise_FY25Q4</t>
  </si>
  <si>
    <t>Fermat</t>
  </si>
  <si>
    <t>Amruta/Niyati</t>
  </si>
  <si>
    <t>Shrinivas/Amit</t>
  </si>
  <si>
    <t>Chandrakant/Amruta</t>
  </si>
  <si>
    <t>Manisha/Shrinivas</t>
  </si>
  <si>
    <t>Prioritize AU &amp; UK then Move to US &amp; UK</t>
  </si>
  <si>
    <t>Abhishek/Jaywant/Mahesh</t>
  </si>
  <si>
    <t>Vivek/Vishvajit/Atul A</t>
  </si>
  <si>
    <t>Sumedha/Aishwarya/Shilpika/Anand</t>
  </si>
  <si>
    <t>Abhijeet/ Vivek /Amit/Atul A</t>
  </si>
  <si>
    <t>Srushti/Ashish</t>
  </si>
  <si>
    <t>Shweta/Shahrukh</t>
  </si>
  <si>
    <t>Niketan/Sameer/Amruta/Chandrakant</t>
  </si>
  <si>
    <t>Manisha/Shrinivas/Pooja/Saket</t>
  </si>
  <si>
    <t>Shrikant/Sumedha</t>
  </si>
  <si>
    <t>Anand/Jaywant</t>
  </si>
  <si>
    <t>Amruta/Chandrakant</t>
  </si>
  <si>
    <t>APAC_SAP_SEA NON Install_FY26Q1</t>
  </si>
  <si>
    <t>MFG_Google_GCP CorpMME _FY26Q1</t>
  </si>
  <si>
    <t>MFG_Google_GCP ENTExisting _FY26Q1</t>
  </si>
  <si>
    <t>Saket/Pooja</t>
  </si>
  <si>
    <t>MFG_Google_GCP ENTGreenfield _FY26Q1</t>
  </si>
  <si>
    <t>MFG_Google_GCP StartupExisting _FY26Q1</t>
  </si>
  <si>
    <t>MFG_Google_GCP StartupGreenfield _FY26Q1</t>
  </si>
  <si>
    <t>Niketan/Amruta/Chandrakant</t>
  </si>
  <si>
    <t>MFG_Google_GWS Corp MME_FY26Q1</t>
  </si>
  <si>
    <t>MFG_Google_GWS ENT_FY26Q1</t>
  </si>
  <si>
    <t>Apptio_Prospect_Core_APAC_Tier 2_Jan_FY26Q1</t>
  </si>
  <si>
    <t>PagerDuty_NetNew OpEx AI-First NAM Single Touch_FY26Q4</t>
  </si>
  <si>
    <t>Ashish/Sumedha/Aishwarya</t>
  </si>
  <si>
    <t>Amit/Atul A</t>
  </si>
  <si>
    <t>Avalara_EMEA_CS_MM_FY26Q1</t>
  </si>
  <si>
    <t>Vivek/Vishvajit</t>
  </si>
  <si>
    <t>Avalara_EMEA_CS_SMB_FY26Q1</t>
  </si>
  <si>
    <t>Shilpika/Srushti</t>
  </si>
  <si>
    <t>Niketan/Sameer/Mahima</t>
  </si>
  <si>
    <t>Aishwarya/Mahima/Srushti/Ashish</t>
  </si>
  <si>
    <t>Mahima/Mahesh</t>
  </si>
  <si>
    <t>Prathamesh/Srushti</t>
  </si>
  <si>
    <t>Aishwarya/Sameer</t>
  </si>
  <si>
    <t>Shrinivas /Amit</t>
  </si>
  <si>
    <t>Shilpika/Anand/Niyati/Abhishek</t>
  </si>
  <si>
    <t>Atul A/Amit/Abhijeet/Vishvajit</t>
  </si>
  <si>
    <t>Shahrukh/Jaywant</t>
  </si>
  <si>
    <t>Komal/Mahima/Shweta</t>
  </si>
  <si>
    <t>Pooja/Manisha</t>
  </si>
  <si>
    <t>Level</t>
  </si>
  <si>
    <t>High Priority – Please publish before 6PM</t>
  </si>
  <si>
    <t>Srushti / Sejal</t>
  </si>
  <si>
    <t>Shweta / Abhijeet</t>
  </si>
  <si>
    <t>Mahesh / Abhishek / Shrikant / Jaywant</t>
  </si>
  <si>
    <t>Vivek / Vishvajit / Atul A / Amit</t>
  </si>
  <si>
    <t>Q425 - Saudi Arabia ABM Campaign - CandorWorks</t>
  </si>
  <si>
    <t>Srushti / Ashish / Sejal / Komal / Prathamesh</t>
  </si>
  <si>
    <t>Shweta / Manisha / Shrinivas / Saket / Pooja</t>
  </si>
  <si>
    <t>FY26 Q2 DAQ UK PD</t>
  </si>
  <si>
    <t>Anand / Saket / Shilpika / Komal / Prathamesh</t>
  </si>
  <si>
    <t>Niketan / Amruta / Chandrakant / Sameer</t>
  </si>
  <si>
    <t>Manisha / Shrinivas / Vivek / Vishvajit / Shweta / Sumedha / Aishwariya</t>
  </si>
  <si>
    <t>Amit / Atul A / Pooja / Sumedha / Aishwariya / Abhijeet / Saket</t>
  </si>
  <si>
    <t>Srushti / Mahima</t>
  </si>
  <si>
    <t>Srushti / Ashish / Sejal / Mahima</t>
  </si>
  <si>
    <t>Gainsight_ EMEA_ CC Practitioners_ 2 CQ_FY25Q4_ Incremental</t>
  </si>
  <si>
    <t>Dentsu_Ericsson_Athena Master_FY25Q4</t>
  </si>
  <si>
    <t>Auidt leads as per sgement Pacing in Specs bible</t>
  </si>
  <si>
    <t>Ericsson</t>
  </si>
  <si>
    <t>Dentsu_Ericsson_Athena Priority_FY25Q4</t>
  </si>
  <si>
    <t>Apptio_Prospect_Core_AMS_Commercial_Jan_FY26Q1</t>
  </si>
  <si>
    <t>Apptio_Prospect_Core_AMS_FSR Enterprise East_Jan_FY26Q1</t>
  </si>
  <si>
    <t>Apptio_Prospect_Core_AMS_FSR Enterprise West_Jan_FY26Q1</t>
  </si>
  <si>
    <t>Apptio_Prospect_Core_AMS_FSR Strategic_Jan_FY26Q1</t>
  </si>
  <si>
    <t>Apptio_Prospect_Core_AMS_Public Sector_Jan_FY26Q1</t>
  </si>
  <si>
    <t>Apptio_Prospect_Core_APAC_Tier 1_Jan_FY26Q1</t>
  </si>
  <si>
    <t>Apptio_Prospect_Core_EMEA_Tier 1_Jan_FY26Q1</t>
  </si>
  <si>
    <t>Apptio_Prospect_Core_EMEA_Tier 2_Jan_FY26Q1</t>
  </si>
  <si>
    <t>Apptio_Prospect_Core_LATAM_Jan_FY26Q1</t>
  </si>
  <si>
    <t>Apptio_Prospect_DevOps_AMS_Commercial_Jan_FY26Q1</t>
  </si>
  <si>
    <t>Apptio_Prospect_DevOps_AMS_FSR Enterprise East_Jan_FY26Q1</t>
  </si>
  <si>
    <t>Apptio_Prospect_DevOps_AMS_FSR Enterprise West_Jan_FY26Q1</t>
  </si>
  <si>
    <t>Apptio_Prospect_DevOps_AMS_Public Sector_Jan_FY26Q1</t>
  </si>
  <si>
    <t>Apptio_Prospect_DevOps_APAC_Tier 1_Jan_FY26Q1</t>
  </si>
  <si>
    <t>Apptio_Prospect_DevOps_APAC_Tier 2_Jan_FY26Q1</t>
  </si>
  <si>
    <t>Apptio_Prospect_DevOps_EMEA_Tier 1_Jan_FY26Q1</t>
  </si>
  <si>
    <t>Apptio_Prospect_DevOps_EMEA_Tier 2_Jan_FY26Q1</t>
  </si>
  <si>
    <t>Apptio_Prospect_FinOps_AMS_Commercial_Jan_FY26Q1</t>
  </si>
  <si>
    <t>Apptio_Prospect_FinOps_AMS_FSR Enterprise East_Jan_FY26Q1</t>
  </si>
  <si>
    <t>Apptio_Prospect_FinOps_AMS_FSR Enterprise West_Jan_FY26Q1</t>
  </si>
  <si>
    <t>Apptio_Prospect_FinOps_AMS_Public Sector_Jan_FY26Q1</t>
  </si>
  <si>
    <t>Apptio_Prospect_FinOps_APAC_Tier 1_Jan_FY26Q1</t>
  </si>
  <si>
    <t>Apptio_Prospect_FinOps_APAC_Tier 2_Jan_FY26Q1</t>
  </si>
  <si>
    <t>Apptio_Prospect_FinOps_EMEA_Tier 1_Jan_FY26Q1</t>
  </si>
  <si>
    <t>Apptio_Prospect_FinOps_EMEA_Tier 2_Jan_FY26Q1</t>
  </si>
  <si>
    <t>Mahesh / Abhishek</t>
  </si>
  <si>
    <t>Shrikant / Jaywant</t>
  </si>
  <si>
    <t>OMD_SAP_Suite_Cross Portfolio_IDP-036_UKI_FY26Q1</t>
  </si>
  <si>
    <t>OMD_SAP_Suite_FSM for CFO/CPO_IDP-043_USA_FY26Q1</t>
  </si>
  <si>
    <t>OMD_SAP_Suite_SCM for COO/CSCO_IDP-037_UKI_FY26Q1</t>
  </si>
  <si>
    <t>OMD_SAP_Suite_SCM for COO/CSCO_IDP-037_US_FY26Q1</t>
  </si>
  <si>
    <t>Ashish / Mahima</t>
  </si>
  <si>
    <t>Shweta / Vishvajit</t>
  </si>
  <si>
    <t>Simplify Compliance|Simplify Compliance: SmarterDx - TC TC3627- Jan '26|Linked</t>
  </si>
  <si>
    <t>Simplify Compliance|Simplify Compliance: Unum - TC1336 - Jan - Feb '26|Linked</t>
  </si>
  <si>
    <t>Workday, Inc. | FY26 Q4 DACH Planning CB | Linked</t>
  </si>
  <si>
    <t>Dentsu_Vodafone_Boundless Working_FY26H2</t>
  </si>
  <si>
    <t>Vodafone</t>
  </si>
  <si>
    <t>Dentsu_Vodafone_Secure Connected Enterprise_FY26H2</t>
  </si>
  <si>
    <t>Dentsu_Vodafone_Smart Operations_FY26H2</t>
  </si>
  <si>
    <t>Sony_EMEA_CS_FY26Q1</t>
  </si>
  <si>
    <t>Sony</t>
  </si>
  <si>
    <t>Sony_Germany_CS_FY26Q1</t>
  </si>
  <si>
    <t>MIS will share the file + Database</t>
  </si>
  <si>
    <t>Anand / Atul A / Shilpika</t>
  </si>
  <si>
    <t>Abhijeet / Amit</t>
  </si>
  <si>
    <t>Manisha / Shrinivas / Amit</t>
  </si>
  <si>
    <t>High Priority &amp; Share the file Before 8 PM</t>
  </si>
  <si>
    <t>Mahesh / Abhishek / Shrikant / Jaywant / Amruta / Chandrakant / Niketan</t>
  </si>
  <si>
    <t>Vivek / Vishvajit / Amit / Atul A / Manisha / Shrinivas / Abhijeet</t>
  </si>
  <si>
    <t>Anand / Shilpika / Aishwarya / Sumedha / Niyati</t>
  </si>
  <si>
    <t>Amit / Atul A / Abhijeet / Vivek / Vishvajit</t>
  </si>
  <si>
    <t>Srushti / Ashish / Sejal / Mahima / Komal / Prathamesh</t>
  </si>
  <si>
    <t>Shweta / Atul A / Shrinivas / Abhijeet / Saket / Pooja</t>
  </si>
  <si>
    <t>NAW_NA_LG_26Q1_INTACCT_US_DD</t>
  </si>
  <si>
    <t>Sage</t>
  </si>
  <si>
    <t>Atul</t>
  </si>
  <si>
    <t>Niketan / Chandrakant / Sameer / Manisha / Shweta / Vivek / Abhijeet / Pooja / Atul A</t>
  </si>
  <si>
    <t>Sr No</t>
  </si>
  <si>
    <t>FY26 Q2 PXI IN PD</t>
  </si>
  <si>
    <t>Abhishek / Shrikant / Vishwajit / Saket</t>
  </si>
  <si>
    <t>Genetec-ROI-DNA-DT-Tal- AUS Seg 1 - EMEA/38861386890 EP23</t>
  </si>
  <si>
    <t>Prathamesh / Mahesh</t>
  </si>
  <si>
    <t>Genetec</t>
  </si>
  <si>
    <t>Genetec-ROI-DNA-DT-Tal- AUS Seg 2 - EMEA/38861386890 EP23</t>
  </si>
  <si>
    <t>Shilpika / Ashish / Mahesh</t>
  </si>
  <si>
    <t>Abhijeet / Shweta / Pooja</t>
  </si>
  <si>
    <t>Vishvajit / Saket</t>
  </si>
  <si>
    <t>Jaywant / Abhishek / Shrikant</t>
  </si>
  <si>
    <t>Finn Partners_CareFirst_Level Funding US_FY26Q1</t>
  </si>
  <si>
    <t>Care First</t>
  </si>
  <si>
    <t xml:space="preserve"> 16:36</t>
  </si>
  <si>
    <t>Target EMEA English countries</t>
  </si>
  <si>
    <t>Fonoa_AllVerticals_CS+1CQ_FY25Q4_SYNAPSE_Event</t>
  </si>
  <si>
    <t>Priority Share the file Before 6 PM</t>
  </si>
  <si>
    <t>VTEX_CS26Q1_FINANCE_GLO_SD_TAL</t>
  </si>
  <si>
    <t>Shrikant / Prathamesh</t>
  </si>
  <si>
    <t>VTEX_CS26Q1_IT_GLO_SD_TAL</t>
  </si>
  <si>
    <t>Abhijeet / Shrinivas / Aishwarya</t>
  </si>
  <si>
    <t>VTEX_CS26Q1_TAX_GLO_SD_TAL</t>
  </si>
  <si>
    <t>Ashish / Shweta / Amit</t>
  </si>
  <si>
    <t>Aishwarya / Vishvajit / Anand</t>
  </si>
  <si>
    <t xml:space="preserve"> 17:49</t>
  </si>
  <si>
    <t>PagerDuty_NetNew GrowRev InnovationVelocity NAM Single Touch_FY26Q4</t>
  </si>
  <si>
    <t>Omnissa_Citrix Compete+BGC_FY26Q1</t>
  </si>
  <si>
    <t>Prathamesh / Abhijeet / Shrinivas</t>
  </si>
  <si>
    <t>Omnissa</t>
  </si>
  <si>
    <t>Omnissa_Healthcare +BGC_FY26Q1</t>
  </si>
  <si>
    <t>Vishvajit / Shrinivas</t>
  </si>
  <si>
    <t>Omnissa_Modern Management +BGC_FY26Q1</t>
  </si>
  <si>
    <t>Amit / Pooja / Atul A</t>
  </si>
  <si>
    <t>Amruta / Chandrakant / Anand / Shrinivas / Mahima / Srushti</t>
  </si>
  <si>
    <t>Shweta / Saket / Vishvajit</t>
  </si>
  <si>
    <t>Shilpika / Srushti / Atul A / Amit / Mahesh / Jaywant / Abhishek  / Shrikant</t>
  </si>
  <si>
    <t>Saket / Vishvajit</t>
  </si>
  <si>
    <t>Shiplika / Mahima</t>
  </si>
  <si>
    <t>Abhijeet / Abhishek</t>
  </si>
  <si>
    <t>Carat_Microsoft_GitHub_GitHub Sales-Serve AI and Platform TAL_Korea_FY26Q1</t>
  </si>
  <si>
    <t>Ashish / Shweta / Pooja / Aishwarya / Abhijeet / Anand</t>
  </si>
  <si>
    <t>Carat_Microsoft_Cloud and AI Platforms_Unify Your Data Platform_SMC_France_FY26Q1</t>
  </si>
  <si>
    <t>Chandrakant / Jaywant</t>
  </si>
  <si>
    <t>Amit / Pooja</t>
  </si>
  <si>
    <t>Chandrakant / Mahesh / Shrinivas</t>
  </si>
  <si>
    <t>Shilpika / Mahesh / Atul A</t>
  </si>
  <si>
    <t>MIS + Database</t>
  </si>
  <si>
    <t>Amit / Mahesh / Jaywant</t>
  </si>
  <si>
    <t>Aishwarya / Anand</t>
  </si>
  <si>
    <t xml:space="preserve"> 18:14</t>
  </si>
  <si>
    <t>Pooja / Prathamesh / Ashish / Sameer</t>
  </si>
  <si>
    <t>Jaywant / Mahima</t>
  </si>
  <si>
    <t>Srushti / Sameer</t>
  </si>
  <si>
    <t>Mahima / Sameer / Amruta</t>
  </si>
  <si>
    <t>Chandrakant / Prathamesh</t>
  </si>
  <si>
    <t>Sameer / Mahima</t>
  </si>
  <si>
    <t xml:space="preserve"> 20:05</t>
  </si>
  <si>
    <t>jaywant</t>
  </si>
  <si>
    <t xml:space="preserve"> 20:49</t>
  </si>
  <si>
    <t>Abhishek Gite</t>
  </si>
  <si>
    <t xml:space="preserve"> 21:18</t>
  </si>
  <si>
    <t xml:space="preserve"> 23:02</t>
  </si>
  <si>
    <t>Amruta Tapal</t>
  </si>
  <si>
    <t xml:space="preserve"> 23:42</t>
  </si>
  <si>
    <t xml:space="preserve"> 23:43</t>
  </si>
  <si>
    <t xml:space="preserve"> 00:00</t>
  </si>
  <si>
    <t xml:space="preserve"> 00:01</t>
  </si>
  <si>
    <t>52790_Aviation Pros: Aircraft Maintenance Technology/Cradlepoint, Inc (Ericsson)</t>
  </si>
  <si>
    <t>EndeavorB2B</t>
  </si>
  <si>
    <t xml:space="preserve"> 00:11</t>
  </si>
  <si>
    <t>All L2's</t>
  </si>
  <si>
    <t xml:space="preserve"> 00:56</t>
  </si>
  <si>
    <t>Atul A / Abhijeet</t>
  </si>
  <si>
    <t>Shilpika / Anand / Niyati / Komal / Prathmesh / Mahesh</t>
  </si>
  <si>
    <t>Atul A / Abhijeet / Vivek / Saket / Manisha</t>
  </si>
  <si>
    <t>Mahesh / Abhishek G / Aishwarya</t>
  </si>
  <si>
    <t>Vivek / Vishvajit / Abhijeet</t>
  </si>
  <si>
    <t>High Priority – Please publish before 7PM</t>
  </si>
  <si>
    <t>Srushti / Chandrakant / Prathmesh / Amruta / Aishwarya / Ashish</t>
  </si>
  <si>
    <t>Vivek / Vishvajit / Saket / Shweta / Abhijeet / Atul A</t>
  </si>
  <si>
    <t>Srushti / Mahima / Sejal / Ashish / Aishwarya / Komal / Niyati</t>
  </si>
  <si>
    <t>Shweta / Shahrukh / Manisha / Shrinivas / Abhijeet / Saket / Atul A</t>
  </si>
  <si>
    <t>High Priority: Please publish before 9:00 PM. WV file is attached in QA mail. Do not disqualify leads based on tenure, dual titles, or 5K+ company size for C-level roles.</t>
  </si>
  <si>
    <t>Sameer / Amruta / Aishwariya</t>
  </si>
  <si>
    <t>Atul A / Vivek / Abhijeet</t>
  </si>
  <si>
    <t>Vivek / Abhijeet / Mahesh</t>
  </si>
  <si>
    <t>Sameer / Saket</t>
  </si>
  <si>
    <t>Shweta / Shahrukh / Mahima / Ashish / Srushti / Sejal</t>
  </si>
  <si>
    <t>Carat_Microsoft_Cloud and AI Platforms_Innovate with Azure AI Apps &amp; Agents_SMC_New Zealand_FY26Q1</t>
  </si>
  <si>
    <t>Carat_Microsoft_Cloud and AI Platforms_Innovate with Azure AI Apps &amp; Agents_ENT_Netherlands_FY26Q1</t>
  </si>
  <si>
    <t>Komal / Prathmesh</t>
  </si>
  <si>
    <t>Shrikant / Abhishek G / Mahesh / Jaywant / Niyati</t>
  </si>
  <si>
    <t>Shrikant / Sameer</t>
  </si>
  <si>
    <t>Shrikant / Abhishek G / Jaywant</t>
  </si>
  <si>
    <t>Srushti / Komal / Prathmesh</t>
  </si>
  <si>
    <t>Aishwarya / Niyati</t>
  </si>
  <si>
    <t>Jaywant / Mahesh / Komal</t>
  </si>
  <si>
    <t>Sejal / Jaywant</t>
  </si>
  <si>
    <t>Shahrukh / Shilpika / Anand / Niyati</t>
  </si>
  <si>
    <t>Solarwinds__Webinar_Jan 2026</t>
  </si>
  <si>
    <t>Database (India - 30, Australia - 90)</t>
  </si>
  <si>
    <t>Solarwinds</t>
  </si>
  <si>
    <t>CareFirst</t>
  </si>
  <si>
    <t>Simplify Compliance|Simplify Compliance: HCPro - TC3632 - Jan - Feb '26|Linked</t>
  </si>
  <si>
    <t>Veeam + Kyndryl|Content Syndication Program - Veeam on-demand webinar|Linked</t>
  </si>
  <si>
    <t>Veeam</t>
  </si>
  <si>
    <t>Mahesh / Srushti / Sameer</t>
  </si>
  <si>
    <t>Shrikant / Abhishek G</t>
  </si>
  <si>
    <t>Komal / Prathmesh / Aishwariya</t>
  </si>
  <si>
    <t>Abhishek G / Sejal</t>
  </si>
  <si>
    <t>Niyati / Sameer</t>
  </si>
  <si>
    <t>Mahima / Srushti</t>
  </si>
  <si>
    <t>Sejal / Ashish</t>
  </si>
  <si>
    <t>Shilpika / Anand / Atul A</t>
  </si>
  <si>
    <t>Ashish / Mahima / Shilpika</t>
  </si>
  <si>
    <t>Vimeo_Global_Reframe_Campaign_FR_DT_Spec</t>
  </si>
  <si>
    <t>Vimeo_Global_Reframe_Campaign_IN_DT_Spec</t>
  </si>
  <si>
    <t>Vimeo_Global_Reframe_Campaign_JP_DT_Spec</t>
  </si>
  <si>
    <t>Abihjeet</t>
  </si>
  <si>
    <t>Vimeo_Global_Reframe_Campaign_KR_DT_Spec</t>
  </si>
  <si>
    <t>Vimeo_Global_Reframe_Campaign_SG_DT_Spec</t>
  </si>
  <si>
    <t>Srushti / Mahima / Sejal / Ashish</t>
  </si>
  <si>
    <t>Shweta / Shahrukh / Manisha / Saket</t>
  </si>
  <si>
    <t>WV From Mail - Prioritise AU&amp;UK Rest US&amp;CA - Consider MAX 7 CPC (High Priority - Publish the file before 8PM)</t>
  </si>
  <si>
    <t>Amruta / Komal / Prathmesh</t>
  </si>
  <si>
    <t>Manisha / Saket / Vishvajit</t>
  </si>
  <si>
    <t>Shilpika / Aishwariya / Niyati / Anand</t>
  </si>
  <si>
    <t>Manisha / Shrinivas / Shweta / Shahrukh</t>
  </si>
  <si>
    <t>Sameer / Srushti / Sejal / Mahima</t>
  </si>
  <si>
    <t>Shrinivas / Shweta / Shahrukh / Atul A</t>
  </si>
  <si>
    <t>Cisco</t>
  </si>
  <si>
    <t>Jaywant / Mahesh / Abhishek G / Shrikant</t>
  </si>
  <si>
    <t>Shrinivas / Vivek / Saket / Manisha</t>
  </si>
  <si>
    <t>Amruta / Shilpika / Abhishek / Jaywant / Prathmesh / Mahima / Sejal</t>
  </si>
  <si>
    <t>PagerDuty_OpExcellence Ai-First EMEA UKI Single Touch_FY26Q3Q4</t>
  </si>
  <si>
    <t>Shrinivas / Shahrukh / Abhijeet</t>
  </si>
  <si>
    <t>Ashish / Sejal</t>
  </si>
  <si>
    <t>Carat_Microsoft_Cloud and AI Platforms_Innovate with Azure AI Apps &amp; Agents_SMC_Australia_FY26Q1</t>
  </si>
  <si>
    <t>Shubham R</t>
  </si>
  <si>
    <t>Abhishek / Mahesh</t>
  </si>
  <si>
    <t>Vishvajit / Pooja</t>
  </si>
  <si>
    <t>Shrikant / Mahesh / Jaywant</t>
  </si>
  <si>
    <t>Vishvajit / Saket / Shahrukh</t>
  </si>
  <si>
    <t>Komal / Prathmesh / Sameer</t>
  </si>
  <si>
    <t>Sejal / Komal / Mahima</t>
  </si>
  <si>
    <t>Shweta / Shrinivas / Shahrukh</t>
  </si>
  <si>
    <t>Niketan / Chandrkant / Ashish</t>
  </si>
  <si>
    <t>Pooja / Saket / Vishvajit</t>
  </si>
  <si>
    <t>Mandatory Completion - High Priority</t>
  </si>
  <si>
    <t>Mahima / Sejal / Ashish / Abhishek</t>
  </si>
  <si>
    <t>Sameer / Sejal / Niyati</t>
  </si>
  <si>
    <t>Vishvajit / Abhijeet</t>
  </si>
  <si>
    <t>Niyati / Shilpika / Anand</t>
  </si>
  <si>
    <t>India - 20, Australia - 90, SG, TH and ID - 250</t>
  </si>
  <si>
    <t>Verizon EMEA_AI Scale CS_FY26Q1</t>
  </si>
  <si>
    <t>France - 10 |Sweden - 10 | United Kingdom - 40 | Germany - 40</t>
  </si>
  <si>
    <t>Verizon</t>
  </si>
  <si>
    <t>Verizon EMEA_Network CS_FY26Q1</t>
  </si>
  <si>
    <t>Niketan / Chandrkant</t>
  </si>
  <si>
    <t>France - 20 |Sweden - 30 | United Kingdom - 60 | Germany - 60</t>
  </si>
  <si>
    <t>Aishwarya / Jaywant</t>
  </si>
  <si>
    <t>Saket / Atul A</t>
  </si>
  <si>
    <t>Shweta / Shrinivas</t>
  </si>
  <si>
    <t>Mahima / Sameer</t>
  </si>
  <si>
    <t>Shahrukh / Manisha</t>
  </si>
  <si>
    <t>Sameer / Aishwarya</t>
  </si>
  <si>
    <t>WPP|Maersk IMEA Resilience Webinar - FY26Q1|Linked 3262A7</t>
  </si>
  <si>
    <t>Maersk</t>
  </si>
  <si>
    <t>WPP|Maersk IMEA Resilience Webinar - FY26Q1|Linked F296CE</t>
  </si>
  <si>
    <t>Simplify Compliance|Simplify Compliance: Concord - TC3620 - Jan - Feb '26|Linked</t>
  </si>
  <si>
    <t>Simplify Compliance|Simplify Compliance: Maven Webinar - TC1492 - Jan '26|Linked</t>
  </si>
  <si>
    <t>Snowflake | Snowflake FY25Q4 AMS Enterprise 2T 2QQ Central P1 - AI/ML | Linked</t>
  </si>
  <si>
    <t>Atul A / Shahrukh</t>
  </si>
  <si>
    <t>Snowflake</t>
  </si>
  <si>
    <t>Abhishek / Shrikant / Niketan / Aishwarya / Sumedha / Niyati / Jaywant / Abhijeet / Atul A</t>
  </si>
  <si>
    <t>Abhishek / Shrinivas / Shrikant</t>
  </si>
  <si>
    <t>Shrinivas / Vishvajit / Shweta / Manisha / Pooja / Saket / Shahrukh / Amit</t>
  </si>
  <si>
    <t>Pooja / Manisha / Shahrukh / Abhijeet</t>
  </si>
  <si>
    <t>Chandrkant / Shilpika</t>
  </si>
  <si>
    <t>Chandrkant / Anand</t>
  </si>
  <si>
    <t>Gartner | Pipeline360_ITCIO_ANZ_GTS_Oct_2025 | Linked</t>
  </si>
  <si>
    <t>Garter</t>
  </si>
  <si>
    <t>Anandha</t>
  </si>
  <si>
    <t>Shweta / Shrinivas / Manisha</t>
  </si>
  <si>
    <t>Veeam Kyndryl Content Syndication Program - Veeam on-demand webinar Linked</t>
  </si>
  <si>
    <t>Sejal / Mahesh / Shrikant</t>
  </si>
  <si>
    <t>Shahrukh / Vishvajit / Pooja</t>
  </si>
  <si>
    <t>Jaywant / Sameer / Prathmesh</t>
  </si>
  <si>
    <t>In</t>
  </si>
  <si>
    <t>Prafulla</t>
  </si>
  <si>
    <t xml:space="preserve"> 00:54</t>
  </si>
  <si>
    <t>Sumedha/Aishwarya/Abhishek</t>
  </si>
  <si>
    <t>Abhijeet/Vishvajit/Vivek</t>
  </si>
  <si>
    <t>Manisha/Shrinivas/Shahrukh/Shweta/Abhijeet/Atul A/Vishvajit/Vivek</t>
  </si>
  <si>
    <t>Komal/Jaywant/Niyati</t>
  </si>
  <si>
    <t>Abhishek/Shrikant/Mahesh</t>
  </si>
  <si>
    <t>Niketan/Srushti/Sumedha/Aishwarya/Shilpika/Anand/Mahesh</t>
  </si>
  <si>
    <t>Amruta/Ashish</t>
  </si>
  <si>
    <t>Chandrakant/Sameer</t>
  </si>
  <si>
    <t>Mahima/Sejal</t>
  </si>
  <si>
    <t>Audit lead as per Pacing in Specs bible</t>
  </si>
  <si>
    <t>Intentsify_New Data Offering Feed_FY26Q1</t>
  </si>
  <si>
    <t>Intentsify_New Display Advertising Offering Feed_FY26Q1</t>
  </si>
  <si>
    <t>Intentsify_ New Content Syndication Offering Feed_FY26Q1</t>
  </si>
  <si>
    <t>MIS will share WV file</t>
  </si>
  <si>
    <t>Niyati/Mahesh</t>
  </si>
  <si>
    <t>Shilpika/Anand/Mahesh</t>
  </si>
  <si>
    <t>Abhishek/Shrikant/Komal</t>
  </si>
  <si>
    <t>Niketan/Chandrakant</t>
  </si>
  <si>
    <t>Stellaxius_EMEA_FY25Q4</t>
  </si>
  <si>
    <t>Sumedha/Aishwarya/Sejal</t>
  </si>
  <si>
    <t>Stellaxius</t>
  </si>
  <si>
    <t>Komal/Anand</t>
  </si>
  <si>
    <t>Srushti/Chandrakant</t>
  </si>
  <si>
    <t>Shweta/Shrinivas</t>
  </si>
  <si>
    <t>High Priority - Direct Dial Or unique phone number required</t>
  </si>
  <si>
    <t>Require 25 Italy, 25 Germany, 25 Benelux</t>
  </si>
  <si>
    <t>Ashish/Mahima/Sejal</t>
  </si>
  <si>
    <t>PANW_EMEA_MELISA CS RENEWAL XDR_FY26Q2</t>
  </si>
  <si>
    <t>Aishwarya/Sumedha</t>
  </si>
  <si>
    <t>Chandrakant/Amruta/Sameer</t>
  </si>
  <si>
    <t>Shrikant/Komal</t>
  </si>
  <si>
    <t>Niketan/Mahima</t>
  </si>
  <si>
    <t>T-Mobile_ Public Safety_ ST_ FY26Q1</t>
  </si>
  <si>
    <t>Sameer/Amruta</t>
  </si>
  <si>
    <t>T-Mobile</t>
  </si>
  <si>
    <t>Sameer/Amruta/Ashish/Shrikant</t>
  </si>
  <si>
    <t>Manisha/Shrinivas/Shahrukh/Vivek</t>
  </si>
  <si>
    <t>Audit in AI/Data/Analytics 150 leads &amp; Rest Contact Center Segment &amp; ignore the Billing countries target Only Company or Doamain name</t>
  </si>
  <si>
    <t>Double Audit Done</t>
  </si>
  <si>
    <t>High Priority before 7pm</t>
  </si>
  <si>
    <t>Domain Limit Exceeded</t>
  </si>
  <si>
    <t>APAC_SAP_AUSTRALIA_FY25Q4</t>
  </si>
  <si>
    <r>
      <t>Jaywant/Anand/Sejal/Sameer/Aishwarya</t>
    </r>
    <r>
      <rPr>
        <b/>
        <sz val="11"/>
        <color theme="1"/>
        <rFont val="Calibri"/>
        <family val="2"/>
        <scheme val="minor"/>
      </rPr>
      <t>/Vivek</t>
    </r>
  </si>
  <si>
    <t>Manisha/Shweta</t>
  </si>
  <si>
    <t>Sameer/Jaywant/Vivek</t>
  </si>
  <si>
    <t xml:space="preserve"> 22:50</t>
  </si>
  <si>
    <t>Pratik/Nilesh</t>
  </si>
  <si>
    <t>Saket/Atul A/Abhijeet/Shrinivas</t>
  </si>
  <si>
    <t>Q425 - Japan ABM Campaign - CandorWorks</t>
  </si>
  <si>
    <t>Prathamesh / Sameer / Shrikant / Srushti / Sejal / Ashish / Niyati</t>
  </si>
  <si>
    <t>Pooja / Manisha / Shrinivas / Shweta / Shahrukh / Amit / Atul A</t>
  </si>
  <si>
    <t>Genesys- Americas | GenesysÂ  1:1 New Logo TAL 2025 | Linked</t>
  </si>
  <si>
    <t>Infoblox|Q2FY26 Pipeline 360 New Logo|Linked</t>
  </si>
  <si>
    <t>Braze, Inc.|Braze Inc. - BIG Global Lead Gen Program - FY26Q4|Linked - 49C792</t>
  </si>
  <si>
    <t>Braze</t>
  </si>
  <si>
    <t>Braze, Inc.|Braze Inc. - AMER Loyalty Guide Lead Gen Program - FY26Q4|Linked</t>
  </si>
  <si>
    <t>Amruta / Mahima</t>
  </si>
  <si>
    <t>Braze, Inc.|Braze Inc. - BIG Global Lead Gen Program - FY26Q4|Linked - A56222</t>
  </si>
  <si>
    <t>Niketan / Chandrakant</t>
  </si>
  <si>
    <t>DC Velocity|(Agile Business Media): TGW Logistics - "Future-Proof Your Supply Chain" - TAL - Jan '26|Linked</t>
  </si>
  <si>
    <t>Agile Business Media</t>
  </si>
  <si>
    <t>DC Velocity|(Agile Business Media): TGW Logistics - "Future-Proof Your Supply Chain" - Suppression List - Jan '26|Linked</t>
  </si>
  <si>
    <t>MMC_Doximity_Pilot_FY25Q4</t>
  </si>
  <si>
    <t>Doximity</t>
  </si>
  <si>
    <t>WoltersKluwer_Canada_Accounting-Tax_1CQ_FY26Q1</t>
  </si>
  <si>
    <t>Anand / Shilpika / Niyati</t>
  </si>
  <si>
    <t>WoltersKluwer</t>
  </si>
  <si>
    <t>Niyati / Sejal</t>
  </si>
  <si>
    <t>Decision Segment Only (High Priority, Mandatory completion) - WV by MIS</t>
  </si>
  <si>
    <t>Srushti / Vivek / Ashish</t>
  </si>
  <si>
    <t>ASEAN Only</t>
  </si>
  <si>
    <t>FR - 20, UK - 100 (High Priority)</t>
  </si>
  <si>
    <t>FR - 40, UK - 200, Sweden - 60 (High Priority)</t>
  </si>
  <si>
    <t>Manisha / Shrinivas / Shweta / Shahrukh / Pooja / Saket / Abhijeet</t>
  </si>
  <si>
    <t>Betterup Content Syndication - Incremental - Europe_Double-touch</t>
  </si>
  <si>
    <t>Betterup Content Syndication - Incremental - USA_Double-touch</t>
  </si>
  <si>
    <t>Ignore the Billing countries target Only  Company or Doamain name</t>
  </si>
  <si>
    <t>ADBE_AP_PMP_26Q1_ANZ Marketing DM_BIG_33</t>
  </si>
  <si>
    <t>ADBE_AP_PMP_26Q1_ANZ Marketing DM_SMALL_7</t>
  </si>
  <si>
    <t>ADBE_AP_PMP_26Q1_ANZ creative DM_BIG_33</t>
  </si>
  <si>
    <t>MariaDB Content Syndication - ST Q1'26</t>
  </si>
  <si>
    <t>Mariadb</t>
  </si>
  <si>
    <t>Quadient_Mailing_NORAM_FinanceExec_2026_US_FinanceExec</t>
  </si>
  <si>
    <t>Niketan / Sameer / Amruta</t>
  </si>
  <si>
    <t>Quadient</t>
  </si>
  <si>
    <t>Quadient_Mailing_NORAM_MailAuto_2026_US_MailAuto</t>
  </si>
  <si>
    <t>Quadient_Mailing_NORAM_PSP_2026_US_PSP</t>
  </si>
  <si>
    <t>Ashish / Amit</t>
  </si>
  <si>
    <t>Require Decision and Consideration leads only</t>
  </si>
  <si>
    <t>AWS_FY26Q1_SMB_LATAM_BR</t>
  </si>
  <si>
    <t>AWS</t>
  </si>
  <si>
    <t>AWS_FY26Q1_SMB_NAMER</t>
  </si>
  <si>
    <t>Aishwarya / Sumedha / Atul A / Vishvajit / Komal / Mahima / Niyati</t>
  </si>
  <si>
    <t>AWS_FY26Q1_SMB_APJ_JP</t>
  </si>
  <si>
    <t>AWS_FY26Q1_SMB_APJ_IN</t>
  </si>
  <si>
    <t>AWS_FY26Q1_SMB_LATAM_CO&amp;MX</t>
  </si>
  <si>
    <t>AWS_FY26Q1_SMB_APJ_ANZ</t>
  </si>
  <si>
    <t>TSIA_AI Economics_JAN_FY26Q1</t>
  </si>
  <si>
    <t>Mahima / Sejal / Srushti</t>
  </si>
  <si>
    <t>Amruta / Aishwarya</t>
  </si>
  <si>
    <t>5x5_Tier 2 Targets_FY26Q1</t>
  </si>
  <si>
    <t>Anand / Niyati / Abhishek G</t>
  </si>
  <si>
    <t>5x5</t>
  </si>
  <si>
    <t>Apptio_Prospect_FinOps_LATAM_Jan_FY26Q1</t>
  </si>
  <si>
    <t>Mahima / Sejal / Srushti / Ashish / Amruta / Chandrakant / Niketan / Komal</t>
  </si>
  <si>
    <t>Shweta / Shahrukh / Manisha / Shrinivas / Pooja / Saket / Atul A / Amit / Vishwajit</t>
  </si>
  <si>
    <t>Jaywant / Mahesh / Shrikant / Abhishek G / Aishwarya / Sumedha / Abhijeet</t>
  </si>
  <si>
    <t>Srushti / Aishwarya</t>
  </si>
  <si>
    <t>Shrikant / Amruta</t>
  </si>
  <si>
    <t>MJH Life Sciences - CHE Zoom - Jan '26</t>
  </si>
  <si>
    <t>Abhishek G / Niketan / Sumedha</t>
  </si>
  <si>
    <t>Shrikant / Prathmesh / Niketan</t>
  </si>
  <si>
    <t>High Priority: Audit only ENT TAL segment - Please publish before 7PM</t>
  </si>
  <si>
    <t>CY26Q1 | NA | Direct Partners 63D5BF</t>
  </si>
  <si>
    <t>CY26Q1 | NA | Direct Partners 925982</t>
  </si>
  <si>
    <t>Manisha / Shrinivas / Atul A / Abhijeet / Pooja / Saket</t>
  </si>
  <si>
    <t>CY26Q1 | NA | Direct Partners ECA867</t>
  </si>
  <si>
    <t>Abhishek G / Jaywant / Mahesh / Aishwarya / Sumedha</t>
  </si>
  <si>
    <t>Vishvajit / Pooja / Saket / Abhijeet / Atul A</t>
  </si>
  <si>
    <t>Q425 Retool - AMER Engineering ABM</t>
  </si>
  <si>
    <t>Ashish / Amruta / Vishvajit / Niketan</t>
  </si>
  <si>
    <t>Shahrukh / Amit / manisha / Vishvajit</t>
  </si>
  <si>
    <t>Retool</t>
  </si>
  <si>
    <t>High Priority - Audit leads across all listed countries</t>
  </si>
  <si>
    <t>Chandrakant / Mahesh / Jaywant / Shrikant</t>
  </si>
  <si>
    <t>Pooja / Shweta / Saket / Abhijeet</t>
  </si>
  <si>
    <t>Audit 125 leads in AI/Data/Analytics &amp; Rest in Contact Centre Segment ( Ignore the Billing countries target Only Company or Domain Name )</t>
  </si>
  <si>
    <t>High Priority (Require France - 20, Germany - 30, MEA - 20 &amp; UKI - 30)</t>
  </si>
  <si>
    <t>Chandrakant / Ashish / Amruta / Niketan / Anand / Shilpika / Niyati / Sumedha / Aishwarya / Mahesh</t>
  </si>
  <si>
    <t>mahima</t>
  </si>
  <si>
    <t>High Priority (Require France - 30, Germany - 50, Italy - 20 &amp; UKI - 100)</t>
  </si>
  <si>
    <t>Jaywant / Mahesh / Shrikant / Abhishek G / Aishwarya / Prathmesh</t>
  </si>
  <si>
    <t>Ashish / Mahima / Sejal</t>
  </si>
  <si>
    <t>Jaywant / Mahesh</t>
  </si>
  <si>
    <t>Niyati / Anand</t>
  </si>
  <si>
    <t>Niyati / Atul A</t>
  </si>
  <si>
    <t>Srushti / Mahima / Shahrukh / Sejal / Sumedha / Jaywant</t>
  </si>
  <si>
    <t>Amit / Atul A / Shweta / Abhijeet / Vishvajit</t>
  </si>
  <si>
    <t>Amruta / Chandrakant / Niketan</t>
  </si>
  <si>
    <t>Saket / Pooja / Shahrukh / Shweta / Amit  / Vishwajit / Abhijeet</t>
  </si>
  <si>
    <t>ADBE_AP_PMP_26Q1_ANZ CMO_BIG_10</t>
  </si>
  <si>
    <t>Amruta / Shrikant</t>
  </si>
  <si>
    <t>Vishwajit / Abhijeet</t>
  </si>
  <si>
    <t>ADBE_AP_PMP_26Q1_ANZ CMO_SMALL_2</t>
  </si>
  <si>
    <t>Chandrakant / Amruta / Ashish</t>
  </si>
  <si>
    <t>Vishwajit  /Amit / Shweta</t>
  </si>
  <si>
    <t>Prathamesh / Komal / Aishwarya</t>
  </si>
  <si>
    <t>Pooja / Saket / Amit</t>
  </si>
  <si>
    <t>Anand / Shilplika / Niyati</t>
  </si>
  <si>
    <t>Amit / Vishwajit / Pooja</t>
  </si>
  <si>
    <t>Mandatory Required Allocation</t>
  </si>
  <si>
    <t>Vishwajit / Saket</t>
  </si>
  <si>
    <t>Saket / Shahrukh</t>
  </si>
  <si>
    <t>Nilesh / Shweta</t>
  </si>
  <si>
    <t>MJH Life Sciences - PT Drug Digest 1.30 - Jan '26</t>
  </si>
  <si>
    <t>MDS_PIPELINE360_GENERAL_TXT_EMEA_EMEA_MOFU_IN-MARKET_X_LEAD-GEN_DOUBLETOUCH 65A1D2 Linked 2</t>
  </si>
  <si>
    <t>Srushti / Anand</t>
  </si>
  <si>
    <t>Shweta / Amit</t>
  </si>
  <si>
    <t>Cloudflare</t>
  </si>
  <si>
    <t>High Priority - Need real-time audit</t>
  </si>
  <si>
    <t>Q126 Pilot Campaign</t>
  </si>
  <si>
    <t>Abhijeet / Vishwajit</t>
  </si>
  <si>
    <t>Velocity Engine</t>
  </si>
  <si>
    <t>Sameer / Niketan  /Amruta</t>
  </si>
  <si>
    <t>Abhijeet / Amit / Pooja</t>
  </si>
  <si>
    <t>High Priority - Publish file before 5PM</t>
  </si>
  <si>
    <t>Shilpika / Anand</t>
  </si>
  <si>
    <t>Niketan / Sameer / Chandrakant</t>
  </si>
  <si>
    <t>Require leads from Experiential Marketing only</t>
  </si>
  <si>
    <t>High Priority (Publish WV reports in Slots)</t>
  </si>
  <si>
    <t>Vishwajit / Pooja</t>
  </si>
  <si>
    <t>Amit / Abhijeet</t>
  </si>
  <si>
    <t>Abhishek / Jaywant</t>
  </si>
  <si>
    <t>Vishwajit / Amit</t>
  </si>
  <si>
    <t>Komal / Prathamesh / Jaywant</t>
  </si>
  <si>
    <t>Pooja / Saket /Shahrukh</t>
  </si>
  <si>
    <t>Mahima / Sejal / Abhishek</t>
  </si>
  <si>
    <t>Mahima / Sejal / Ashish / Sumedha / Aishwarya / Niyati / Shilpika / Anand / Abhishek / Shrikant / Jaywant / Prathamesh</t>
  </si>
  <si>
    <t>Shweta / Shahrukh / Amit</t>
  </si>
  <si>
    <t>Splunk, Inc.  Splunk_FY26Q2_FMM-AMER_AMCA-CA_SEC-LCES_1-Touch_PIP_CS  Linked</t>
  </si>
  <si>
    <t xml:space="preserve"> 00:58</t>
  </si>
  <si>
    <t xml:space="preserve"> 01:31</t>
  </si>
  <si>
    <t xml:space="preserve"> 01:34</t>
  </si>
  <si>
    <t xml:space="preserve"> 02:00</t>
  </si>
  <si>
    <t>Need file before 7 pm.</t>
  </si>
  <si>
    <t>Audit leads as per Leads Pacing in Spces bible</t>
  </si>
  <si>
    <t>High priority (Mandatory completion)</t>
  </si>
  <si>
    <t>Mahesh / Sejal</t>
  </si>
  <si>
    <t>Vishvajit / Atul A</t>
  </si>
  <si>
    <t>Carat_Microsoft_Cloud and AI Platforms_Migrate &amp; Modernize your Estate_SMC_Korea_FY26Q1</t>
  </si>
  <si>
    <t>52525_Mass Transit/Littlepay Limited</t>
  </si>
  <si>
    <t>Littlepay</t>
  </si>
  <si>
    <t>Shahrukh / Abhijeet</t>
  </si>
  <si>
    <t>RedHat_JustGlobal_RHEL_ANZ_FY25Q4 - 8764</t>
  </si>
  <si>
    <t>High priority (Mandatory completion) ASEAN - 140, Australia - 40</t>
  </si>
  <si>
    <t>Abhijeet / Atul A / Amit</t>
  </si>
  <si>
    <t>Manisha / Shrinivas / Pooja</t>
  </si>
  <si>
    <t>Sejal / Srushti / Chandrakant</t>
  </si>
  <si>
    <t>Shweta / Shahrukh / Saket</t>
  </si>
  <si>
    <t>Ashish / Sumedha / Aishwarya</t>
  </si>
  <si>
    <t>Shweta / Atul A / Abhijeet</t>
  </si>
  <si>
    <t>Shilpika / Niyati / Anand</t>
  </si>
  <si>
    <t>Amit / Atul A / Saket</t>
  </si>
  <si>
    <t>Vivek / Vishvajit / Amit</t>
  </si>
  <si>
    <t>High Priority: please publish file fore 6PM</t>
  </si>
  <si>
    <t>Shrikant / Komal / Prathamesh</t>
  </si>
  <si>
    <t>Niketan / Sameer / Amruta / Chandrakant</t>
  </si>
  <si>
    <t>Manisha / Shahrukh / Pooja / Saket</t>
  </si>
  <si>
    <t>Sejal / Srushti / Ashish / Sumedha / Aishwarya / Anand / Shilpika / Niyati / Abhishek</t>
  </si>
  <si>
    <t>Shrikant / Komal / Manisha / Shrinivas / Shahrukh  /Shweta / Abhijeet / Atul A / Amit / Vishvajit / Vivek / Saket / Pooja</t>
  </si>
  <si>
    <t>High Priority (Please publish in Slots)</t>
  </si>
  <si>
    <t xml:space="preserve"> 20:01</t>
  </si>
  <si>
    <t xml:space="preserve"> 21:52</t>
  </si>
  <si>
    <t xml:space="preserve"> 22:19</t>
  </si>
  <si>
    <t xml:space="preserve"> 22:23</t>
  </si>
  <si>
    <t xml:space="preserve"> 22:52</t>
  </si>
  <si>
    <t xml:space="preserve"> 23:06</t>
  </si>
  <si>
    <t xml:space="preserve"> 23:33</t>
  </si>
  <si>
    <t xml:space="preserve"> 23:34</t>
  </si>
  <si>
    <t xml:space="preserve"> 23:50</t>
  </si>
  <si>
    <t xml:space="preserve"> 00:28</t>
  </si>
  <si>
    <t xml:space="preserve"> 00:31</t>
  </si>
  <si>
    <t>Amruta / Niketan / Chandrkant</t>
  </si>
  <si>
    <t>Manisha / Shrinivas / Vivek</t>
  </si>
  <si>
    <t>High Priority: Please publish before 6:00 PM. WV file shared by MIS. Do not disqualify leads based on tenure, dual titles, no activity or 5K+ company size for C-level roles.</t>
  </si>
  <si>
    <t>Rajesh D</t>
  </si>
  <si>
    <t>High Priority - Audit only TAL Segment and publish file before 6PM</t>
  </si>
  <si>
    <t>Prathmesh / Sameer</t>
  </si>
  <si>
    <t>Saket / Shrinivas</t>
  </si>
  <si>
    <t>Srushti / Niketan / Komal</t>
  </si>
  <si>
    <t>Saket / Manisha / Pooja</t>
  </si>
  <si>
    <t>'High Priority: Please publish before 6:00 PM</t>
  </si>
  <si>
    <t>Ashish / Shrikant</t>
  </si>
  <si>
    <t>Shahrukh / Saket</t>
  </si>
  <si>
    <t>Shrinivas / Manisha / Shweta</t>
  </si>
  <si>
    <t>Audit leads as per Lead Pacing in specs bible</t>
  </si>
  <si>
    <t>Komal / Shilpika</t>
  </si>
  <si>
    <t>Vivek / Amit</t>
  </si>
  <si>
    <t>MJH Life Sciences - Sciex - Jan - Feb '26</t>
  </si>
  <si>
    <t>Simplify Compliance|Simplify Compliance: Advisory Board Webinar - TC3646|Linked</t>
  </si>
  <si>
    <t>Top priority.Need file before 8pm</t>
  </si>
  <si>
    <t>All L 1</t>
  </si>
  <si>
    <t>Required 60 Qualified Each</t>
  </si>
  <si>
    <t>Abhijeet / Atul A</t>
  </si>
  <si>
    <t>T-Mobile_ SMB_ANS_ HQL_ FY26Q1</t>
  </si>
  <si>
    <t>Pooja / Abhijeet</t>
  </si>
  <si>
    <t>Niyati / Prathmesh</t>
  </si>
  <si>
    <t>High Priority - Required - Direct Dial  &amp; Unique numbers</t>
  </si>
  <si>
    <t>Niyati / Anand / Shilpika / Chandrkant</t>
  </si>
  <si>
    <t>Data Exhaust</t>
  </si>
  <si>
    <t>Vishal</t>
  </si>
  <si>
    <t>Required Count updated</t>
  </si>
  <si>
    <t>74660_Sailpoint_BE Mitigate Cyber Risk 2T 1CQ EMEA_GY25Q4</t>
  </si>
  <si>
    <t>Simplify Compliance Simplify Compliance Advisory Board Webinar - TC TC3630 - Jan '26 Linked</t>
  </si>
  <si>
    <t>Chandrkant / Jaywant</t>
  </si>
  <si>
    <t>Pooja / Vivek</t>
  </si>
  <si>
    <t>Anand/Niyati/Shilpika/Aishwarya</t>
  </si>
  <si>
    <t>Atul A/Amit/Saket/Abhijeet</t>
  </si>
  <si>
    <t>Sumedha/Shrikant</t>
  </si>
  <si>
    <t>Saket/Vivek</t>
  </si>
  <si>
    <t>Oyster HR-MultiRegion-Tal EMEA/39680204422 EP23</t>
  </si>
  <si>
    <t>Oyster</t>
  </si>
  <si>
    <t>BA - Feb 2026</t>
  </si>
  <si>
    <t>Sejal/Ashish</t>
  </si>
  <si>
    <t>Block Advisors</t>
  </si>
  <si>
    <t>Sameer/Chandrakant</t>
  </si>
  <si>
    <t>Shrinivas/Manisha</t>
  </si>
  <si>
    <t>Anand/Niyati/Abhishek/Jaywant</t>
  </si>
  <si>
    <t>Amit/Atul A/Vishvajit/Vivek</t>
  </si>
  <si>
    <t>Komal/Prathamesh/Aishwarya</t>
  </si>
  <si>
    <t>Saket/Pooja/Abhijeet</t>
  </si>
  <si>
    <t>Mahima/Srushti/Ashish/Sameer/Chandrakant</t>
  </si>
  <si>
    <t>Shahrukh/Shweta/Manisha/Abhijeet /Shrinivas</t>
  </si>
  <si>
    <t>Shilpika/Abhishek</t>
  </si>
  <si>
    <t>Vishvajit/Vivek</t>
  </si>
  <si>
    <t>ARA</t>
  </si>
  <si>
    <t>Aras Content Syndication_2026_EMEA</t>
  </si>
  <si>
    <t>Srushti/Mahima</t>
  </si>
  <si>
    <t xml:space="preserve">High Priority - share the file before 6 PM / Audit only Director+ &amp; Open/Click leads status </t>
  </si>
  <si>
    <t>Aras</t>
  </si>
  <si>
    <t>Aras Content Syndication_2026_JAPAN</t>
  </si>
  <si>
    <t>Aras Content Syndication_2026_NA</t>
  </si>
  <si>
    <t>Shrikant/Jaywant</t>
  </si>
  <si>
    <t>Shrinivas/Atul A</t>
  </si>
  <si>
    <t>Zendesk_B_N_S_Q1_FY26_DK-SE-NO-FI_TAL_ST_PQ</t>
  </si>
  <si>
    <t>Niketan/Prathamesh</t>
  </si>
  <si>
    <t>Manisha/Pooja</t>
  </si>
  <si>
    <t>Zendesk</t>
  </si>
  <si>
    <t>MDN_PIPELINE360_GENERAL_TXT_EMEA_EMEA_MOFU_IN-MARKET_X_LEAD-GEN_DOUBLETOUCH 3F9B0D Linked 2</t>
  </si>
  <si>
    <t>MDN_PIPELINE360_GENERAL_TXT_EMEA_EMEA_MOFU_IN-MARKET_X_LEAD-GEN_SINGLETOUCH E04481 Linked 2</t>
  </si>
  <si>
    <t>SAS_Global_Insurance_DTouch_Nurture_AP_FY26Q1</t>
  </si>
  <si>
    <t>Sejal/Mahima/Srushti</t>
  </si>
  <si>
    <t>Korea: 45, Thailand: 25, Japan: 45, India: 30, Taiwan: 75, Hong Kong: 40</t>
  </si>
  <si>
    <t>SAS</t>
  </si>
  <si>
    <t>SAS_Global_Insurance_DTouch_Nurture_EMEA_FY26Q1</t>
  </si>
  <si>
    <t>Shrinivas/Manisha/Shahrukh/Shweta/Abhijeet/Amit/Atul A/Vishvajit/Vivek/Saket/Pooja</t>
  </si>
  <si>
    <t>United Kingdom: 80, UAE: 40, Turkey: 10, Switzerland: 50, Spain: 50, South Africa: 30, Saudi Arabia: 30, Portugal: 35, Poland: 30, Norway: 35, Netherlands: 30, Luxembourg: 20, Italy: 80, Ireland: 70, Germany: 170, France: 100, Finland: 35, Denmark: 35, Czech Republic: 30, Austria: 40, Belgium: 30</t>
  </si>
  <si>
    <t>SAS_Global_Insurance_DTouch_Nurture_AMER_FY26Q1</t>
  </si>
  <si>
    <t>Brazil: 35, United States: 300, Canada: 75</t>
  </si>
  <si>
    <t>Shilpika/Aishwarya</t>
  </si>
  <si>
    <t>TMP_Amdocs_Americas_FY25Q4</t>
  </si>
  <si>
    <t>Amdocs</t>
  </si>
  <si>
    <t>Manisha/Shweta/Abhijeet</t>
  </si>
  <si>
    <t>Atul A/Pooja/Vishvajit</t>
  </si>
  <si>
    <t>Chandrakant/ashish</t>
  </si>
  <si>
    <t>Niyati/Sejal</t>
  </si>
  <si>
    <t>Niketan/Sameer/Chandrakant/Sejal/Mahima/Srushti/Ashish/Sumedha/Aishwarya/Shilpika/Anand/Niyati/Jaywant/Abhishek/Shrikant/Komal/Prathamesh</t>
  </si>
  <si>
    <t>High Priority (Please publish files in slots)</t>
  </si>
  <si>
    <t>Abhishek/Komal/Prathamesh</t>
  </si>
  <si>
    <t>Vishvajit/Saket/Pooja</t>
  </si>
  <si>
    <t>Shrinivas/Amit/Vivek/Komal/Pooja</t>
  </si>
  <si>
    <t>Sejal /Sameer</t>
  </si>
  <si>
    <t>RealPage_Screening_FY26Q1_Extra Leads</t>
  </si>
  <si>
    <t>Sailpoint_BE Compliance 2T 1CQ APAC_FY25Q4</t>
  </si>
  <si>
    <t>Snowflake Snowflake FY25Q4 AMS Enterprise 2T 2QQ Central P1 - AI ML Linked</t>
  </si>
  <si>
    <t>52525_Mass Transit Littlepay Limited</t>
  </si>
  <si>
    <t>Sameer/Sejal/Shrikant/Anand</t>
  </si>
  <si>
    <t>Note: Kindly verify whether the company is a private organization. If so, please exclude it. Please treat this as high priority</t>
  </si>
  <si>
    <t>Canada and Brazil</t>
  </si>
  <si>
    <t>Sameer / Chandrakant / Niketan</t>
  </si>
  <si>
    <t>Customer Management Practice|Customer Management Practice (CMP) â€“ Language IO Content Syndication - Jan - Feb '26|Linked</t>
  </si>
  <si>
    <t>CMP</t>
  </si>
  <si>
    <t>Need file before 8 pm</t>
  </si>
  <si>
    <t>SAP + Blackline|SAP + Blackline - Q4 Business Suite Partner Program|Linked A3D2B7</t>
  </si>
  <si>
    <t>SAP + Blackline|SAP + Blackline - Q4 Business Suite Partner Program|Linked C8D51A</t>
  </si>
  <si>
    <t>Touchpoint Markets Inc.|Marketplace 2025|Linked</t>
  </si>
  <si>
    <t>Touchpoint</t>
  </si>
  <si>
    <t>Emerj|Emerj - Riskified - Jan - Feb '26|Linked</t>
  </si>
  <si>
    <t>Emerj</t>
  </si>
  <si>
    <t>Simplify Compliance|Simplify Compliance: Maven Webinar - TC3591 - Jan - Feb '26|Linked</t>
  </si>
  <si>
    <t>Sumedha  /Aishwarya</t>
  </si>
  <si>
    <t>Pooja / Amit</t>
  </si>
  <si>
    <t>Anand / Srushti</t>
  </si>
  <si>
    <t>ADBE_AP_PMP_26Q1_ANZ creative DM_SMALL_7</t>
  </si>
  <si>
    <t>Zendesk_DACH_Q1_FY26_DE_TAL_CX_EVENT_CORP_ST_QQ</t>
  </si>
  <si>
    <t>Zendesk_DACH_Q1_FY26_DE_TAL_CX_EVENT_ENT_ST_QQ</t>
  </si>
  <si>
    <t>Zendesk_France_Q1_FY26_FR_TAL_CX_EVENT_CORP_ST_QQ</t>
  </si>
  <si>
    <t>Zendesk_France_Q1_FY26_FR_TAL_CX_EVENT_ENT_ST_QQ</t>
  </si>
  <si>
    <t>Zendesk_UK_Q1_FY26_GB_TAL_CX_EVENT_CORP_ST_QQ</t>
  </si>
  <si>
    <t>Zendesk_UK_Q1_FY26_GB_TAL_CX_EVENT_ENT_ST_QQ</t>
  </si>
  <si>
    <t>Shilpika / Anand / Sumedha</t>
  </si>
  <si>
    <t>Carat_Microsoft_AI Business Solutions_Service Transformation with AI_ENT_Netherlands_FY26Q1</t>
  </si>
  <si>
    <t>Carat_Microsoft_Cloud and AI Platforms_Azure AI Transformation BDM ENT_Philippines_FY26Q1</t>
  </si>
  <si>
    <t>Carat_Microsoft_Cloud and AI Platforms_Azure AI Transformation BDM ENT_Vietnam_FY26Q1</t>
  </si>
  <si>
    <t>Prathamesh / Komal / Sameer / Shilplika / Chandrakant / Sejal / Mahima / Srushti / Ashish / Sumedha / Aishwarya / Niketan / Jaywant / Abhishek / Shrikant / Anand / Mahesh / Saket / Pooja / Shahrukh / Shweta / Amit / Vishwajit / Abhijeet / Vivek / Atul A / Manisha / Shrinivas</t>
  </si>
  <si>
    <t>High Priority (Publish in Batches)</t>
  </si>
  <si>
    <t>Mandatary Completion</t>
  </si>
  <si>
    <t>PANW EMEA_MELISA CS Agentix RENEWAL Incremental_FY26Q1</t>
  </si>
  <si>
    <t>Komal / Prathamesh / Sameer / Mahesh / Ashish / Shrikant</t>
  </si>
  <si>
    <t>PANW EMEA_MELISA CS RENEWAL Cloud Incremental_ FY26Q1</t>
  </si>
  <si>
    <t>Abhishek / Prathamesh</t>
  </si>
  <si>
    <t>Manisha  / Saket</t>
  </si>
  <si>
    <t>Niketan / Komal</t>
  </si>
  <si>
    <t>Niketan / Anand / Ashish / Abhishek / Shilpika / Sejal / Mahesh</t>
  </si>
  <si>
    <t>10126024_Snowflake | Snowflake FY25Q4 AMS Enterprise 2T 2QQ Central P1 - AI/ML | Linked</t>
  </si>
  <si>
    <t>Database / WV Email</t>
  </si>
  <si>
    <t>Shrinivas / Atul A / Shahrukh / Saket / Amit / Shweta / Pooja</t>
  </si>
  <si>
    <t>Sr.No</t>
  </si>
  <si>
    <t>HP CS SG FY25Q4</t>
  </si>
  <si>
    <t>File share by MIS</t>
  </si>
  <si>
    <t>HP</t>
  </si>
  <si>
    <t>SAS_Global_CI_STouch_1CQ_AMER_Enterprise_FY26Q1</t>
  </si>
  <si>
    <t>Anand / Shilpika / Atul A</t>
  </si>
  <si>
    <t>Brazil - 70, United States - 100, Canada - 110</t>
  </si>
  <si>
    <t>Audit Open/Click &amp; only Engineering Titles</t>
  </si>
  <si>
    <t>A1</t>
  </si>
  <si>
    <t>Carat_Microsoft_Security_Modern SecOps with Unified Platform_SMC_United Kingdom_FY26Q1</t>
  </si>
  <si>
    <t>Carat_Microsoft_AI Business Solutions_Secure AI Productivity_SMC_Indonesia_FY26Q1</t>
  </si>
  <si>
    <t>Carat_Microsoft_AI Business Solutions_Secure AI Productivity_SMC_Malaysia_FY26Q1</t>
  </si>
  <si>
    <t>Carat_Microsoft_AI Business Solutions_Secure AI Productivity_SMC_Philippines_FY26Q1</t>
  </si>
  <si>
    <t>Carat_Microsoft_AI Business Solutions_Secure AI Productivity_SMC_Thailand_FY26Q1</t>
  </si>
  <si>
    <t>Carat_Microsoft_AI Business Solutions_Secure AI Productivity_SMC_Vietnam_FY26Q1</t>
  </si>
  <si>
    <t>Carat_Microsoft_Cloud and AI Platforms_Azure AI Transformation BDM SMEC_Argentina_FY26Q1</t>
  </si>
  <si>
    <t>Carat_Microsoft_Cloud and AI Platforms_Azure AI Transformation BDM SMEC_Bolivia_FY26Q1</t>
  </si>
  <si>
    <t>Carat_Microsoft_Cloud and AI Platforms_Azure AI Transformation BDM SMEC_Brazil_FY26Q1</t>
  </si>
  <si>
    <t>Carat_Microsoft_Cloud and AI Platforms_Azure AI Transformation BDM SMEC_Chile_FY26Q1</t>
  </si>
  <si>
    <t>Carat_Microsoft_Cloud and AI Platforms_Azure AI Transformation BDM SMEC_Colombia_FY26Q1</t>
  </si>
  <si>
    <t>Carat_Microsoft_Cloud and AI Platforms_Azure AI Transformation BDM SMEC_Costa Rica_FY26Q1</t>
  </si>
  <si>
    <t>Carat_Microsoft_Cloud and AI Platforms_Azure AI Transformation BDM SMEC_Dominican Republic_FY26Q1</t>
  </si>
  <si>
    <t>Carat_Microsoft_Cloud and AI Platforms_Azure AI Transformation BDM SMEC_Ecuador_FY26Q1</t>
  </si>
  <si>
    <t>Carat_Microsoft_Cloud and AI Platforms_Azure AI Transformation BDM SMEC_El Salvador_FY26Q1</t>
  </si>
  <si>
    <t>Carat_Microsoft_Cloud and AI Platforms_Azure AI Transformation BDM SMEC_Guatemala_FY26Q1</t>
  </si>
  <si>
    <t>Carat_Microsoft_Cloud and AI Platforms_Azure AI Transformation BDM SMEC_Honduras_FY26Q1</t>
  </si>
  <si>
    <t>Carat_Microsoft_Cloud and AI Platforms_Azure AI Transformation BDM SMEC_Mexico_FY26Q1</t>
  </si>
  <si>
    <t>Carat_Microsoft_Cloud and AI Platforms_Azure AI Transformation BDM SMEC_Panama_FY26Q1</t>
  </si>
  <si>
    <t>Carat_Microsoft_Cloud and AI Platforms_Azure AI Transformation BDM SMEC_Peru_FY26Q1</t>
  </si>
  <si>
    <t>Carat_Microsoft_Cloud and AI Platforms_Azure AI Transformation BDM SMEC_Puerto Rico_FY26Q1</t>
  </si>
  <si>
    <t>Carat_Microsoft_Cloud and AI Platforms_Azure AI Transformation BDM SMEC_Trinidad and Tobago_FY26Q1</t>
  </si>
  <si>
    <t>Carat_Microsoft_Cloud and AI Platforms_Azure AI Transformation BDM SMEC_Uruguay_FY26Q1</t>
  </si>
  <si>
    <t>Carat_Microsoft_Cloud and AI Platforms_Unify Your Data Platform_SMC_United States_FY26Q1</t>
  </si>
  <si>
    <t>Gartner</t>
  </si>
  <si>
    <t>Shrinivas / Abhijeet / Shweta / Shahrukh</t>
  </si>
  <si>
    <t>Avalara | Avalara - SMB - US - Man - FY26Q1 | Linked</t>
  </si>
  <si>
    <t>Quantum Technology|Quantum - AWS - Capgemini - T2K - Q1|Linked</t>
  </si>
  <si>
    <t>Quantum</t>
  </si>
  <si>
    <t>Simplify Compliance|Simplify Compliance: Ensemble - TC3635 - Jan - Feb '26|Linked</t>
  </si>
  <si>
    <t>Ashish / Komal</t>
  </si>
  <si>
    <t>Customer Management Practice|Customer Management Practice (CMP) â€“ Jan 2026 Higher Education MS - Jan - Feb '26|Linked</t>
  </si>
  <si>
    <t>Srushti / Sejal / Ashish</t>
  </si>
  <si>
    <t>Shweta / Shahrukh / Shrinivas</t>
  </si>
  <si>
    <t>Prathamesh / Komal / Mahima</t>
  </si>
  <si>
    <t>Transportation ICP Campaign</t>
  </si>
  <si>
    <t>Intelex</t>
  </si>
  <si>
    <t>Vivek / Vishvajit / Amit / Atul A</t>
  </si>
  <si>
    <t>Niketan / Shrikant / Chandrakant / Sameer</t>
  </si>
  <si>
    <t>Manisha / Shrinivas / Shweta / Manisha</t>
  </si>
  <si>
    <t>Aishwarya / Sumedha / Sameer</t>
  </si>
  <si>
    <t>Abhijeet / Pooja / Saket</t>
  </si>
  <si>
    <t>Niketan / Prathamesh / Aishwariya</t>
  </si>
  <si>
    <t>Pooja / Saket / Abhijeet</t>
  </si>
  <si>
    <t>High Priority with Real Time Audit</t>
  </si>
  <si>
    <t>All L1 and L2's</t>
  </si>
  <si>
    <t>Prioritise Gen AI Titles leads and then Rest (Publish in Batches)</t>
  </si>
  <si>
    <t>Manisha / Chandrakant</t>
  </si>
  <si>
    <t>Saket / Chandrakant / Amit / Anand / Shilpika / Prathmesh / Komal</t>
  </si>
  <si>
    <t>Czech Republic - 23, Denmark - 17, Ireland - 86, Italy - 100, Netherlands - 30, Poland - 39, Portugal - 61, Saudi Arabia - 30, South Africa - 30, Turkey - 10, United Arab Emirates - 24, United Kingdom - 180</t>
  </si>
  <si>
    <t>SAS_Global_CI_STouch_1CQ_AP_Channel_FY26Q1</t>
  </si>
  <si>
    <t>Thailand - 10, The Philippines - 10, Singapore - 20, Australia - 20, New Zealand - 20, Malaysia - 10</t>
  </si>
  <si>
    <t>SAS_Global_CI_STouch_1CQ_EMEA_Channel_FY26Q1</t>
  </si>
  <si>
    <t>Mahesh / Abhishek / Shrikant / Jaywant / Vivek / Sumedha</t>
  </si>
  <si>
    <t>South Africa - 14, Saudi Arabia - 24, Kuwait - 5, Egypt - 10, Czech Republic - 26, Poland  - 10, Italy - 80, Netherlands - 40, Belgium - 20, Luxembourg - 10, Portugal - 10, Spain - 30, France - 30, Switzerland - 40, Germany  - 80, Denmark - 20, Sweden - 30, Finland - 30, Norway - 20</t>
  </si>
  <si>
    <t>SAS_Global_CI_STouch_1CQ_AMER_Channel_FY26Q1</t>
  </si>
  <si>
    <t>Vishvajit / Prathamesh / Jaywant</t>
  </si>
  <si>
    <t>Brazil - 70, United States - 100, Canada - 113</t>
  </si>
  <si>
    <t>SAS_Global_CI_STouch_1CQ_AP_Enterprise_FY26Q1</t>
  </si>
  <si>
    <t>Pooja / Chandrakant</t>
  </si>
  <si>
    <t>Thailand - 10, The Philippines - 20, Singapore - 10, Australia - 30, New Zealand - 30, Malaysia - 20</t>
  </si>
  <si>
    <t>SAS_Global_CI_STouch_1CQ_EMEA_Enterprise_FY26Q1</t>
  </si>
  <si>
    <t>Srushti / Ashish / Sejal / Mahima / Prathamesh / Komal</t>
  </si>
  <si>
    <t>South Africa - 10, Saudi Arabia - 20, Qatar - 10, Oman - 3, Czech Republic - 20, Poland  - 10, Italy - 80, Netherlands - 40, Belgium - 20, Luxembourg - 2, Portugal - 10, Spain - 30, France - 30, Switzerland - 40, Germany  - 80, Denmark - 30, Sweden - 10, Finland - 30, Norway - 20</t>
  </si>
  <si>
    <t>Amit / Saket</t>
  </si>
  <si>
    <t>Fardeen</t>
  </si>
  <si>
    <t>Sr no</t>
  </si>
  <si>
    <t>Shrinivas / Vishwajit</t>
  </si>
  <si>
    <t>Abhijeet / Pooja / Saket / Amit</t>
  </si>
  <si>
    <t>Amruta / Niketan</t>
  </si>
  <si>
    <t>Atul A / Shilpika / Niyati</t>
  </si>
  <si>
    <t>Mahima / Shweta / Manisha / Shrinivas</t>
  </si>
  <si>
    <t>Anand / Saket</t>
  </si>
  <si>
    <t>Niyati / Abhijeet</t>
  </si>
  <si>
    <t>Komal / Shweta / Manisha</t>
  </si>
  <si>
    <t>Carat_Microsoft_Cloud and AI Platforms_Azure AI Transformation BDM ENT_United Kingdom_FY26Q1</t>
  </si>
  <si>
    <t>Mahesh / Jaywant / Pooja</t>
  </si>
  <si>
    <t>Carat_Microsoft_Cloud and AI Platforms_Azure AI Transformation BDM ENT_Ireland_FY26Q1</t>
  </si>
  <si>
    <t>Komal / Vivek</t>
  </si>
  <si>
    <t>FY27H1 - 3P USCA-PRAC-KDNuggets</t>
  </si>
  <si>
    <t>Mahima / Srushti / Sameer</t>
  </si>
  <si>
    <t>Shweta / Manisha / Shrinivas</t>
  </si>
  <si>
    <t>All L1 &amp; All L2</t>
  </si>
  <si>
    <t>Prioritise Gen AI leads and then Rest</t>
  </si>
  <si>
    <t>Sameer / Mahima / Jaywant</t>
  </si>
  <si>
    <t>Mahesh / Aishwarya / Niketan / Chandrakant</t>
  </si>
  <si>
    <t>Amruta / Niyati</t>
  </si>
  <si>
    <t>Sameer / Chandrakant / Amruta / Niketan</t>
  </si>
  <si>
    <t>Nutanix_APAC_CS_ST_FY26Q1</t>
  </si>
  <si>
    <t>Mahima / Amruta</t>
  </si>
  <si>
    <t>Komal / Niketan</t>
  </si>
  <si>
    <t>Saket / Vivek</t>
  </si>
  <si>
    <t>Telco Always On - Linked - 9C0CB5</t>
  </si>
  <si>
    <t>MJH Life Sciences - Rectangle SMB_Lead Gen - Jan - Feb '26</t>
  </si>
  <si>
    <t>PTC_Industrial Pipeline Generation NetNew Accounts_FY25Q1-2</t>
  </si>
  <si>
    <t>PTC_Industrial Pipeline Acceleration Existing Accounts_FY25Q1-2</t>
  </si>
  <si>
    <t>Chandrakant / Niketan</t>
  </si>
  <si>
    <t>Komal / Amruta</t>
  </si>
  <si>
    <t>Aishwarya / Sumedha / Chandrakant</t>
  </si>
  <si>
    <t>Abhijeet / Vivek / Atul A</t>
  </si>
  <si>
    <t>Zendesk_DACH_Q1_FY26_AT_TAL_CX_ENT_ST_QQ</t>
  </si>
  <si>
    <t>Zendesk_DACH_Q1_FY26_AT_TAL_ES_CORP_ST_QQ</t>
  </si>
  <si>
    <t>Zendesk_DACH_Q1_FY26_AT_TAL_ES_ENT_ST_QQ</t>
  </si>
  <si>
    <t>Zendesk_France_Q1_FY26_FR_TAL_ES_ENT_ST_QQ</t>
  </si>
  <si>
    <t>Prioritise Open/Click data &amp; Only Engineering titles</t>
  </si>
  <si>
    <t>HPE_RealmB2B_DE Hybrid Cloud_FY26Q2</t>
  </si>
  <si>
    <t>Audit all leads as per Segment Pacing in spces bible</t>
  </si>
  <si>
    <t>HPE_RealmB2B_DE Networking_FY26Q2</t>
  </si>
  <si>
    <t>HPE_RealmB2B_FR Hybrid Cloud_FY26Q2</t>
  </si>
  <si>
    <t>HPE_RealmB2B_FR Networking_FY26Q2</t>
  </si>
  <si>
    <t>HPE_RealmB2B_JP Hybrid Cloud_FY26Q2</t>
  </si>
  <si>
    <t>Chandrakant / Srushti</t>
  </si>
  <si>
    <t>HPE_RealmB2B_JP Networking_FY26Q2</t>
  </si>
  <si>
    <t>HPE_RealmB2B_UK Hybrid Cloud_FY26Q2</t>
  </si>
  <si>
    <t>HPE_RealmB2B_UK Networking_FY26Q2</t>
  </si>
  <si>
    <t>Sumedha / Aishwarya / Komal</t>
  </si>
  <si>
    <t>United Kingdom - 180, UAE - 24, Turkey - 10, South Africa - 30, Saudi Arabia - 30, Portugal - 40, Poland - 30, Netherlands - 30, Italy - 90, Ireland - 80, Denmark - 40, Czech Republic - 30</t>
  </si>
  <si>
    <t>Brazil</t>
  </si>
  <si>
    <t>Thailand - 10, The Philippines - 10, Singapore - 20, New Zealand - 20, Malaysia - 10</t>
  </si>
  <si>
    <t>UAE - 20, South Africa - 20, Kuwait - 10, Egypt - 10, Czech Republic - 20, United Kingdom - 130, Ireland - 50</t>
  </si>
  <si>
    <t>Thailand - 10, The Philippines - 20, Australia - 20, New Zealand - 30, Malaysia - 20</t>
  </si>
  <si>
    <t>Mahesh / Jaywant / Abhishek G</t>
  </si>
  <si>
    <t>UAE - 20, Qatar - 10, Oman - 10, United Kingdom - 130, Ireland - 50</t>
  </si>
  <si>
    <t>High Priority - Please publish file before 7PM</t>
  </si>
  <si>
    <t>Pooja / Atul A</t>
  </si>
  <si>
    <t>Mahesh / Jaywant / Abhishek G / Niyati</t>
  </si>
  <si>
    <t>Shilpika / Komal / Sumedha</t>
  </si>
  <si>
    <t>Niketan / Atul A</t>
  </si>
  <si>
    <t>Mahima / Srushti / Mahesh / Anand / Niyati / Shilpika / Atul A</t>
  </si>
  <si>
    <t>Niyati / Jaywant / Abhishek G / Sumedha</t>
  </si>
  <si>
    <t>Anand / Jaywant</t>
  </si>
  <si>
    <t>Vishwajit / Mahesh</t>
  </si>
  <si>
    <t xml:space="preserve"> 8.34 PM</t>
  </si>
  <si>
    <t>Mahima/Srushti</t>
  </si>
  <si>
    <t>Pooja/Shweta</t>
  </si>
  <si>
    <t>Mahesh/Niyati/Anand/Shilpika</t>
  </si>
  <si>
    <t>Vishvajit/Amit/Atul A/Vishvajit</t>
  </si>
  <si>
    <t>CY26Q1 | NA | Direct Partners EA0138</t>
  </si>
  <si>
    <t>Abhishek/Komal/Shrikant/Jaywant/Chandrakant</t>
  </si>
  <si>
    <t>Vivek/Saket/Vishvajit /Vivek/Pooja</t>
  </si>
  <si>
    <t>Sameer/Amruta/Mahesh</t>
  </si>
  <si>
    <t>Manisha/Shrinivas/Vivek</t>
  </si>
  <si>
    <t>Shahrukh/Shweta</t>
  </si>
  <si>
    <t>Abhijeet/Aishwarya</t>
  </si>
  <si>
    <t>Sejal/Mahima</t>
  </si>
  <si>
    <t>Ashish/Abhishek</t>
  </si>
  <si>
    <t>Komal/Shrikant</t>
  </si>
  <si>
    <t>Simplify Compliance|Simplify Compliance: Gallagher HROE- TC1523|Linked</t>
  </si>
  <si>
    <t>Simplify Compliance|Simplify Compliance: Globo - TC3641 - Jan - Feb '26|Linked</t>
  </si>
  <si>
    <t>Amruta/Niketan</t>
  </si>
  <si>
    <t>Audit Csuite segment leads</t>
  </si>
  <si>
    <t>Audit Executive ITOPs segment leads</t>
  </si>
  <si>
    <t>Audit ITOPs,LOB &amp; Executive ITOPs segment leads.</t>
  </si>
  <si>
    <t>JUST_Databricks_AMER DBX USCA PRAC_FY26Q1</t>
  </si>
  <si>
    <t>Ashish/Sejal/Komal/Chandrakant</t>
  </si>
  <si>
    <t>JUST_Databricks_AMER DBX USCA EXEC_FY26Q1</t>
  </si>
  <si>
    <t>Sameer/Anand/Niyati/Sumedha</t>
  </si>
  <si>
    <t>Shilpika/Anand/Niyati</t>
  </si>
  <si>
    <t>Amit/Atul A/Vishvajit</t>
  </si>
  <si>
    <t>Chandrakant/Amruta/Sameer/Niketan</t>
  </si>
  <si>
    <t>Manisha/Shrinivas/Shweta/Shahrukh</t>
  </si>
  <si>
    <t>Auidt leads in ( US - 110 , EMEA - 100 &amp; APAC - 100 )</t>
  </si>
  <si>
    <t>Aishwarya/Sumedha/Niketan/Sameer/Amruta</t>
  </si>
  <si>
    <t>Abhijeet/Vivek/Manisha/Shrinivas/Saket</t>
  </si>
  <si>
    <t>Ashish/Srushti/Mahima/Sejal</t>
  </si>
  <si>
    <t>Shweta/Shahrukh/Pooja/Abhijeet</t>
  </si>
  <si>
    <t>Sumedha/Niyati</t>
  </si>
  <si>
    <t>Abhijeet/Amit/Atul A</t>
  </si>
  <si>
    <t>Shilpika/Anand</t>
  </si>
  <si>
    <t>Shahrukh/Shweta/Saket</t>
  </si>
  <si>
    <t>Adobe_Power SOL_IT_Incremental_FY26Q1</t>
  </si>
  <si>
    <t>Gigamon_AMER ENT 2T 1CQ Retargeting_FY26Q1</t>
  </si>
  <si>
    <t>Gigamon</t>
  </si>
  <si>
    <t>Gigamon_AMER SLED 2T 1CQ Retargeting_FY26Q1</t>
  </si>
  <si>
    <t>Gigamon_EMEA UKI ENT 2T 1CQ Retargeting_FY26Q1</t>
  </si>
  <si>
    <t>Done Double Audit</t>
  </si>
  <si>
    <t>Priority - Audit only Engineering Titles</t>
  </si>
  <si>
    <t>Amit P</t>
  </si>
  <si>
    <t>Genetec-ROI-DNA-DT-Tal- AUS Seg 2 - EMEA 38861386890 EP23</t>
  </si>
  <si>
    <t>Backdated Data left</t>
  </si>
  <si>
    <t>we audited only Engineering titles with ER status marked as Delivered as well</t>
  </si>
  <si>
    <t>High Priority - Please publish before 8PM / WV file shared by MIS</t>
  </si>
  <si>
    <t>High Priority - Please publish before 8PM / New data will be pasted shortly</t>
  </si>
  <si>
    <t>Zucchetti - Contract Catering EMEA 28604049732</t>
  </si>
  <si>
    <t>High Priority - WV file will be shared by MIS</t>
  </si>
  <si>
    <t>Zucchetti</t>
  </si>
  <si>
    <t>Zucchetti - Finance Pharma EMEA 28604049732</t>
  </si>
  <si>
    <t>Shrinivas/Shahrukh</t>
  </si>
  <si>
    <t>Zucchetti - Large Enterprise EMEA 28604049732</t>
  </si>
  <si>
    <t>Saket/Amit</t>
  </si>
  <si>
    <t>Zucchetti - Travel Retail EMEA 28604049732</t>
  </si>
  <si>
    <t>Databricks-AWS-All-NAM/39492343823 EP23</t>
  </si>
  <si>
    <t>High Priority - Please publish file before 6PM</t>
  </si>
  <si>
    <t>Databricks-AWS-PRAC-NAM/39492343823 EP23</t>
  </si>
  <si>
    <t>Jaywant / Shrikant / Shilpika</t>
  </si>
  <si>
    <t>Saket / Shahrukh / Manisha</t>
  </si>
  <si>
    <t>Amruta / Sameer</t>
  </si>
  <si>
    <t>High Priority - Exclude US</t>
  </si>
  <si>
    <t>PTC_MedTech ABM Incremental Rachael_FY26Q1</t>
  </si>
  <si>
    <t>PTC_MedTech ABM Jen_FY26Q1</t>
  </si>
  <si>
    <t>Just Global_Cloudflare_EMEA_MDA_Single Touch_1 CQ_FY26Q1</t>
  </si>
  <si>
    <t>Just Global_Cloudflare_EMEA_MDA_Two Touch_FY26Q1</t>
  </si>
  <si>
    <t>Just Global_Cloudflare_LATAM_MDA_Two Touch_FY26Q1</t>
  </si>
  <si>
    <t>Just Global_Cloudflare_US/CA_MDA_Two Touch_FY26Q1</t>
  </si>
  <si>
    <t>Mandatory completion</t>
  </si>
  <si>
    <t>Amruta / Sejal / Srushti / Abhishek</t>
  </si>
  <si>
    <t>Pooja / Saket / Vivek / Vishvajit</t>
  </si>
  <si>
    <t>Zendesk_DACH_Q1_FY26_AT_TAL_CX_CORP_ST_QQ</t>
  </si>
  <si>
    <t>Zendesk_France_Q1_FY26_FR_TAL_CX_CORP_ST_QQ</t>
  </si>
  <si>
    <t>Audit leads equally according to industry pacing</t>
  </si>
  <si>
    <t>Zendesk_France_Q1_FY26_FR_TAL_CX_ENT_ST_QQ</t>
  </si>
  <si>
    <t>Zendesk_France_Q1_FY26_FR_TAL_ES_CORP_ST_QQ</t>
  </si>
  <si>
    <t>Sumedha / Mahesh / Aishwarya</t>
  </si>
  <si>
    <t>Abhishek / Srushti</t>
  </si>
  <si>
    <t>Vivek / Shweta</t>
  </si>
  <si>
    <t>Vishvajit / Sumedha</t>
  </si>
  <si>
    <t>Shrinivas / Manisha / Saket / Pooja</t>
  </si>
  <si>
    <t>IronHorse_WattsWater_Nexa_Education_NA_FY26Q1</t>
  </si>
  <si>
    <t>WattsWater</t>
  </si>
  <si>
    <t>Velo B2B_ABM_OtherSubs_UKI_FY26Q1</t>
  </si>
  <si>
    <t>Audit all leads as per segment Pacing in spces bible</t>
  </si>
  <si>
    <t>Velo</t>
  </si>
  <si>
    <t>Velo B2B_ABM_Life Sciences_UKI_FY26Q1</t>
  </si>
  <si>
    <t>Velo B2B_ABM_Airports_UKI_FY26Q1</t>
  </si>
  <si>
    <t>WoltersKluwer_Canada_Accounting-Tax_2CQ_FY26Q1</t>
  </si>
  <si>
    <t>Shubham N</t>
  </si>
  <si>
    <t>Simplify Compliance|Simplify Compliance: Bank of America - TC3642 - Jan - Feb '26|Linked 8E7E35</t>
  </si>
  <si>
    <t>Amol R</t>
  </si>
  <si>
    <t>Simplify Compliance|Simplify Compliance: Bank of America - TC3642 - Jan - Feb '26|Linked F6AB3F</t>
  </si>
  <si>
    <t>Anand / Sumedha</t>
  </si>
  <si>
    <t>Simplify Compliance|Simplify Compliance: CHC - TC3647 - Feb '26|Linked</t>
  </si>
  <si>
    <t>Sejal / Mahima / Srushti / Ashish / Sameer</t>
  </si>
  <si>
    <t>Qualification ratio is less</t>
  </si>
  <si>
    <t>Shweta / Amit / Atul A</t>
  </si>
  <si>
    <t>Shweta / Shahrukh / Vivek / Shrinivas / Manisha</t>
  </si>
  <si>
    <t>Manisha / Vishvajit / Vivek</t>
  </si>
  <si>
    <t>Shrusti</t>
  </si>
  <si>
    <t xml:space="preserve"> 22:24</t>
  </si>
  <si>
    <t>Remaining Data is on US Region</t>
  </si>
  <si>
    <t>A/C List Mismatch</t>
  </si>
  <si>
    <t xml:space="preserve"> 23:47</t>
  </si>
  <si>
    <t xml:space="preserve"> 01:11</t>
  </si>
  <si>
    <t>FY27H1 - 3P USCA-PRAC-KDNuggets Q1</t>
  </si>
  <si>
    <t>Prathamesh / Niyati / Chandrakant</t>
  </si>
  <si>
    <t>Atul A / Amit / Pooja</t>
  </si>
  <si>
    <t>Aon-Human-Capital-DEU-Nontal - EMEA/37737699849 EP23</t>
  </si>
  <si>
    <t>High Priority - Please publish file before 8PM</t>
  </si>
  <si>
    <t>Aon-Human-Capital-ESP-Nontal - EMEA/37737699849 EP23</t>
  </si>
  <si>
    <t>Abhijeet / Vishvajit</t>
  </si>
  <si>
    <t>Aon-Human-Capital-FRA-Nontal - EMEA/37737699849 EP23</t>
  </si>
  <si>
    <t>Abhijeet / Atul A / Pooja / Saket</t>
  </si>
  <si>
    <t>Aon-Human-Capital-IRE-Nontal - EMEA/37737699849 EP23</t>
  </si>
  <si>
    <t>Aon-Human-Capital-ITA-Nontal - EMEA/37737699849 EP23</t>
  </si>
  <si>
    <t>Aon-Human-Capital-NLD-Nontal - EMEA/37737699849 EP23</t>
  </si>
  <si>
    <t>Aishwarya / Sumedha / Niyati</t>
  </si>
  <si>
    <t>Abhijeet / Amit / Atul A</t>
  </si>
  <si>
    <t>Aon-Human-Capital-Nordics-Nontal - EMEA/37737699849 EP23</t>
  </si>
  <si>
    <t>Manisha / Shrinivas / Amit / Shahrukh</t>
  </si>
  <si>
    <t>Aon-Human-Capital-POR-Nontal - EMEA/37737699849 EP23</t>
  </si>
  <si>
    <t>Aon-Human-Capital-UAE-Nontal - EMEA/37737699849 EP23</t>
  </si>
  <si>
    <t>Aon-Human-Capital-UK-Nontal - EMEA/37737699849 EP23</t>
  </si>
  <si>
    <t>Braze-SMB-Tal-Emea - EMEA/39018314794 EP23</t>
  </si>
  <si>
    <t>Shweta / Shahrukh / Pooja</t>
  </si>
  <si>
    <t>Anand / Prathamesh</t>
  </si>
  <si>
    <t>OMD_SAP_Suite_Cross Portfolio_IDP-036_UKI_FY26Q1_INCREMENTAL</t>
  </si>
  <si>
    <t>OMD_SAP_Suite_FSM for CFO/CPO_IDP-043_USA_FY26Q1_INCREMENTAL</t>
  </si>
  <si>
    <t>Anand / Niyati / Aishwarya / Sumedha</t>
  </si>
  <si>
    <t>Amit / Atul A / Pooja / Saket</t>
  </si>
  <si>
    <t>OMD_SAP_Suite_SCM for COO/CSCO_IDP-037_US_FY26Q1_INCREMENTAL</t>
  </si>
  <si>
    <t>Shweta / Shahrukh / Atul A / Amit</t>
  </si>
  <si>
    <t>OMD_SAP_Suite_SCM for COO/CSCO_IDP-037_UKI_FY26Q1_INCREMENTAL</t>
  </si>
  <si>
    <t>Shweta / Saket / Pooja</t>
  </si>
  <si>
    <t>Carat_Microsoft_Cloud and AI Platforms_Database Acceleration_GCR_FY26Q1</t>
  </si>
  <si>
    <t>High Priority (Taiwan : 30, Hong Kong : 30)</t>
  </si>
  <si>
    <t>Carat_Microsoft_Cloud and AI Platforms_Database Acceleration_DE_FY26Q1</t>
  </si>
  <si>
    <t>High Priority (Austria : 75, Germany : 75)</t>
  </si>
  <si>
    <t>Carat_Microsoft_Cloud and AI Platforms_Database Acceleration_France_FY26Q1</t>
  </si>
  <si>
    <t>Carat_Microsoft_Cloud and AI Platforms_Database Acceleration_Korea_FY26Q1</t>
  </si>
  <si>
    <t>Carat_Microsoft_Cloud and AI Platforms_Database Acceleration_United States_FY26Q1</t>
  </si>
  <si>
    <t>Mahesh / Abhishek / Shrikant / Jaywant / Niketan / Amruta / Chandrakant / Sameer</t>
  </si>
  <si>
    <t>Carat_Microsoft_Security CSA_Security CSA LG_United States_FY26Q1</t>
  </si>
  <si>
    <t>Niyati / Prathamesh</t>
  </si>
  <si>
    <t>Carat_Microsoft_AI Business Solutions_Innovate with Low Code AI &amp; Agents_ENT_Netherlands_FY26Q1</t>
  </si>
  <si>
    <t>Do not Audit ( Talent titles )</t>
  </si>
  <si>
    <t>Amit / Atul A / Abhijeet / Saket</t>
  </si>
  <si>
    <t>Do not Audit C-level- 'Mandatory completion</t>
  </si>
  <si>
    <t>Mahesh / Abhishek / Jaywant</t>
  </si>
  <si>
    <t>Abhijeet / Vishvajit / Saket</t>
  </si>
  <si>
    <t>CISCO - Meraki MX_USCA_Q2- Re-engagement</t>
  </si>
  <si>
    <t xml:space="preserve">Audit leads from re-engagement file </t>
  </si>
  <si>
    <t>Cisco - MS - US/CA/UK/AU- Re-engagement</t>
  </si>
  <si>
    <t>Cisco Catalyst 9100 - CW 9170_MM- Re-engagement</t>
  </si>
  <si>
    <t>Cisco Meraki Dashboard_USCA_Q2- Re-engagement</t>
  </si>
  <si>
    <t>Cisco Meraki SD-WAN_MM- Re-engagement</t>
  </si>
  <si>
    <t>Mahima / Ashish</t>
  </si>
  <si>
    <t>Cisco SASE Firewall - Cisco Secure Access_MM- Re-engagement</t>
  </si>
  <si>
    <t>Manisha / Shrinivas / Saket</t>
  </si>
  <si>
    <t xml:space="preserve">Prathamesh / Shrikant / Mahima / </t>
  </si>
  <si>
    <t>Shahrukh / Atul A / Shrinivas / Abhijeet</t>
  </si>
  <si>
    <t>Double Audits Done</t>
  </si>
  <si>
    <t>Allocation met</t>
  </si>
  <si>
    <t>Qualified Percentage</t>
  </si>
  <si>
    <t>Emerald X|Emerald X LLC - MJBiz Solink - Jan - Feb '26|Linked</t>
  </si>
  <si>
    <t>Abhishekh</t>
  </si>
  <si>
    <t>Allocation Met</t>
  </si>
  <si>
    <t>Data is backdated / Bad data</t>
  </si>
  <si>
    <t>File received by MIS</t>
  </si>
  <si>
    <t>File shared by MIS on Email</t>
  </si>
  <si>
    <t>High Priority and WV file shared by MIS /  All levels allowed for the following job titles:Data Architect, IT Architect, AI Engineer, Data Scientist, Enterprise Architect, Cloud Architect, AI/ML Architect, Integration Architect.</t>
  </si>
  <si>
    <t>Winterberry Group|Winterberry FY26Q1 Pilot-US|Linked</t>
  </si>
  <si>
    <t>Consider primary dental practices only and ignore exclusion 'Derm/Med-Spa hybrids'. Additionally, ensure that the practice has 1–5 locations 
  is allowed as per Ranjeet's approval.</t>
  </si>
  <si>
    <t>JUST_Palo Alto_Cortex STSOC CA_FY26Q1</t>
  </si>
  <si>
    <t xml:space="preserve"> 18:23</t>
  </si>
  <si>
    <t>Double Audit done</t>
  </si>
  <si>
    <t xml:space="preserve"> 17:08</t>
  </si>
  <si>
    <t>High Priority - Audit leads as per Geo Pacing in Spces bible</t>
  </si>
  <si>
    <t>Amruta / Prathamesh</t>
  </si>
  <si>
    <t>Amit P / Saket</t>
  </si>
  <si>
    <t>Touchpoint Markets Inc.|Touchpoint Markets - Zest AI TAL CUT - Jan - Feb '26|Linked</t>
  </si>
  <si>
    <t>Shweta / Manisha</t>
  </si>
  <si>
    <t>Verizon_PS Frontline_Integrated_FY26</t>
  </si>
  <si>
    <t>JUST_Palo Alto_Cortex STSOC US_FY26Q1</t>
  </si>
  <si>
    <t>Aishwarya / Abhijeet</t>
  </si>
  <si>
    <t>JUST_Palo Alto_Cortex Unit42 CDR US_FY26Q1</t>
  </si>
  <si>
    <t>Carat_Microsoft_AI Business Solutions_Secure AI Productivity_SMC_France_FY26Q1</t>
  </si>
  <si>
    <t>Niyati / Amit</t>
  </si>
  <si>
    <t>Atul A / Mahesh</t>
  </si>
  <si>
    <t>Jaywant / Amruta</t>
  </si>
  <si>
    <t>Shrikant / Vishvajit</t>
  </si>
  <si>
    <t>CoreView ANZ NAM/37240080539 EP23</t>
  </si>
  <si>
    <t>Prathamesh / Saket</t>
  </si>
  <si>
    <t>Carat_Microsoft_Cloud and AI Platforms_Migrate &amp; Modernize your Estate_SMC_Switzerland_FY26Q1</t>
  </si>
  <si>
    <t>Pooja / Niketan</t>
  </si>
  <si>
    <t>SLED_HigherEd_eBook</t>
  </si>
  <si>
    <t>Chandrakant / Sejal</t>
  </si>
  <si>
    <t>Shrinivas / Shahrukh</t>
  </si>
  <si>
    <t>Verizon_Federal-Integrated_FY26</t>
  </si>
  <si>
    <t>Shweta / Aishwarya</t>
  </si>
  <si>
    <t>Abhijeet / Manisha</t>
  </si>
  <si>
    <t>High Priority - Prioritize and audit All IT Releated titles</t>
  </si>
  <si>
    <t>Anand / Sejal</t>
  </si>
  <si>
    <t>UK</t>
  </si>
  <si>
    <t>Vishvajit / Atul A / Pooja</t>
  </si>
  <si>
    <t>High Priority Share the file before 6 PM</t>
  </si>
  <si>
    <t>Shrikant / Prathamesh / Shrinivas</t>
  </si>
  <si>
    <t>Saket / Vishvajit / Pooja</t>
  </si>
  <si>
    <t>Manisha / Shrinivas / Vishvajit</t>
  </si>
  <si>
    <t>Ashish / Aishwarya / Anand / Abhishek</t>
  </si>
  <si>
    <t>Shahrukh / Amit / Atul A / Pooja</t>
  </si>
  <si>
    <t>Vishvajit / Pooja / Saket / Atul A</t>
  </si>
  <si>
    <t>Anand / Abhishek / Shrikant / Aishwarya / Prathamesh / Ashish / Mahesh / Jaywant / Srushti / Niyati / Mahima / Niketan / Sameer / Amruta / Chandrakant / Sejal</t>
  </si>
  <si>
    <t>Emerald X|Emerald X, LLC - MJBiz Solink - Jan - Feb '26|Linked</t>
  </si>
  <si>
    <t>Saket / Pooja / Anand / Aishwarya</t>
  </si>
  <si>
    <t>Chandrakant / Sejal / Mahima / Ashish / Srushti</t>
  </si>
  <si>
    <t>Shahrukh / Shweta / Abhijeet / Atul A / Amit</t>
  </si>
  <si>
    <t>Israr / Pratik</t>
  </si>
  <si>
    <t xml:space="preserve"> 20:50</t>
  </si>
  <si>
    <t xml:space="preserve"> 22:10</t>
  </si>
  <si>
    <t xml:space="preserve"> 22:53</t>
  </si>
  <si>
    <t xml:space="preserve"> 23:26</t>
  </si>
  <si>
    <t xml:space="preserve"> 23:31</t>
  </si>
  <si>
    <t>vishvajit</t>
  </si>
  <si>
    <t>TAX_SD_VTEX_CS26Q1_E2_GLOBAL.</t>
  </si>
  <si>
    <t>VTEX_CS26Q1_FINANCE_GLO_SD_TAL.</t>
  </si>
  <si>
    <t>VTEX_CS26Q1_IT_GLO_SD_TAL.</t>
  </si>
  <si>
    <t xml:space="preserve"> 23:56</t>
  </si>
  <si>
    <t xml:space="preserve"> 23:57</t>
  </si>
  <si>
    <t>Bad data</t>
  </si>
  <si>
    <t>Double audits done</t>
  </si>
  <si>
    <t>Manisha / Saket</t>
  </si>
  <si>
    <t>Sumedha / Niyati</t>
  </si>
  <si>
    <t>Amit  / Atul A</t>
  </si>
  <si>
    <t>File shared on Email</t>
  </si>
  <si>
    <t>Anand / Sameer / Niyati / Prathamesh / Aishwarya / Sumedha</t>
  </si>
  <si>
    <t>Ashish  / Mahesh / Shrikant</t>
  </si>
  <si>
    <t>Saket / Vishwajit / Vivek</t>
  </si>
  <si>
    <t>Shweta / Vivek</t>
  </si>
  <si>
    <t>Shrikant / Mahesh / Chandrakant</t>
  </si>
  <si>
    <t>Vivek / Pooja / Vishwajit</t>
  </si>
  <si>
    <t>Niketan / Chandrakant / Prathamesh</t>
  </si>
  <si>
    <t>Sameer / Mahesh</t>
  </si>
  <si>
    <t>Nielsen Gracenote_CS_GERMANY_FY26Q1</t>
  </si>
  <si>
    <t>Nielsen Gracenote_CS_US_FY26Q1</t>
  </si>
  <si>
    <t>Anand / Niketan</t>
  </si>
  <si>
    <t>Atul / Manisha</t>
  </si>
  <si>
    <t>Simplify Compliance|Simplify Compliance: EHSLeaders NOW - TC1503 - Feb '26|Linked</t>
  </si>
  <si>
    <t xml:space="preserve">Zendesk-LATAM-SSAC-CORP EMEA/39798193799 Q1 </t>
  </si>
  <si>
    <t>Zendesk-LATAM-BRA-CORP EMEA/39798193799 Q1</t>
  </si>
  <si>
    <t>Zendesk-LATAM-SSAC-ENT EMEA/39798193799 Q1</t>
  </si>
  <si>
    <t>Zendesk-LATAM-BRA-ENT EMEA/39798193799 Q1</t>
  </si>
  <si>
    <t>Mahesh / Mahima / Shrikant / Ashish / Srushti / Prathamesh</t>
  </si>
  <si>
    <t>Vishwajit / Saket / Amit / Shahrukh / Shweta / Pooja</t>
  </si>
  <si>
    <t>High Priority - WV File shared by MIS / Please publish file before 6PM</t>
  </si>
  <si>
    <t>Carat_Microsoft_Cloud and AI Platforms_Unify Your Data Platform_SMC_Norway_FY26Q1</t>
  </si>
  <si>
    <t>Carat_Microsoft_Cloud and AI Platforms_Unify Your Data Platform_SMC_Iceland_FY26Q1</t>
  </si>
  <si>
    <t>Carat_Microsoft_Cloud and AI Platforms_Unify Your Data Platform_SMC_Denmark_FY26Q1</t>
  </si>
  <si>
    <t>Carat_Microsoft_Cloud and AI Platforms_Unify Your Data Platform_SMC_Belgium_FY26Q1</t>
  </si>
  <si>
    <t>Carat_Microsoft_Security_Protect Cloud AI Platform and Apps_SMC_United Kingdom_FY26Q1</t>
  </si>
  <si>
    <t>Carat_Microsoft_Security_Protect Cloud AI Platform and Apps_SMC_Ireland_FY26Q1</t>
  </si>
  <si>
    <t>Audit only engineering titles &amp; Open/Click ER Status</t>
  </si>
  <si>
    <t>High Priority - Please publish before 7PM</t>
  </si>
  <si>
    <t>AON</t>
  </si>
  <si>
    <t>Double audits done (Linkedin Limitations)</t>
  </si>
  <si>
    <t>CY25Q4 NA Direct Partners A13CAF</t>
  </si>
  <si>
    <t>File from Email</t>
  </si>
  <si>
    <t>Amruta / Prathmesh / Sameer / Chandrakant</t>
  </si>
  <si>
    <t>Shrinivas / Saket / Manisha / Shweta</t>
  </si>
  <si>
    <t>CY25Q4 | NA | Direct Partners A13CAF</t>
  </si>
  <si>
    <t>Srushti / Chandrakant</t>
  </si>
  <si>
    <t>Mahesh / Shrikant / Prathmesh</t>
  </si>
  <si>
    <t>Manisha / Vishwajit / Atul A</t>
  </si>
  <si>
    <t>Prathmesh / Niyati / Chandrakant</t>
  </si>
  <si>
    <t>Audit only Saudi Arabia leads.</t>
  </si>
  <si>
    <t>Amit / Atul A / Vivek / Vishwajit</t>
  </si>
  <si>
    <t>Audit only US leads.</t>
  </si>
  <si>
    <t>Stripe EMEA_Pilot_FR_PO-3_FY26Q1</t>
  </si>
  <si>
    <t>Stripe</t>
  </si>
  <si>
    <t>Stripe EMEA_Pilot_IT_PO-3_FY26Q1</t>
  </si>
  <si>
    <t>Stripe EMEA_Pilot_UK_P2&amp;P3_FY26Q1</t>
  </si>
  <si>
    <t>Prathmesh / Amruta / Sumedha</t>
  </si>
  <si>
    <t>Stripe EMEA_Pilot_UK_PO&amp;P1_FY26Q1</t>
  </si>
  <si>
    <t>Mahima / Niyati / Sumedha / Ashish</t>
  </si>
  <si>
    <t>High priority (Rectify leads considering approval "Campaign Approval - 9th Feb'26"</t>
  </si>
  <si>
    <t>Winterberry</t>
  </si>
  <si>
    <t>Audit leads as per Segment Pacing in specs bible</t>
  </si>
  <si>
    <t>TMP_Amdocs_APAC_FY25Q4</t>
  </si>
  <si>
    <t>TMP_Amdocs_EMEA_FY25Q4</t>
  </si>
  <si>
    <t>Velo B2B_ABM_CRE_UKI_FY26Q1</t>
  </si>
  <si>
    <t>Mahima / Aishwarya / Srushti</t>
  </si>
  <si>
    <t>Sejal / Mahesh</t>
  </si>
  <si>
    <t>Mahesh / Amruta / Niyati</t>
  </si>
  <si>
    <t>Require US_TDM leads only</t>
  </si>
  <si>
    <t>Mahima / Sejal / Sameer / Aishwarya</t>
  </si>
  <si>
    <t>Shahrukh / Shweta / Pooja / Saket</t>
  </si>
  <si>
    <t>Dell_US_MB_ISG_Intel_INTS BANT_B_FY27Q1</t>
  </si>
  <si>
    <t>Ashish / Sejal / Mahima</t>
  </si>
  <si>
    <t>Shweta / Shahrukh / Manisha / Saket / Pooja</t>
  </si>
  <si>
    <t>Amit / Atul A / Shrinivas / Vishwajit / Manisha</t>
  </si>
  <si>
    <t>Sameer / Chandrakant / Amruta</t>
  </si>
  <si>
    <t>RealPage_Renter Engagement Knock 2Touch_FY26Q1</t>
  </si>
  <si>
    <t>Shrinivas / Pooja</t>
  </si>
  <si>
    <t>Audit equal across all regions ( 50 leads each regions )</t>
  </si>
  <si>
    <t>Sameer / Niyati</t>
  </si>
  <si>
    <t>Mahesh / Amruta</t>
  </si>
  <si>
    <t>Shweta / Shahrukh / Shrinivas / Saket</t>
  </si>
  <si>
    <t>Nilesh / Sohail</t>
  </si>
  <si>
    <t>Double audit</t>
  </si>
  <si>
    <t xml:space="preserve">Emerald X|Emerald X LLC - MJBiz Solink - Jan - Feb '26|Linked </t>
  </si>
  <si>
    <t>Emerald</t>
  </si>
  <si>
    <t>Received on email</t>
  </si>
  <si>
    <t>Nikhilkumar</t>
  </si>
  <si>
    <t>Swapnil</t>
  </si>
  <si>
    <t>Samsara_US Trucking &amp; Fleet Management Q126</t>
  </si>
  <si>
    <t>Mahesh/Shrikant/Prathamesh</t>
  </si>
  <si>
    <t>Saket/Vivek/Pooja</t>
  </si>
  <si>
    <t>High Priority - Prioritize and audit All IT Releated titles / please publish file before 6PM</t>
  </si>
  <si>
    <t>Niyati/Sumedha</t>
  </si>
  <si>
    <t>High Priority - please publish file before 6PM</t>
  </si>
  <si>
    <t>Manisha/Shrinivas/Shahrukh/Amit/Atul A/Shweta</t>
  </si>
  <si>
    <t>Ashish/Srushti/Srushti/Mahima/Sejal/Chandrakant</t>
  </si>
  <si>
    <t>Manisha/Shrinivas/Niyati/Srushti/Aishwarya/Mahesh/Shrikant/Prathamesh</t>
  </si>
  <si>
    <t>Niyati/Sumedha/Aishwarya/Mahesh/Shrikant/Prathamesh/Sameer/Amruta</t>
  </si>
  <si>
    <t>Saket/Pooja/Vivek/Vishvajit/Atul A/Amit/Abhijeet/Shweta/Shahrukh</t>
  </si>
  <si>
    <t>Amit/Atul A/Saket</t>
  </si>
  <si>
    <t>Do not Auidt ( Talent titles )</t>
  </si>
  <si>
    <t>Mahima/Srushti/Ashish/Shrikant</t>
  </si>
  <si>
    <t>Vivek/Shweta/Saket/Vishvajit</t>
  </si>
  <si>
    <t>High Priority - Mandatory Completion Required</t>
  </si>
  <si>
    <t>Prathamesh/Sameer/Amruta/Chandrakant</t>
  </si>
  <si>
    <t>Saket/Manisha/Pooja/Shahrukh</t>
  </si>
  <si>
    <t>Sumedha/Aishwarya/Niyati/Mahesh</t>
  </si>
  <si>
    <t>Abhijeet/Amit/Atul A/Vishvajit</t>
  </si>
  <si>
    <t>Prathamesh/Ashish/Sumedha</t>
  </si>
  <si>
    <t>Srushti/Ashish/Sejal/Mahima</t>
  </si>
  <si>
    <t>Dell_US_MB_CSG_Intel_INTS_BANT_FY27Q1</t>
  </si>
  <si>
    <t>Chandrakant/Sameer/Amruta</t>
  </si>
  <si>
    <t>Dell_US_SB_CSG_Intel_INTS_MRL_FY27Q1</t>
  </si>
  <si>
    <t>Sumedha/Aishwarya/Niyati/Mahesh/Shrikant</t>
  </si>
  <si>
    <t>Dell_US_SB_CSG_MSFT_INTS_L3SRL_FY27Q1</t>
  </si>
  <si>
    <t>Chandrakant/Sejal/Mahima</t>
  </si>
  <si>
    <t>Nielsen Gracenote_CS_SOUTH KOREA_FY26Q1</t>
  </si>
  <si>
    <t>Prathamesh/Sumedha/Aishwarya</t>
  </si>
  <si>
    <t>Pooja/Shweta/Abhijeet</t>
  </si>
  <si>
    <t>Sumedha/Mahesh</t>
  </si>
  <si>
    <t>Niyati/Aishwarya</t>
  </si>
  <si>
    <t>RealPage_Screening 2Touch_FY26Q1</t>
  </si>
  <si>
    <t>RealPage_Revenue Management 2Touch_FY26Q1</t>
  </si>
  <si>
    <t>Srushti/Sejal</t>
  </si>
  <si>
    <r>
      <t xml:space="preserve">Audit only </t>
    </r>
    <r>
      <rPr>
        <b/>
        <sz val="10"/>
        <color theme="1"/>
        <rFont val="Calibri"/>
        <family val="2"/>
      </rPr>
      <t>US</t>
    </r>
    <r>
      <rPr>
        <sz val="10"/>
        <color theme="1"/>
        <rFont val="Calibri"/>
        <family val="2"/>
      </rPr>
      <t xml:space="preserve"> leads.</t>
    </r>
  </si>
  <si>
    <t>JUST_Databricks_Azure AMER DBX USCA All_FY26Q1</t>
  </si>
  <si>
    <t>Shrikant/Sejal</t>
  </si>
  <si>
    <t>Sameer/Amruta/Chandrakant</t>
  </si>
  <si>
    <t>Sameer/Amruta/Chandrakant/Sejal/Mahima</t>
  </si>
  <si>
    <t>Sumedha/Aishwarya/Niyati/Srushti/Ashish/Mahesh/Shrikant</t>
  </si>
  <si>
    <t>RedHat_JustGlobal_8942_ST 2CQ_TAIWAN_FY26Q1</t>
  </si>
  <si>
    <t>RedHat_JustGlobal_8942_ST 2CQ_HONG KONG_FY26Q1</t>
  </si>
  <si>
    <t>RedHat_JustGlobal_8942_ST 2CQ_ASEAN_FY26Q1</t>
  </si>
  <si>
    <t>RedHat_JustGlobal_8942_ST 2CQ_INDIA_FY26Q1</t>
  </si>
  <si>
    <t>RedHat_JustGlobal_8942_ST 2CQ_ANZ_FY26Q1</t>
  </si>
  <si>
    <t>Ashish/Srushti</t>
  </si>
  <si>
    <t>Double Audit</t>
  </si>
  <si>
    <t>Abhijeet/Pooja/Vishvajit/Atul A</t>
  </si>
  <si>
    <t>Audit only Korea and Taiwan</t>
  </si>
  <si>
    <t>Audit only UAE, Luxembourg and Austria</t>
  </si>
  <si>
    <t>Audit only Malaysia</t>
  </si>
  <si>
    <t>Linkedin Issue</t>
  </si>
  <si>
    <t>Mahesh / Shrikant / Jaywant / Amruta / Chandrakant / Prathamesh / Niyati / Anand</t>
  </si>
  <si>
    <t>Abhijeet / Shrinivas</t>
  </si>
  <si>
    <t>iProspect_Salesforce_Global Cloud OpenOpp BDM Lead Gen Value Add_FY26Q1</t>
  </si>
  <si>
    <t>iProspect_Salesforce_Global Cloud OpenOpp BDM Lead Gen_FY26Q1</t>
  </si>
  <si>
    <t>SailPoint_Migration Customer_FY26Q1</t>
  </si>
  <si>
    <t>Mahesh / Shrikant / Jaywant</t>
  </si>
  <si>
    <t>Chandrakant / Sameer / Amruta</t>
  </si>
  <si>
    <t>Abhijeet / Saket / Pooja</t>
  </si>
  <si>
    <t>Shweta / Shahrukh / Saket / Atul A</t>
  </si>
  <si>
    <t>Aishwarya / Ashish / Sameer</t>
  </si>
  <si>
    <t>Anand / Mahima / Jaywant / Prathamesh</t>
  </si>
  <si>
    <t>Ashish / Pooja</t>
  </si>
  <si>
    <t>Iron Mountain Asia_CS_ST_SG_FY26Q1</t>
  </si>
  <si>
    <t>Iron Mountain</t>
  </si>
  <si>
    <t>Anand / Mahima / Niyati</t>
  </si>
  <si>
    <t>Vishvajit / Vivek / Pooja</t>
  </si>
  <si>
    <t>Anand / Ashish / Mahima / Prathamesh</t>
  </si>
  <si>
    <t>Amit / Shweta / Shahrukh / Pooja</t>
  </si>
  <si>
    <t>High Priority - Mandatory Completion</t>
  </si>
  <si>
    <t>Chandrakant / Sameer / Amruta / Srushti / Sejal</t>
  </si>
  <si>
    <t>Shrinivas / Saket / Manisha / Shweta / Shahrukh</t>
  </si>
  <si>
    <t>Aishwarya / Niyati / Mahesh / Jaywant / Shrikant</t>
  </si>
  <si>
    <t>Abhijeet / Atul A / Vishvajit / Vivek / Amit</t>
  </si>
  <si>
    <t>Splunk, Inc. | Splunk_FY26Q2_FMM-EMEA_UKI-UK_O11Y-LOC_Touch_PIP_CS</t>
  </si>
  <si>
    <t>Sumedha / Shrikant</t>
  </si>
  <si>
    <t>Vivek / Pooja</t>
  </si>
  <si>
    <t>Pantheon</t>
  </si>
  <si>
    <t xml:space="preserve"> 17:58</t>
  </si>
  <si>
    <t>Chandrakant / Mahima / Ashish / Anand / Niyati</t>
  </si>
  <si>
    <t>Manisha / Shahrukh / Shweta / Atul A / Amit</t>
  </si>
  <si>
    <t>(China : 200, Taiwan : 200, Hong Kong : 200)</t>
  </si>
  <si>
    <t>Carat_Microsoft_Cloud and AI Platforms_Database Acceleration_UK_FY26Q1</t>
  </si>
  <si>
    <t>Amruta / Ashish / Niketan</t>
  </si>
  <si>
    <t xml:space="preserve"> 16:21</t>
  </si>
  <si>
    <t>(United Kingdom : 150, Ireland : 150)</t>
  </si>
  <si>
    <t>Jaywant  / Abhishek / Shrikant</t>
  </si>
  <si>
    <t>Niketan / Sameer / Amruta / Chandrakant / Mahima / Ashish</t>
  </si>
  <si>
    <t>MJH Life Sciences - Fedegari - Feb - Mar '26</t>
  </si>
  <si>
    <t>Customer Management Practice|Customer Management Practice (CMP) – Language IO Content Syndication - Jan - Feb '26|Linked - 38035A</t>
  </si>
  <si>
    <t>Customer Management Practice|Customer Management Practice (CMP) – Language IO Content Syndication - Jan - Feb '26|Linked - B787EB</t>
  </si>
  <si>
    <t>Audit leads as per Geo Pacing in specs bible</t>
  </si>
  <si>
    <t>Audit only Japan (High priority)</t>
  </si>
  <si>
    <t>Audit only Singapore (High priority)</t>
  </si>
  <si>
    <t>Audit only Netherlands - 50 and Switzerland - 50 (High priority)</t>
  </si>
  <si>
    <t>Sameer / Amruta / Chandrakant</t>
  </si>
  <si>
    <t>AV_GL_CSY_FY26_AU_REALLOC</t>
  </si>
  <si>
    <t>Avanade</t>
  </si>
  <si>
    <t>AV_GL_CSY_FY26_BE_REALLOC</t>
  </si>
  <si>
    <t>AV_GL_CSY_FY26_BR_REALLOC</t>
  </si>
  <si>
    <t>Niyati / Abhishek / Jaywant</t>
  </si>
  <si>
    <t>File shared on Email (High Priority)</t>
  </si>
  <si>
    <t>Mahesh / Jaywant / Prathamesh</t>
  </si>
  <si>
    <t>Dell_US_SB_CSG_MSFT_INTS_L3SRL 3DQ_FY27Q1</t>
  </si>
  <si>
    <t>Chandrakant / Mahima</t>
  </si>
  <si>
    <t>Mahesh / Jaywant / Abhishek / Shrikant / Prathamesh</t>
  </si>
  <si>
    <t>Vivek / Vishvajit / Saket / Pooja / Abhijeet</t>
  </si>
  <si>
    <t>Anand / Niyati / Mahesh / Jaywant / Abhishek / Shrikant</t>
  </si>
  <si>
    <t>Mahima / Anand / Shrikant</t>
  </si>
  <si>
    <t>vivek</t>
  </si>
  <si>
    <t>Sake</t>
  </si>
  <si>
    <t xml:space="preserve"> 20:28</t>
  </si>
  <si>
    <t xml:space="preserve"> 20:34</t>
  </si>
  <si>
    <t xml:space="preserve"> 22:01</t>
  </si>
  <si>
    <t xml:space="preserve"> 22:02</t>
  </si>
  <si>
    <t xml:space="preserve"> 23:44</t>
  </si>
  <si>
    <t>Splunk, Inc. | Splunk_FY26Q2_FMM-EMEA_UKI-UK_SEC-LCES_Touch_PIP_CS | Linked for WV Check.</t>
  </si>
  <si>
    <t xml:space="preserve"> 00:03</t>
  </si>
  <si>
    <t xml:space="preserve"> 00:10</t>
  </si>
  <si>
    <t xml:space="preserve"> 00:29</t>
  </si>
  <si>
    <t xml:space="preserve"> 00:30</t>
  </si>
  <si>
    <t xml:space="preserve"> 00:34</t>
  </si>
  <si>
    <t>L1 Published Time</t>
  </si>
  <si>
    <t>L2 Published Time</t>
  </si>
  <si>
    <t>Cmpg Owner</t>
  </si>
  <si>
    <t>Anand / Mahesh / Abhishek</t>
  </si>
  <si>
    <t>Atul A / Vivek / Vishvajit</t>
  </si>
  <si>
    <t>Priority</t>
  </si>
  <si>
    <t>Niketan / Chandrkant / Srushti / Sameer / Aishwarya</t>
  </si>
  <si>
    <t>Shweta / Shahrukh / Shrinivas / Vivek/ Abhijeet</t>
  </si>
  <si>
    <t>Niketan / Srushti / Amruta</t>
  </si>
  <si>
    <t>Niketan / Prathamesh</t>
  </si>
  <si>
    <t>Asishwarya / Anand / Jaywant / Abhishek / Mahesh</t>
  </si>
  <si>
    <t>Shahrukh / Abhijeet / Amit / Atul A / Vivek / Vishvajit</t>
  </si>
  <si>
    <t>Pooja / Shrinivas / Saket / Vishvajit / Shweta</t>
  </si>
  <si>
    <t>(China : 160, Taiwan : 160, Hong Kong : 160)</t>
  </si>
  <si>
    <t>Amruta / Sameer / Niketan / Chandrkant / Sejal / Srushti / Ashish</t>
  </si>
  <si>
    <t>Amit / Atul A / Abhijeet / Vivek</t>
  </si>
  <si>
    <t>PTC_EMEA_Blake_FY26Q1_Sales TAL+CQ</t>
  </si>
  <si>
    <t>PTC_EMEA_Blake_FY26Q1_Competitor TAL+CQ</t>
  </si>
  <si>
    <t>Jaywant / Srushti</t>
  </si>
  <si>
    <t>Prathamesh / Jaywant</t>
  </si>
  <si>
    <t>Audit the leads as per Segment Pacing in specs bible</t>
  </si>
  <si>
    <t>Amruta / Sameer / Niketan</t>
  </si>
  <si>
    <t>SAS_Banking_Risk_DTouch_Nurture_AMER_FY26Q1</t>
  </si>
  <si>
    <t>Chandrkant / Abhishek / Mahesh</t>
  </si>
  <si>
    <t>Auidt only Engineering &amp; Open/Click data</t>
  </si>
  <si>
    <t>Excluding talent titles</t>
  </si>
  <si>
    <t>Ashish / Anand</t>
  </si>
  <si>
    <t>Audit only Priority Industries</t>
  </si>
  <si>
    <t>Glia_TAL_H1_FY26_US_TAL_CS</t>
  </si>
  <si>
    <t>Glia</t>
  </si>
  <si>
    <t>Mandatory Qualified leads.</t>
  </si>
  <si>
    <t>Yuvraj</t>
  </si>
  <si>
    <t>G-P Globalization Partners|Q1 2026 - NA - Finance - Nurture|Linked  - 2EBD7E</t>
  </si>
  <si>
    <t>Sejal / Prathmesh</t>
  </si>
  <si>
    <t>Shrinivas / Shweta</t>
  </si>
  <si>
    <t>GP</t>
  </si>
  <si>
    <t>G-P Globalization Partners|Q1 2026 - NA - Finance - Nurture|Linked   -82FC58</t>
  </si>
  <si>
    <t>G-P Globalization Partners|Q1 2026 - NA - Human Resource - Nurture|Linked  - 7D404B</t>
  </si>
  <si>
    <t>G-P Globalization Partners|Q1 2026 - NA - Human Resource - Nurture|Linked  - F4B0A7</t>
  </si>
  <si>
    <t>G-P Globalization Partners|Q1 2026 - NA - Legal - Nurture|Linked   -610F58</t>
  </si>
  <si>
    <t>G-P Globalization Partners|Q1 2026 - NA - Legal - Nurture|Linked  - 89BBB0</t>
  </si>
  <si>
    <t>G-P Globalization Partners|Q1 2026 - NA - Operations - Nurture|Linked  - 0D0457</t>
  </si>
  <si>
    <t>Pooja / Shweta</t>
  </si>
  <si>
    <t>G-P Globalization Partners|Q1 2026 - NA - Operations - Nurture|Linked  - C460B2</t>
  </si>
  <si>
    <t>Aishwarya / Amruta</t>
  </si>
  <si>
    <t>AMD_ Client_ NA SLED_AIRE CS_ FY26Q1</t>
  </si>
  <si>
    <t>AMD</t>
  </si>
  <si>
    <t>AMD_ Client_ NA_AIRE CS_ FY26Q1</t>
  </si>
  <si>
    <t>AMD_ Server_ NA_AIRE CS_ FY26Q1</t>
  </si>
  <si>
    <t>Jaywant / Chandrkant</t>
  </si>
  <si>
    <t>Prathamesh / Ashish / Sejal</t>
  </si>
  <si>
    <t>Srushti / Sejal / Chandrkant</t>
  </si>
  <si>
    <t>Abhishek / Mahesh / Aishwarya</t>
  </si>
  <si>
    <t>Aishwarya / Prathamesh</t>
  </si>
  <si>
    <t>Anand / Mahesh</t>
  </si>
  <si>
    <t>Amit / Vishvajit</t>
  </si>
  <si>
    <t>Niketan / Sejal / Srushti / Ashish</t>
  </si>
  <si>
    <t>Shweta / Shahrukh / Pooja / Saket</t>
  </si>
  <si>
    <t>Require Experimental Marketing Leads</t>
  </si>
  <si>
    <t>Account List Mismatch</t>
  </si>
  <si>
    <t>File Receive from MIS</t>
  </si>
  <si>
    <t>No Data Added</t>
  </si>
  <si>
    <t>Shrinivas / Anand</t>
  </si>
  <si>
    <t>Cmpg Update</t>
  </si>
  <si>
    <t>Cmpg Sender</t>
  </si>
  <si>
    <t>Please exclude customer service number for all BOX campaigns moving forward. We need proper office number , switchboard number or direct dials only.</t>
  </si>
  <si>
    <t>Aishwarya / Ashish</t>
  </si>
  <si>
    <t>Abhishek / Chandrkant / Mahesh</t>
  </si>
  <si>
    <t>Vivek / Vishvajit / Shrinivas</t>
  </si>
  <si>
    <t>Honeywell EMEA 37214146637 Automation AI Ops Production NAM EP23</t>
  </si>
  <si>
    <t>Honeywell</t>
  </si>
  <si>
    <t>Honeywell EMEA 37214146637 Cybersecurity NAM EP23</t>
  </si>
  <si>
    <t>DY_AP_CSY_25Q4_AU_F&amp;P</t>
  </si>
  <si>
    <t>Priority - Share the file before 8 PM</t>
  </si>
  <si>
    <t>Dayforce</t>
  </si>
  <si>
    <t>DY_AP_CSY_25Q4_AU_HR</t>
  </si>
  <si>
    <t>DY_AP_CSY_25Q4_AU_IT</t>
  </si>
  <si>
    <t>Vivek / Vishvajit / Jaywant / Mahesh</t>
  </si>
  <si>
    <t>Tollfree Numbers not allowed</t>
  </si>
  <si>
    <t>Ashish / Sejal / Srushti / Mahima / Amruta</t>
  </si>
  <si>
    <t>PagerDuty_GrowRevenue InnovationVelocity EMEA non-UKI Single Touch_FY26Q3Q4</t>
  </si>
  <si>
    <t>Ashish / Sameer</t>
  </si>
  <si>
    <t>Jaywant / Prathamesh</t>
  </si>
  <si>
    <t>Audit only Netherlands and Denmark</t>
  </si>
  <si>
    <t>Anand / Niyati / Aishwarya / Sameer</t>
  </si>
  <si>
    <t>Atul A / Saket / Vishvajit / Manisha</t>
  </si>
  <si>
    <t>Avalara | Avalara - Excise - Branded Nurture - FY26Q1 | Linked</t>
  </si>
  <si>
    <t>Avalara | Avalara - Comms - Branded Nurture - FY26Q1 | Linked_8A998E</t>
  </si>
  <si>
    <t>Gartner | RM_EMEA_2026_ITGOV_PP_PL1_26TTTEMEAGOVFEB | Linked</t>
  </si>
  <si>
    <t>Aishwarya / Sameer</t>
  </si>
  <si>
    <t>Anand / Niyati / Chandrkant / Niketan / Prathamesh / Amruta / Sameer / Jaywant</t>
  </si>
  <si>
    <t>Jaywant / Mahesh / Abhishek / Abhijeet / Aishwarya</t>
  </si>
  <si>
    <t>Abhishek / Mahesh / Sejal / Srushti / Mahima / Ashish</t>
  </si>
  <si>
    <t>Sameer / Mahima / Sejal</t>
  </si>
  <si>
    <t>(Ireland : 140, United Kingdom : 140)</t>
  </si>
  <si>
    <t>Niketan / Chandrkant / Amruta / Sejal</t>
  </si>
  <si>
    <t>(China : 100, Taiwan : 100, Hong Kong : 100)</t>
  </si>
  <si>
    <t>Audit all leads as per segment pacing in specs bible</t>
  </si>
  <si>
    <t>Pooja / Shrinivas</t>
  </si>
  <si>
    <t>All L2</t>
  </si>
  <si>
    <t>File Shared by Jitu</t>
  </si>
  <si>
    <t>Backdated Leads / Bad Data</t>
  </si>
  <si>
    <t xml:space="preserve"> 23:36</t>
  </si>
  <si>
    <t>Manisha / Vivek</t>
  </si>
  <si>
    <t>OMD_SAP_CX_Italy_IDP-015_FY26Q1</t>
  </si>
  <si>
    <t>Staff Base Content Syndication Q1'26</t>
  </si>
  <si>
    <t>High Priority / Audit leads on P1 only and keep less C-level</t>
  </si>
  <si>
    <t>Gainsight_ EMEA_AE_CS Leader_ 2 CQ_FY26Q1</t>
  </si>
  <si>
    <t>Gainsight_ NA_ AE_CS Leader_ 2 CQ_FY26Q1</t>
  </si>
  <si>
    <t>Gainsight_ EMEA_CS Revenue_ 2 CQ_FY26Q1</t>
  </si>
  <si>
    <t>Gainsight_ NA_CS Revenue_ 2 CQ_FY26Q1</t>
  </si>
  <si>
    <t>Audit all leads as per leads pacing in Specs bible</t>
  </si>
  <si>
    <t>Chandrakant / Srushti / Sejal / Ashish / Anand / Abhishek</t>
  </si>
  <si>
    <t>CY26Q1 |EMEA |ABM |AI |CPL |EMEA FSI Hybrid Nurture - Linked AC9AAD</t>
  </si>
  <si>
    <t>CY26Q1 |EMEA |ABM |AI |CPL |EMEA FSI Hybrid Nurture Germany - Linked F15D62</t>
  </si>
  <si>
    <t>CY26Q1 Fast and Efficient EMEA 2 Candorworks - Linked 4E1226</t>
  </si>
  <si>
    <t>CY26Q1 Fast and Efficient Germany Candorworks Local - Linked C0F174</t>
  </si>
  <si>
    <t>CY26Q1 Fast and Efficient Italy Candorworks Local - Linked D88D58</t>
  </si>
  <si>
    <t>Simplify Compliance|Simplify Compliance: Accuity - TC3564 - Feb - Mar '26|Linked</t>
  </si>
  <si>
    <t>File sent by MIS for Re-engaged</t>
  </si>
  <si>
    <t>Niketan / Amruta</t>
  </si>
  <si>
    <t>High Priority - Audit All IT Releated titles only / please publish file before 6PM</t>
  </si>
  <si>
    <t>Manisha / Shrinivas / Vivek / Shahrukh</t>
  </si>
  <si>
    <t>Amit / Vishvajit / Atul A / Manisha / Vivek / Shrinivas / Abhijeet / Saket / Sumedha</t>
  </si>
  <si>
    <t>Mahesh / Abhishek / Anand / Jaywant</t>
  </si>
  <si>
    <t>Pooja / Shahrukh / Sumedha</t>
  </si>
  <si>
    <t>Vishvajit / Shahrukh</t>
  </si>
  <si>
    <t>Anand / Aishwarya / Niyati / Sameer / Mahima / Abhishek G / Amruta</t>
  </si>
  <si>
    <t>Saket / Pooja / Atul A / Shrinivas / Shahrukh / Vishvajit / Manisha</t>
  </si>
  <si>
    <t>Vivek / Abhijeet</t>
  </si>
  <si>
    <t>Niyati/Prathamesh</t>
  </si>
  <si>
    <t>TOP Priority - Required WhiteSpace - 150 Leads &amp; ABM 50 Leads and please publish before 6PM</t>
  </si>
  <si>
    <t>TOP Priority - WV file shared by MIS / Please publish file before 6PM</t>
  </si>
  <si>
    <t>TOP Priority - Please publish file before 6PM</t>
  </si>
  <si>
    <t>High priority</t>
  </si>
  <si>
    <t>Vishvajit/Vivek/Saket/Pooja</t>
  </si>
  <si>
    <t>Carat_Microsoft_Cloud and AI Platforms_Innovate with Azure AI Apps &amp; Agents_ENT_Thailand_FY26Q1</t>
  </si>
  <si>
    <t>Carat_Microsoft_Cloud and AI Platforms_Innovate with Azure AI Apps &amp; Agents_ENT_Philippines_FY26Q1</t>
  </si>
  <si>
    <t>Carat_Microsoft_Cloud and AI Platforms_Innovate with Azure AI Apps &amp; Agents_ENT_Indonesia_FY26Q1</t>
  </si>
  <si>
    <t>Carat_Microsoft_Cloud and AI Platforms_Innovate with Azure AI Apps &amp; Agents_ENT_Vietnam_FY26Q1</t>
  </si>
  <si>
    <t>Sumedha/Aishwarya</t>
  </si>
  <si>
    <t>Avalara | Avalara - Business Licenses - Nurture - CS - FY26 | Linked</t>
  </si>
  <si>
    <t>CY26Q1 |EMEA |ABM |AI |CPL |Public Sector Nurture 1 - Linked A8382C</t>
  </si>
  <si>
    <t>CY26Q1 |EMEA |ABM |AI |CPL |Public Sector Nurture 1 Germany - Linked AAB4C3</t>
  </si>
  <si>
    <t>CY26Q1 Fast and Efficient France Candorworks - Linked 22EAEE</t>
  </si>
  <si>
    <t>CY26Q1 Fast and Efficient France Candorworks Local - Linked C1D46B</t>
  </si>
  <si>
    <t>CY26Q1 Fast and Efficient Germany Candorworks - Linked 87BFF4</t>
  </si>
  <si>
    <t>CY26Q1 Fast and Efficient UKI Candorworks - Linked 2706DF</t>
  </si>
  <si>
    <t>Google Chrome|FY26H1 - P360 - NA - Greenfield 1K+|Linked</t>
  </si>
  <si>
    <t>Abhijeet/Shrinivas</t>
  </si>
  <si>
    <t>Telco Always On Candorworks - Linked 9790F0</t>
  </si>
  <si>
    <t>Prioritise  Open / Click &amp; Rest Delivered'Auidt engineering leads</t>
  </si>
  <si>
    <t>Ashish/Niyati</t>
  </si>
  <si>
    <t>Abhijeet/Amit</t>
  </si>
  <si>
    <t>High Priority / Audit leads on P1 only and kepp less C-level</t>
  </si>
  <si>
    <t>StaffBase</t>
  </si>
  <si>
    <t>Amit/Pooja</t>
  </si>
  <si>
    <t>Mahesh/Jaywant/Abhishek/Amruta/Chandrakant</t>
  </si>
  <si>
    <t>Mahesh/Jaywant/Abhishek/Prathamesh/Aishwarya</t>
  </si>
  <si>
    <t>Vishvajit/Vivek/Manisha/Shrinivas/Saket</t>
  </si>
  <si>
    <t>Niyati/Anand/Sumedha//Niketan</t>
  </si>
  <si>
    <t>Anand/Sumedha/Ashish/Sameer</t>
  </si>
  <si>
    <t>Database Exhasuted</t>
  </si>
  <si>
    <t>Manisha/Shrinivas/Shahrukh/Shweta/Abhijeet/Amit</t>
  </si>
  <si>
    <t>Pooja/Vivek</t>
  </si>
  <si>
    <t>Shweta/Amit/Abhijeet/Manisha</t>
  </si>
  <si>
    <t>File Received from MIS</t>
  </si>
  <si>
    <t>Mahima/Shahrukh</t>
  </si>
  <si>
    <t>Samsara_US Samsara - Public Sector Q126</t>
  </si>
  <si>
    <t>Simplify Compliance Simplify Compliance Accuity - TC3564 - Feb - Mar '26 Linked</t>
  </si>
  <si>
    <t>CY26Q1 NA Direct Partners EA0138</t>
  </si>
  <si>
    <t>Manisha/Saket/Shrinivas/Vivek/Vishvajit/Shweta/Amit/Shahrukh</t>
  </si>
  <si>
    <t>Shahrukh + Shweta</t>
  </si>
  <si>
    <t>Bad Data</t>
  </si>
  <si>
    <t>As per Note:No engineering Titles Left</t>
  </si>
  <si>
    <t>KDMQ1 - Content Syndication +Qs - Single Touch</t>
  </si>
  <si>
    <t>Prioritise TAL</t>
  </si>
  <si>
    <t>OUT</t>
  </si>
  <si>
    <t>TOP Priority - WV file will be shared by MIS / Please publish file ASAP(Note: If any field is missing in the database, please ensure it is rectified and completed wherever possible. Please avoid disqualifying records solely due to missing fields.)</t>
  </si>
  <si>
    <t>ALL L2</t>
  </si>
  <si>
    <t>Avalara  Avalara - SMB - US - Man - FY26Q1  Linked</t>
  </si>
  <si>
    <t>Abhishek G / Jaywant</t>
  </si>
  <si>
    <t>Vishwajit / Manisha</t>
  </si>
  <si>
    <t>Niyati / Srushti</t>
  </si>
  <si>
    <t>SA_SM_NORAM_MOFU_Leads_EmpowerYourITHerosWebinar_ITSecurity Copy</t>
  </si>
  <si>
    <t>Aishwarya / Chandrakant / Abhishek G / Shrikant</t>
  </si>
  <si>
    <t>Pooja / Saket / Amit / Abhijeet</t>
  </si>
  <si>
    <t>1Password</t>
  </si>
  <si>
    <t>Mahima / Amruta / Srushti</t>
  </si>
  <si>
    <t>Audit all leads segment leads as per Pacing in Specs bible</t>
  </si>
  <si>
    <t>Shrikant / Prathmesh</t>
  </si>
  <si>
    <t>Atul A / Vishwajit</t>
  </si>
  <si>
    <t>Gainsight_ EMEA_ CC Practitioners_ 2 CQ_FY26Q1</t>
  </si>
  <si>
    <t>Gainsight_ NA_ SkillJar_CC Practitioners_ 2 CQ_FY26Q1</t>
  </si>
  <si>
    <t>Chandrakant / Prathmesh</t>
  </si>
  <si>
    <t>Verizon EMEA_Network CS_FY26Q1_Boost</t>
  </si>
  <si>
    <t>Prathmesh / Shrikant / Abhishek G</t>
  </si>
  <si>
    <t>PTC_EMEA_Clarisse_FY26Q1_CQ</t>
  </si>
  <si>
    <t>Contentsquare_2026 Benchmark_Spain_FY26Q1</t>
  </si>
  <si>
    <t>Contentsquare_2026 Benchmark_Italy_FY26Q1</t>
  </si>
  <si>
    <t>Contentsquare_2026 Benchmark_France_FY26Q1</t>
  </si>
  <si>
    <t>jaywant / Mahesh</t>
  </si>
  <si>
    <t>AXM_Informatica_ABM + CDO/CDAO CA_FY26Q1</t>
  </si>
  <si>
    <t>Amruta / Niketan / Chandrakant</t>
  </si>
  <si>
    <t>Pooja / Amit / Shrinivas</t>
  </si>
  <si>
    <t>Srushti / Mahesh</t>
  </si>
  <si>
    <t>Simplify Compliance|Simplify Compliance: AGS - TC3656 - Priority |Linked</t>
  </si>
  <si>
    <t>Mahesh / Abhishek G</t>
  </si>
  <si>
    <t>Simplify Compliance|Simplify Compliance: AGS - TC3656 - Secondary |Linked</t>
  </si>
  <si>
    <t>Emerj|Emerj - Riskified - Jan - Feb '26|Linked - 4762C2</t>
  </si>
  <si>
    <t>FY27 Q1-Australia-Power of Workday-ERP - Linked - 6FD5A5</t>
  </si>
  <si>
    <t xml:space="preserve">KDMQ1 - Content Syndication +Qs - Single Touch </t>
  </si>
  <si>
    <t>Kaseya</t>
  </si>
  <si>
    <t>Mahima / Ashish / Srushti / Amruta / Niketan / Chandrakant</t>
  </si>
  <si>
    <t>Abhishek G / Shrikant</t>
  </si>
  <si>
    <t>AWS_Partner Direct_OpenAI Migration_Trellix_FY25Q2</t>
  </si>
  <si>
    <t>Niyati / Sumedha / Jaywant</t>
  </si>
  <si>
    <t>Amit / Abhijeet / Vivek</t>
  </si>
  <si>
    <t>Abhijeet / Saket / Pooja / Shweta / Shahrukh / Manisha / Shrinivas / Atul A</t>
  </si>
  <si>
    <t>TOP Priority - WV file will be shared by MIS / Please publish before 7:30PM today</t>
  </si>
  <si>
    <t>Aon-Human-Capital-ITA-Nontal - EMEA 37737699849 EP23</t>
  </si>
  <si>
    <t>Muzammil</t>
  </si>
  <si>
    <t>Email file</t>
  </si>
  <si>
    <t>Domain limit exceed</t>
  </si>
  <si>
    <t>JustGlobal_ServiceNow NAM_BGIQ IT_FY26Q1</t>
  </si>
  <si>
    <t>Ashish / Shrikant / Abhishek G</t>
  </si>
  <si>
    <t>Niyati / Vivek</t>
  </si>
  <si>
    <t>Aon-Human-Capital-IRE-Nontal - EMEA 37737699849 EP23</t>
  </si>
  <si>
    <t>ServiceNow</t>
  </si>
  <si>
    <t>Nikhil</t>
  </si>
  <si>
    <t>manisha</t>
  </si>
  <si>
    <t>Mahima / Niyati</t>
  </si>
  <si>
    <t>CQ's  not mapped</t>
  </si>
  <si>
    <t>Srushti / Ashish / Sumedha</t>
  </si>
  <si>
    <t>Shweta / Shahrukh / Abhijeet</t>
  </si>
  <si>
    <t>CoreView</t>
  </si>
  <si>
    <t>Sitecore | Q1 2026 | DNK | IC Data 1 | EMEA/41039560210 EP23</t>
  </si>
  <si>
    <t>Sitecore</t>
  </si>
  <si>
    <t>Sitecore | Q1 2026 | DNK | IC Data 2 | EMEA/41039560210 EP23</t>
  </si>
  <si>
    <t>Sitecore | Q1 2026 | DNK | TAL 1 | EMEA/41039560210 EP23</t>
  </si>
  <si>
    <t>Sitecore | Q1 2026 | DNK | TAL 2 | EMEA/41039560210 EP23</t>
  </si>
  <si>
    <t>Amruta / Chandrakant / Ashish</t>
  </si>
  <si>
    <t>Q126 - Cloud ABM Campaign - Canada</t>
  </si>
  <si>
    <t>Niketan / Sumedha</t>
  </si>
  <si>
    <t>Q126 - Cloud ABM Campaign - United States</t>
  </si>
  <si>
    <t>Aishwarya / Niyati / Mahesh</t>
  </si>
  <si>
    <t>Abhijeet / Atul A / Vivek</t>
  </si>
  <si>
    <t>Q126 - Endpoint ABM Campaign - Canada</t>
  </si>
  <si>
    <t>Aishwarya / Mahima</t>
  </si>
  <si>
    <t>Abhijeet / Shweta</t>
  </si>
  <si>
    <t>Q126 - Endpoint ABM Campaign - United States</t>
  </si>
  <si>
    <t>Komal / Niketan / Mahesh</t>
  </si>
  <si>
    <t>Saket / Pooja / Manisha</t>
  </si>
  <si>
    <t>Vivek / Shrinivas</t>
  </si>
  <si>
    <t>Fastly_CDN Delivery Akamai Takeout APAC_FY26Q1</t>
  </si>
  <si>
    <t>Fastly</t>
  </si>
  <si>
    <t>Fastly_CDN Delivery Akamai Takeout EMEA_FY26Q1</t>
  </si>
  <si>
    <t>Fastly_CDN Delivery Akamai Takeout NAM_FY26Q1</t>
  </si>
  <si>
    <t>Fastly_CDN Delivery Non Compete APAC_FY26Q1</t>
  </si>
  <si>
    <t>Fastly_CDN Delivery Non Compete EMEA_FY26Q1</t>
  </si>
  <si>
    <t>Fastly_CDN Delivery Non Compete NAM_FY26Q1</t>
  </si>
  <si>
    <t>Fastly_Security APAC_FY26Q1</t>
  </si>
  <si>
    <t>Fastly_Security EMEA_FY26Q1</t>
  </si>
  <si>
    <t>Fastly_Security NAM_FY26Q1</t>
  </si>
  <si>
    <t>Slack_USCA Slack &amp; SF HQL+BuyingGroups_FY26Q4</t>
  </si>
  <si>
    <t>Slack_USCA WorkOs HQL+BuyingGroups_FY26Q4</t>
  </si>
  <si>
    <t>Verizon EMEA_Monestizing AI CS_FY26Q1_Boost</t>
  </si>
  <si>
    <t>Count Met</t>
  </si>
  <si>
    <t>Manisha / Shahrukh / Abhijeet / Atul A / Vishvajit / Saket</t>
  </si>
  <si>
    <t>Manisha / Shahrukh / Abhijeet / Atul A / Vishvajit / Saket / Shrinivas / Shweta / Amit / Vivek / Pooja</t>
  </si>
  <si>
    <t>Carat_Microsoft_Cloud and AI Platforms_Migrate &amp; Modernize your Estate_SMC_Cambodia_FY26Q1</t>
  </si>
  <si>
    <t>Carat_Microsoft_Security_Data Security_SMC_Philippines_FY26Q1</t>
  </si>
  <si>
    <t xml:space="preserve">Auidt only Engineering titles Prioritise Open / Click </t>
  </si>
  <si>
    <t>Audit in USA, focusing only on Operations titles.</t>
  </si>
  <si>
    <t>Vivek / vishvajit</t>
  </si>
  <si>
    <t>Share the filr with CQ</t>
  </si>
  <si>
    <t>Ashish / Sumedha</t>
  </si>
  <si>
    <t>Shahrukh / Amit</t>
  </si>
  <si>
    <t>Moyle Rowley Wealth Management Group - WPC</t>
  </si>
  <si>
    <t>Need - Direct Dial and unique phone numbers</t>
  </si>
  <si>
    <t>Moyle Rowley</t>
  </si>
  <si>
    <t>Mahima / Srushti / Ashish / Abhishek / Shrikant / Aishwarya</t>
  </si>
  <si>
    <t>JustGlobal_ServiceNow NAM_BGIQ CRM_FY26Q1</t>
  </si>
  <si>
    <t>Sumedha / Aishwarya / Niyati / Ashish / Mahesh / Jaywant</t>
  </si>
  <si>
    <t>Amit / Saket / Atul A / Shrinivas / vivek / Pooja</t>
  </si>
  <si>
    <t>Mandatory qualified leads needed.</t>
  </si>
  <si>
    <t xml:space="preserve"> 16:23</t>
  </si>
  <si>
    <t>CY26Q1 Value AWX France Candorworks - Linked BCA757</t>
  </si>
  <si>
    <t>CY26Q1 Value X Sell Belgium Candorworks - Linked 50F9D1</t>
  </si>
  <si>
    <t>Sumedha / Mahima</t>
  </si>
  <si>
    <t>Pooja Saket</t>
  </si>
  <si>
    <t>Need file before 5 Pm.</t>
  </si>
  <si>
    <t>Simplify Compliance|Simplify Compliance: Cardinal Health - TC3666 - Feb - Mar '26|Linked</t>
  </si>
  <si>
    <t>Pooja / Vishvajit</t>
  </si>
  <si>
    <t>Simplify Compliance|Simplify Compliance: Optum - TC3665 - Feb - Mar '26|Linked</t>
  </si>
  <si>
    <t>Simplify Compliance|Simplify Compliance: Waystar - TC3663 - Feb - Mar '26|Linked</t>
  </si>
  <si>
    <t>Mahesh / Niyati</t>
  </si>
  <si>
    <t>Audit 75 leads in AI/Data/Analytics - 50 In US&amp;UK / 25 in CA/AU/NZ/DE/SG  (Auidt 50 leads in Contact Center - 50 In US&amp;UK)  (Ignore the Billing countries target Only Company or Domain name)</t>
  </si>
  <si>
    <t>Manisha / Abhijeet</t>
  </si>
  <si>
    <t>High Priority - Please publish report ASAP</t>
  </si>
  <si>
    <t>Nethawk_SentinelOne_CA_FY26Q1</t>
  </si>
  <si>
    <t>Nethawk_SentinelOne_US_FY26Q1</t>
  </si>
  <si>
    <t xml:space="preserve"> 19:45</t>
  </si>
  <si>
    <t xml:space="preserve"> 19:48</t>
  </si>
  <si>
    <t xml:space="preserve"> 20:57</t>
  </si>
  <si>
    <t>cancel</t>
  </si>
  <si>
    <t xml:space="preserve"> 21:50</t>
  </si>
  <si>
    <t xml:space="preserve"> 22:08</t>
  </si>
  <si>
    <t xml:space="preserve"> 22:57</t>
  </si>
  <si>
    <t xml:space="preserve"> 23:08</t>
  </si>
  <si>
    <t>TCS MasterCraft™ for modernization – Gen AI powered automation for application modernization - Q1’26 - EU</t>
  </si>
  <si>
    <t>TCS MasterCraft™ for modernization – Gen AI powered automation for application modernization - Q1’26 - NA</t>
  </si>
  <si>
    <t xml:space="preserve"> 23:13</t>
  </si>
  <si>
    <t xml:space="preserve"> 23:19</t>
  </si>
  <si>
    <t>Ashish / Nilesh</t>
  </si>
  <si>
    <t xml:space="preserve"> 23:40</t>
  </si>
  <si>
    <t xml:space="preserve"> 00:02</t>
  </si>
  <si>
    <t xml:space="preserve"> 00:18</t>
  </si>
  <si>
    <t xml:space="preserve"> 00:22</t>
  </si>
  <si>
    <t xml:space="preserve"> 00:25</t>
  </si>
  <si>
    <t xml:space="preserve"> 01:01</t>
  </si>
  <si>
    <t xml:space="preserve"> 01:02</t>
  </si>
  <si>
    <t xml:space="preserve"> 01:19</t>
  </si>
  <si>
    <t>Atul / Saket</t>
  </si>
  <si>
    <t>Constructor-retail-titles-dt-emea-tal - EMEA/39657600332 EP23</t>
  </si>
  <si>
    <t>Constructor</t>
  </si>
  <si>
    <t>Constructor-retail-titles-dt-nam-tal - EMEA/39657600332 EP23</t>
  </si>
  <si>
    <t>Mahima / Anand / Mahesh</t>
  </si>
  <si>
    <t>Atul / Saket / Vishwajit</t>
  </si>
  <si>
    <t>Aishwarya / Sumedha / Komal</t>
  </si>
  <si>
    <t>Abhijeet / Atul / Saket</t>
  </si>
  <si>
    <t>Manisha / Shrinivas / Pooja / Saket</t>
  </si>
  <si>
    <t>Amit / Atul</t>
  </si>
  <si>
    <t>Shahrukh / Vishwajit</t>
  </si>
  <si>
    <t>CY26Q1 Value AWX Italy Candorworks - Linked 9EA669</t>
  </si>
  <si>
    <t>CY26Q1 Value X Sell France Candorworks - Linked A25EA2</t>
  </si>
  <si>
    <t>Thoughtworks Agentic AI Pilot - ST 2Q - IT</t>
  </si>
  <si>
    <t>Thoughtworks</t>
  </si>
  <si>
    <t>Thoughtworks Agentic AI Pilot - ST 2Q - ES</t>
  </si>
  <si>
    <t>Abhishek / Komal</t>
  </si>
  <si>
    <t>Audit in USA, focusing only on Operations titles &amp; IT industry</t>
  </si>
  <si>
    <t>AV_GL_CSY_FY26_UK_DIGITAL</t>
  </si>
  <si>
    <t>AV_GL_CSY_FY26_US_DIGITAL</t>
  </si>
  <si>
    <t>TCS</t>
  </si>
  <si>
    <t>ALT_EM_CSY_26Q1_NORDICS_DD_CUSTOMER_TAL</t>
  </si>
  <si>
    <t>Alteryx</t>
  </si>
  <si>
    <t>ALT_EM_CSY_26Q1_UKI_DD_CUSTOMER_TAL</t>
  </si>
  <si>
    <t>ALT_EM_CSY_26Q1_UKI_DD_PROS_TAL</t>
  </si>
  <si>
    <t>Komal / Abhishek</t>
  </si>
  <si>
    <t>Quadient_AP_Content_Syndication_Q4_FY25_GB_AP</t>
  </si>
  <si>
    <t>Quadient_AP_Content_Syndication_Q4_FY25_US_AP</t>
  </si>
  <si>
    <t>Quadient_AR_Content_Syndication_Q4_FY25_GB_AR_SMB</t>
  </si>
  <si>
    <t>Quadient_AR_Content_Syndication_Q4_FY25_US_AR_SMB</t>
  </si>
  <si>
    <t>Shweta / Saket</t>
  </si>
  <si>
    <t>Quadient_AR_Content_Syndication_Q4_FY25_US_AR_UMM</t>
  </si>
  <si>
    <t>Srushti / Mahima / Ashish / Mahesh / Jaywant / Sameer</t>
  </si>
  <si>
    <t>Double audits Done</t>
  </si>
  <si>
    <t>File from Mail</t>
  </si>
  <si>
    <t>Data left is not as per remarks</t>
  </si>
  <si>
    <t>Anand / Sameer / Sejal / Srushti</t>
  </si>
  <si>
    <t xml:space="preserve">Require 30+ leads from all Segments </t>
  </si>
  <si>
    <t>Mail from Email</t>
  </si>
  <si>
    <t>60126005_Veracode - DNK/SWE - NAM/37496614688 EP23</t>
  </si>
  <si>
    <t>Abhijeet/Atul A</t>
  </si>
  <si>
    <t>Komal/Abhishek/Shrikant</t>
  </si>
  <si>
    <t>Saket/Pooja/Vishvajit</t>
  </si>
  <si>
    <t>TOP Priority - please publish before 6PM</t>
  </si>
  <si>
    <t>Shrikant/Anand</t>
  </si>
  <si>
    <t>Vivek/Amit</t>
  </si>
  <si>
    <t>TOP Priority - Required WhiteSpace - 150 Leads and publish before 6PM</t>
  </si>
  <si>
    <t>Chandrakant/Sejal/Ashish/Abhishek</t>
  </si>
  <si>
    <t>Shrinivas/Shahrukh/Shweta/Vivek</t>
  </si>
  <si>
    <t>Komal/Ashish</t>
  </si>
  <si>
    <t>Anand/Niyati/Mahesh/Chandrakant</t>
  </si>
  <si>
    <t>Atul A/Amit/Vishvajit/Vivek</t>
  </si>
  <si>
    <t>Abhishek/Sameer/Mahesh/Mahima/Aishwarya</t>
  </si>
  <si>
    <t>Vishvajit/Shrinivas/Shahrukh/Shweta/Abhijeet</t>
  </si>
  <si>
    <t>Abhishek/Mahesh</t>
  </si>
  <si>
    <t>Aishwarya/Niketan</t>
  </si>
  <si>
    <t>Amit/Shrinivas</t>
  </si>
  <si>
    <t>Chandrakant/Sejal</t>
  </si>
  <si>
    <t>Shrinivas/Pooja</t>
  </si>
  <si>
    <t>TSIA_AI Economics_FY26Q1</t>
  </si>
  <si>
    <t>Sejal/Sumedha</t>
  </si>
  <si>
    <t>Sameer/Niketan/Ashish</t>
  </si>
  <si>
    <t>Shrikant/Mahima</t>
  </si>
  <si>
    <t>Gainsight_ NA_CE Leader_ 2 CQ_FY26Q1</t>
  </si>
  <si>
    <t>Standard : 20, Manufacturing : 50, Finance : 50</t>
  </si>
  <si>
    <t>Niyati/Shrinivas/Shahrukh</t>
  </si>
  <si>
    <t>Sameer/Niketan</t>
  </si>
  <si>
    <t>Shweta/Saket</t>
  </si>
  <si>
    <t>Gartner | RM_EMEA_2026_ITGOV_PP_PL1_26TTTEMEAGOVFEB | Linked B77FCB</t>
  </si>
  <si>
    <t>CY26Q1 Value X Sell Italy Candorworks - Linked 47D260</t>
  </si>
  <si>
    <t>Paypal Europe Services Limited|PayPal DACH FY25Q4|Linked -  AE3D81</t>
  </si>
  <si>
    <t>Paypal</t>
  </si>
  <si>
    <t>Paypal Europe Services Limited|PayPal DACH FY25Q4|Linked -86E050</t>
  </si>
  <si>
    <t>Simplify Compliance|Simplify Compliance: Sunbelt Webinar - TC1525 - Feb - Mar '26|Linked</t>
  </si>
  <si>
    <t>Komal/Niketan</t>
  </si>
  <si>
    <t>Pooja/Abhijeet</t>
  </si>
  <si>
    <t>Audit ABM Leads</t>
  </si>
  <si>
    <t>Quadient_AR_Content_Syndication_Q4_FY25_GB_AR_UMM</t>
  </si>
  <si>
    <t>Samsara_UKI_ENTERPRISE_Q1FY26_UK-I_ENT_QQ</t>
  </si>
  <si>
    <t>Anand/Niyati/Mahesh</t>
  </si>
  <si>
    <t>Amit/Atul A/Vivek</t>
  </si>
  <si>
    <t>Samsara_UKI_MIDMARKET_Q1FY26_UK-I_MM_QQ</t>
  </si>
  <si>
    <t>Mahima/Sumedha/Aishwarya</t>
  </si>
  <si>
    <t>Shweta/Atul A/Abhijeet</t>
  </si>
  <si>
    <t>Zendesk_EMEA_CCaaS_Q1_FY26_FR_TAL_CCAAS_ENT_ST_QQ</t>
  </si>
  <si>
    <t>Zendesk_EMEA_CCaaS_Q1_FY26_GB_TAL_CCAAS_ENT_ST_QQ</t>
  </si>
  <si>
    <t>Pooja/Shrinivas</t>
  </si>
  <si>
    <t>Ashish/Abhishek/Niketan</t>
  </si>
  <si>
    <t>File received from MIS</t>
  </si>
  <si>
    <t>Sameer/Vishvajit</t>
  </si>
  <si>
    <t>Sameer&amp; Vishvajit</t>
  </si>
  <si>
    <t>Q126 - IIS ABM Campaign</t>
  </si>
  <si>
    <t>Niyati / Anand / Komal</t>
  </si>
  <si>
    <t>Amit / Atul A / Pooja</t>
  </si>
  <si>
    <t>High Priority – Please publish file before 6PM</t>
  </si>
  <si>
    <t>Huntress</t>
  </si>
  <si>
    <t>Q126 - OIS ABM Campaign</t>
  </si>
  <si>
    <t>Jaywant / Aishwarya / Sumedha</t>
  </si>
  <si>
    <t>Vivek / Vishwajit / Abhijeet</t>
  </si>
  <si>
    <t>Carat_Microsoft_Cloud and AI Platforms_Migrate &amp; Modernize your Estate_SMB_New Zealand_FY26Q1</t>
  </si>
  <si>
    <t>Sameer / Sejal</t>
  </si>
  <si>
    <t>all L2</t>
  </si>
  <si>
    <t>AXM_Informatica_ABM + CDO/CDAO US_FY26Q1</t>
  </si>
  <si>
    <t>Samsara_DACH_Q1FY26_DACH_ENT_QQ</t>
  </si>
  <si>
    <t>Samsara_FRANCE_BELUX_Q1FY26_BEN_ENT_QQ</t>
  </si>
  <si>
    <t>Samsara_FRANCE_BELUX_Q1FY26_BEN_MM_QQ</t>
  </si>
  <si>
    <t>Samsara_FRANCE_BELUX_Q1FY26_FR_ENT_QQ</t>
  </si>
  <si>
    <t>Samsara_FRANCE_BELUX_Q1FY26_FR_MM_QQ</t>
  </si>
  <si>
    <t>ALT_EM_CSY_26Q1_BX_CUST_DD</t>
  </si>
  <si>
    <t>ALT_EM_CSY_26Q1_DACH_CUST_DD</t>
  </si>
  <si>
    <t>Sumedha / Srushti</t>
  </si>
  <si>
    <t>Mahima / Sejal / Srushti / Ashish</t>
  </si>
  <si>
    <t>Shrikant / Aishwarya / Sumedha</t>
  </si>
  <si>
    <t>Niketan / Chandrakant / Sameer</t>
  </si>
  <si>
    <t>Saket / Amit</t>
  </si>
  <si>
    <t>Audit all leads</t>
  </si>
  <si>
    <t>CY26Q1 Value X Sell Saudi Arabia Candorworks - Linked BF0E99</t>
  </si>
  <si>
    <t>CY26Q1 Value X Sell UK Candorworks - Linked DE7E2B</t>
  </si>
  <si>
    <t>Shrinivas / Saket</t>
  </si>
  <si>
    <t>SuccessKPI | FY25Q4 Success KPI Health Pilot | Linked</t>
  </si>
  <si>
    <t>Success KPI</t>
  </si>
  <si>
    <t>SuccessKPI | FY25Q4 Success KPI Other Industries | Linked</t>
  </si>
  <si>
    <t>CY26Q1 Value AWX Belgium Candorworks - Linked E4C5C8</t>
  </si>
  <si>
    <t>Simplify Compliance|Simplify Compliance: Optum Webinar - TC3672 - Feb - Mar '26|Linked</t>
  </si>
  <si>
    <t>Trend Micro (Singapore) Pte Ltd|FY26Q1 TrendMicro CREM 2CQ - 929F08|Linked - 3A895E</t>
  </si>
  <si>
    <t>Trend Micro</t>
  </si>
  <si>
    <t>Trend Micro (Singapore) Pte Ltd|FY26Q1 TrendMicro CREM 2CQ - 929F08|Linked - B223A5</t>
  </si>
  <si>
    <t>Trend Micro (Singapore) Pte Ltd|FY26Q1 TrendMicro CREM 2CQ - 929F08|Linked - B3D17C</t>
  </si>
  <si>
    <t>Trend Micro (Singapore) Pte Ltd|FY26Q1 TrendMicro CREM 2CQ - 929F08|Linked - CCB63F</t>
  </si>
  <si>
    <t>Trend Micro (Singapore) Pte Ltd|FY26Q1 TrendMicro CREM 2CQ - 929F08|Linked - AEA4F8</t>
  </si>
  <si>
    <t>Ashish / Sejal / Srushti</t>
  </si>
  <si>
    <t>Ashish / Komal / Anand</t>
  </si>
  <si>
    <t>Srushti / Sejal / Mahima</t>
  </si>
  <si>
    <t>Niketan / Chandrakant / Ashish</t>
  </si>
  <si>
    <t>Ashish / Aishwarya / Sumedha</t>
  </si>
  <si>
    <t>Atul A / Shahrukh / Abhijeet</t>
  </si>
  <si>
    <t>Sameer / Niketan / Chandrakant</t>
  </si>
  <si>
    <t>iProspect_Salesforce_Global Cloud CrossSell IT Lead Gen Value Add_FY26Q1</t>
  </si>
  <si>
    <t>Mahima / Niyati / Abhishek G</t>
  </si>
  <si>
    <t>iProspect_Salesforce_Global Cloud CrossSell IT Lead Gen_FY26Q1</t>
  </si>
  <si>
    <t>Sumedha / Aishwarya / Komal / Niyati / Anand / Jaywant</t>
  </si>
  <si>
    <t>Email File</t>
  </si>
  <si>
    <t>Shriinvas</t>
  </si>
  <si>
    <t xml:space="preserve"> 6.04 PM</t>
  </si>
  <si>
    <t>mahesh</t>
  </si>
  <si>
    <t>Gajanan</t>
  </si>
  <si>
    <t>Dipak</t>
  </si>
  <si>
    <t>Pavan</t>
  </si>
  <si>
    <t>Nilesh / Shrinivas</t>
  </si>
  <si>
    <t>Lalit</t>
  </si>
  <si>
    <t xml:space="preserve">AXM_Informatica_ABM + CDO CDAO CA_FY26Q1 </t>
  </si>
  <si>
    <t>Rahul</t>
  </si>
  <si>
    <t>Pooja / Vivek / Shrinivas</t>
  </si>
  <si>
    <t>Carat_Microsoft_Cloud and AI Platforms_Unify Your Data Platform_SMC_Poland_FY26Q1</t>
  </si>
  <si>
    <t>Komal / Chandrakant</t>
  </si>
  <si>
    <t>Audit only Thailand leads.</t>
  </si>
  <si>
    <t>Audit only Germany leads.</t>
  </si>
  <si>
    <t>Gainsight_ EMEA_CE Leader_ 2 CQ_FY26Q1</t>
  </si>
  <si>
    <t>Mahima / Komal</t>
  </si>
  <si>
    <t>Sameer / Chandrakant</t>
  </si>
  <si>
    <t>Shrikant / Saket</t>
  </si>
  <si>
    <t>Audit all data base need Max number of qualified leads.</t>
  </si>
  <si>
    <t>SuccessKPI|FY25Q4 Success KPI Health Pilot VA |Linked - 7DEEBC</t>
  </si>
  <si>
    <t>SuccessKPI|FY25Q4 Success KPI Other Industries VA |Linked - 1C59CE</t>
  </si>
  <si>
    <t>Axon|Axon FY26Q1 SO036848- 36BD33|Linked</t>
  </si>
  <si>
    <t>Audit in USA, focusing P1 only on Operations titles &amp; IT industry</t>
  </si>
  <si>
    <t>Quadient_CXM_Content_Syndication_Q4_FY25_CA_CXM</t>
  </si>
  <si>
    <t>Audit ABM leads</t>
  </si>
  <si>
    <t>Quadient_CXM_Content_Syndication_Q4_FY25_GB_CXM</t>
  </si>
  <si>
    <t>Quadient_CXM_Content_Syndication_Q4_FY25_US_CXM</t>
  </si>
  <si>
    <t>Aishwarya / Sumedha / Anand</t>
  </si>
  <si>
    <t>Ashish / Mahima / Niyati</t>
  </si>
  <si>
    <t>Paypal Europe Services Limited|PayPal DACH FY25Q4|Linked -  AE3D81</t>
  </si>
  <si>
    <t>Internal Publish</t>
  </si>
  <si>
    <t>Final Publish</t>
  </si>
  <si>
    <t>Quality Percentage</t>
  </si>
  <si>
    <t>Amiit</t>
  </si>
  <si>
    <t>SuccessKPI</t>
  </si>
  <si>
    <t>Axon</t>
  </si>
  <si>
    <t>Amit / Abhijeet / Saket</t>
  </si>
  <si>
    <t>Vishwajit / Vivek / Abhijeet</t>
  </si>
  <si>
    <t>Atul A / Amit / Vishwajit / Vivek</t>
  </si>
  <si>
    <t>Komal / Aishwarya</t>
  </si>
  <si>
    <t>Stripe EMEA_Pilot_NL_TTPOIP0-P3_FY26Q1</t>
  </si>
  <si>
    <t>Stripe EMEA_Pilot_FR_TTPOIP0-P3_FY26Q1</t>
  </si>
  <si>
    <t>Stripe EMEA_Pilot_IT_TTPOIP0-P3_FY26Q1</t>
  </si>
  <si>
    <t>Stripe EMEA_Pilot_UK_TTPOIP0-P3_FY26Q1</t>
  </si>
  <si>
    <t>Anand / Niyati / Mahesh</t>
  </si>
  <si>
    <t>Amit / Atul A / Shweta</t>
  </si>
  <si>
    <t>Aishwarya / Abhishek</t>
  </si>
  <si>
    <t>Excluded C-Level</t>
  </si>
  <si>
    <t>Quadient_CXM_Content_Syndication_Q4_FY25_PL_CXM</t>
  </si>
  <si>
    <t>Audit 100 in USA, focusing only on Operations titles &amp; IT industry Rest 100 in APAC</t>
  </si>
  <si>
    <t>Jaywant / Abhishek / Mahesh / Shrikant</t>
  </si>
  <si>
    <t>Komal / Sumedha</t>
  </si>
  <si>
    <t>WoltersKluwer_US_Small Accounting-Audit_2T+2CQs_FY26Q1</t>
  </si>
  <si>
    <t>Verizon EMEA_Monestizing AI CS_FY26Q1_Full Tal</t>
  </si>
  <si>
    <t>Sumedha / Komal</t>
  </si>
  <si>
    <t>Audit all Geo leads</t>
  </si>
  <si>
    <t>Verizon EMEA_Network CS_FY26Q1_Full TAL</t>
  </si>
  <si>
    <t>Compa|Compa.ai Pilot|Linked| 1B2149</t>
  </si>
  <si>
    <t>Compa</t>
  </si>
  <si>
    <t>Compa|Compa.ai Pilot|Linked| 775E58</t>
  </si>
  <si>
    <t>Genesys- Americas|Genesys + P360 Lead nurture FY27 SO037184|Linked D8F072</t>
  </si>
  <si>
    <t>MJH Life Sciences - PHTE BP FujiFilm PPL - Feb - Mar '26</t>
  </si>
  <si>
    <t>Audit in all geos equally</t>
  </si>
  <si>
    <t>Accurate Append Campaign USA Q126</t>
  </si>
  <si>
    <t>Vivek / Shahrukh</t>
  </si>
  <si>
    <t>Accurate Append</t>
  </si>
  <si>
    <t>Shrikant / Jaywant / Abhishek</t>
  </si>
  <si>
    <t>Vishwajit / Vivek  / Saket</t>
  </si>
  <si>
    <t>Sumedha / Komal / Sejal</t>
  </si>
  <si>
    <t>Nutanix_APAC_CS_ST_2Q_Multi Geo P3_FY26Q1</t>
  </si>
  <si>
    <t>Vishwajit / Vivek / Amit</t>
  </si>
  <si>
    <t>TSIA_Professional Services_FY26Q1</t>
  </si>
  <si>
    <t>Aishwarya / Niketan</t>
  </si>
  <si>
    <t>Amruta / Mahesh / Sejal</t>
  </si>
  <si>
    <t>Amruta / Jaywant</t>
  </si>
  <si>
    <t>Amruta / Komal</t>
  </si>
  <si>
    <t>Niketan / Anand / Atul A</t>
  </si>
  <si>
    <t>Zendesk-LATAM-BRA-ENT EMEA 39798193799 Q1.</t>
  </si>
  <si>
    <t>Data not as per specs in database</t>
  </si>
  <si>
    <t>Database  / WV On Email</t>
  </si>
  <si>
    <t>Database exhausted (Data not as per specs)</t>
  </si>
  <si>
    <t>oca</t>
  </si>
  <si>
    <t xml:space="preserve"> 1.44 AM</t>
  </si>
  <si>
    <t>Front | IRE | EMEA/39166120811 EP23</t>
  </si>
  <si>
    <t>Priority - Please publish before 6PM</t>
  </si>
  <si>
    <t>Front</t>
  </si>
  <si>
    <t>Front | UK | EMEA/39166120811 EP23</t>
  </si>
  <si>
    <t>Sumedha/Aishwarya/Niyati</t>
  </si>
  <si>
    <t>Abhijeet/Atul A/Amit</t>
  </si>
  <si>
    <t>Abhijeet/Shweta</t>
  </si>
  <si>
    <t>Chandrakant/Sameer/Niketan</t>
  </si>
  <si>
    <t>Manisha/Shrinivas/Shahrukh</t>
  </si>
  <si>
    <t>Shweta/Vishvajit</t>
  </si>
  <si>
    <t>Abhijeet/Amit/Atul A/Vivek</t>
  </si>
  <si>
    <t>Audit all segments leads</t>
  </si>
  <si>
    <t>Anand/Mahesh</t>
  </si>
  <si>
    <t>Anand/Niyati/Sumedha</t>
  </si>
  <si>
    <t>Komal/Sumedha/Ashish/Srushti</t>
  </si>
  <si>
    <t>Niketan/Sameer/Amruta</t>
  </si>
  <si>
    <t>Syntax Systems Limited | Syntax - Benelux - SAP Partner Campaign - CS - FY25Q4 | Linked</t>
  </si>
  <si>
    <t>Syntax</t>
  </si>
  <si>
    <t>Syntax Systems Limited | Syntax - DACH - SAP Partner Campaign - CS - FY25Q4 | Linked</t>
  </si>
  <si>
    <t>CY26Q1 Intent TAL EMEA 2 Candorworks - CCBF0D - Linked</t>
  </si>
  <si>
    <t>CY26Q1 Intent TAL France Candorworks - A1EFB9 - Linked</t>
  </si>
  <si>
    <t>CY26Q1 Intent TAL Italy Candorworks - 4039A2 - Linked</t>
  </si>
  <si>
    <t>CY26Q1 Intent TAL Nordics Candorworks - 6098D2 - Linked</t>
  </si>
  <si>
    <t>Simplify Compliance|Simplify Compliance: HCI - Asure Software - Mar - May '26|Linked</t>
  </si>
  <si>
    <t>Ashish/Aishwarya</t>
  </si>
  <si>
    <t>Sejal/Amruta/Sameer</t>
  </si>
  <si>
    <t>Shahrukh/Shweta/Shrinivas/Manisha</t>
  </si>
  <si>
    <t>Mahesh/Jaywant/Abhishek/Komal</t>
  </si>
  <si>
    <t>Vishvajit/Vivek/Abhijeet/Saket</t>
  </si>
  <si>
    <t>Niyati/Mahesh/Abhishek/Shrikant</t>
  </si>
  <si>
    <t xml:space="preserve">Data is being added in the data base </t>
  </si>
  <si>
    <t>Audit 60 in USA, focusing only on Operations titles &amp; IT industry
Rest 40 in APAC</t>
  </si>
  <si>
    <t>Niketan/Mahesh</t>
  </si>
  <si>
    <t>Manisha/Vivek</t>
  </si>
  <si>
    <t>Database + File share by MIS (Priority TAL - C-Suite - MOA)</t>
  </si>
  <si>
    <t>Jaywant/Ashish</t>
  </si>
  <si>
    <t>Chandrakant/Shrikant</t>
  </si>
  <si>
    <t>Arvind</t>
  </si>
  <si>
    <t>Akshay</t>
  </si>
  <si>
    <t>Shubham P</t>
  </si>
  <si>
    <t>Sejal/Aishwarya/Anand/Sameer/Shweta/Nilesh</t>
  </si>
  <si>
    <t>No Data left as per Lead Pacing</t>
  </si>
  <si>
    <t>Shahrukh / Vishwajit / Manisha</t>
  </si>
  <si>
    <t>Shrikant / Mahesh / Jaywant / Abhishek</t>
  </si>
  <si>
    <t>Saket / Vishwajit / Shrinivas / Saket</t>
  </si>
  <si>
    <t>Srushti / Sejal / Mahima / Ashish</t>
  </si>
  <si>
    <t>Shweta / Amit / Shrinivas / Vishwajit</t>
  </si>
  <si>
    <t>Sameer / Mahesh / Niyati / Amruta</t>
  </si>
  <si>
    <t>Shrinivas / Manisha / Amit / Atul A</t>
  </si>
  <si>
    <t>Jaywant / Sejal</t>
  </si>
  <si>
    <t>Mahesh / NIketan / Abhishek</t>
  </si>
  <si>
    <t>Audit all leads as per segment Pacing in specs bible</t>
  </si>
  <si>
    <t>Komal / Prathmesh / Aishwarya</t>
  </si>
  <si>
    <t>Sumedha / Jaywant</t>
  </si>
  <si>
    <t>Niyati / Anand / Aishwarya</t>
  </si>
  <si>
    <t>Amit / Atul A / Manisha</t>
  </si>
  <si>
    <t>Saket / Manisha</t>
  </si>
  <si>
    <t>G-P Globalization Partners|Q1 2026 - NA - Human Resource - Nurture|Linked</t>
  </si>
  <si>
    <t>MJH Life Sciences - BP BioVectea PPL - Feb - Mar '26</t>
  </si>
  <si>
    <t>Simplify Compliance|Simplify Compliance: Avetta - TC1553 - Mar '26|Linked</t>
  </si>
  <si>
    <t>Simplify Compliance|Simplify Compliance: JustWorks- TC1552 - Mar '26|Linked</t>
  </si>
  <si>
    <t>Simplify Compliance|Simplify Compliance: SAI360- TC1545 - Mar '26|Linked 705586</t>
  </si>
  <si>
    <t>Simplify Compliance|Simplify Compliance: SAI360- TC1545 - Mar '26|Linked AC07E0</t>
  </si>
  <si>
    <t>Saket / Vishwajit</t>
  </si>
  <si>
    <t>Customer Management Practice|Customer Management Practice (CMP) – Language IO Content Syndication - Jan - Feb '26|Linked 307293</t>
  </si>
  <si>
    <t>Customer Management Practice|Customer Management Practice (CMP) – Language IO Content Syndication - Jan - Feb '26|Linked A337D2</t>
  </si>
  <si>
    <t>CY26Q1 |EMEA |ABM |AI |CPL |EMEA FSI AI Enterprise - Linked 2FA440</t>
  </si>
  <si>
    <t>CY26Q1 AWS TAL EMEA 2 Candorworks - 55766F - Linked</t>
  </si>
  <si>
    <t>CY26Q1 AWS TAL France Candorworks - 45456F - Linked</t>
  </si>
  <si>
    <t>CY26Q1 AWS TAL Italy Candorworks - 014FB9 - Linked</t>
  </si>
  <si>
    <t>CY26Q1 AWS TAL Nordics Candorworks - 6BB883 - Linked</t>
  </si>
  <si>
    <t>CY26Q1 Azure TAL EMEA Tier 1 Candorworks - 46E1D4 - Linked</t>
  </si>
  <si>
    <t>CY26Q1 Google TAL EMEA Tier 1 Candorworks - 161300 - Linked</t>
  </si>
  <si>
    <t>TreasureData_NAM_FY26Q3_Incremental</t>
  </si>
  <si>
    <t>TreasureData</t>
  </si>
  <si>
    <t>TreasureData_NAM_MidMarket_FY26Q3_Incremental</t>
  </si>
  <si>
    <t>TreasureData_EMEA_MidMarket_FY26Q3</t>
  </si>
  <si>
    <t>TreasureData_EMEA_FY26Q3</t>
  </si>
  <si>
    <t>Zendesk_Digital_Event_March_FY26_PL-RO-CZ-DE-FR_Registrations</t>
  </si>
  <si>
    <t>Zendesk_Digital_Event_March_FY26_UK-I_Registrations</t>
  </si>
  <si>
    <t>Anand / Niketan / Aishwarya / Sumedha / Komal / Prathmesh</t>
  </si>
  <si>
    <t>Mandatary Completion with High Priority</t>
  </si>
  <si>
    <t>Jaywant / Mahesh / Abhishek / Shrikant</t>
  </si>
  <si>
    <t>Mahima / Ashish / Sejal</t>
  </si>
  <si>
    <t>Jaywant / Ashish</t>
  </si>
  <si>
    <t>Niketan / Amruta / Sameer</t>
  </si>
  <si>
    <t>Srushti / Niyati / Anand</t>
  </si>
  <si>
    <t>Vishwajit / Shweta</t>
  </si>
  <si>
    <t>Mahima / Sumedha / Anand / Aishwarya</t>
  </si>
  <si>
    <t>Shweta / Amit / Atul A / Abhijeet</t>
  </si>
  <si>
    <t>Manisha / Shrinivas / Abhijeet</t>
  </si>
  <si>
    <t>Ashish / Srushti / Sejal</t>
  </si>
  <si>
    <t>Shahrukh / Shweta / Atul A</t>
  </si>
  <si>
    <t>A2</t>
  </si>
  <si>
    <t>Mahima / Shrinivas / Shahrukh</t>
  </si>
  <si>
    <t>double audit</t>
  </si>
  <si>
    <t>Onkar</t>
  </si>
  <si>
    <t>Hemant</t>
  </si>
  <si>
    <t>domain exceed</t>
  </si>
  <si>
    <t xml:space="preserve"> 01:37</t>
  </si>
  <si>
    <t>Bazaarvoice - Tal - NAM - NAM/42371254603 EP23</t>
  </si>
  <si>
    <t>Srushti / Sejal / Mahima / Ashish / Chandrakant</t>
  </si>
  <si>
    <t>Vivek / Atul A / Shweta / Abhijeet / Shrinivas</t>
  </si>
  <si>
    <t>Bazaarvoice</t>
  </si>
  <si>
    <t>Aishwarya / Sumedha / Prathmesh / Srushti</t>
  </si>
  <si>
    <t>Abhishek / jaywant / Shrikant / Mahesh / Anand</t>
  </si>
  <si>
    <t>Vivek / Vishwajit / Amit / Atul A / Saket</t>
  </si>
  <si>
    <t>Amit / Atul A / Vishwajit / Abhijeet</t>
  </si>
  <si>
    <t>Q425 Retool - AMER Data ABM</t>
  </si>
  <si>
    <t>Niketan / Chandrakant / Sameer / Amruta</t>
  </si>
  <si>
    <t>Komal / Anand</t>
  </si>
  <si>
    <t>Konal / Prathmesh</t>
  </si>
  <si>
    <t>Carat_Microsoft_AI Business Solutions_Secure AI Productivity_SMC_Singapore_FY26Q1</t>
  </si>
  <si>
    <t>Sameer / Niyati / Komal</t>
  </si>
  <si>
    <t>Komal / Sumedha / Prathmesh</t>
  </si>
  <si>
    <t>Anand / Niyati / Komal</t>
  </si>
  <si>
    <t>Abhijeet /Vivek / Vishwajit</t>
  </si>
  <si>
    <t>Ashish / Mahima / Srushti</t>
  </si>
  <si>
    <t>Aduit TAL leads</t>
  </si>
  <si>
    <t>Chandrakant / Niketan / Jaywant</t>
  </si>
  <si>
    <t>Atul A / Abhijeet / Vivek</t>
  </si>
  <si>
    <t>AXM_Informatica_ABM + CDO/CDAO FR-Incremental 2_FY26Q1</t>
  </si>
  <si>
    <t>AXM_Informatica_ABM + CDO/CDAO DACH - Incremental 2_FY26Q1</t>
  </si>
  <si>
    <t>AXM_Informatica_ABM + CDO/CDAO NEEUR - Incremental_FY26Q1</t>
  </si>
  <si>
    <t>AXM_Informatica_ABM + CDO/CDAO UKI-Incremental 2_FY26Q1</t>
  </si>
  <si>
    <t>AXM_Informatica_ABM + CDO/CDAO US-Incremental 2_FY26Q1</t>
  </si>
  <si>
    <t>Audit all leads need max qualified leads</t>
  </si>
  <si>
    <t>Staffbase | StaffBase Australia Q4 DX | Linked</t>
  </si>
  <si>
    <t>Staffbase</t>
  </si>
  <si>
    <t>Staffbase | StaffBase Australia Q4 HR | Linked</t>
  </si>
  <si>
    <t>MJH Life Sciences - Lonza - Mar - Apr '26</t>
  </si>
  <si>
    <t>MJH Life Sciences - Quotient Sciences - Mar - Apr '26</t>
  </si>
  <si>
    <t>Palo Alto Networks|FY26 Paid Media Pipeline 360 Q3 Cortex Symphony - Named accounts RFP CA FY26Q3|Linked</t>
  </si>
  <si>
    <t>Shrikant / Jaywant / Abhishek / Mahesh / Prathmesh</t>
  </si>
  <si>
    <t>Vishwajit / Vivek / Shweta / Abhjeet / Amit</t>
  </si>
  <si>
    <t>Chandrakant / Niketan / Sameer / Amruta</t>
  </si>
  <si>
    <t>Abhishek / jaywant / Shrikant / Mahesh</t>
  </si>
  <si>
    <t>Komal / Prathmesh / Niyati / Sameer</t>
  </si>
  <si>
    <t>Sejal / Sameer / Amruta</t>
  </si>
  <si>
    <t>Q126 - Endpoint ABM Campaign - United States_Mar'26</t>
  </si>
  <si>
    <t>Shrinivas / Manisha / Shweta / Vivek</t>
  </si>
  <si>
    <t>Manisha / Shrinivas / Shweta / Atul A</t>
  </si>
  <si>
    <t>Abhijeet / Manisha / Shweta</t>
  </si>
  <si>
    <t>Saket / Shweta / Shrinivas</t>
  </si>
  <si>
    <t>Manisha / Shweta</t>
  </si>
  <si>
    <t>Shweta / Shrinivas / Vivek / Vishwajit / Amit / Sameer</t>
  </si>
  <si>
    <t>Sejal / Aishwarya / Sumedha</t>
  </si>
  <si>
    <t>bad data</t>
  </si>
  <si>
    <t>Srushti / Amruta / Anand / Niketan / Aishwarya / Sumedha</t>
  </si>
  <si>
    <t>Naresh</t>
  </si>
  <si>
    <t>NIlesh</t>
  </si>
  <si>
    <t>Shubham</t>
  </si>
  <si>
    <t>Niyati / Manisha</t>
  </si>
  <si>
    <t>Abhishek / Shrikant / Mahesh / Amit</t>
  </si>
  <si>
    <t>Shabir / Rahul / Abhishek / mahendra</t>
  </si>
  <si>
    <t>Prafull</t>
  </si>
  <si>
    <t>Fastly_iGaming EMEA_FY26Q1</t>
  </si>
  <si>
    <t>Audit CMO and Chief Medical Officer titles first then other titles</t>
  </si>
  <si>
    <t>Niketan/Amruta</t>
  </si>
  <si>
    <t>Audit all Geo leads as per Pacing in specs bible</t>
  </si>
  <si>
    <t>Vishvajit/Shrinivas</t>
  </si>
  <si>
    <t>Aduit Open/Click leads</t>
  </si>
  <si>
    <t>Niketan/Amruta/Chandrakant/Mahima</t>
  </si>
  <si>
    <t>Manisha/Shrinivas/Abhijeet/Vivek</t>
  </si>
  <si>
    <t>Manisha/Shrinivas/Amit/Atul A</t>
  </si>
  <si>
    <t>Manisha/Saket</t>
  </si>
  <si>
    <t>CY26Q1 |EMEA |ABM |AI |CPL |EMEA FSI AI UBS - Linked 8D1FE4</t>
  </si>
  <si>
    <t>Saket/Abhijeet</t>
  </si>
  <si>
    <t>MJH Life Sciences - BP_Unchained - L00-00-0051639 - Feb - Mar '26</t>
  </si>
  <si>
    <t>MJH Life Sciences - NO Gnosis PPL - Feb - Mar '26</t>
  </si>
  <si>
    <t>Simplify Compliance|Simplify Compliance: Shoebox Webinar - TC1568 - Mar '26|Linked</t>
  </si>
  <si>
    <t>Jaywant/Abhishek/Shrikant</t>
  </si>
  <si>
    <t>Sumedha/Aishwarya/Mahesh</t>
  </si>
  <si>
    <t>Shweta/Vishvajit/Vivek</t>
  </si>
  <si>
    <t>AMD_ Server_ NA_AIRE Digital BANT_ FY26Q1</t>
  </si>
  <si>
    <t>Atul A/Vishvajit</t>
  </si>
  <si>
    <t>Ashish/Anand</t>
  </si>
  <si>
    <t>Vivek/Abhijeet/Shrinivas/Shahrukh</t>
  </si>
  <si>
    <t>Shrikant/Abhishek</t>
  </si>
  <si>
    <t>Vishvajit/Manisha</t>
  </si>
  <si>
    <t>High Priority - Please publish before 11 PM</t>
  </si>
  <si>
    <t>Database exausted for Open/Click</t>
  </si>
  <si>
    <t>High Priority - Please publish before 9PM</t>
  </si>
  <si>
    <t>Database Exausted</t>
  </si>
  <si>
    <t>Autl A</t>
  </si>
  <si>
    <t>Mahima/Srushti/Aishwarya/Sumedha/Niketan/Jaywant</t>
  </si>
  <si>
    <t>Abhijeet/Shahrukh</t>
  </si>
  <si>
    <t xml:space="preserve"> 22:25</t>
  </si>
  <si>
    <t>Carat_Microsoft_Cloud and AI Platforms_Unify Your Data Platform_ENT_Italy_FY26Q1</t>
  </si>
  <si>
    <t>Carat_Microsoft_Cloud and AI Platforms_Unify Your Data Platform_ENT_Portugal_FY26Q1</t>
  </si>
  <si>
    <t>Carat_Microsoft_Cloud and AI Platforms_Unify Your Data Platform_ENT_Turkey_FY26Q1</t>
  </si>
  <si>
    <t>Carat_Microsoft_Cloud and AI Platforms_Unify Your Data Platform_ENT_Spain_FY26Q1</t>
  </si>
  <si>
    <t>Carat_Microsoft_Cloud and AI Platforms_Innovate with Azure AI Apps &amp; Agents_SMC_Germany_FY26Q1</t>
  </si>
  <si>
    <t>Carat_Microsoft_Cloud and AI Platforms_Migrate &amp; Modernize your Estate_SMC_Germany_FY26Q1</t>
  </si>
  <si>
    <t>Abhijeet / Shrinivas / Aishwarya / Anand</t>
  </si>
  <si>
    <t xml:space="preserve"> 00:23</t>
  </si>
  <si>
    <t>Only 1 Company Targeted in Database</t>
  </si>
  <si>
    <t>Jaywant/Fardeen</t>
  </si>
  <si>
    <t>File Published in 2 Slots</t>
  </si>
  <si>
    <t>Carat_Microsoft_Cloud and AI Platforms_Azure AI Transformation BDM SMEC_Bulgaria_FY26Q1</t>
  </si>
  <si>
    <t>Carat_Microsoft_Cloud and AI Platforms_Azure AI Transformation BDM SMEC_Cyprus_FY26Q1</t>
  </si>
  <si>
    <t>Prathmesh/Niyati</t>
  </si>
  <si>
    <t>Niketan/Sejal</t>
  </si>
  <si>
    <t>Saket/Manisha</t>
  </si>
  <si>
    <t>Mahesh/Sameer</t>
  </si>
  <si>
    <t>Carat_Microsoft_Cloud and AI Platforms_Azure AI Transformation BDM SMEC_Greece_FY26Q1</t>
  </si>
  <si>
    <t>Vivek/Pooja</t>
  </si>
  <si>
    <t>Amruta/Jaywant</t>
  </si>
  <si>
    <t>Atul/Pooja</t>
  </si>
  <si>
    <t>Abhijeet/Vishvajit</t>
  </si>
  <si>
    <t>Prathmesh/Niketan</t>
  </si>
  <si>
    <t>Audit UK Leads only</t>
  </si>
  <si>
    <t>Sameer/Srushti</t>
  </si>
  <si>
    <t>Sejal/Niyati</t>
  </si>
  <si>
    <t>Aledade_Pilot_CQs_No Match_FY26Q1</t>
  </si>
  <si>
    <t>Aledade_Pilot_Standard_No Match_FY26Q1</t>
  </si>
  <si>
    <t>Nethawk_RedHat_RHEL P2_FY26Q1</t>
  </si>
  <si>
    <t>Chandrakant/Abhishek</t>
  </si>
  <si>
    <t>ANZ SecuritiAI Pilot</t>
  </si>
  <si>
    <t>Veeam Global</t>
  </si>
  <si>
    <t>UKI SecuritiAI pilot</t>
  </si>
  <si>
    <t>Mahesh/Jaywant/Shrikant/Sejal/Niyati</t>
  </si>
  <si>
    <t>Sameer/Srushti/Komal/Mahima/Ashish/Anand</t>
  </si>
  <si>
    <t>Niketan/Prathmesh/Niyati</t>
  </si>
  <si>
    <t>Saket/Pooja/Atul</t>
  </si>
  <si>
    <t>Komal/Srushti/Niketan</t>
  </si>
  <si>
    <t>Shahrukh/Atul/Vivek</t>
  </si>
  <si>
    <t>Niketan/Prathmesh/Niyati/Sejal/Shrikant</t>
  </si>
  <si>
    <t>Vishvajit/Atul/Manisha/Shahrukh/Vivek</t>
  </si>
  <si>
    <t>High Priority - Do not audit C-Level titles</t>
  </si>
  <si>
    <t>Chandrakant/Aishwarya/Sumedha</t>
  </si>
  <si>
    <t>Sumedha/Aishwarya/Chandrakant/Amruta/Abhishek</t>
  </si>
  <si>
    <t>Niyati/Prathmesh/Niketan</t>
  </si>
  <si>
    <t>Atul/Pooja/Saket</t>
  </si>
  <si>
    <t>Need given number of qualified leads audit all data</t>
  </si>
  <si>
    <t>max</t>
  </si>
  <si>
    <t>AWS Infrastructure Candorworks - Linked - 311E08</t>
  </si>
  <si>
    <t>Google Cloud IT Candorworks - Linked - C29450</t>
  </si>
  <si>
    <t>Google Infrastructure Candorworks - Linked - E8FA06</t>
  </si>
  <si>
    <t>Microsoft Cloud IT Candorworks - Linked - 87AD48</t>
  </si>
  <si>
    <t>Jaywant/Shrikant</t>
  </si>
  <si>
    <t>Vivek/Abhijeet</t>
  </si>
  <si>
    <t>WV From mail</t>
  </si>
  <si>
    <t>Anand/Ashish/Mahima</t>
  </si>
  <si>
    <t>Mahesh/Abhishek/Amruta</t>
  </si>
  <si>
    <t>Jaywant/Mahesh/Abhishek/Amruta</t>
  </si>
  <si>
    <t>Chandrakant/Aishwarya/Sumedha/Anand</t>
  </si>
  <si>
    <t>Sejal/Shrikant/Jaywant</t>
  </si>
  <si>
    <t>Vivek/Pooja/Saket</t>
  </si>
  <si>
    <t>Aishwarya/Amruta</t>
  </si>
  <si>
    <t>Ashish/Mahima/Komal/Srushti</t>
  </si>
  <si>
    <t>T-Mobile_ Public Safety_ ST_ FY26Q1_ Incremental</t>
  </si>
  <si>
    <t>T-Mobile_ Higher Ed_ ST_ FY26Q1_ Incremental</t>
  </si>
  <si>
    <t>T-Mobile_ Fed DoD_ ST_ FY26Q1_ Incremental</t>
  </si>
  <si>
    <t>T-Mobile_ Fed Law Enforcement_ ST_ FY26Q1_ Incremental</t>
  </si>
  <si>
    <t>Shahrukh/Pooja/Vishvajit/Abhijeet</t>
  </si>
  <si>
    <t>Atul/Abhijeet/Vivek/Manisha/Vishvajit</t>
  </si>
  <si>
    <t>Amruta/Abhishek</t>
  </si>
  <si>
    <t>Vivek/Vishvajit/Manisha/Shahrukh/Abhijeet</t>
  </si>
  <si>
    <t>Shahrukh/Pooja</t>
  </si>
  <si>
    <t>Abhijeet/Saket/Manisha</t>
  </si>
  <si>
    <t>Abhijeet/Pooja/Manisha</t>
  </si>
  <si>
    <t>Manisha/Saket/Pooja/Atul/Vivek/Shahrukh</t>
  </si>
  <si>
    <t>Saket/Shahrukh</t>
  </si>
  <si>
    <t>Atul/Shahrukh</t>
  </si>
  <si>
    <t>Shahrukh/Mahesh/Sejal/Atul</t>
  </si>
  <si>
    <t>Audit engineering Titles &amp; Prioritise Open &amp; click ER status and Rest Delivered</t>
  </si>
  <si>
    <t>Sameer/Ashish</t>
  </si>
  <si>
    <t>Mahesh/Prathmesh</t>
  </si>
  <si>
    <t>Vivek/Manisha</t>
  </si>
  <si>
    <t>Shahrukh/Saket</t>
  </si>
  <si>
    <t>Niketan/Sejal/Amruta</t>
  </si>
  <si>
    <t>Vishvajit/Pooja/Manisha</t>
  </si>
  <si>
    <t>Abhishek/Chandrakant</t>
  </si>
  <si>
    <t>TOP PRIORITY - Please publish within 30 Min as this is a manual delivery</t>
  </si>
  <si>
    <t>Mahendra</t>
  </si>
  <si>
    <t>Tushar</t>
  </si>
  <si>
    <t>Abhishek S</t>
  </si>
  <si>
    <t>Chadrakant</t>
  </si>
  <si>
    <t>Front IRE EMEA 39166120811 EP23</t>
  </si>
  <si>
    <t>Sohail S</t>
  </si>
  <si>
    <t>Abhay</t>
  </si>
  <si>
    <t>Atul M</t>
  </si>
  <si>
    <t>Shabir</t>
  </si>
  <si>
    <t xml:space="preserve"> 01:53</t>
  </si>
  <si>
    <t>Jaywant/Prathamesh</t>
  </si>
  <si>
    <t>Amruta/Mahesh</t>
  </si>
  <si>
    <t>Microsoft Infrastructure Candorworks - Linked - 4F046D</t>
  </si>
  <si>
    <t>AWS Cloud IT Candorworks - Linked - 4FFF87</t>
  </si>
  <si>
    <t>AWS Fin Ops Candorworks - Linked - 4064E3</t>
  </si>
  <si>
    <t>CY26Q1 Public Sector ITZ Bund - Linked 05759E</t>
  </si>
  <si>
    <t>CY26Q1 French Virt Candorworks - Linked - 41B757</t>
  </si>
  <si>
    <t>CY26Q1 Openshift ISV EMEA Candorworks - Linked - 0AE0A2</t>
  </si>
  <si>
    <t>CY26Q1 Openshift ISV Germany Candorworks - Linked - DC2F89</t>
  </si>
  <si>
    <t>CY26Q1 Openshift ISV Italy Candorworks - Linked - 4F0893</t>
  </si>
  <si>
    <t>Please keep confidance score of 30-100.</t>
  </si>
  <si>
    <t>Prathamesh/Niketan</t>
  </si>
  <si>
    <t>MJH Life Sciences - CareCredit(MEC) - Hospital/Health System/Health Center - Mar '26</t>
  </si>
  <si>
    <t>Srushti/Komal</t>
  </si>
  <si>
    <t>MJH Life Sciences - CareCredit(MEC) - Independent physician practice - Mar '26</t>
  </si>
  <si>
    <t>Amit/Abhijeet</t>
  </si>
  <si>
    <t>Simplify Compliance|Simplify Compliance: Premier - TC3681 - Mar '26|Linked</t>
  </si>
  <si>
    <t>Niketan/Niyati</t>
  </si>
  <si>
    <t>Pooja/Saket</t>
  </si>
  <si>
    <t>Shrikant/Sejal/Niyati/Prathamesh</t>
  </si>
  <si>
    <t>Audit all segment leads as per specs bible Pacing</t>
  </si>
  <si>
    <t>Sumedha/Amruta</t>
  </si>
  <si>
    <t>Ashish/Komal</t>
  </si>
  <si>
    <t>Jaywant/Mahesh/Abhishek</t>
  </si>
  <si>
    <t>Komal/Mahima</t>
  </si>
  <si>
    <t>Sameer/Mahima/Ashish/Sumedha/Chandrakant</t>
  </si>
  <si>
    <t>Amruta/Abhishek/Jaywant/Shrikant</t>
  </si>
  <si>
    <t>File shared on Email by MIS</t>
  </si>
  <si>
    <t>Sejal/Prathamesh/Mahesh/Niyati</t>
  </si>
  <si>
    <t>75 Gen AI &amp; 75 TDM (File shared on email)</t>
  </si>
  <si>
    <t>Niyati/Sejal/Shrikant</t>
  </si>
  <si>
    <t>Audie Leads in APAC - 100 , EMEA - 75 , US - 50</t>
  </si>
  <si>
    <t>Sumedha/Chandrakant</t>
  </si>
  <si>
    <t>Amit/Saket</t>
  </si>
  <si>
    <t>Abhijeet/Manisha</t>
  </si>
  <si>
    <t>Amruta/Abhishek/Mahesh/Jaywant</t>
  </si>
  <si>
    <t>Sameer/Srushti/Komal/Mahima/Ashish</t>
  </si>
  <si>
    <t>Shweta/Shahrukh/Vivek/Atul/Saket</t>
  </si>
  <si>
    <t>Abhishek/Jaywant</t>
  </si>
  <si>
    <t>Niketan/Sumedha/Anand</t>
  </si>
  <si>
    <t>Abhijeet/Amit/Pooja</t>
  </si>
  <si>
    <t>Anand/Sumedha/Sejal/Chandrakant</t>
  </si>
  <si>
    <t>Sumedha/Komal</t>
  </si>
  <si>
    <t>Anand/Abhishek/Niketan</t>
  </si>
  <si>
    <t>Vivek/Vishvajit/Atul/Shrinivas</t>
  </si>
  <si>
    <t>Shrinivas/Vishvajit</t>
  </si>
  <si>
    <t>Amit/Shrinivas/Atul</t>
  </si>
  <si>
    <t>Profiling Question (YN)</t>
  </si>
  <si>
    <t>Profiling Question</t>
  </si>
  <si>
    <t>No</t>
  </si>
  <si>
    <t>Yes</t>
  </si>
  <si>
    <t>Custom Question 1: CQ by Asset
Integrating Hardware Software Development-Digital Product Delivery
Question: How do you currently manage requirements across engineering domains (software, mechanical, electrical)?
Silos by team, no integration
Some manual sync between tools
Full traceability via integrated solution
Capabilities Guide To Power Innovation in High Tech
Question: How do you currently manage requirements across engineering domains (software, mechanical, electrical)?
Silos by team, no integration
Some manual sync between tools
Full traceability via integrated solution
Modernize your PLM
Question: How well do your teams and locations collaborate on product development using shared systems?
Teams operate in silos—no unified access to product data
Some stakeholders use central systems, but information is fragmented
We have enterprise-wide access to a unified platform for product information
Values of Codebeamer
Question: How well do your teams and locations collaborate on product development using shared systems?
Teams operate in silos—no unified access to product data
Some stakeholders use central systems, but information is fragmented
We have enterprise-wide access to a unified platform for product information</t>
  </si>
  <si>
    <t>CQ1.What EHR system do you use today
•	eClinicalWorks
•	Athena
•	Greenway
•	NextGen
•	Veradigm (Allscripts)
•	Epic
•	eMDs
•	Practice Fusion
•	Other
•	None
CQ2.Organization Type
•	Primary Care
•	CHC
•	RHC
•	FQHC
•	Multi-Specialty
CQ3.What Assets/TAL is this going off of?
•	Entire TAL
•	ACO TAL
•	No ACO TAL</t>
  </si>
  <si>
    <t>CQ1.How many virtualization clusters do you operate?
1
2-5
5-10
10+
CQ2.What Operating Systems are you running on your virtualization environment?
Microsoft Windows
Red Hat Enterprise Linux
Ubuntu
SuSE
Other Linux
3rd party appliance VMs
Other</t>
  </si>
  <si>
    <t>CQ : Does your company operate in 50+ locations and/or facilities?
• Yes</t>
  </si>
  <si>
    <t>CQ1. Which ERP or accounting system does your organization currently use?
• Acumatica
• Epicor
• Infor
• Microsoft Dynamics
• NetSuite
• Sage
• SAP Business One
• Other (disqualified)</t>
  </si>
  <si>
    <t>CQ1. Are you planning to replace Excel and other manual tasks with automation to enhance your financial close activities in the next 12 months?
• Yes (Accepted)
• No (Rejected)</t>
  </si>
  <si>
    <t>CQ1. Is your practice physician owned?
•	Yes</t>
  </si>
  <si>
    <t>CQ 1: Persona
Csuite
Executive ITOPs
LOB
ITOPs</t>
  </si>
  <si>
    <t>CQ1: Job title type
genAI
BDM
TDM</t>
  </si>
  <si>
    <t>Custom Questions:
CQ1: I would like to discuss the following topic with a Dell Technologies representative:
Deployment and Support Services
Displays and Peripherals
End-Point Security Solutions
Laptops, 2-in-1s, and Desktops
Rugged Devices or Workstations
Windows Migration
CQ2: Do you have a budget?
Yes
CQ3: How soon are you making your purchase decision?
Immediately
1-3 months
CQ4: What is your role in purchase decisions?
Decision Maker
Evaluator
Recommender</t>
  </si>
  <si>
    <t>Custom Questions:
CQ1: I would like to discuss the following topic with a Dell Technologies representative:
Deployment and Support Services
Displays and Peripherals
End-Point Security Solutions
Laptops, 2-in-1s, and Desktops
Rugged Devices or Workstations
Windows Migration
CQ2: Do you have a budget?
Yes
CQ3: How soon are you making your purchase decision?
Immediately
1-3 months</t>
  </si>
  <si>
    <t>CQ1.Preferred Language
English</t>
  </si>
  <si>
    <t>Custom Question:
CQ1. What is the biggest IT pressure your organization is actively dealing with right now
•	Modernizing legacy infrastructure (e.g., VMware migration or hardware refresh)
•	Enhancing BCDR &amp; Resilience (e.g., Ransomware protection or backup TCO)
•	Scaling Kubernetes &amp; Hybrid Cloud (e.g., Moving apps to AWS/Azure or Cloud-native)
CQ2.: Tell us your role in the organization
•	C-level decision maker
•	Technical Decision Maker
•	Influencer
•	User</t>
  </si>
  <si>
    <t>CQ1.Property Management System
Appfolio
Entrata
MRI
OneSite L&amp;R
Yardi Voyager
Other</t>
  </si>
  <si>
    <t>CQ1. Where is your company on its AI journey?
•	Early exploration or pilot stage
•	Mature deployment across workloads
•	Scaling adoption across teams or departments
•	Still assessing AI strategy
CQ2. Do you have an active or planned AI initiative across infrastructure or end point devices?
•	Yes, project is identified, and we are actively seeking solutions
•	Yes, project is planned, and we are evaluating potential solutions
•	No specific project, but gathering information for future needs
CQ3. Where is your company’s focus for AI initiatives today?
•	Both devices and servers
•	Primarily end user devices (laptops, desktops, workstations)
•	Primary server infrastructure
•	Still evaluating
CQ4. What is your role in AI-related technology evaluations and purchases?
•	Decision Maker
•	Influencer</t>
  </si>
  <si>
    <t>CQ1. Building a Remote-First Global Workforce?
We’re early-stage and researching how to build a remote-first team
We’re fully remote and already hiring internationally
We’re hiring remotely in one country and exploring global expansion
We’re hybrid today and considering a remote-first model
We’re just learning about remote-first best practices
CQ2. The EOR comparison Checklist: How to Choose the Right Employer of Record?
We’re actively comparing EOR providers
We’re learning what an EOR is and whether we need one
We’re looking to switch from our current EOR provider
We’re planning to hire internationally and exploring EOR options
CQ3.Legal Considerations for Hiring Global Employees?
We already hire internationally and want to reduce legal risk
We’re planning global hires and need to understand legal requirements
We’re researching what’s involved before hiring internationally
We’re unsure about compliance and want to avoid misclassification or penalties
CQ4.The Strategic Importance of Hiring Global Talent in 2026?
We want to improve speed, diversity, or innovation through global hiring
We’re exploring global talent as a future growth strategy
We’re planning to scale into new markets
We’re struggling to find the right skills locally</t>
  </si>
  <si>
    <t xml:space="preserve">CQ1 : purchase_timeframe
•	ASAP
•	Less than 1 month
•	1 - 3 months
•	3 - 6 months
•	6 - 12 months
•	More than 12 months
</t>
  </si>
  <si>
    <t>CQ1. purchase_timeframe
• ASAP
• Less than 1 month
• 1 - 3 months
• 3 - 6 months
• 6 - 12 months
• More than 12 months</t>
  </si>
  <si>
    <t>WV From Email</t>
  </si>
  <si>
    <t>CQ1. How many employees are there in your organization?
• 1-10
• 1001+
• 101-500
• 11-100
• 501-1000
CQ2. Which industry is your business in?
•  Accountancy
• Advertising/PR/Marketing
• Agriculture/Farming
• Architect
• Association/Society/Institute
• Automotive
• Chemical/Oil
• Construction/Contractor
• Consultancy
• Design
• Education Private
• Education Public
• Engineering
• Facilities Management
• Finance &amp; Banking
• Food/Beverage
• Government Central
• Government Local
• Healthcare Private
• Healthcare Public
• Information Technology
• Legal
• Leisure/Tourism/Travel
• Manufacturing
• Medical/Pharmaceutical
• Not for Profit
• Other
• Press/Media
• Printers/Publishers
• Property
• Recruitment
• Research/Scientific
• Retail
• Service Industry
• Software
• Telecommunications
• Transport/Distribution
• Utilities/Energy
• Wholesale</t>
  </si>
  <si>
    <t>JT not as per Specs</t>
  </si>
  <si>
    <t>High Priority - United Kingdom Leads only</t>
  </si>
  <si>
    <t>Specs Link</t>
  </si>
  <si>
    <t>Custom Question /Tagging</t>
  </si>
  <si>
    <t>Is data dependent on Custom Question /Tagging</t>
  </si>
  <si>
    <t>https://candorworks.sharepoint.com/:x:/s/MISConnect/IQALQSnGG1RgRKicKyyGMYXwAU0jyO3LQQPuZvqp-HvkirM?e=QU8n5w</t>
  </si>
  <si>
    <t>Abhishek/Mahesh/Jaywant</t>
  </si>
  <si>
    <t>https://candorworks.sharepoint.com/:x:/s/MISConnect/EWswUnCQrBtDnWohnbLwCG0BQL8rGbLg62A093YJ-GzG2w?e=pmJjAH</t>
  </si>
  <si>
    <t>Aishwarya/Chandrakant/Amruta</t>
  </si>
  <si>
    <t>https://candorworks.sharepoint.com/:x:/s/MISConnect/EZOlo3C29ZhEg9ep1mZj0MgBVp80TOvKEND3z20qH9_ksQ?e=4sAheg</t>
  </si>
  <si>
    <t>https://candorworks.sharepoint.com/:x:/s/MISConnect/IQDllEPhXIVlRI7dZdyhsyvrAWbtNdWds7l2Zq0gmareuHA?e=Ln9jmN</t>
  </si>
  <si>
    <t>https://candorworks.sharepoint.com/:x:/s/MISConnect/IQCACauble03TIrwVgfw7tJsAR63Vus8fpLpKbxgm6auppo?e=Q56ByG</t>
  </si>
  <si>
    <t>https://candorworks.sharepoint.com/:x:/s/MISConnect/IQDw0G5xW439T6by2APDGfU-ASSxj2aFO9mPB_Y8V5UuKXQ?e=R1qf1j</t>
  </si>
  <si>
    <t>https://candorworks.sharepoint.com/:x:/s/MISConnect/IQC34HSir8KdR4kbKc796QOWAShZXiEljbTOVjwLwTJDz_0?e=GsNUnY</t>
  </si>
  <si>
    <t>https://candorworks.sharepoint.com/:x:/s/MISConnect/IQBJ9NwNb42IS5UktCRHiGbBASIjbWa8Yth1anbdR7VSzdQ?e=ddAIOT</t>
  </si>
  <si>
    <t>https://candorworks.sharepoint.com/:x:/s/MISConnect/IQCrvz_gvFcLRbCL2A7U7p64ATzeDKeJd4oJavZOCmy8DvI?e=7N3MW5</t>
  </si>
  <si>
    <t>https://candorworks.sharepoint.com/:x:/s/MISConnect/IQD9XeJpqp1BR4MptwUXwqV-AYIi6ENXoEg8JnRSwKg14F0?e=rDO5Ij</t>
  </si>
  <si>
    <t>https://candorworks.sharepoint.com/:x:/s/MISConnect/IQBxPd_E9fpNT7Ad6I01P2jCAdvY2bjp4KRHtjsOsMG7mR0?e=9NUN2G</t>
  </si>
  <si>
    <t>https://candorworks.sharepoint.com/:x:/s/MISConnect/IQAqa3CySsCcS4Kzqp5jxsoWAYjstl-Fbj1iDjdE7ma5Mj0?e=gy0Rtz</t>
  </si>
  <si>
    <t>https://candorworks.sharepoint.com/:x:/s/MISConnect/IQCTOnxvXFlIR5Z_heE6cmGAASdkavLKNBO8f4RLLhSA1kI?e=AEyhGq</t>
  </si>
  <si>
    <t>Ashish/Anand/Niyati</t>
  </si>
  <si>
    <t>Shahrukh/Shrinivas/Saket</t>
  </si>
  <si>
    <t>https://candorworks.sharepoint.com/:x:/s/MISConnect/IQBELY3sBMDNR5A5NCRCKbpsAaDuydDqIfYS0c9zbXsMxtA?e=C8q80b</t>
  </si>
  <si>
    <t>Aishwarya/Chandrakant/Amruta/Abhishek/Mahesh/Jaywant/Shrikant</t>
  </si>
  <si>
    <t>Atul/Shrinivas/Vishvajit/Vivek/Amit/Pooja/Saket</t>
  </si>
  <si>
    <t>https://candorworks.sharepoint.com/:x:/s/MISConnect/IQAXYgEcSHaMRZTj1MNMAwI-AY4ykxChkegG-FLvEhjAMKY?e=9Tg99M</t>
  </si>
  <si>
    <t>https://candorworks.sharepoint.com/:x:/s/MISConnect/IQC5tUDZtMbUQa5EA5z_KdtzAXeg6jLkezICiDidUgYkhoQ?e=2LJAvG</t>
  </si>
  <si>
    <t>Audit all leads need given number of qualified leads.</t>
  </si>
  <si>
    <t>https://candorworks.sharepoint.com/:x:/s/MISConnect/IQBM9Xg7HsnlR7YJGaM1qLZXAefWZcZDgczaAj8mp5bEreA?e=GlowZx</t>
  </si>
  <si>
    <t>https://candorworks.sharepoint.com/:x:/s/MISConnect/IQAVUDjpJ64RTpNyXGpS6q7jARQ2rP7nes55mhP7X-h4x7E?e=5UVHNe</t>
  </si>
  <si>
    <t>Sameer/Srushti/Komal/Mahima</t>
  </si>
  <si>
    <t>Shahrukh/Shweta/Manisha/Vivek</t>
  </si>
  <si>
    <t>https://candorworks.sharepoint.com/:x:/s/MISConnect/IQAADAoRggaVRbYPp-8s_VxKAdG2NkkEXyWqouzCtjBUqfc?e=gQUA0j</t>
  </si>
  <si>
    <t>Google Fin Ops Candorworks - Linked - BDCFA6</t>
  </si>
  <si>
    <t>https://candorworks.sharepoint.com/:x:/s/MISConnect/IQAbUCfAAz1zQrrPMzzZ_PSgAc5-7b82Yodi6o1SQIG10kg?e=4JrPco</t>
  </si>
  <si>
    <t>https://candorworks.sharepoint.com/:x:/s/MISConnect/IQBwPOyuHiOzS4tY42NDtK3RAfAHc1c9m7IbszRciodf3P0?e=XT5Gyz</t>
  </si>
  <si>
    <t>https://candorworks.sharepoint.com/:x:/s/MISConnect/IQC5YtZ5SkhJQZhNbuU8e0hyATpM2XMMzDmqstyCv9iiUK8?e=AhG7jI</t>
  </si>
  <si>
    <t>https://candorworks.sharepoint.com/:x:/s/MISConnect/IQABxS3d6QC7SIwPOJxxAsP6AdNUv87XdhakGK6mvX9JmUc?e=unD7hI</t>
  </si>
  <si>
    <t>https://candorworks.sharepoint.com/:x:/s/MISConnect/IQACX3s0asyuTqOHnodmo8uyAe2Ep_Wbd1xADNUBj1sjSWc?e=gj0H1T</t>
  </si>
  <si>
    <t>Vishvajit/Shahrukh</t>
  </si>
  <si>
    <t>https://candorworks.sharepoint.com/:x:/s/MISConnect/IQAQu88Xu-GHQ72_zNya76GHASNbXbh7sVj5Trgal9rj_QM?e=JHocHu</t>
  </si>
  <si>
    <t>https://candorworks.sharepoint.com/:x:/s/MISConnect/IQA_6uuWCISmTqg7cDMrd1b3AS_HZxsHmThOfjd0ayPZ-C4?e=6keqzm</t>
  </si>
  <si>
    <t>MJH Life Sciences - Sartorius - Mar - Apr '26</t>
  </si>
  <si>
    <t>https://candorworks.sharepoint.com/:x:/s/MISConnect/IQD9pwQnz--bToI2DpqVUCiJAT6V3Z559uacooEDK-kLFdU?e=gNqETS</t>
  </si>
  <si>
    <t>Audit all segment leads as per Pacing in Specs bible</t>
  </si>
  <si>
    <t>https://candorworks.sharepoint.com/:x:/s/MISConnect/IQAZuW_gzAc4Sp1ZhH_PNIJ3ART48b4G55l-8mjocmdL6sU?e=gtXgPe</t>
  </si>
  <si>
    <t>https://candorworks.sharepoint.com/:x:/s/MISConnect/IQBtma95Xe1pSoRtoZ_4BsEAAVMSRJLhQPaNyn_xy8Xe8nc?e=a5LJVd</t>
  </si>
  <si>
    <t>https://candorworks.sharepoint.com/:x:/s/MISConnect/IQCzJpgNuFzoT7eI3ISWtVyVAamfnIq97uL7QbZzuDIl36c?e=p4bhM9</t>
  </si>
  <si>
    <t>Required only Ireland</t>
  </si>
  <si>
    <t>https://candorworks.sharepoint.com/:x:/s/MISConnect/IQBa0Y-ma58_QZj-t78_g9kjAURFuwMRMN4SICi6nvvbSjo?e=Guvr2B</t>
  </si>
  <si>
    <t>NO</t>
  </si>
  <si>
    <t>Pooja/Saket/Manisha</t>
  </si>
  <si>
    <t>https://candorworks.sharepoint.com/:x:/s/MISConnect/IQDu_Sioc3P1T4-ZO3acp3EDAR7tAUe4ILYxR1hRPBLNUD0?e=HOLQcb</t>
  </si>
  <si>
    <t>Carat_Microsoft_Cloud and AI Platforms_Unify Your Data Platform_ENT_Switzerland_FY26Q1</t>
  </si>
  <si>
    <t>https://candorworks.sharepoint.com/:x:/s/MISConnect/IQCHX88IUu0rTaluYCU6Kxw4AcSfwqcYEPIKcf1gClDHjjM?e=bMwXSF</t>
  </si>
  <si>
    <t>https://candorworks.sharepoint.com/:x:/s/MISConnect/IQDkPLyg0pF0Tan0A7o25m2WAUFUVSTz74F2g9vsnc8G3Qo?e=S8gLIw</t>
  </si>
  <si>
    <t>https://candorworks.sharepoint.com/:x:/s/MISConnect/IQAalhnerSjmRKnkGCgWmaKcAZJwiVbO0NZF3RtjiJUuncE?e=3QwMa8</t>
  </si>
  <si>
    <t>Shweta/Shahrukh/Amit/Shrinivas/Vishvajit/Vivek</t>
  </si>
  <si>
    <t>https://candorworks.sharepoint.com/:x:/s/MISConnect/IQD8d2q3ccfeTZBv4xsldjdhAfw9YVTe_CE7V-Dkb1F3mLI?e=Whq7P0</t>
  </si>
  <si>
    <t>Shweta/Shahrukh/Amit/Shrinivas/Vishvajit/Vivek/Atul</t>
  </si>
  <si>
    <t>https://candorworks.sharepoint.com/:x:/s/MISConnect/IQA576JiU2EJRanhPTIjKy6gAdXMEJM0WKs2Zq_L_pQ3P8g?e=b8MGBM</t>
  </si>
  <si>
    <t>Carat_Microsoft_Cloud and AI Platforms_Migrate &amp; Modernize your Estate_ENT_Saudi Arabia_FY26Q1</t>
  </si>
  <si>
    <t>https://candorworks.sharepoint.com/:x:/s/MISConnect/IQCZuRwaPiHGTJ6Qab4waslHAe2zqSmrx65uDe6EYO9bAjk?e=ybr8Ia</t>
  </si>
  <si>
    <t>Carat_Microsoft_Cloud and AI Platforms_Migrate &amp; Modernize your Estate_ENT_Qatar_FY26Q1</t>
  </si>
  <si>
    <t>https://candorworks.sharepoint.com/:x:/s/MISConnect/IQDdCrRyVRw-TKTh0ttsCbqvAffxLIZ-7EM589uDKSANZkQ?e=qP53t4</t>
  </si>
  <si>
    <t>Carat_Microsoft_Cloud and AI Platforms_Innovate with Azure AI Apps &amp; Agents_SMC_Vietnam_FY26Q1</t>
  </si>
  <si>
    <t>https://candorworks.sharepoint.com/:x:/s/MISConnect/IQBWf3QtXH_6RY7_S19hZfxUARMKIrG7mQ8h5js45xNl984?e=MbFq3H</t>
  </si>
  <si>
    <t>Carat_Microsoft_Cloud and AI Platforms_Innovate with Azure AI Apps &amp; Agents_SMC_Singapore_FY26Q1</t>
  </si>
  <si>
    <t>https://candorworks.sharepoint.com/:x:/s/MISConnect/IQAIQLky92mzR7wiUiiPN_6MAbVmSPXdenX-OHxY_TjK9pQ?e=Mx1zNR</t>
  </si>
  <si>
    <t>Carat_Microsoft_Cloud and AI Platforms_Innovate with Azure AI Apps &amp; Agents_SMC_Philippines_FY26Q1</t>
  </si>
  <si>
    <t>https://candorworks.sharepoint.com/:x:/s/MISConnect/IQAwz8mjwhB9RKgJENHCHWpIATucgpzLn4nmJ6CxQG3ZR_U?e=ozvaHR</t>
  </si>
  <si>
    <t>Carat_Microsoft_Cloud and AI Platforms_Innovate with Azure AI Apps &amp; Agents_SMC_Malaysia_FY26Q1</t>
  </si>
  <si>
    <t>https://candorworks.sharepoint.com/:x:/s/MISConnect/IQASVZqqwR8zT4DM0lMQ6r7EAQTkqYRDLK8m3r2t_r_8Kh4?e=aavWIn</t>
  </si>
  <si>
    <t>Carat_Microsoft_Cloud and AI Platforms_Innovate with Azure AI Apps &amp; Agents_SMC_Cambodia_FY26Q1</t>
  </si>
  <si>
    <t>https://candorworks.sharepoint.com/:x:/s/MISConnect/IQDEfNHm-gtrTbEeA3RYp7_HAWvYx_RTbfW8fGkhOKXk2CE?e=dyu0M0</t>
  </si>
  <si>
    <t>https://candorworks.sharepoint.com/:x:/s/MISConnect/IQAiB89tN_2fRIO4M9JIrx9PAagBTLVZZlvwqYA1yKoSYtA?e=rIJNN7</t>
  </si>
  <si>
    <t>https://candorworks.sharepoint.com/:x:/s/MISConnect/IQDkIpuzd3UwRJU4n7UX71a2AcH6ucrnV3-cTK9-wc67AmU?e=1azEjU</t>
  </si>
  <si>
    <t>https://candorworks.sharepoint.com/:x:/s/MISConnect/IQC-t7duDuUWRaEMoOKGTyXJAau8ec8ziDrv8Yk-hsNRtFg?e=kabK1J</t>
  </si>
  <si>
    <t>Required only Manufacturing and Finance</t>
  </si>
  <si>
    <t>https://candorworks.sharepoint.com/:x:/s/MISConnect/IQA_k3FG-JmxSpWnXQR5G3pPATsI2foBvB5qzj7Oeis-0cw?e=FhAUFg</t>
  </si>
  <si>
    <t>https://candorworks.sharepoint.com/:x:/s/MISConnect/IQAkaSzRoH-JR4ddohYD-rMuAVc0L_XNjERyQKhPZXH8cq0?e=3jtdv1</t>
  </si>
  <si>
    <t>https://candorworks.sharepoint.com/:x:/s/MISConnect/IQA-OcmVYk2KS6DrsfpmNSjYAUbjMz-NSVNH5ENJX-KoNGE?e=gbckyS</t>
  </si>
  <si>
    <t>Carat_Microsoft_Cloud and AI Platforms_Migrate &amp; Modernize your Estate_ENT_South Africa_FY26Q1</t>
  </si>
  <si>
    <t>https://candorworks.sharepoint.com/:x:/s/MISConnect/IQCFHxuGEVRTQ5SGrY_hRZZQAZmj6InARKvpdngSyheP5n4?e=lmnBNH</t>
  </si>
  <si>
    <t>Carat_Microsoft_Cloud and AI Platforms_Unify Your Data Platform_SMB_Netherlands_FY26Q1</t>
  </si>
  <si>
    <t>https://candorworks.sharepoint.com/:x:/s/MISConnect/IQCLVtWHm8uFRqMfEgZUc5ArAV7zy4ACyUo5pEh9z-3ZxVY?e=s1sLTW</t>
  </si>
  <si>
    <t>https://candorworks.sharepoint.com/:x:/s/MISConnect/IQDrho__EoXzT6kcPi3k1prAAf0W36ymrYVzTFlYoi1WJ7o?e=SMgcx0</t>
  </si>
  <si>
    <t>https://candorworks.sharepoint.com/:x:/s/MISConnect/IQD_st2ptpNGQofVT5FoJjxYAaLHAN4iUw6KhoaqEBZ_i9E?e=OkXL6l</t>
  </si>
  <si>
    <t>https://candorworks.sharepoint.com/:x:/s/MISConnect/IQCkhTwBcHZdRaxmkmF-urCEAYSsxKhtsbdDFlxf9X2LDjE?e=XVpzd3</t>
  </si>
  <si>
    <t>https://candorworks.sharepoint.com/:x:/s/MISConnect/IQDHN7aOC85hQqzx0MSePn2nAVaaqHHRay7yUmyByJUqgl0?e=RkQ7kR</t>
  </si>
  <si>
    <t>ALT_EM_CSY_26Q1_UKI_PROS_DD</t>
  </si>
  <si>
    <t>Ashish/Anand/Sumedha</t>
  </si>
  <si>
    <t>Shweta/Shrinivas/Amit</t>
  </si>
  <si>
    <t>https://candorworks.sharepoint.com/:x:/s/MISConnect/IQCQvBJzg8vhSL_0JXoB3DJ2AZ0XSNBmkM_zLZnpmRyftM8?e=7NIQ5k</t>
  </si>
  <si>
    <t>Srushti/Komal/Mahima/Ashish</t>
  </si>
  <si>
    <t>Shweta/Shahrukh/Pooja/Saket</t>
  </si>
  <si>
    <t>https://candorworks.sharepoint.com/:x:/s/MISConnect/IQBCrw7Xu-WLRLG3k6l0HH7XAVs5OFlOCqkHjvDQ6ak2NoE?e=hBoyrf</t>
  </si>
  <si>
    <t>Zendesk_LATAM_March_UW_FY26_BR_CX_IT_HR_CORP</t>
  </si>
  <si>
    <t>Shrikant/Sejal/Niyati</t>
  </si>
  <si>
    <t>Vishvajit/Manisha/Pooja</t>
  </si>
  <si>
    <t>https://candorworks.sharepoint.com/:x:/s/MISConnect/IQAi8ylIauv4QIe3jsCVqoUQAd6x-B1YZnemrMsunJNPPXE?e=MILZSi</t>
  </si>
  <si>
    <t>Zendesk_LATAM_March_UW_FY26_MX-CO-AR-CL-PE_CX_IT_HR_CORP</t>
  </si>
  <si>
    <t>https://candorworks.sharepoint.com/:x:/s/MISConnect/IQDq3Sl3u6K7Rr17d5axD5WCAfnnzXzzsjS-H07ldfP5YYc?e=KOzuRO</t>
  </si>
  <si>
    <t>Zendesk_LATAM_March_UW_FY26_MX-CO-AR-CL-PE_IT_CORP</t>
  </si>
  <si>
    <t>Mahesh/Sejal</t>
  </si>
  <si>
    <t>Atul/Saket</t>
  </si>
  <si>
    <t>https://candorworks.sharepoint.com/:x:/s/MISConnect/IQCdRL3ryo9LSpye_WE2czygAcGc0JbT8u8JQtetYZGi-fE?e=FmF9e8</t>
  </si>
  <si>
    <t>Aishwarya/Chandrakant</t>
  </si>
  <si>
    <t>Optro</t>
  </si>
  <si>
    <t>https://candorworks.sharepoint.com/:x:/s/MISConnect/IQARM7aZEq0DRp_3RCoZ27ViARWmHxNKhhyuDp_4b4porVY?e=91kfvm</t>
  </si>
  <si>
    <t>https://candorworks.sharepoint.com/:x:/s/MISConnect/IQB1-d8Di-BMR4wYUaX4Ll3uATKkd0yiazCNyByYDNeOSQ0?e=LpPBAv</t>
  </si>
  <si>
    <t>https://candorworks.sharepoint.com/:x:/s/MISConnect/IQB5VnHboRliSYSNuoZzoxdJAXJmXL92KzVGbidfNjA5dVM?e=ufqgm7</t>
  </si>
  <si>
    <t>https://candorworks.sharepoint.com/:x:/s/MISConnect/IQCTx0OzlJXwToQVuG3gEdNZAdT8yTSrLpKYWRTTG9OjqF0?e=Rel4pQ</t>
  </si>
  <si>
    <t>Jaywant/Sejal/Niyati/Prathamesh/Sameer</t>
  </si>
  <si>
    <t xml:space="preserve"> Vishvajit/ Saket / Manisha/Pooja / Shweta</t>
  </si>
  <si>
    <t>https://candorworks.sharepoint.com/:x:/s/MISConnect/IQBFIQa9JJodRK5fQAU7bHRHAbkPglsBi9H4VmVwk3mcPFE?e=3Oyezp</t>
  </si>
  <si>
    <t>Srushti/Komal/Mahima/Ashish/Anand</t>
  </si>
  <si>
    <t>Shweta/Shahrukh/Manisha/Shrinivas/Amit</t>
  </si>
  <si>
    <t>https://candorworks.sharepoint.com/:x:/s/MISConnect/IQC_iRLSTPg5Rr7OgKUJHZFjAX0XtPJPyv0F6pOSd_k3488?e=qJBs7e</t>
  </si>
  <si>
    <t>https://candorworks.sharepoint.com/:x:/s/MISConnect/IQA7woT2O6EDQ7agUVEFFw8cAd--Q22SLphY2aLvuJIYa20?e=3gufao</t>
  </si>
  <si>
    <t>Anand/Sumedha/Aishwarya</t>
  </si>
  <si>
    <t>Shrinivas/Atul/Amit</t>
  </si>
  <si>
    <t>https://candorworks.sharepoint.com/:x:/s/MISConnect/IQBZGJHCjJ4OQoW7cGe3dMwgARzwP2KQYp1XQnQiLxFLROk?e=Z4upcn</t>
  </si>
  <si>
    <t xml:space="preserve"> Atul/ Pooja /Saket / Vishvajit/ Vivek</t>
  </si>
  <si>
    <t>https://candorworks.sharepoint.com/:x:/s/MISConnect/IQBfEuycVlpQSZKeiuihV0E3AZu5W4o20DrAaLRfjSCUOwE?e=BS78ft</t>
  </si>
  <si>
    <t>Chandrakant/Amruta/Abhishek</t>
  </si>
  <si>
    <t>Amit/Vivek/Atul</t>
  </si>
  <si>
    <t>https://candorworks.sharepoint.com/:x:/s/MISConnect/IQB0EvWfzu_CT7PVWt5patwaATB8Rm7OdSIAkJmR9K48Ji0?e=wbtcgl</t>
  </si>
  <si>
    <t>Sameer/Mahesh/Shrikant/Niketan</t>
  </si>
  <si>
    <t>Shweta/Vishvajit/Vivek/Manisha</t>
  </si>
  <si>
    <t>https://candorworks.sharepoint.com/:x:/s/MISConnect/IQAFwXb1nERsRpGyVHTp5xjFAWgLau5L9mQICTMvJdvv7_Y?e=xd2fIl</t>
  </si>
  <si>
    <t>https://candorworks.sharepoint.com/:x:/s/MISConnect/IQARpUqOYNQ7QKc5W4Ti1gNwAdMYW8fUEsxhIchFMtLEs6o?e=Y6A4Jb</t>
  </si>
  <si>
    <t>Niketan/Sameer/Anand/Sumedha/Aishwarya/Chandrakant/Prathamesh</t>
  </si>
  <si>
    <t>https://candorworks.sharepoint.com/:x:/s/MISConnect/IQDANlRxOqLCS7eR7BVgsjgRAftSq9HhH6dfq94WCtjMPGo?e=Ydxb7h</t>
  </si>
  <si>
    <t>https://candorworks.sharepoint.com/:x:/s/MISConnect/IQCztP_AS0s7SLyiqpivL-0rAZaXF_DE4Wx7bqFaLHkfJK8?e=vPgRfz</t>
  </si>
  <si>
    <t>Mahesh/Jaywant/Shrikant/Sejal/Niyati/Prathamesh/Niketan</t>
  </si>
  <si>
    <t>https://candorworks.sharepoint.com/:x:/s/MISConnect/IQASRYj6MMVgR6j9kA6HkPDKAVYOFucfzRzEvRcz38iSxPk?e=BOyM50</t>
  </si>
  <si>
    <t>Jaywant/Shrikant/Sejal/Niyati</t>
  </si>
  <si>
    <t>https://candorworks.sharepoint.com/:x:/s/MISConnect/IQAu1KvO5-XkRb1x_04IMlybARcUkQUSczHDIEyYftAmefE?e=iqzAoF</t>
  </si>
  <si>
    <t>https://candorworks.sharepoint.com/:x:/s/MISConnect/IQCCREeiDTgFToGZorY_iLFlAVQwC0O36vh-QxfDNTASLI4?e=rA4Yi2</t>
  </si>
  <si>
    <t>https://candorworks.sharepoint.com/:x:/s/MISConnect/IQD8UO_YNpvfR7tz6_Apd4zyAfO_5SAUoZsQpS3W-jHeSOY?e=prISnL</t>
  </si>
  <si>
    <t>https://candorworks.sharepoint.com/:x:/s/MISConnect/IQCsZaKY6yzTS47hGXWiXZTEAclZS5gsaK2rI2pPRQFVPNs?e=3Z7ADq</t>
  </si>
  <si>
    <t>https://candorworks.sharepoint.com/:x:/s/MISConnect/IQATPpcW0C52SKgNT-rVtFvZAUePv1n6A9aWYP-vPH0sbKU?e=eLjCxd</t>
  </si>
  <si>
    <t>https://candorworks.sharepoint.com/:x:/s/MISConnect/IQAz5xebC2uMQ7q4LclvmqdCAfj4JLdO62E2yt1aLJiuEFY?e=Eonfiu</t>
  </si>
  <si>
    <t>https://candorworks.sharepoint.com/:x:/s/MISConnect/IQAUxKviQsMQRoJOS46eHG_vAaPbk7TTwGWjbnmdtdDJQlU?e=1SzTvd</t>
  </si>
  <si>
    <t>https://candorworks.sharepoint.com/:x:/s/MISConnect/IQCN3-A3Cj5ETby2qWMvBqAdAVHOuhxHroEV4YVmVEvWAR8?e=PZmdPw</t>
  </si>
  <si>
    <t>https://candorworks.sharepoint.com/:x:/s/MISConnect/IQAIo2NlkSADS4cQpDqIdiMhAUNsJ-fY04IT7MvPNOt5BXs?e=VhcWSs</t>
  </si>
  <si>
    <t>https://candorworks.sharepoint.com/:x:/s/MISConnect/IQDB7PrI-yOZT5zUtFCXqPCCASlr-rul9jQpsYWfVvwL1M4?e=ZPQd4b</t>
  </si>
  <si>
    <t>Anand/Abhishek</t>
  </si>
  <si>
    <t>Amit/Vishvajit</t>
  </si>
  <si>
    <t>https://candorworks.sharepoint.com/:x:/s/MISConnect/IQDpEM0aekghTLt3e0WaLEb6ATcL7NiJ1seYBRiq_K62jhg?e=R4v9W8</t>
  </si>
  <si>
    <t>https://candorworks.sharepoint.com/:x:/s/MISConnect/IQAulilie5KdTbKs9ytsyuzIAXGtKmjwhh5hfDyk1R5EtbU?e=1raNHR</t>
  </si>
  <si>
    <t>https://candorworks.sharepoint.com/:x:/s/MISConnect/IQCcNIqnbDtKRopfZ8tyYiG9AUSU_IUytzODxZhrDXBd_xU?e=CaCF8j</t>
  </si>
  <si>
    <t>Amruta/Abhishek/Mahesh</t>
  </si>
  <si>
    <t>https://candorworks.sharepoint.com/:x:/s/MISConnect/IQAOug3yIns9RJiLm5rMwJfcASx1EmzBf7YxkeG7B2NgWD4?e=Flk4In</t>
  </si>
  <si>
    <t>Nutanix_ Felicia Pure Storage March Webinar_FY26Q1</t>
  </si>
  <si>
    <t>https://candorworks.sharepoint.com/:x:/s/MISConnect/IQAb7TB0ndg9TKQWCeReRv0AAfgpIuWgqb9qmfpzvLKkpBA?e=LstqdY</t>
  </si>
  <si>
    <t>https://candorworks.sharepoint.com/:x:/s/MISConnect/IQBsJnt5AJgkQaTrl-lyJtF4AZTlizNLGARyYF9V0znCLk8?e=WUeU2p</t>
  </si>
  <si>
    <t>Tagging</t>
  </si>
  <si>
    <t>Custom Question</t>
  </si>
  <si>
    <t>Veracode - DACH - NAM 37496614688 EP23</t>
  </si>
  <si>
    <t>https://candorworks.sharepoint.com/:x:/s/MISConnect/IQDKJ8l_yKzwTou3JM97TfsHAZzDvLkFsPZzV0iTFkJIX2o?e=ya0eg8</t>
  </si>
  <si>
    <t>Oyster HR-MultiRegion-Tal EMEA 39680204422 EP23</t>
  </si>
  <si>
    <t>https://candorworks.sharepoint.com/:x:/s/MISConnect/IQAbhLBzS_KsRbxGs7M9JGNNARps0B8tueskYy_JY6PzknA?e=yoDaqi</t>
  </si>
  <si>
    <t xml:space="preserve">Atul </t>
  </si>
  <si>
    <t>TOP Priority - Required WhiteSpace - 100 &amp; TAL 50 Leads and publish before 8PM</t>
  </si>
  <si>
    <t>https://candorworks.sharepoint.com/:x:/s/MISConnect/IQAaYUq68jz0RJCZyLcXiuRpAc-BDqPhUxdujnug4B-cWQA?e=ygLE9Z</t>
  </si>
  <si>
    <t>Mahesh/Ashish</t>
  </si>
  <si>
    <t>Databricks-AWS-PRAC-NAM 39492343823 EP23</t>
  </si>
  <si>
    <t>https://candorworks.sharepoint.com/:x:/s/MISConnect/IQB_fMcLENI1R7BwwxBHYLrKAY881SfvnNrAaltrtDy-R2w?e=3iaTk7</t>
  </si>
  <si>
    <t>New Dailypay Program - Q1'26</t>
  </si>
  <si>
    <t>Audit all MIX Titles &amp; Share the file with CQ</t>
  </si>
  <si>
    <t>https://candorworks.sharepoint.com/:x:/s/MISConnect/IQBOmsXDG9-CQ6A-IUcZmjFaAfF3lZ2otEAag2e1FzkRcuY?e=Vctb6i</t>
  </si>
  <si>
    <t>MIS will share the file. (Audit only UK leads)</t>
  </si>
  <si>
    <t>Vishal S</t>
  </si>
  <si>
    <t>https://candorworks.sharepoint.com/:x:/s/MISConnect/IQATFolya7ORTZZX4WIrUByBAaeLZDyCJEWdl3Sm5SGWW8c?e=APhYZL</t>
  </si>
  <si>
    <t>50126341_AWS_FY26Q1_SMB_LATAM_BR</t>
  </si>
  <si>
    <t>https://candorworks.sharepoint.com/:x:/s/MISConnect/IQB4sFO15PfJQoO8w0TVlm0RAVsbwZJwkTr3NuA3afeiBTg?e=BXQM5I</t>
  </si>
  <si>
    <t xml:space="preserve">Backdated Data </t>
  </si>
  <si>
    <t>https://candorworks.sharepoint.com/:x:/s/MISConnect/IQCs95DbAjmxSrx6NUFY9ea1AZdYlJZp0uqPg_oaWhExIqc?e=zqODVk</t>
  </si>
  <si>
    <t>https://candorworks.sharepoint.com/:x:/s/MISConnect/IQCgYAwhamqQR6ZIian7LklxAVg6iiNnjXNcNvR6kTWhnco?e=fHZT5t</t>
  </si>
  <si>
    <t>Digambar</t>
  </si>
  <si>
    <t>Shrikant+ Sameer</t>
  </si>
  <si>
    <t>Atul + Pooja</t>
  </si>
  <si>
    <t>Atul  + Pooja</t>
  </si>
  <si>
    <t>https://candorworks.sharepoint.com/:x:/s/MISConnect/IQCQ6m5DD_6yQZQddTaFYjwlAfmEhgMTHartmkCyjFc-nVw?e=N9B0wR</t>
  </si>
  <si>
    <t>https://candorworks.sharepoint.com/:x:/s/MISConnect/IQD4B31b0r-gTZAVfxrwNCYgAVXcsOndEjS-o5APfN4-KdM?e=Adfxk1</t>
  </si>
  <si>
    <t>Carat_Microsoft_Cloud and AI Platforms_Azure AI Transformation BDM SMEC_Oman_FY26Q1</t>
  </si>
  <si>
    <t>https://candorworks.sharepoint.com/:x:/s/MISConnect/IQDVF0E6JlKQTaeJyRpWwNu2Adm9NfyPiseL_kS_xRoZ1s8?e=hXBgKK</t>
  </si>
  <si>
    <t>https://candorworks.sharepoint.com/:x:/s/MISConnect/IQAxFIw4mPzxSJwajLMbTIwbAe6uCwCvsxx5TTqQErqalDg?e=mQBn5E</t>
  </si>
  <si>
    <t>https://candorworks.sharepoint.com/:x:/s/MISConnect/IQB5KaI2zYaKQIWIdwC-8dSHAT5Iu3jYWVeNLqvrV7deuww?e=B7s9GA</t>
  </si>
  <si>
    <t>https://candorworks.sharepoint.com/:x:/s/MISConnect/IQAJSlX2qIBZTpminudJWPt9ATkMpZUBio6j9TTTD9hAV2E?e=XfgWac</t>
  </si>
  <si>
    <t>High Priority – WV file shared by MIS(Do not disqualify leads for dual titles, tenure, or LinkedIn activity reason. Also ensure all required fields (address, zip code, employee size, etc.) are filled.)</t>
  </si>
  <si>
    <t>https://candorworks.sharepoint.com/:x:/s/MISConnect/IQBCoNG8SC6yTbY-aYFlJn4hAU0BC9gsxCCooq9jVjUcyAs?e=aE11Ex</t>
  </si>
  <si>
    <t>High Priroity</t>
  </si>
  <si>
    <t>Audit only UK leads.</t>
  </si>
  <si>
    <t>https://candorworks.sharepoint.com/:x:/s/MISConnect/IQA1-AMzAJY9Q6SXE5PJBWBAAWsf0u7TPr5adBNJaTKBlrc?e=TJvIhp</t>
  </si>
  <si>
    <t>https://candorworks.sharepoint.com/:x:/s/MISConnect/IQCPNgZ8PQuQQYNw3xH37Y2yAQhbttT3sj-2dYlDlCiBVZs?e=orfzot</t>
  </si>
  <si>
    <t>https://candorworks.sharepoint.com/:x:/s/MISConnect/IQDl6t5ShboeSY00uGfdCbgLAYpZRoCTAsuS5ZLkkoY0DW4?e=0ZPchr</t>
  </si>
  <si>
    <t>https://candorworks.sharepoint.com/:x:/s/MISConnect/IQAcs00y0Nu5Trnw-83IQz7uAWOb9qcVPsFXPpOFQZWRJk4?e=6oFCJt</t>
  </si>
  <si>
    <t>https://candorworks.sharepoint.com/:x:/s/MISConnect/IQBMm5J2lIwyRaLjlW53vQYpAU4yBSytjMzJBp0RLnwvYR4?e=QxPeI2</t>
  </si>
  <si>
    <t>Carat_Microsoft_Cloud and AI Platforms_Azure AI Transformation BDM SMEC_Kuwait_FY26Q1</t>
  </si>
  <si>
    <t>https://candorworks.sharepoint.com/:x:/s/MISConnect/IQCegON9XI2RSKdEC-I-DYgdAQzQFi-rDKJPITrbHktI9FM?e=eqqE79</t>
  </si>
  <si>
    <t>https://candorworks.sharepoint.com/:x:/s/MISConnect/IQCNK1GkvyycSo8kE_uSTy5aATbS9g7yCcqj4HJrDuFg3Iw?e=mKFdEw</t>
  </si>
  <si>
    <t>https://candorworks.sharepoint.com/:x:/s/MISConnect/IQANRBbTfdVgTIpz0jqPZIotAd8nr9c5iIMy2mjAcCVI1MA?e=tWWVj7</t>
  </si>
  <si>
    <t>Sony_EMEA_CS_FY26Q1_Extension</t>
  </si>
  <si>
    <t>https://candorworks.sharepoint.com/:x:/s/MISConnect/IQA4EhtQnVguSZgfJ46wCtJHAZtuVqLP7SGdbeSLTKHNkBQ?e=KD8FsH</t>
  </si>
  <si>
    <t>https://candorworks.sharepoint.com/:x:/s/MISConnect/IQCZAJZ9Tx3rTYcTTdkI9qITAQ3SroD6QX-2ivDbr3GWYJ8?e=iCLf31</t>
  </si>
  <si>
    <t>https://candorworks.sharepoint.com/:x:/s/MISConnect/IQCdVtxPx6YcSrVXy-PkaHIDAY_3qDAfY8wQTZmB3aAqL-A?e=FLhTJv</t>
  </si>
  <si>
    <t>https://candorworks.sharepoint.com/:x:/s/MISConnect/IQCl94saPwitSLghkNqxHwZmASTCffF_8mebyb2aoWkkc9A?e=ri9Yxx</t>
  </si>
  <si>
    <t>https://candorworks.sharepoint.com/:x:/s/MISConnect/IQANhPgpw3YTQpTzOlEr6fhEAWgSdWiHzWT_JtRcnLf-cB4?e=f49Bh2</t>
  </si>
  <si>
    <t>https://candorworks.sharepoint.com/:x:/s/MISConnect/IQAc4td2nQlUQ6UoDRmhh_NfAeB-GhDq4jgB8ZUfYZ6ycxk?e=qXUAzW</t>
  </si>
  <si>
    <t>https://candorworks.sharepoint.com/:x:/s/MISConnect/IQBKm32JjTOcQaWsATXHKuqxAceRIiCu4LSV0w3fssz3AZY?e=EIc8Mj</t>
  </si>
  <si>
    <t>Carat_Microsoft_Cloud and AI Platforms_Azure AI Transformation BDM SMEC_Saudi Arabia_FY26Q1</t>
  </si>
  <si>
    <t>https://candorworks.sharepoint.com/:x:/s/MISConnect/IQC22GE6-ixiQJtGaRrDNebIATaDYzbLrNFuBvlzO-VjbQc?e=TFKdjU</t>
  </si>
  <si>
    <t>Carat_Microsoft_Cloud and AI Platforms_Azure AI Transformation BDM SMEC_Qatar_FY26Q1</t>
  </si>
  <si>
    <t>https://candorworks.sharepoint.com/:x:/s/MISConnect/IQAiDDSjYjA_QqRwA3Q1pXdUAd_GZ8xUDLKGOc5vrkfYqEs?e=eDIl8h</t>
  </si>
  <si>
    <t>Carat_Microsoft_Cloud and AI Platforms_Azure AI Transformation BDM SMEC_United Arab Emirates_FY26Q1</t>
  </si>
  <si>
    <t>https://candorworks.sharepoint.com/:x:/s/MISConnect/IQDF8yzW-YsYSII8Ja-__pUNAQctLuM0Ntz3T3cv1XtPHgY?e=bBeiFv</t>
  </si>
  <si>
    <t>https://candorworks.sharepoint.com/:x:/s/MISConnect/IQBYZ1sUVvQBSYRAgR9P6XDYAdzTqX8Igajju48ADasa2nE?e=YpTHTG</t>
  </si>
  <si>
    <t>https://candorworks.sharepoint.com/:x:/s/MISConnect/IQDuIuCpCv84S5UHC2tmAhsrAXaAz-4xYWujfHAVD0Va4R8?e=sZNXLF</t>
  </si>
  <si>
    <t>https://candorworks.sharepoint.com/:x:/s/MISConnect/IQC6Zol1he7eSYr7YjAGNpFbAUNnNy2orhsUGUHYxOe3_uo?e=BTVofx</t>
  </si>
  <si>
    <t>https://candorworks.sharepoint.com/:x:/s/MISConnect/IQBhQDhl3ATsSKedeD391ZJhAUxh9Eb2SEQzKtLTBhR-XCY?e=d5ij3O</t>
  </si>
  <si>
    <t>https://candorworks.sharepoint.com/:x:/s/MISConnect/IQCN5KrmXBqwQKVEI2Mu6yHpASfNzAbJnSqCsqllXZ7VhIo?e=NRXWQr</t>
  </si>
  <si>
    <t>High Priority – Mandatory Completion Required</t>
  </si>
  <si>
    <t>https://candorworks.sharepoint.com/:x:/s/MISConnect/IQA77MG6C3bYSYnGYe-VVbqTAVAX0PkFjNxEU_redk-NyuI?e=beXRHh</t>
  </si>
  <si>
    <t>https://candorworks.sharepoint.com/:x:/s/MISConnect/IQCMTzD3OOoaTrhoG8YBviRdAfGQKFp88HtaRnLud5zhZo4?e=CSLGnC</t>
  </si>
  <si>
    <t>https://candorworks.sharepoint.com/:x:/s/MISConnect/IQDmGxGdggHxT5jmaXJK8NV-AWC3_DvfPM-TCkmGZY-VtYU?e=TVhFga</t>
  </si>
  <si>
    <t>https://candorworks.sharepoint.com/:x:/s/MISConnect/IQBx04hqmjbGTbS-X6_GAwfhASZzy6_o1g20WCtGPezLxsk?e=36cAtz</t>
  </si>
  <si>
    <t>https://candorworks.sharepoint.com/:x:/s/MISConnect/IQCIM9LH8TqOQYqhHr_UB5t9ATcqO4GfDVQIEjwTRbRfui8?e=2Ih8S2</t>
  </si>
  <si>
    <t>PTC_Industrial Pipeline Generation NetNew Accounts_FY26Q1-2</t>
  </si>
  <si>
    <t>https://candorworks.sharepoint.com/:x:/s/MISConnect/IQCv8SgxJnt5SpZf6czQ4WmKARVilczIwCBnd4xJdQp0JKU?e=LdSkzA</t>
  </si>
  <si>
    <t>https://candorworks.sharepoint.com/:x:/s/MISConnect/IQA9_6L2lUYpRZN9WWJkU7L6AVk18kVaJpUnpukQ_Y_r6e4?e=FWeSTg</t>
  </si>
  <si>
    <t>Jaywant/Mahesh</t>
  </si>
  <si>
    <t>https://candorworks.sharepoint.com/:x:/s/MISConnect/IQD-YqkN8NW0QrcrD2JfpKfFAWnVkBZ3BqGR5EhfF0bb6pA?e=elQYMw</t>
  </si>
  <si>
    <t>Sejal/Shrikant</t>
  </si>
  <si>
    <t>https://candorworks.sharepoint.com/:x:/s/MISConnect/IQB8EiFcGf93TKypTdP97aItAbPufSk0qvz74ViKRZC7jmQ?e=5FMLuw</t>
  </si>
  <si>
    <t>Intentsify_Top 50 Strategic Accounts_FY26Q1</t>
  </si>
  <si>
    <t>https://candorworks.sharepoint.com/:x:/s/MISConnect/IQAOvdtWPhTaR6ui6AxwvzawAQcIxUHTDNE_NyvdBQLh5ws?e=suVW80</t>
  </si>
  <si>
    <t>https://candorworks.sharepoint.com/:x:/s/MISConnect/IQBY2Bgwu1TDRJAAyMZJiIMNAUyWImvgUCJgW_A_ecYU294?e=RLRH7D</t>
  </si>
  <si>
    <t>https://candorworks.sharepoint.com/:x:/s/MISConnect/IQAIPAyky8hQS5CV26WMyBWUAZJSIJMRpqJo5i3FGVVqc3o?e=VU6ugg</t>
  </si>
  <si>
    <t>Just Global_Cloudflare_US/CA_MDA_Two Touch_Incremental_FY26Q1</t>
  </si>
  <si>
    <t>https://candorworks.sharepoint.com/:x:/s/MISConnect/IQAlrYXyvxOCRayjZeF1nQIPAaoMzr36sX_atzAy4ynW4Sc?e=ZlCcMA</t>
  </si>
  <si>
    <t>https://candorworks.sharepoint.com/:x:/s/MISConnect/IQCqv_zVbw7eT54P2wrjg2ZvAc3L6smSjaBxtJGykHeCSqc?e=L5JnSu</t>
  </si>
  <si>
    <t>Atul/Vishvajit</t>
  </si>
  <si>
    <t>https://candorworks.sharepoint.com/:x:/s/MISConnect/IQBr4JMnSfH3RLYLSv-nZ_xUAeK-lJR18BOwkLkWN6_fgUo?e=Anmznb</t>
  </si>
  <si>
    <t>Sejal/Prathamesh/Niketan</t>
  </si>
  <si>
    <t>Saket  /Pooja/ Manisha</t>
  </si>
  <si>
    <t>Pooja/Manisha /Saket</t>
  </si>
  <si>
    <t>Vishvajit/Vivek/Amit/Atul</t>
  </si>
  <si>
    <t>Anand/Sumedha/Aishwarya/Chandrakant</t>
  </si>
  <si>
    <t>Amit/Shrinivas/Atul/Abhijeet</t>
  </si>
  <si>
    <t>https://candorworks.sharepoint.com/:x:/s/MISConnect/IQBNb7oaLZSpT7g0BTQ44qKMAYNLF6f4dX0Pi2YxyUuU7Zc?e=4NDy6U</t>
  </si>
  <si>
    <t>Shweta/Shahrukh/Manisha/Abhijeet/Vishvajit/Amit</t>
  </si>
  <si>
    <t>Cluster wise ATA</t>
  </si>
  <si>
    <t>https://candorworks.sharepoint.com/:x:/s/MISConnect/IQCcyF9uOpjfQbdO6pBwd3DJAWbDUYflFKVlPkv2o6vBy44?e=JEq35h</t>
  </si>
  <si>
    <t>https://candorworks.sharepoint.com/:x:/s/MISConnect/IQCFtyy-H3bCR7LbE13QMvC-AQjT3VHX7Qo5JgiPC8Zp9u0?e=dSPhWf</t>
  </si>
  <si>
    <t>Sameer/Srushti/Komal/Mahima/Amruta/Abhishek</t>
  </si>
  <si>
    <t>Shweta/Shahrukh/Shrinivas/Amit/Pooja/Manisha</t>
  </si>
  <si>
    <t>https://candorworks.sharepoint.com/:x:/s/MISConnect/IQBcCWOjaDt1R70kuOd6LNpLAUVTE-EOTUoZ4YtCSBOZRLM?e=XFa1PF</t>
  </si>
  <si>
    <t>https://candorworks.sharepoint.com/:x:/s/MISConnect/IQDsN1jgLl60QpqbhKFuBGbHAfRkrSb_z2SbvEjRUOCBbdI?e=xnUz86</t>
  </si>
  <si>
    <t>High Priority need file by 8 PM</t>
  </si>
  <si>
    <t>ALL L2 (Audit all leads from the database)</t>
  </si>
  <si>
    <t>ALL L1 (Audit all leads from the database)</t>
  </si>
  <si>
    <t>Custom Question + Tagging</t>
  </si>
  <si>
    <t xml:space="preserve">Approval: 
IT Services and IT Consulting, Software, SaaS, Value-Added Resellers, Cloud Managed Services Industries are allowed for Priority 1 &amp; Priority 2 ABM list As Per Ranjeet's Approval
 </t>
  </si>
  <si>
    <t>Vishvajit/Atul</t>
  </si>
  <si>
    <t>Shrinivas/Atul</t>
  </si>
  <si>
    <t>Vishvajit/Amit</t>
  </si>
  <si>
    <t>Shweta/Shahrukh/Amit/Shrinivas/Abhijeet/Vishvajit/Atul</t>
  </si>
  <si>
    <t>MIS will share the file. (Audit only BE leads)</t>
  </si>
  <si>
    <t>https://candorworks.sharepoint.com/:x:/s/MISConnect/IQB47yxvFPMxTKQf3Ui9wsZwAc-7Gw2IgEenhSgHhiTAjOE?e=P6Y1xM</t>
  </si>
  <si>
    <t>https://candorworks.sharepoint.com/:x:/s/MISConnect/IQAAVH9Xo9-sT6Jbv1WLFBVQAZ36Kjw8hOOBr-j_41-ZW6M?e=efddRn</t>
  </si>
  <si>
    <t>https://candorworks.sharepoint.com/:x:/s/MISConnect/IQCqcaCkIvBzQKB5RQBz67n_AaSFUeUDqTlSqKsVEhBymL0?e=hf9HGc</t>
  </si>
  <si>
    <t>Audit only IE leads</t>
  </si>
  <si>
    <t>Mahima/Ashish/Aishwarya/Chandrakant/Amruta/Mahesh/Jaywant/Sejal</t>
  </si>
  <si>
    <t>Shweta/Shahrukh/Shrinivas/Abhijeet/Atul/Pooja/Saket/Manisha</t>
  </si>
  <si>
    <t xml:space="preserve">Vishvajit + Atul </t>
  </si>
  <si>
    <t>FY26 Q2 PXI EMEA Super TAL</t>
  </si>
  <si>
    <t>Emerson</t>
  </si>
  <si>
    <t>High Priority – please publish before 6PM</t>
  </si>
  <si>
    <t>Ashish/Anand/Prathamesh/Aishwarya</t>
  </si>
  <si>
    <t>Shweta/ Amit/ Pooja/Shrinivas</t>
  </si>
  <si>
    <t>Sameer/Komal</t>
  </si>
  <si>
    <t>Audit Sweden &amp; United Kingdom leads only</t>
  </si>
  <si>
    <t>Audit only IE leads. Priority</t>
  </si>
  <si>
    <t>Abhijeet/Abhijeet/Atul</t>
  </si>
  <si>
    <t>High Priority - Mandatory completion</t>
  </si>
  <si>
    <t>TCS Enterprise Manager, ITOps management platform</t>
  </si>
  <si>
    <t>TCS HOBS Whitepaper Promotion</t>
  </si>
  <si>
    <t>Shrikant/Sameer</t>
  </si>
  <si>
    <t>TCS TAP-TM Source to Pay Platform</t>
  </si>
  <si>
    <t>Zero-Trust &amp; OT Security: Protecting AI-Powered Operations Lead Gen</t>
  </si>
  <si>
    <t>Amruta/Mahesh/Jaywant/Shrikant/Sejal</t>
  </si>
  <si>
    <t>Vishvajit/Atul/Vivek  /Vishvajit  /Manisha</t>
  </si>
  <si>
    <t>Srushti/Mahima/Ashish/Sumedha</t>
  </si>
  <si>
    <t>Shweta/Shahrukh/Shrinivas/Abhijeet</t>
  </si>
  <si>
    <t>MJH Life Sciences - PE PC CoverMyMeds D00-00-0034446 - Mar - Apr '26</t>
  </si>
  <si>
    <t>AMD_ Server_ NA_AIRE Digital BANT_ FY26Q1_ Incremental</t>
  </si>
  <si>
    <t>Srushti/Komal/Aishwarya</t>
  </si>
  <si>
    <t>Komal/Prathamesh/Ashish</t>
  </si>
  <si>
    <t>Pooja/Atul/Vivek</t>
  </si>
  <si>
    <t xml:space="preserve"> Abhijeet/ Shweta /Pooja/Shahrukh</t>
  </si>
  <si>
    <t>Need leads for Ireland Only</t>
  </si>
  <si>
    <t>Shweta/Shahrukh/Amit/Shrinivas/Abhijeet</t>
  </si>
  <si>
    <t>Vishvajit/Vivek/Atul</t>
  </si>
  <si>
    <t>(Manufacturing : 50, Finance : 50)</t>
  </si>
  <si>
    <t>https://candorworks.sharepoint.com/:x:/s/MISConnect/IQCVULL_8fEmRIzwiXPe0ICUAQ6Nm7G5Q9_Z8-gN9nHbXoc?e=yXovTK</t>
  </si>
  <si>
    <t>https://candorworks.sharepoint.com/:x:/s/MISConnect/IQBn1rEYjsV0TqSdkAmM6J4RAd8ZW7A3wIXA8K0WZdmAAOU?e=h5gZtY</t>
  </si>
  <si>
    <t>https://candorworks.sharepoint.com/:x:/s/MISConnect/IQBX9y9iiXT3QrD308py6wsMAZ1ih1vtxiyXtIWUMcFNNk8?e=M7nK3i</t>
  </si>
  <si>
    <t>https://candorworks.sharepoint.com/:x:/s/MISConnect/IQAf7wUhGT91Q4oMKlj3Xo_vAYw-L4oYp23DmNgJTwvjeFY?e=hoMjnv</t>
  </si>
  <si>
    <t>https://candorworks.sharepoint.com/:x:/s/MISConnect/IQBU7M4G-TjtQZyXV70MWqRoAZpfGFdU9kwAzbfCqlpk0I8?e=NtTbqv</t>
  </si>
  <si>
    <t>https://candorworks.sharepoint.com/:x:/s/MISConnect/IQDrfbSrH44SRIEyZLsdw1PTAWFiLUdohGBO0o1TSOHQYWs?e=1amYG9</t>
  </si>
  <si>
    <t>https://candorworks.sharepoint.com/:x:/s/MISConnect/IQB63VZoMPzkToRMef62gjEaAcRk3HCttsQHfogcdSIdKh0?e=yHl7BK</t>
  </si>
  <si>
    <t>https://candorworks.sharepoint.com/:x:/s/MISConnect/IQAv3qahdwVsS4MxEqBmXDNZAZ_wanJ0rvhH3Y0yojmKbUg?e=WYQwoh</t>
  </si>
  <si>
    <t>https://candorworks.sharepoint.com/:x:/s/MISConnect/IQDYrc2okvmbQqO5uEiA5z8XAYfNwMbkR7KB2VKFmvl6Xos?e=wfITRa</t>
  </si>
  <si>
    <t>https://candorworks.sharepoint.com/:x:/s/MISConnect/IQACxtQGFXZ2QoxW_LXzHMTRAVNQz_7cs8tE91BRlGvJ53A?e=WkvKSg</t>
  </si>
  <si>
    <t>https://candorworks.sharepoint.com/:x:/s/MISConnect/IQDY8fCJzrHRQYJPhIeSOI-TARgWdKy5cmt5Gz1eNMCS54A?e=Q57t3w</t>
  </si>
  <si>
    <t>https://candorworks.sharepoint.com/:x:/s/MISConnect/IQCb-QGs9JDeSLAi1z2qrQiWAde-0f8ADX50IitwuelE6D8?e=vigq6U</t>
  </si>
  <si>
    <t>https://candorworks.sharepoint.com/:x:/s/MISConnect/IQBdML4hBG5yRaNvDPfXy8QKAZFQadKD12fYXwtgcMa4mUE?e=nkvA4S</t>
  </si>
  <si>
    <t>https://candorworks.sharepoint.com/:x:/s/MISConnect/IQBbacDri2QeQoLoaZFpCMHeAf5Z-ylntapklTN8ckAnjds?e=CgCua0</t>
  </si>
  <si>
    <t>https://candorworks.sharepoint.com/:x:/s/MISConnect/IQBpVJlIPZLpS7NmkW0Ls93oAcYFE_7DgRErOODKyr8vOcg?e=yn0p0G</t>
  </si>
  <si>
    <t>https://candorworks.sharepoint.com/:x:/s/MISConnect/IQDblJQ9FiMVRqBNadMx4jNUAYE9uvj160G5eiWbWsa2sbo?e=a1XVgQ</t>
  </si>
  <si>
    <t>https://candorworks.sharepoint.com/:x:/s/MISConnect/IQCMotts0XFzRr4SGdVbWbAhAVP6mxTh_zty5f96-xXckYY?e=QbHTIg</t>
  </si>
  <si>
    <t>https://candorworks.sharepoint.com/:x:/s/MISConnect/IQAj8lbXkjMqS6WjsV5ug0qMAfSXfj4pTPOoPjz8-pEyuI4?e=SXBeig</t>
  </si>
  <si>
    <t>https://candorworks.sharepoint.com/:x:/s/MISConnect/IQC6ffbePlzLQpq4sYAbjTcsAXcVeZzjfacRZsZEzrgyhIw?e=yrxCah</t>
  </si>
  <si>
    <t>https://candorworks.sharepoint.com/:x:/s/MISConnect/IQD_3FI0ZwSIRrCSZ3ChiFPzAQ-PBp2uS9vGMd9C7fNAgEo?e=t59s1C</t>
  </si>
  <si>
    <t>https://candorworks.sharepoint.com/:x:/s/MISConnect/IQBKPedoGOcgSIYR6CJafXmAAagIgtfVBW6FMiYTQwIi44Y?e=0m1jgu</t>
  </si>
  <si>
    <t>https://candorworks.sharepoint.com/:x:/s/MISConnect/IQDxIFOi_WBtRa2pWSTzOmnQAeg8yk8GPTAldl7N1e9vjZM?e=xUtXC6</t>
  </si>
  <si>
    <t>https://candorworks.sharepoint.com/:x:/s/MISConnect/IQDdhkYxtE6bT5ldH4wDkeMmAZjdnnvznBKJrLvnp__d_aE?e=q2NbIc</t>
  </si>
  <si>
    <t>https://candorworks.sharepoint.com/:x:/s/MISConnect/IQCqZOOpP-hyR5IhirR6kIeLAZIxlMWbOfpE3FkxmHpMg_0?e=JyuicF</t>
  </si>
  <si>
    <t>https://candorworks.sharepoint.com/:x:/s/MISConnect/IQBdtwia66dgTZFHkYvMxDmKAWkVI_Vl2KSgJ9v8zqgZ__g?e=RRzVU9</t>
  </si>
  <si>
    <t>https://candorworks.sharepoint.com/:x:/s/MISConnect/IQAxEvJAv211RYWgUqlab-81AQtA3IVrMH1IxAckBEG0VU8?e=HsxqvC</t>
  </si>
  <si>
    <t>https://candorworks.sharepoint.com/:x:/s/MISConnect/IQAdc8YRRyueTLtcXufPesMeAcIudmK91abQi84KFBM2f1s?e=v6p5Op</t>
  </si>
  <si>
    <t>https://candorworks.sharepoint.com/:x:/s/MISConnect/IQBp8-mBstm9QKjbQN7d0FDAAUOIf0FnZsevbMTej6hwlMk?e=r4EIhO</t>
  </si>
  <si>
    <t>https://candorworks.sharepoint.com/:x:/s/MISConnect/IQDy4PfwWcqUQK5Y3jph1jgKAY3q_VgXzBa7eRnVI02pBDg?e=PEuHtq</t>
  </si>
  <si>
    <t>https://candorworks.sharepoint.com/:x:/s/MISConnect/IQDnBITZeTLWQ6Rtd5uTwG-1AdIkxAA4NqBl0V8eSoaWcq0?e=B2OCJy</t>
  </si>
  <si>
    <t>https://candorworks.sharepoint.com/:x:/s/MISConnect/IQAj7TSRL0IgTZ-WYdBTEWldAdAFqBn5zo4zVOPoAELyudM?e=P5SZHi</t>
  </si>
  <si>
    <t>https://candorworks.sharepoint.com/:x:/s/MISConnect/IQB-VUACyNIpS6gLke7G2o3iAZBmMFhA4vlyORA4mzXaNeI?e=kjPhYR</t>
  </si>
  <si>
    <t>https://candorworks.sharepoint.com/:x:/s/MISConnect/IQCtDjxMFSvySoEb0CRx-yLGAeM63CTGPxS_8Epfx8j2HZQ?e=aduK8L</t>
  </si>
  <si>
    <t>https://candorworks.sharepoint.com/:x:/s/MISConnect/IQC6AW_dcOsVRJrxtxAhvo-IAf-PxsAxl7KD7lY24LihgxY?e=KcngNQ</t>
  </si>
  <si>
    <t>https://candorworks.sharepoint.com/:x:/s/MISConnect/IQABtYLRTSYvSaRetNJNxHqoAVZQr_NB4cKgsl3DQRBwgxI?e=xbC0RQ</t>
  </si>
  <si>
    <t>https://candorworks.sharepoint.com/:x:/s/MISConnect/IQD5kjrkEabRS5VBfFtJnt2OAXhYw6TjOEAeNlPCjN3w-Wo?e=1Ko014</t>
  </si>
  <si>
    <t>https://candorworks.sharepoint.com/:x:/s/MISConnect/IQB0HHlQgXCgSpDBYh1E2-PZAc4Mkxsx-NDXozoNrjMPVr0?e=jGInfF</t>
  </si>
  <si>
    <t>https://candorworks.sharepoint.com/:x:/s/MISConnect/IQD1FUosG_fYSbLPq06BOUDiAX1B5jeR9SJU80uV6NsKJKk?e=JvuUkm</t>
  </si>
  <si>
    <t>https://candorworks.sharepoint.com/:x:/s/MISConnect/IQAbyczTyLBwSKbhuagZmznuASmzjaTdc7Wyl48GEtQsIzU?e=pGes8h</t>
  </si>
  <si>
    <t>https://candorworks.sharepoint.com/:x:/s/MISConnect/IQBOCUzUPgkmSZd0fjXdlQs4AcEhxNTmNcJZMTh0GrRXxPo?e=irrLyF</t>
  </si>
  <si>
    <t>Mahima/Sumedha/Chandrakant/Abhishek</t>
  </si>
  <si>
    <t>Jaywant/Shrikant/Prathamesh</t>
  </si>
  <si>
    <t>Niketan/Sumedha/Amruta/Abhishek/Prathamesh</t>
  </si>
  <si>
    <t>Shweta/Abhijeet/Amit/Vishvajit</t>
  </si>
  <si>
    <t xml:space="preserve"> Atul /Pooja/Manisha</t>
  </si>
  <si>
    <t xml:space="preserve"> Shrinivas/ Amit/Atul /Vivek/Abhijeet</t>
  </si>
  <si>
    <t>Double audit done</t>
  </si>
  <si>
    <t xml:space="preserve"> Shrinivas/Manisha</t>
  </si>
  <si>
    <t>https://candorworks.sharepoint.com/:x:/s/MISConnect/IQDs0GWgjCuSRLQAFzgzRivCAaRngSk3ZPbeFWUP-ky92nE?e=YedHLI</t>
  </si>
  <si>
    <t>AXM_Informatica_ABM + CDOCDAO US_FY26Q1</t>
  </si>
  <si>
    <t>https://candorworks.sharepoint.com/:x:/s/MISConnect/IQA3V2oO_8gWSLtVraO70CmWAUpBxW3WX4ioUZl6M2r7c9Q?e=L2et8H</t>
  </si>
  <si>
    <t>Ajay</t>
  </si>
  <si>
    <t>Data not as per Specs</t>
  </si>
  <si>
    <t>Shweta/Atul</t>
  </si>
  <si>
    <t>Abhijeet+ Amit</t>
  </si>
  <si>
    <t>Shahrukh + Manisha</t>
  </si>
  <si>
    <t>Not Audited</t>
  </si>
  <si>
    <t>Disqualified</t>
  </si>
  <si>
    <t>Manisha/Atul/Vivek</t>
  </si>
  <si>
    <t>Prathamesh/Niketan/Niyati</t>
  </si>
  <si>
    <t>Manisha/Saket/Pooja</t>
  </si>
  <si>
    <t>Mahesh/Shrikant/Sejal/Niyati/Chandrakant/Abhishek/Prathamesh/Niketan</t>
  </si>
  <si>
    <t>Vishvajit/Vivek/Manisha/Amit/Shrinivas/Atul/Saket/Pooja</t>
  </si>
  <si>
    <t>https://candorworks.sharepoint.com/:x:/s/MISConnect/IQCGfhKDJwvGTpjClZ5z5BDWAfMTU7yuPTJP7CoSVzTd2tY?e=RBJxlr</t>
  </si>
  <si>
    <t>https://candorworks.sharepoint.com/:x:/s/MISConnect/IQCUSHz68xeVSJpyb-YvmBUOASm7NOdk1L82HZIpZGW-gv4?e=pH6cKC</t>
  </si>
  <si>
    <t>Anand/Aishwarya/Amruta/Ashish</t>
  </si>
  <si>
    <t>Amit/Shrinivas/Vishvajit/Shweta</t>
  </si>
  <si>
    <t>https://candorworks.sharepoint.com/:x:/s/MISConnect/IQDXU6LgnNk3Q6ERdcI4Gv7gAXGusJiFZdQNvY2C_iUYiaI?e=q4xb2T</t>
  </si>
  <si>
    <t>Mahima/Ashish/Anand</t>
  </si>
  <si>
    <t>Shweta/Shahrukh/Shrinivas</t>
  </si>
  <si>
    <t>https://candorworks.sharepoint.com/:x:/s/MISConnect/IQCMC6WzQb0VQ5U7Oi32oPCgAS0vjCgtupDQe5ryj4gL39Q?e=iw0752</t>
  </si>
  <si>
    <t>Vishvajit/Pooja</t>
  </si>
  <si>
    <t>https://candorworks.sharepoint.com/:x:/s/MISConnect/IQAYpJDAQ4MpS7onOMuugDOwAYliA4TyYH56VkNDDxxkO3I?e=q1nqzF</t>
  </si>
  <si>
    <t>https://candorworks.sharepoint.com/:x:/s/MISConnect/IQBpupbNmBcuRonPOdTFwUFvARw2M5rzuZSl1rmpquX6wEQ?e=CJQKQ8</t>
  </si>
  <si>
    <t>https://candorworks.sharepoint.com/:x:/s/MISConnect/IQCWNjiZryA6S61RzZgs3rIUAWbsPHnFH_jlxVJU4ACaL_A?e=LMJcwG</t>
  </si>
  <si>
    <t>https://candorworks.sharepoint.com/:x:/s/MISConnect/IQAr2CLuVmM4R5XU9WDYd2QQAYW9mIiWue4P-qEeuOvf2Kk?e=i8FLvU</t>
  </si>
  <si>
    <t>Niyati/Niketan</t>
  </si>
  <si>
    <t>Mahima/Anand</t>
  </si>
  <si>
    <t>Zscaler_Enterprise Two Touch CQ_Incremental_FY26Q2</t>
  </si>
  <si>
    <t>https://candorworks.sharepoint.com/:x:/s/MISConnect/IQCHwbMXO8goTZLMoyCghIqZAdQ8avnGZ69nJtgOXSoX9ws?e=N10hZc</t>
  </si>
  <si>
    <t>Zscaler_Majors Two Touch CQ_Incremental_FY26Q2</t>
  </si>
  <si>
    <t>Ashish/Sumedha</t>
  </si>
  <si>
    <t>https://candorworks.sharepoint.com/:x:/s/MISConnect/IQCqq8iSjrJxRajFLZnj_1CHAfQzy7gFcPKqqHJacVuKz_E?e=NALRwH</t>
  </si>
  <si>
    <t>Zscaler_Commercial Two Touch CQ_Incremental_FY26Q2</t>
  </si>
  <si>
    <t>https://candorworks.sharepoint.com/:x:/s/MISConnect/IQCyVtxkruwtTYva_ng1XkK-AZDVX8612hj6xY8VijZRrkI?e=wPnymd</t>
  </si>
  <si>
    <t>https://candorworks.sharepoint.com/:x:/s/MISConnect/IQDYlL2WtMfeTZZ7G1xK6wBmAQ1BYdeLs1Upix7hwfTRd40?e=MN9BfR</t>
  </si>
  <si>
    <t>https://candorworks.sharepoint.com/:x:/s/MISConnect/IQC3mTY4zjnQSK4GTYzSLDN-ASer_R9GkzXeZa1twmWxilY?e=ZOrdSf</t>
  </si>
  <si>
    <t>https://candorworks.sharepoint.com/:x:/s/MISConnect/IQCQ_hyLTQJnSq0Bo7VGFzslAT6qAt6IXhFYhWw1P0Ynsvo?e=3mWNl4</t>
  </si>
  <si>
    <t>https://candorworks.sharepoint.com/:x:/s/MISConnect/IQBZGaQajI7xTbmvLQ89oNp5AU5yx2Y3cKF4SsvX-xyQqrA?e=qAg1bN</t>
  </si>
  <si>
    <t>https://candorworks.sharepoint.com/:x:/s/MISConnect/IQA2x1P91icRQL2Kf2BWmScaAT9B18Cuta3RJQX3B4fvIFc?e=HQcjbA</t>
  </si>
  <si>
    <t>https://candorworks.sharepoint.com/:x:/s/MISConnect/IQCYAjweWsg9RoXJzU8D0hvuAdMmPOo8a0cfcveU1TwSnGI?e=J6nAqb</t>
  </si>
  <si>
    <t>https://candorworks.sharepoint.com/:x:/s/MISConnect/IQBSdK3gJahTT48FeJrNjiHOAZvB3wdbTFkIJ1tXgkGdckk?e=v5Gsvs</t>
  </si>
  <si>
    <t>https://candorworks.sharepoint.com/:x:/s/MISConnect/IQAQ-mzL88hmRI2V2O0jmDdjASqIOEXWiDwIRj5wHXztADE?e=1ZbmHF</t>
  </si>
  <si>
    <t>https://candorworks.sharepoint.com/:x:/s/MISConnect/IQCvaSsXPAALQZZNgKvsUErPAcBt5Eno2uJuTqTZKEzAP7w?e=9wDHvH</t>
  </si>
  <si>
    <t>Amruta/Shrikant</t>
  </si>
  <si>
    <t>https://candorworks.sharepoint.com/:x:/s/MISConnect/IQAurJQXto_hQ7z7usqcthOSAeYSH7NDAk2ryyFTGLk76hc?e=ohOpDO</t>
  </si>
  <si>
    <t>https://candorworks.sharepoint.com/:x:/s/MISConnect/IQA9I2kDYXraQK_fFsvS16HDASZ2IhZkVJPbHI0qWKtu7n8?e=IiDQMk</t>
  </si>
  <si>
    <t>https://candorworks.sharepoint.com/:x:/s/MISConnect/IQBL6yvRu6dnRYKM2I2ODqAbASfoDX6pGKEZbk7p8N8QTwI?e=dhCjCg</t>
  </si>
  <si>
    <t>Prathamesh/Abhishek</t>
  </si>
  <si>
    <t>https://candorworks.sharepoint.com/:x:/s/MISConnect/IQDeODo3k6PETJRxAnCDfcMDASfj6cifQKJYqrswOKXQrt0?e=53LRS8</t>
  </si>
  <si>
    <t>Vivek/Atul</t>
  </si>
  <si>
    <t>https://candorworks.sharepoint.com/:x:/s/MISConnect/IQA8S2sg9D72QLSPCoHW2fgbAfshqQnsd6gTbK3qLh3tE6A?e=Ww5Kk7</t>
  </si>
  <si>
    <t>https://candorworks.sharepoint.com/:x:/s/MISConnect/IQBVTqR0VP2PS6OrQXHEHZznAWL1v3gafn5lQ0XHrvoTj-8?e=ePWOnV</t>
  </si>
  <si>
    <t>https://candorworks.sharepoint.com/:x:/s/MISConnect/IQBAKFIqW3aLQb7q0KOEaBKHAejKE_AJkkxKQ0bVuF7tBtg?e=jRvLUR</t>
  </si>
  <si>
    <t>IronHorse_Nexa_Class A Commercial_NA_FY26Q1</t>
  </si>
  <si>
    <t>Sameer/Srushti/Komal</t>
  </si>
  <si>
    <t>https://candorworks.sharepoint.com/:x:/s/MISConnect/IQDUpQ8RMjHxRakeWSOD5K9TAVa3xBvuIRPp9hrnFnIUV3A?e=kMkIL6</t>
  </si>
  <si>
    <t>https://candorworks.sharepoint.com/:x:/s/MISConnect/IQCUgMYR8tYcSKukJgOx6vKDAf0d8goUzJ9v3kFqfLgwn6A?e=j4pQqk</t>
  </si>
  <si>
    <t>https://candorworks.sharepoint.com/:x:/s/MISConnect/IQAGy4og4sskQqoRNzxbfe4bAfRTnaI7YagiD2Zz5suGIWk?e=FFvEUN</t>
  </si>
  <si>
    <t>https://candorworks.sharepoint.com/:x:/s/MISConnect/IQAu3-64qTrsT6be0U727YHpAZmOFMIYSb7qAVu3uA-4j2Y?e=Whrhnh</t>
  </si>
  <si>
    <t>https://candorworks.sharepoint.com/:x:/s/MISConnect/IQCeZXdbUD5ATJqfrqidUltMAZK3GDMBpiOVz1sjM2hyc7w?e=Ez1vGI</t>
  </si>
  <si>
    <t>https://candorworks.sharepoint.com/:x:/s/MISConnect/IQA6B7azgKZ3SL2vIpZqlDY4AeTrmzQ4AWq2hr3sjPIklSI?e=IMrbUa</t>
  </si>
  <si>
    <t>https://candorworks.sharepoint.com/:x:/s/MISConnect/IQCe547DlbAsRYRfsEbQn-3jAfYDEzGgjrYMVremFXehbDw?e=fRNbyM</t>
  </si>
  <si>
    <t>https://candorworks.sharepoint.com/:x:/s/MISConnect/IQDNuFZwWy50T7R5fk5BjJY7AQ18vY1UU03JrP94pxBfKT0?e=Oc3CMk</t>
  </si>
  <si>
    <t>PTC_Industrial Pipeline Acceleration Existing Accounts_FY26Q1-2</t>
  </si>
  <si>
    <t>https://candorworks.sharepoint.com/:x:/s/MISConnect/IQAHn7BBSrhFR5qHq_jznJzdASSaBTaM0sYjUC209ECVCpc?e=SFlIfT</t>
  </si>
  <si>
    <t>https://candorworks.sharepoint.com/:x:/s/MISConnect/IQDwtmWQNMHJRaLQOpOLevWPAeifHJTpQK-Q3XzjZ6Sz0wk?e=SdT95Q</t>
  </si>
  <si>
    <t>Prioritise Director + Open/Click  &amp; Engineering titles &amp; and rest other titles</t>
  </si>
  <si>
    <t>https://candorworks.sharepoint.com/:x:/s/MISConnect/IQDIGXyL-_z_Q5-hYGc5f63lAehqMo0-Q_5y3TjuKXql1vo?e=et1oDB</t>
  </si>
  <si>
    <t>Niketan/Jaywant</t>
  </si>
  <si>
    <t>Pooja/Vishvajit</t>
  </si>
  <si>
    <t>https://candorworks.sharepoint.com/:x:/s/MISConnect/IQChit6tTMEyRr9W_Bw7WWPOAdWIvMzaMKJFLfRAWU9hhoM?e=QEaJf6</t>
  </si>
  <si>
    <t>Sumedha/Sejal</t>
  </si>
  <si>
    <t>Abhijeet/Saket</t>
  </si>
  <si>
    <t>Abhishek/Sejal</t>
  </si>
  <si>
    <t>Atul/Manisha</t>
  </si>
  <si>
    <t>Audit equally on all given industry</t>
  </si>
  <si>
    <t>https://candorworks.sharepoint.com/:x:/s/MISConnect/IQDIF_M25iQiR6ZYYUpNXQW3AZgRABQPirm9Eicn-y7rDg8?e=8gjp3t</t>
  </si>
  <si>
    <t>Zendesk_EMEA_CCaaS_Q1_FY26_GB_TAL_CCAAS_CORP_ST_QQ</t>
  </si>
  <si>
    <t>Mahesh/Niyati</t>
  </si>
  <si>
    <t>https://candorworks.sharepoint.com/:x:/s/MISConnect/IQC2ot5q-czHS49gv6vQ2heCAWu5eYcnjopClaOlZmvK6Yc?e=rfFTNM</t>
  </si>
  <si>
    <t>Shahrukh/Shweta/Pooja</t>
  </si>
  <si>
    <t>https://candorworks.sharepoint.com/:x:/s/MISConnect/IQBRRwDGeiJGSorYgLo8oH22AfJ_9Ns8qnVC8s9dtl24UE8?e=i3ReYz</t>
  </si>
  <si>
    <t>Shahrukh/Abhijeet</t>
  </si>
  <si>
    <t>https://candorworks.sharepoint.com/:x:/s/MISConnect/IQBUF8mFgV6IQ5m-sF4stlXEAQy-Z7ncA1mmL83zCWVAuks?e=5TSsWT</t>
  </si>
  <si>
    <t>CY26Q1 Openshift App Plat UKI Candorworks - Linked 901F16</t>
  </si>
  <si>
    <t>https://candorworks.sharepoint.com/:x:/s/MISConnect/IQDwehdfNYX5Q4GmMIrNiOkUARBaJe-2mCLTzFHCrTAo2Wg?e=ehSiaW</t>
  </si>
  <si>
    <t>https://candorworks.sharepoint.com/:x:/s/MISConnect/IQCi3PR_H5qWS5wr5kx7kYuJAQgD05PdJw8dUZ_wHqREvcA?e=raUKr8</t>
  </si>
  <si>
    <t>https://candorworks.sharepoint.com/:x:/s/MISConnect/IQAl58GaWC53TonzhWSGYwktAfYo1wFEm8hcwxekNfg3po8?e=N5MJ2O</t>
  </si>
  <si>
    <t>https://candorworks.sharepoint.com/:x:/s/MISConnect/IQDfuR4oAL6hQL4-sJvs6AGZARK38pCX6qPHkMJAHK5rZeA?e=LQh6nB</t>
  </si>
  <si>
    <t>Abhijeet/Vivek</t>
  </si>
  <si>
    <t>https://candorworks.sharepoint.com/:x:/s/MISConnect/IQBTf1_n3mbrTaitu8rygJl2AXroN_K5vn_jChZvJQZRhvg?e=5ztbAH</t>
  </si>
  <si>
    <t>https://candorworks.sharepoint.com/:x:/s/MISConnect/IQDwhVCN0DANTptMMvaXeyK4Ab7a7z45XV_Jj_Z28T2Xgzg?e=zJrttH</t>
  </si>
  <si>
    <t>PayPal PTE Ltd|AU - Travel Q1/26 - 2T CS|Linked</t>
  </si>
  <si>
    <t>https://candorworks.sharepoint.com/:x:/s/MISConnect/IQA0cwZTEqENQ4Jgm2-PH4RzATLGzlZvSZX9NChItMoSurA?e=DxdwEU</t>
  </si>
  <si>
    <t>PayPal PTE Ltd|PayPal - Q1 - APAC - Enterprise|Linked -  593F43</t>
  </si>
  <si>
    <t>https://candorworks.sharepoint.com/:x:/s/MISConnect/IQB-xMuZlqrWS4WQ_Ik0tdvgAdtjOvobkdGW5yvwcS4EfTw?e=ytM50P</t>
  </si>
  <si>
    <t>PayPal PTE Ltd|PayPal - Q1 - APAC - Enterprise|Linked - 0C7C29</t>
  </si>
  <si>
    <t>https://candorworks.sharepoint.com/:x:/s/MISConnect/IQBcLGYwLNs_Qbzu1j7Pcjb-ASlMcFcDAZ5LZ_4Prla8--w?e=tRgDOH</t>
  </si>
  <si>
    <t>PayPal PTE Ltd|SG - Gaming Q1/26 - 2T CS|Linked</t>
  </si>
  <si>
    <t>https://candorworks.sharepoint.com/:x:/s/MISConnect/IQBSPwAhT65tRYUI9uZbcwNrAdHhU4o5l9nxX-ceYjy18mw?e=WUTl95</t>
  </si>
  <si>
    <t>PayPal PTE Ltd|SG - Travel Q1/26 - 2T CS|Linked</t>
  </si>
  <si>
    <t>https://candorworks.sharepoint.com/:x:/s/MISConnect/IQB6BfGwzyTVSLP0hmEdh4KyAXyUqK1dIDpT_fogT2NbEEg?e=6sZZNV</t>
  </si>
  <si>
    <t>Simplify Compliance|Simplify Compliance: Globo - TC3641 TAL - Mar '26|Linked</t>
  </si>
  <si>
    <t>https://candorworks.sharepoint.com/:x:/s/MISConnect/IQDDZM62QyzSQJcKY9PS063eAXLdx0HUELZdEKdvEGvsRc8?e=ToL7HX</t>
  </si>
  <si>
    <t>Simplify Compliance|Simplify Compliance: Maven Webinar - TC1577 - Mar '26|Linked</t>
  </si>
  <si>
    <t>https://candorworks.sharepoint.com/:x:/s/MISConnect/IQA3wG0nhFzsTK31qND8EMuPASqJIIUy4h7-iij_KBZnfy8?e=FXrxth</t>
  </si>
  <si>
    <t>MJH Life Sciences - Novylitic LCGC PPL - Mar - Apr '26</t>
  </si>
  <si>
    <t>Prathamesh/Chandrakant</t>
  </si>
  <si>
    <t>Manisha/Abhijeet</t>
  </si>
  <si>
    <t>https://candorworks.sharepoint.com/:x:/s/MISConnect/IQBjHaOkz6IyTq29lw-H4LIaAX2tK9mhjat6C20RHaxas_w?e=X8flp7</t>
  </si>
  <si>
    <t>Carat_Microsoft_AI Business Solutions_Secure AI Productivity_SMC_Saudi Arabia_FY26Q1</t>
  </si>
  <si>
    <t>https://candorworks.sharepoint.com/:x:/s/MISConnect/IQCnyJki2CHISIF7vu7OW4J5AUwjlTOg8iqJhaiuxYI30zw?e=dAECmx</t>
  </si>
  <si>
    <t>Carat_Microsoft_AI Business Solutions_Secure AI Productivity_SMC_United Arab Emirates_FY26Q1</t>
  </si>
  <si>
    <t>https://candorworks.sharepoint.com/:x:/s/MISConnect/IQDqHGUaVInVQZ1NYLLBGVIgAeidlzPGIiscYph2rkSaU1M?e=iuCqwY</t>
  </si>
  <si>
    <t>Carat_Microsoft_Cloud and AI Platforms_Innovate with Azure AI Apps &amp; Agents_ENT_Australia_FY26Q1</t>
  </si>
  <si>
    <t>https://candorworks.sharepoint.com/:x:/s/MISConnect/IQAJ_3SC28i7TrF8QjVT4dQtAZXdYDmuxMmQFp52tpkO6yg?e=F1HIF5</t>
  </si>
  <si>
    <t>Carat_Microsoft_Cloud and AI Platforms_Innovate with Azure AI Apps &amp; Agents_ENT_New Zealand_FY26Q1</t>
  </si>
  <si>
    <t>https://candorworks.sharepoint.com/:x:/s/MISConnect/IQAzPg4j9IbeS5NSQrMbNl6oAdmokbAFK4MX4MZC-xC2ZY8?e=3R1Dgl</t>
  </si>
  <si>
    <t>Carat_Microsoft_Cloud and AI Platforms_Migrate &amp; Modernize your Estate_ENT_Belgium_FY26Q1</t>
  </si>
  <si>
    <t>https://candorworks.sharepoint.com/:x:/s/MISConnect/IQA3t4OjPBWJQ5NNfauV_SzNAUZDBRQ5dheJlUKBZ0lkobE?e=PaXB6O</t>
  </si>
  <si>
    <t>Carat_Microsoft_Cloud and AI Platforms_Migrate &amp; Modernize your Estate_ENT_Denmark_FY26Q1</t>
  </si>
  <si>
    <t>https://candorworks.sharepoint.com/:x:/s/MISConnect/IQBpNWqxIZXpSbfGMJ3Qn_S_AXkpeUDGFIJtHZ4iA3sVI5U?e=eBBocP</t>
  </si>
  <si>
    <t>Carat_Microsoft_Cloud and AI Platforms_Migrate &amp; Modernize your Estate_ENT_Hungary_FY26Q1</t>
  </si>
  <si>
    <t>https://candorworks.sharepoint.com/:x:/s/MISConnect/IQAZ6u8cL40gSr4Sf-9ZsZL0AUCx2sCaM0TsCu8KFxoB6-c?e=40wRIR</t>
  </si>
  <si>
    <t>Carat_Microsoft_Cloud and AI Platforms_Migrate &amp; Modernize your Estate_ENT_Kazakhstan_FY26Q1</t>
  </si>
  <si>
    <t>https://candorworks.sharepoint.com/:x:/s/MISConnect/IQDuqQtRFjG5Q6wBF1-FayW6AYEqGtctu4Mne2St3gbopPw?e=xnFemg</t>
  </si>
  <si>
    <t>Carat_Microsoft_Cloud and AI Platforms_Migrate &amp; Modernize your Estate_ENT_Norway_FY26Q1</t>
  </si>
  <si>
    <t>https://candorworks.sharepoint.com/:x:/s/MISConnect/IQDIHXxmNPmWQ4dXWicjYmW5AV2VhB_l2z757w8wtgeZqcw?e=8DZpTp</t>
  </si>
  <si>
    <t>Carat_Microsoft_Cloud and AI Platforms_Migrate &amp; Modernize your Estate_ENT_Poland_FY26Q1</t>
  </si>
  <si>
    <t>https://candorworks.sharepoint.com/:x:/s/MISConnect/IQCgz-OCmd2eQJeqYktZ7-1QAadQLzxLek-IkDSpWEg4310?e=AON2rj</t>
  </si>
  <si>
    <t>Carat_Microsoft_Cloud and AI Platforms_Migrate &amp; Modernize your Estate_ENT_Romania_FY26Q1</t>
  </si>
  <si>
    <t>https://candorworks.sharepoint.com/:x:/s/MISConnect/IQDEdcbZyqqsTIqK6qXktNuvAeCxgrVXzNPzimJ6RHg_coI?e=9di947</t>
  </si>
  <si>
    <t>Carat_Microsoft_Cloud and AI Platforms_Migrate &amp; Modernize your Estate_ENT_Slovakia_FY26Q1</t>
  </si>
  <si>
    <t>https://candorworks.sharepoint.com/:x:/s/MISConnect/IQBq6fCfCDHST4WVqFWyBbHIAezqRxBQty7EMEGORp_i4LU?e=Xz1ncS</t>
  </si>
  <si>
    <t>Carat_Microsoft_Cloud and AI Platforms_Migrate &amp; Modernize your Estate_ENT_Sweden_FY26Q1</t>
  </si>
  <si>
    <t>https://candorworks.sharepoint.com/:x:/s/MISConnect/IQBtX2X-SfGoTIcqBf5uDQpaAVcyYRvzvb2ynyFoQ_vJEjc?e=XCoDt1</t>
  </si>
  <si>
    <t>Carat_Microsoft_Cloud and AI Platforms_Migrate &amp; Modernize your Estate_SMB_Australia_FY26Q1</t>
  </si>
  <si>
    <t>https://candorworks.sharepoint.com/:x:/s/MISConnect/IQC2_IRtN1RrRrTnK7iBjt9vAdCefkgcPXw5oDjHvUvrVdo?e=AgQxFc</t>
  </si>
  <si>
    <t>https://candorworks.sharepoint.com/:x:/s/MISConnect/IQAy9Z9GkOVqQ4zh9itlgHijAZ7EwlNJIwSbl52MdlWuKJ4?e=KJGqpB</t>
  </si>
  <si>
    <t>https://candorworks.sharepoint.com/:x:/s/MISConnect/IQDy9OrPLE71Qpf_CbDbDxhdARaIMwVfb8gfzi95Zew5C_k?e=omLjiC</t>
  </si>
  <si>
    <t>Shweta/Shahrukh/Amit/Shrinivas/Abhijeet/Vishvajit/Vivek/Atul</t>
  </si>
  <si>
    <t>Carat_Microsoft_AI Business Solutions_Innovate with Low Code AI &amp; Agents_SMC_Germany_FY26Q1</t>
  </si>
  <si>
    <t>https://candorworks.sharepoint.com/:x:/s/MISConnect/IQCl0BJWP0k8QqHW76OFijheAWb3y3ZNuDrTYHXKhSUBmII?e=tSGVpQ</t>
  </si>
  <si>
    <t>Carat_Microsoft_Cloud and AI Platforms_Migrate &amp; Modernize your Estate_ENT_Australia_FY26Q1</t>
  </si>
  <si>
    <t>https://candorworks.sharepoint.com/:x:/s/MISConnect/IQC0h6z7awQqQLCIKj3NdGwsAas7Hc_LRrVSyyErwTl7JUM?e=6Qy1ET</t>
  </si>
  <si>
    <t>Carat_Microsoft_Security_Modern SecOps with Unified Platform_SMC_Canada_FY26Q1</t>
  </si>
  <si>
    <t>https://candorworks.sharepoint.com/:x:/s/MISConnect/IQBHEWLuWiANSpMa6V1ScqhqAZeEScTTJreWbABWxRVzw3E?e=0woERb</t>
  </si>
  <si>
    <t>Apptio_Prospect_LATAM_DevOps_FY26</t>
  </si>
  <si>
    <t>https://candorworks.sharepoint.com/:x:/s/MISConnect/IQBU0M7iQHusTZhWYYPo1oHwAc_cZO4SLkcEXbXf_V4pFco?e=XAgQl0</t>
  </si>
  <si>
    <t>Apptio_Prospect_EMEA_DevOps_Enterprise_FY26</t>
  </si>
  <si>
    <t>https://candorworks.sharepoint.com/:x:/s/MISConnect/IQD82NP9Yl5DRbZ00RxQmeeyAd3xK0hJUjnLDwxs--hRkHI?e=24NAUc</t>
  </si>
  <si>
    <t>Apptio_Prospect_EMEA_DevOps_Strategic_FY26</t>
  </si>
  <si>
    <t>https://candorworks.sharepoint.com/:x:/s/MISConnect/IQBcq-pCz1jTRqeCYXWpU1dFARCGRlGdK3OtXh4FOm3QW7o?e=Uskzi7</t>
  </si>
  <si>
    <t>Apptio_Prospect_EMEA_DevOps_Horizon_FY26</t>
  </si>
  <si>
    <t>https://candorworks.sharepoint.com/:x:/s/MISConnect/IQB6xjttU8o5RJBfT6MErXrXAVh_k3r6qlYKic0xgyyoXDI?e=QFePN2</t>
  </si>
  <si>
    <t>Apptio_Prospect_EMEA_DevOps_Select Growth_FY26</t>
  </si>
  <si>
    <t>https://candorworks.sharepoint.com/:x:/s/MISConnect/IQAeV6KjktOtTqsjMwPPOXjbAaWSLnvq7V0U-9ONVC7D8Ek?e=XKF3EK</t>
  </si>
  <si>
    <t>Apptio_Prospect_EMEA_DevOps_Select Activate_FY26</t>
  </si>
  <si>
    <t>https://candorworks.sharepoint.com/:x:/s/MISConnect/IQBB7ugSBg8-QrsusiF2TGZrAbe9uW0lPpk9WXOiqqOWJhg?e=yTftcU</t>
  </si>
  <si>
    <t>Apptio_Prospect_APAC_DevOps_Strategic_FY26</t>
  </si>
  <si>
    <t>https://candorworks.sharepoint.com/:x:/s/MISConnect/IQBioTcITMUjT5xVdvUZ60ZfAUf2c3gPlIpfY0cJ6dOYHB8?e=se5znq</t>
  </si>
  <si>
    <t>Apptio_Prospect_AMS_FinOps_Enterprise_FY26</t>
  </si>
  <si>
    <t>https://candorworks.sharepoint.com/:x:/s/MISConnect/IQCpMGlJFKHMS4af09PoPV9xAU08p0RbNLs1OZjRvB6-c38?e=oSg8yR</t>
  </si>
  <si>
    <t>Apptio_Prospect_AMS_FinOps_Strategic_FY26</t>
  </si>
  <si>
    <t>https://candorworks.sharepoint.com/:x:/s/MISConnect/IQCgoMZY80mFSIQw64O2ZoN8AVomRM8HP_tcv8Fb4faPBzY?e=XWDSck</t>
  </si>
  <si>
    <t>Apptio_Prospect_AMS_FinOps_Horizon_FY26</t>
  </si>
  <si>
    <t>https://candorworks.sharepoint.com/:x:/s/MISConnect/IQDpRqfLGv4WQbf598AWRp5dAc6cIxEKA2JQaFnBWb2eqiY?e=SmCPlV</t>
  </si>
  <si>
    <t>Apptio_Prospect_AMS_FinOps_Select Activate_FY26</t>
  </si>
  <si>
    <t>https://candorworks.sharepoint.com/:x:/s/MISConnect/IQB4Ng0lthczRZNtDaxIeWhkASfzLHq79q8ljH1tf9WZvjg?e=5MJXQw</t>
  </si>
  <si>
    <t>Apptio_Prospect_AMS_DevOps_Enterprise_FY26</t>
  </si>
  <si>
    <t>https://candorworks.sharepoint.com/:x:/s/MISConnect/IQCDa2Qw8fwxQKbnBpszLezsAe-Za3UzQS6EzT8u2G31HcU?e=mU9eOp</t>
  </si>
  <si>
    <t>Apptio_Prospect_AMS_DevOps_Horizon_FY26</t>
  </si>
  <si>
    <t>https://candorworks.sharepoint.com/:x:/s/MISConnect/IQDCAeEIZFuPQabT1uOCMGn7AXYcqo4A6W-lMSN3Hfl-oBk?e=dfQn1H</t>
  </si>
  <si>
    <t>Apptio_Prospect_AMS_Core_Enterprise_FY26</t>
  </si>
  <si>
    <t>https://candorworks.sharepoint.com/:x:/s/MISConnect/IQC6vZkRY8eWRYqajDZJYvZEAZqshMW4nI5K1RSQPFPqRWQ?e=baKL2f</t>
  </si>
  <si>
    <t>Apptio_Prospect_AMS_Core_Horizon_FY26</t>
  </si>
  <si>
    <t>https://candorworks.sharepoint.com/:x:/s/MISConnect/IQARZnjr46PJQJ_9Otuzb9bKARuGH8Og_NfUwGihclPUFio?e=PxVZWP</t>
  </si>
  <si>
    <t>Apptio_Prospect_AMS_Core_Select Activate_FY26</t>
  </si>
  <si>
    <t>https://candorworks.sharepoint.com/:x:/s/MISConnect/IQD_4ZjxQ2nGSLlzjZW2rWQFAUF5SXtLEBRViAMramRz7o8?e=jyesLq</t>
  </si>
  <si>
    <t>Apptio_Prospect_AMS_Core_Select Growth_FY26</t>
  </si>
  <si>
    <t>https://candorworks.sharepoint.com/:x:/s/MISConnect/IQDdVLPdID84S5sFV4EdWYLUATCPa27gGRwt3s2pXPJft9U?e=VE7Fjx</t>
  </si>
  <si>
    <t>Apptio_Prospect_AMS_Core_Strategic_FY26</t>
  </si>
  <si>
    <t>https://candorworks.sharepoint.com/:x:/s/MISConnect/IQCla_b_-QmyTqdgJqVskrLLAaeZqP9RGBNm51uFMYFek7w?e=Arswsk</t>
  </si>
  <si>
    <t>Apptio_Prospect_APAC_Core_Horizon_FY26</t>
  </si>
  <si>
    <t>https://candorworks.sharepoint.com/:x:/s/MISConnect/IQA7G7tqwmEHSbGhQ3apIwzDAbs9mYFgkFeITz9RIeyDNAo?e=zcPxjd</t>
  </si>
  <si>
    <t>Apptio_Prospect_APAC_Core_Select Activate_FY26</t>
  </si>
  <si>
    <t>https://candorworks.sharepoint.com/:x:/s/MISConnect/IQB2yuydjEltSrUp9nt_mqpEAQRTJsIUvPy4bSq9g3u9bUM?e=QcsSGJ</t>
  </si>
  <si>
    <t>Apptio_Prospect_APAC_Core_Strategic_FY26</t>
  </si>
  <si>
    <t>https://candorworks.sharepoint.com/:x:/s/MISConnect/IQAPTvCO_GbQSbPb1vCRbu-iAV7FpTawDqJ1OlvnURSYwkU?e=WH5YN6</t>
  </si>
  <si>
    <t>Apptio_Prospect_APAC_FinOps_Horizon_FY26</t>
  </si>
  <si>
    <t>https://candorworks.sharepoint.com/:x:/s/MISConnect/IQCIblYXpYrqT6Z-pWk7L4iTAWEQWjbeyi2kEk7xINx3TCA?e=dQJYtB</t>
  </si>
  <si>
    <t>Apptio_Prospect_APAC_FinOps_Select Activate_FY26</t>
  </si>
  <si>
    <t>https://candorworks.sharepoint.com/:x:/s/MISConnect/IQD5Id-MQs2EQI9_QSseO1yTAdDLu0oRvlctZ2TkaEv73Uk?e=1kOqQ9</t>
  </si>
  <si>
    <t>Apptio_Prospect_APAC_FinOps_Strategic_FY26</t>
  </si>
  <si>
    <t>https://candorworks.sharepoint.com/:x:/s/MISConnect/IQABHHIXqYzoTajNk-3IfV9BAUOdxTTFEDyxRYFxOoqufys?e=ySV5up</t>
  </si>
  <si>
    <t>Apptio_Prospect_EMEA_Core_Enterprise_FY26</t>
  </si>
  <si>
    <t>https://candorworks.sharepoint.com/:x:/s/MISConnect/IQAPpJRT-eM7RJXMMKZcTn9DAcqv59Rl3mXftgu4xbImRvY?e=Us1tKF</t>
  </si>
  <si>
    <t>Apptio_Prospect_EMEA_Core_Horizon_FY26</t>
  </si>
  <si>
    <t>https://candorworks.sharepoint.com/:x:/s/MISConnect/IQBC2pK1RQY2RapLb0XuLTnvAVmJy6Z3hJtepsq_PDosl4Q?e=Ho2rve</t>
  </si>
  <si>
    <t>Apptio_Prospect_EMEA_Core_Select Activate_FY26</t>
  </si>
  <si>
    <t>https://candorworks.sharepoint.com/:x:/s/MISConnect/IQCRBNtqx_O0R5AaeewEpeHOAR1XN51PIsYqlRGmHIa-WpU?e=XGEmcP</t>
  </si>
  <si>
    <t>Apptio_Prospect_EMEA_Core_Select Growth_FY26</t>
  </si>
  <si>
    <t>https://candorworks.sharepoint.com/:x:/s/MISConnect/IQDVbfS5ESeOT6v-AdeQ9G4UAUBwPoxgrHFWJ3g3I4ti8E0?e=EMUpwK</t>
  </si>
  <si>
    <t>Apptio_Prospect_EMEA_Core_Strategic_FY26</t>
  </si>
  <si>
    <t>https://candorworks.sharepoint.com/:x:/s/MISConnect/IQBc1knQ8m-SQLOSq6RmVAfDAdDKD3GwEy7QKjnOTwmwjb4?e=xIqrQp</t>
  </si>
  <si>
    <t>Apptio_Prospect_EMEA_FinOps_Enterprise_FY26</t>
  </si>
  <si>
    <t>https://candorworks.sharepoint.com/:x:/s/MISConnect/IQD4DM3gH5KJRZVloQ1E49UAAQ_Wo5REgXUCzfwIGLWTFJY?e=rIENlv</t>
  </si>
  <si>
    <t>Apptio_Prospect_EMEA_FinOps_Horizon_FY26</t>
  </si>
  <si>
    <t>https://candorworks.sharepoint.com/:x:/s/MISConnect/IQCasQgOsxlASJWoD2njCzp1AbNxVfEZwfRZguAMZKFNGQE?e=kz6Eg2</t>
  </si>
  <si>
    <t>Apptio_Prospect_EMEA_FinOps_Select Activate_FY26</t>
  </si>
  <si>
    <t>https://candorworks.sharepoint.com/:x:/s/MISConnect/IQDsWxbJ5NH8S5QCZ6REzdLSAYXzncE9fTAsHbOFh9Mn9kA?e=Exf9PZ</t>
  </si>
  <si>
    <t>Apptio_Prospect_EMEA_FinOps_Select Growth_FY26</t>
  </si>
  <si>
    <t>https://candorworks.sharepoint.com/:x:/s/MISConnect/IQBA0EgkAgdKS5_I0cIpIvyxAQyfut_foFhxjXJEuTQbhpU?e=bgcJwm</t>
  </si>
  <si>
    <t>Apptio_Prospect_EMEA_FinOps_Strategic_FY26</t>
  </si>
  <si>
    <t>https://candorworks.sharepoint.com/:x:/s/MISConnect/IQCGjKdkN283TqAml-NQPebyAdWJIHhkMLQ-ZvJDoPP5CBw?e=hFdmNx</t>
  </si>
  <si>
    <t>Apptio_Prospect_LATAM_Core_FY26</t>
  </si>
  <si>
    <t>https://candorworks.sharepoint.com/:x:/s/MISConnect/IQBEYjc98kqNQ4l8NydYOU00AWL00vO4vmwdCbyr3gvWKFU?e=6Hl6xd</t>
  </si>
  <si>
    <t>Apptio_Prospect_LATAM_FinOps_FY26</t>
  </si>
  <si>
    <t>https://candorworks.sharepoint.com/:x:/s/MISConnect/IQApQylT4oqdT6Q_Q0PWM7LhAZ-Thy-hcVNyR4qtJizsqak?e=4b2uqX</t>
  </si>
  <si>
    <t>Sameer/Anand</t>
  </si>
  <si>
    <t>https://candorworks.sharepoint.com/:x:/s/MISConnect/IQDE1t84iOwhRpW3vi-1ClFtAfIHdWJSddgU4fgi2wcL0oI?e=J7CBfL</t>
  </si>
  <si>
    <t>MFG_Google_GWS Corp MME_Value Add_FY26Q1</t>
  </si>
  <si>
    <t>https://candorworks.sharepoint.com/:x:/s/MISConnect/IQAWVNwOyFz0SL6DTjD7aGh1AYvBVBreLnbeSkQSwKJnlIs?e=ZpYsfR</t>
  </si>
  <si>
    <t>MFG_Google_GWS ENT_Value Add_FY26Q1</t>
  </si>
  <si>
    <t>https://candorworks.sharepoint.com/:x:/s/MISConnect/IQBCmkEZqLaKRrEhKMwkZVvRAfanl89zi33JsvQ6RORT2iU?e=WdpsEu</t>
  </si>
  <si>
    <t>MFG_Google_GCP CorpMME _Value Add_FY26Q1</t>
  </si>
  <si>
    <t>https://candorworks.sharepoint.com/:x:/s/MISConnect/IQCKbgWvcetpR7Ghme99LFW0AdcM-j8siSYNrxncnbCIatg?e=mQUOA2</t>
  </si>
  <si>
    <t>MFG_Google_GCP StartupExisting _Value Add_FY26Q1</t>
  </si>
  <si>
    <t>https://candorworks.sharepoint.com/:x:/s/MISConnect/IQAtM_VnI9uHT7pwHWOD8AQsAZPcB-c6wNzh_SnTnNErLh0?e=JfcVod</t>
  </si>
  <si>
    <t>MFG_Google_GCP ENTExisting _Value Add_FY26Q1</t>
  </si>
  <si>
    <t>https://candorworks.sharepoint.com/:x:/s/MISConnect/IQD31kOmzIn1SLuTQh_bE-guAd3iZz2yUtB9KsNvtzLcVko?e=mPO66m</t>
  </si>
  <si>
    <t>MFG_Google_GCP StartupGreenfield _Value Add_FY26Q1</t>
  </si>
  <si>
    <t>https://candorworks.sharepoint.com/:x:/s/MISConnect/IQAcZARyJkeKRrmRb51Yw4lmAWTRgNlY-bmy6OY9kAS_xNs?e=iSuDiK</t>
  </si>
  <si>
    <t>MFG_Google_GCP ENTGreenfield _Value Add_FY26Q1</t>
  </si>
  <si>
    <t>https://candorworks.sharepoint.com/:x:/s/MISConnect/IQBs9k9sUs3IQY12YChFC3J6ASb9ZlmZeDVlnKrsD5WbXJ4?e=Nk4mmy</t>
  </si>
  <si>
    <t>Keysight_Data Management 2T 1DQ_FY26Q1</t>
  </si>
  <si>
    <t>Keysight</t>
  </si>
  <si>
    <t>https://candorworks.sharepoint.com/:x:/s/MISConnect/IQD7Ep_WZTEySL0Xsh1kAx2FAUEuRyxYqomwj3K59aUZA2o?e=QDyHyZ</t>
  </si>
  <si>
    <t>Sameer/Komal/Mahima/Srushti</t>
  </si>
  <si>
    <t>Shahrukh/Shweta/Amit/Manisha</t>
  </si>
  <si>
    <t>https://candorworks.sharepoint.com/:x:/s/MISConnect/IQCL2g1VpmyLSqIVIvo3V2ieAWOXOFi_qCZ3wVcY7ox3O4Y?e=uMnSIK</t>
  </si>
  <si>
    <t>TOP PRIORITY - Please publish within 30 Minute</t>
  </si>
  <si>
    <t>Atul/Shahrukh/Shweta</t>
  </si>
  <si>
    <t>Both company name and domain should match</t>
  </si>
  <si>
    <t>Shweta + Atul</t>
  </si>
  <si>
    <t>Ashish/Aishwarya/Abhishek/Prathamesh/Srushti/Mahima</t>
  </si>
  <si>
    <t>MIS will share the file, kindly audit only UK leads.</t>
  </si>
  <si>
    <t>Invalid Data</t>
  </si>
  <si>
    <t>File Received On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</si>
</sst>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14009]hh\.mm;@"/>
  </numFmts>
  <fonts count="36" x14ac:knownFonts="1">
    <font>
      <sz val="11"/>
      <color theme="1"/>
      <name val="Calibri"/>
      <family val="2"/>
      <scheme val="minor"/>
    </font>
    <font>
      <sz val="11"/>
      <color theme="1"/>
      <name val="Calibri"/>
      <family val="2"/>
      <scheme val="minor"/>
    </font>
    <font>
      <b/>
      <sz val="11"/>
      <color theme="0"/>
      <name val="Calibri"/>
      <family val="2"/>
      <scheme val="minor"/>
    </font>
    <font>
      <b/>
      <sz val="10"/>
      <color rgb="FF000000"/>
      <name val="Calibri"/>
      <family val="2"/>
    </font>
    <font>
      <b/>
      <sz val="11"/>
      <color theme="1"/>
      <name val="Calibri"/>
      <family val="2"/>
      <scheme val="minor"/>
    </font>
    <font>
      <sz val="10"/>
      <color theme="1"/>
      <name val="Calibri"/>
      <family val="2"/>
    </font>
    <font>
      <b/>
      <sz val="10"/>
      <color rgb="FFFF0000"/>
      <name val="Calibri"/>
      <family val="2"/>
    </font>
    <font>
      <b/>
      <sz val="11"/>
      <color rgb="FFFF0000"/>
      <name val="Calibri"/>
      <family val="2"/>
      <scheme val="minor"/>
    </font>
    <font>
      <sz val="10"/>
      <color rgb="FFFF0000"/>
      <name val="Calibri"/>
      <family val="2"/>
    </font>
    <font>
      <b/>
      <sz val="10"/>
      <color theme="1"/>
      <name val="Calibri"/>
      <family val="2"/>
    </font>
    <font>
      <sz val="11"/>
      <color rgb="FFFF0000"/>
      <name val="Calibri"/>
      <family val="2"/>
      <scheme val="minor"/>
    </font>
    <font>
      <sz val="10"/>
      <color rgb="FF000000"/>
      <name val="Calibri"/>
      <family val="2"/>
    </font>
    <font>
      <sz val="10"/>
      <color theme="1"/>
      <name val="Calibri"/>
      <family val="2"/>
      <scheme val="minor"/>
    </font>
    <font>
      <sz val="10"/>
      <color rgb="FF000000"/>
      <name val="Calibri"/>
      <family val="2"/>
      <scheme val="minor"/>
    </font>
    <font>
      <sz val="10"/>
      <name val="Calibri"/>
      <family val="2"/>
    </font>
    <font>
      <sz val="11"/>
      <name val="Calibri"/>
      <family val="2"/>
      <scheme val="minor"/>
    </font>
    <font>
      <sz val="10"/>
      <name val="Calibri"/>
      <family val="2"/>
      <scheme val="minor"/>
    </font>
    <font>
      <sz val="11"/>
      <name val="Calibri"/>
      <family val="2"/>
    </font>
    <font>
      <b/>
      <sz val="11"/>
      <name val="Calibri"/>
      <family val="2"/>
    </font>
    <font>
      <b/>
      <sz val="11"/>
      <color rgb="FFFF0000"/>
      <name val="Calibri"/>
      <family val="2"/>
    </font>
    <font>
      <sz val="11"/>
      <color rgb="FF000000"/>
      <name val="Calibri"/>
      <family val="2"/>
    </font>
    <font>
      <b/>
      <sz val="10"/>
      <color theme="1"/>
      <name val="Calibri"/>
      <family val="2"/>
      <scheme val="minor"/>
    </font>
    <font>
      <sz val="11"/>
      <color rgb="FF000000"/>
      <name val="Calibri"/>
      <family val="2"/>
      <scheme val="minor"/>
    </font>
    <font>
      <b/>
      <sz val="11"/>
      <color rgb="FF002060"/>
      <name val="Calibri"/>
      <family val="2"/>
      <scheme val="minor"/>
    </font>
    <font>
      <sz val="12"/>
      <color theme="1"/>
      <name val="Calibri"/>
      <family val="2"/>
      <scheme val="minor"/>
    </font>
    <font>
      <sz val="11"/>
      <color rgb="FFFF0000"/>
      <name val="Calibri"/>
      <family val="2"/>
    </font>
    <font>
      <b/>
      <sz val="10"/>
      <name val="Calibri"/>
      <family val="2"/>
      <scheme val="minor"/>
    </font>
    <font>
      <b/>
      <sz val="11"/>
      <color theme="1"/>
      <name val="Times New Roman"/>
      <family val="1"/>
    </font>
    <font>
      <u/>
      <sz val="11"/>
      <color theme="10"/>
      <name val="Calibri"/>
      <family val="2"/>
      <scheme val="minor"/>
    </font>
    <font>
      <u/>
      <sz val="11"/>
      <name val="Calibri"/>
      <family val="2"/>
      <scheme val="minor"/>
    </font>
    <font>
      <u/>
      <sz val="10"/>
      <name val="Calibri"/>
      <family val="2"/>
      <scheme val="minor"/>
    </font>
    <font>
      <sz val="11"/>
      <color theme="1"/>
      <name val="Calibri"/>
      <family val="2"/>
    </font>
    <font>
      <u/>
      <sz val="11"/>
      <color rgb="FF0070C0"/>
      <name val="Calibri"/>
      <family val="2"/>
      <scheme val="minor"/>
    </font>
    <font>
      <u/>
      <sz val="10"/>
      <color theme="10"/>
      <name val="Calibri"/>
      <family val="2"/>
      <scheme val="minor"/>
    </font>
    <font>
      <u/>
      <sz val="11"/>
      <color theme="1"/>
      <name val="Calibri"/>
      <family val="2"/>
      <scheme val="minor"/>
    </font>
    <font>
      <b/>
      <sz val="11"/>
      <color rgb="FF000000"/>
      <name val="Calibri"/>
      <family val="2"/>
    </font>
  </fonts>
  <fills count="9">
    <fill>
      <patternFill patternType="none"/>
    </fill>
    <fill>
      <patternFill patternType="gray125"/>
    </fill>
    <fill>
      <patternFill patternType="solid">
        <fgColor rgb="FF002060"/>
        <bgColor indexed="64"/>
      </patternFill>
    </fill>
    <fill>
      <patternFill patternType="solid">
        <fgColor rgb="FFD9D9D9"/>
        <bgColor indexed="64"/>
      </patternFill>
    </fill>
    <fill>
      <patternFill patternType="solid">
        <fgColor rgb="FFFFFF00"/>
        <bgColor indexed="64"/>
      </patternFill>
    </fill>
    <fill>
      <patternFill patternType="solid">
        <fgColor theme="0"/>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49998474074526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theme="4" tint="0.59996337778862885"/>
      </left>
      <right style="thin">
        <color theme="4" tint="0.59996337778862885"/>
      </right>
      <top style="thin">
        <color theme="4" tint="0.59996337778862885"/>
      </top>
      <bottom style="thin">
        <color theme="4" tint="0.59996337778862885"/>
      </bottom>
      <diagonal/>
    </border>
    <border>
      <left style="thin">
        <color indexed="64"/>
      </left>
      <right style="thin">
        <color indexed="64"/>
      </right>
      <top/>
      <bottom style="thin">
        <color indexed="64"/>
      </bottom>
      <diagonal/>
    </border>
    <border>
      <left style="thin">
        <color rgb="FFBDD7EE"/>
      </left>
      <right style="thin">
        <color rgb="FFBDD7EE"/>
      </right>
      <top style="thin">
        <color rgb="FFBDD7EE"/>
      </top>
      <bottom style="thin">
        <color rgb="FFBDD7EE"/>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BDD7EE"/>
      </left>
      <right style="thin">
        <color rgb="FFBDD7EE"/>
      </right>
      <top style="thin">
        <color rgb="FFBDD7EE"/>
      </top>
      <bottom/>
      <diagonal/>
    </border>
    <border>
      <left/>
      <right style="medium">
        <color indexed="64"/>
      </right>
      <top/>
      <bottom style="medium">
        <color indexed="64"/>
      </bottom>
      <diagonal/>
    </border>
    <border>
      <left/>
      <right style="medium">
        <color indexed="64"/>
      </right>
      <top/>
      <bottom/>
      <diagonal/>
    </border>
    <border>
      <left style="thin">
        <color theme="4" tint="0.59996337778862885"/>
      </left>
      <right style="thin">
        <color theme="4" tint="0.59996337778862885"/>
      </right>
      <top style="thin">
        <color theme="4" tint="0.59996337778862885"/>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3">
    <xf numFmtId="0" fontId="0" fillId="0" borderId="0"/>
    <xf numFmtId="9" fontId="1" fillId="0" borderId="0" applyFont="0" applyFill="0" applyBorder="0" applyAlignment="0" applyProtection="0"/>
    <xf numFmtId="0" fontId="28" fillId="0" borderId="0" applyNumberFormat="0" applyFill="0" applyBorder="0" applyAlignment="0" applyProtection="0"/>
  </cellStyleXfs>
  <cellXfs count="216">
    <xf numFmtId="0" fontId="0" fillId="0" borderId="0" xfId="0"/>
    <xf numFmtId="0" fontId="2" fillId="2" borderId="1" xfId="0" applyFont="1" applyFill="1" applyBorder="1" applyAlignment="1">
      <alignment horizontal="center"/>
    </xf>
    <xf numFmtId="20" fontId="2" fillId="2" borderId="1" xfId="0" applyNumberFormat="1" applyFont="1" applyFill="1" applyBorder="1" applyAlignment="1">
      <alignment horizontal="center"/>
    </xf>
    <xf numFmtId="164" fontId="2" fillId="2" borderId="1" xfId="0" applyNumberFormat="1" applyFont="1" applyFill="1" applyBorder="1" applyAlignment="1">
      <alignment horizontal="center"/>
    </xf>
    <xf numFmtId="9" fontId="2" fillId="2" borderId="1" xfId="1" applyFont="1" applyFill="1" applyBorder="1" applyAlignment="1">
      <alignment horizontal="center"/>
    </xf>
    <xf numFmtId="0" fontId="3" fillId="3" borderId="1" xfId="0" applyFont="1" applyFill="1" applyBorder="1" applyAlignment="1">
      <alignment horizontal="center"/>
    </xf>
    <xf numFmtId="0" fontId="5" fillId="0" borderId="1" xfId="0" applyFont="1" applyBorder="1" applyAlignment="1">
      <alignment horizontal="center"/>
    </xf>
    <xf numFmtId="0" fontId="0" fillId="0" borderId="1" xfId="0" applyBorder="1" applyAlignment="1">
      <alignment horizontal="center"/>
    </xf>
    <xf numFmtId="0" fontId="6" fillId="0" borderId="1" xfId="0" applyFont="1" applyBorder="1" applyAlignment="1">
      <alignment horizontal="center"/>
    </xf>
    <xf numFmtId="0" fontId="4" fillId="4" borderId="1" xfId="0" applyFont="1" applyFill="1" applyBorder="1" applyAlignment="1">
      <alignment horizontal="center"/>
    </xf>
    <xf numFmtId="0" fontId="5" fillId="4" borderId="1" xfId="0" applyFont="1" applyFill="1" applyBorder="1" applyAlignment="1">
      <alignment horizontal="center"/>
    </xf>
    <xf numFmtId="20" fontId="0" fillId="0" borderId="1" xfId="0" applyNumberFormat="1" applyBorder="1" applyAlignment="1">
      <alignment horizontal="center"/>
    </xf>
    <xf numFmtId="0" fontId="0" fillId="0" borderId="0" xfId="0" quotePrefix="1"/>
    <xf numFmtId="17" fontId="0" fillId="0" borderId="0" xfId="0" quotePrefix="1" applyNumberFormat="1"/>
    <xf numFmtId="0" fontId="7" fillId="0" borderId="1" xfId="0" applyFont="1" applyBorder="1" applyAlignment="1">
      <alignment horizontal="center"/>
    </xf>
    <xf numFmtId="20" fontId="5" fillId="0" borderId="1" xfId="0" applyNumberFormat="1" applyFont="1" applyBorder="1" applyAlignment="1">
      <alignment horizontal="center"/>
    </xf>
    <xf numFmtId="164" fontId="0" fillId="0" borderId="1" xfId="0" applyNumberFormat="1" applyBorder="1" applyAlignment="1">
      <alignment horizontal="center" vertical="center"/>
    </xf>
    <xf numFmtId="0" fontId="8" fillId="0" borderId="1" xfId="0" applyFont="1" applyBorder="1" applyAlignment="1">
      <alignment horizontal="center"/>
    </xf>
    <xf numFmtId="0" fontId="4" fillId="0" borderId="1" xfId="0" applyFont="1" applyBorder="1" applyAlignment="1">
      <alignment horizontal="center"/>
    </xf>
    <xf numFmtId="0" fontId="9" fillId="0" borderId="1" xfId="0" applyFont="1" applyBorder="1" applyAlignment="1">
      <alignment horizontal="center"/>
    </xf>
    <xf numFmtId="164" fontId="4" fillId="0" borderId="1" xfId="0" applyNumberFormat="1" applyFont="1" applyBorder="1" applyAlignment="1">
      <alignment horizontal="center" vertical="center"/>
    </xf>
    <xf numFmtId="0" fontId="4" fillId="0" borderId="0" xfId="0" applyFont="1"/>
    <xf numFmtId="0" fontId="2" fillId="2" borderId="1" xfId="0" applyFont="1" applyFill="1" applyBorder="1" applyAlignment="1">
      <alignment horizontal="center" vertical="center"/>
    </xf>
    <xf numFmtId="20" fontId="2" fillId="2" borderId="1" xfId="0" applyNumberFormat="1" applyFont="1" applyFill="1" applyBorder="1" applyAlignment="1">
      <alignment horizontal="center" vertical="center"/>
    </xf>
    <xf numFmtId="164" fontId="2" fillId="2" borderId="1" xfId="0" applyNumberFormat="1" applyFont="1" applyFill="1" applyBorder="1" applyAlignment="1">
      <alignment horizontal="center" vertical="center"/>
    </xf>
    <xf numFmtId="9" fontId="2" fillId="2" borderId="1" xfId="1" applyFont="1" applyFill="1" applyBorder="1" applyAlignment="1">
      <alignment horizontal="center" vertical="center"/>
    </xf>
    <xf numFmtId="0" fontId="3" fillId="3" borderId="1" xfId="0" applyFont="1" applyFill="1" applyBorder="1" applyAlignment="1">
      <alignment horizontal="center" vertical="center"/>
    </xf>
    <xf numFmtId="0" fontId="0" fillId="0" borderId="0" xfId="0" applyAlignment="1">
      <alignment vertical="center"/>
    </xf>
    <xf numFmtId="0" fontId="0" fillId="0" borderId="1" xfId="0" applyBorder="1" applyAlignment="1">
      <alignment horizontal="center" vertical="center"/>
    </xf>
    <xf numFmtId="0" fontId="5" fillId="0" borderId="1" xfId="0" applyFont="1" applyBorder="1" applyAlignment="1">
      <alignment horizontal="center" vertical="center"/>
    </xf>
    <xf numFmtId="20" fontId="5" fillId="0" borderId="1" xfId="0" applyNumberFormat="1" applyFont="1" applyBorder="1" applyAlignment="1">
      <alignment horizontal="center" vertical="center"/>
    </xf>
    <xf numFmtId="0" fontId="0" fillId="0" borderId="0" xfId="0" applyAlignment="1">
      <alignment horizontal="center"/>
    </xf>
    <xf numFmtId="0" fontId="5" fillId="4" borderId="1" xfId="0" applyFont="1" applyFill="1" applyBorder="1" applyAlignment="1">
      <alignment horizontal="center" vertical="center"/>
    </xf>
    <xf numFmtId="0" fontId="0" fillId="4" borderId="1" xfId="0" applyFill="1" applyBorder="1" applyAlignment="1">
      <alignment horizontal="center"/>
    </xf>
    <xf numFmtId="0" fontId="10" fillId="0" borderId="0" xfId="0" applyFont="1"/>
    <xf numFmtId="0" fontId="6" fillId="0" borderId="1" xfId="0" applyFont="1" applyBorder="1" applyAlignment="1">
      <alignment horizontal="center" vertical="center"/>
    </xf>
    <xf numFmtId="0" fontId="6" fillId="4" borderId="1" xfId="0" applyFont="1" applyFill="1" applyBorder="1" applyAlignment="1">
      <alignment horizontal="center" vertical="center"/>
    </xf>
    <xf numFmtId="0" fontId="7" fillId="0" borderId="0" xfId="0" applyFont="1"/>
    <xf numFmtId="0" fontId="11" fillId="0" borderId="1" xfId="0" applyFont="1" applyBorder="1" applyAlignment="1">
      <alignment horizontal="center" vertical="center"/>
    </xf>
    <xf numFmtId="0" fontId="9" fillId="0" borderId="1" xfId="0" applyFont="1" applyBorder="1" applyAlignment="1">
      <alignment horizontal="center" vertical="center"/>
    </xf>
    <xf numFmtId="0" fontId="3" fillId="0" borderId="1" xfId="0" applyFont="1" applyBorder="1" applyAlignment="1">
      <alignment horizontal="center" vertical="center"/>
    </xf>
    <xf numFmtId="20" fontId="0" fillId="0" borderId="1" xfId="0" applyNumberFormat="1" applyBorder="1" applyAlignment="1">
      <alignment horizontal="center" vertical="center"/>
    </xf>
    <xf numFmtId="0" fontId="0" fillId="0" borderId="0" xfId="0" applyAlignment="1">
      <alignment horizontal="center" vertical="center"/>
    </xf>
    <xf numFmtId="0" fontId="11" fillId="4" borderId="1" xfId="0" applyFont="1" applyFill="1" applyBorder="1" applyAlignment="1">
      <alignment horizontal="center" vertical="center"/>
    </xf>
    <xf numFmtId="0" fontId="0" fillId="0" borderId="1" xfId="0" quotePrefix="1" applyBorder="1" applyAlignment="1">
      <alignment horizontal="center"/>
    </xf>
    <xf numFmtId="17" fontId="0" fillId="0" borderId="1" xfId="0" quotePrefix="1" applyNumberFormat="1" applyBorder="1" applyAlignment="1">
      <alignment horizontal="center"/>
    </xf>
    <xf numFmtId="18" fontId="0" fillId="0" borderId="1" xfId="0" applyNumberFormat="1" applyBorder="1" applyAlignment="1">
      <alignment horizontal="center"/>
    </xf>
    <xf numFmtId="0" fontId="0" fillId="0" borderId="1" xfId="0" applyBorder="1"/>
    <xf numFmtId="0" fontId="12" fillId="0" borderId="1" xfId="0" applyFont="1" applyBorder="1" applyAlignment="1">
      <alignment horizontal="center"/>
    </xf>
    <xf numFmtId="0" fontId="0" fillId="4" borderId="1" xfId="0" applyFill="1" applyBorder="1" applyAlignment="1">
      <alignment horizontal="center" vertical="center"/>
    </xf>
    <xf numFmtId="0" fontId="7" fillId="0" borderId="1" xfId="0" applyFont="1" applyBorder="1" applyAlignment="1">
      <alignment horizontal="center" vertical="center"/>
    </xf>
    <xf numFmtId="18" fontId="0" fillId="0" borderId="1" xfId="0" applyNumberFormat="1"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horizontal="center"/>
    </xf>
    <xf numFmtId="20" fontId="0" fillId="5" borderId="1" xfId="0" applyNumberFormat="1" applyFill="1" applyBorder="1" applyAlignment="1">
      <alignment horizontal="center" vertical="center"/>
    </xf>
    <xf numFmtId="20" fontId="0" fillId="0" borderId="0" xfId="0" applyNumberFormat="1" applyAlignment="1">
      <alignment horizontal="center"/>
    </xf>
    <xf numFmtId="0" fontId="13" fillId="0" borderId="1" xfId="0" applyFont="1" applyBorder="1" applyAlignment="1">
      <alignment horizontal="left" vertical="center"/>
    </xf>
    <xf numFmtId="0" fontId="12" fillId="5" borderId="2" xfId="0" applyFont="1" applyFill="1" applyBorder="1" applyAlignment="1" applyProtection="1">
      <alignment horizontal="center" vertical="center"/>
      <protection locked="0"/>
    </xf>
    <xf numFmtId="165" fontId="0" fillId="0" borderId="1" xfId="0" applyNumberFormat="1" applyBorder="1" applyAlignment="1">
      <alignment horizontal="center"/>
    </xf>
    <xf numFmtId="0" fontId="14" fillId="5" borderId="1" xfId="0" applyFont="1" applyFill="1" applyBorder="1" applyAlignment="1">
      <alignment horizontal="center" vertical="center"/>
    </xf>
    <xf numFmtId="0" fontId="14" fillId="5" borderId="3" xfId="0" applyFont="1" applyFill="1" applyBorder="1" applyAlignment="1">
      <alignment horizontal="center" vertical="center"/>
    </xf>
    <xf numFmtId="0" fontId="5" fillId="0" borderId="3" xfId="0" applyFont="1" applyBorder="1" applyAlignment="1">
      <alignment horizontal="center" vertical="center"/>
    </xf>
    <xf numFmtId="0" fontId="5" fillId="0" borderId="3" xfId="0" applyFont="1" applyBorder="1" applyAlignment="1">
      <alignment horizontal="center"/>
    </xf>
    <xf numFmtId="18" fontId="5" fillId="0" borderId="1" xfId="0" applyNumberFormat="1"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xf>
    <xf numFmtId="0" fontId="15" fillId="0" borderId="0" xfId="0" applyFont="1"/>
    <xf numFmtId="0" fontId="13" fillId="0" borderId="4" xfId="0" applyFont="1" applyBorder="1" applyAlignment="1">
      <alignment horizontal="left" vertical="center"/>
    </xf>
    <xf numFmtId="0" fontId="0" fillId="0" borderId="5" xfId="0" applyBorder="1" applyAlignment="1">
      <alignment horizontal="center"/>
    </xf>
    <xf numFmtId="0" fontId="0" fillId="0" borderId="6" xfId="0" applyBorder="1" applyAlignment="1">
      <alignment horizontal="center"/>
    </xf>
    <xf numFmtId="0" fontId="16" fillId="0" borderId="6" xfId="0" applyFont="1" applyBorder="1" applyAlignment="1">
      <alignment horizontal="left" vertical="center"/>
    </xf>
    <xf numFmtId="18" fontId="0" fillId="0" borderId="6" xfId="0" applyNumberFormat="1" applyBorder="1" applyAlignment="1">
      <alignment horizontal="center"/>
    </xf>
    <xf numFmtId="0" fontId="13" fillId="0" borderId="7" xfId="0" applyFont="1" applyBorder="1" applyAlignment="1">
      <alignment horizontal="left" vertical="center"/>
    </xf>
    <xf numFmtId="0" fontId="12" fillId="0" borderId="1" xfId="0" applyFont="1" applyBorder="1" applyAlignment="1">
      <alignment horizontal="left" vertical="center"/>
    </xf>
    <xf numFmtId="0" fontId="12" fillId="0" borderId="1" xfId="0" applyFont="1" applyBorder="1" applyAlignment="1">
      <alignment horizontal="center" vertical="center"/>
    </xf>
    <xf numFmtId="0" fontId="2" fillId="2" borderId="6" xfId="0" applyFont="1" applyFill="1" applyBorder="1" applyAlignment="1">
      <alignment horizontal="center" vertical="center"/>
    </xf>
    <xf numFmtId="0" fontId="4" fillId="0" borderId="1" xfId="0" applyFont="1" applyBorder="1" applyAlignment="1">
      <alignment horizontal="center" vertical="center"/>
    </xf>
    <xf numFmtId="0" fontId="17" fillId="5" borderId="1" xfId="0" applyFont="1" applyFill="1" applyBorder="1" applyAlignment="1">
      <alignment horizontal="center" vertical="center"/>
    </xf>
    <xf numFmtId="0" fontId="18" fillId="5" borderId="1" xfId="0" applyFont="1" applyFill="1" applyBorder="1" applyAlignment="1">
      <alignment horizontal="center" vertical="center"/>
    </xf>
    <xf numFmtId="20" fontId="4" fillId="0" borderId="1" xfId="0" applyNumberFormat="1" applyFont="1" applyBorder="1" applyAlignment="1">
      <alignment horizontal="center"/>
    </xf>
    <xf numFmtId="0" fontId="19" fillId="5" borderId="1" xfId="0" applyFont="1" applyFill="1" applyBorder="1" applyAlignment="1">
      <alignment horizontal="center" vertical="center"/>
    </xf>
    <xf numFmtId="0" fontId="0" fillId="5" borderId="5" xfId="0" applyFill="1" applyBorder="1" applyAlignment="1">
      <alignment horizontal="center"/>
    </xf>
    <xf numFmtId="20" fontId="0" fillId="5" borderId="1" xfId="0" applyNumberFormat="1" applyFill="1" applyBorder="1" applyAlignment="1">
      <alignment horizontal="center"/>
    </xf>
    <xf numFmtId="0" fontId="20" fillId="0" borderId="1" xfId="0" applyFont="1" applyBorder="1" applyAlignment="1">
      <alignment vertical="center"/>
    </xf>
    <xf numFmtId="0" fontId="9" fillId="4" borderId="1" xfId="0" applyFont="1" applyFill="1" applyBorder="1" applyAlignment="1">
      <alignment horizontal="center"/>
    </xf>
    <xf numFmtId="0" fontId="7" fillId="4" borderId="1" xfId="0" applyFont="1" applyFill="1" applyBorder="1" applyAlignment="1">
      <alignment horizontal="center"/>
    </xf>
    <xf numFmtId="0" fontId="15" fillId="0" borderId="1" xfId="0" applyFont="1" applyBorder="1" applyAlignment="1">
      <alignment horizontal="center"/>
    </xf>
    <xf numFmtId="0" fontId="12" fillId="0" borderId="2" xfId="0" applyFont="1" applyBorder="1" applyAlignment="1">
      <alignment horizontal="center" vertical="center"/>
    </xf>
    <xf numFmtId="0" fontId="13" fillId="0" borderId="1" xfId="0" applyFont="1" applyBorder="1" applyAlignment="1">
      <alignment horizontal="center"/>
    </xf>
    <xf numFmtId="0" fontId="20" fillId="0" borderId="1" xfId="0" applyFont="1" applyBorder="1" applyAlignment="1">
      <alignment horizontal="center" vertical="center"/>
    </xf>
    <xf numFmtId="0" fontId="5" fillId="0" borderId="1" xfId="0" applyFont="1" applyBorder="1" applyAlignment="1">
      <alignment vertical="center"/>
    </xf>
    <xf numFmtId="0" fontId="5" fillId="5" borderId="1" xfId="0" applyFont="1" applyFill="1" applyBorder="1" applyAlignment="1">
      <alignment horizontal="center" vertical="center"/>
    </xf>
    <xf numFmtId="0" fontId="5" fillId="0" borderId="8" xfId="0" applyFont="1" applyBorder="1" applyAlignment="1">
      <alignment horizontal="center" vertical="center"/>
    </xf>
    <xf numFmtId="0" fontId="5" fillId="0" borderId="6" xfId="0" applyFont="1" applyBorder="1" applyAlignment="1">
      <alignment horizontal="center" vertical="center"/>
    </xf>
    <xf numFmtId="0" fontId="5" fillId="0" borderId="6" xfId="0" applyFont="1" applyBorder="1" applyAlignment="1">
      <alignment vertical="center"/>
    </xf>
    <xf numFmtId="0" fontId="5" fillId="5" borderId="6" xfId="0" applyFont="1" applyFill="1" applyBorder="1" applyAlignment="1">
      <alignment horizontal="center" vertical="center"/>
    </xf>
    <xf numFmtId="0" fontId="0" fillId="5" borderId="6" xfId="0" applyFill="1" applyBorder="1" applyAlignment="1">
      <alignment horizontal="center"/>
    </xf>
    <xf numFmtId="0" fontId="0" fillId="0" borderId="6" xfId="0" applyBorder="1"/>
    <xf numFmtId="0" fontId="5" fillId="0" borderId="9" xfId="0" applyFont="1" applyBorder="1" applyAlignment="1">
      <alignment horizontal="center" vertical="center"/>
    </xf>
    <xf numFmtId="0" fontId="12" fillId="0" borderId="2" xfId="0" applyFont="1" applyBorder="1" applyAlignment="1">
      <alignment horizontal="left" vertical="center"/>
    </xf>
    <xf numFmtId="20" fontId="0" fillId="0" borderId="6" xfId="0" applyNumberFormat="1" applyBorder="1" applyAlignment="1">
      <alignment horizontal="center"/>
    </xf>
    <xf numFmtId="0" fontId="21" fillId="0" borderId="6" xfId="0" applyFont="1" applyBorder="1" applyAlignment="1">
      <alignment horizontal="center" vertical="center"/>
    </xf>
    <xf numFmtId="0" fontId="11" fillId="0" borderId="6" xfId="0" applyFont="1" applyBorder="1" applyAlignment="1">
      <alignment horizontal="center" vertical="center"/>
    </xf>
    <xf numFmtId="0" fontId="12" fillId="0" borderId="6" xfId="0" applyFont="1" applyBorder="1" applyAlignment="1">
      <alignment horizontal="center" vertical="center"/>
    </xf>
    <xf numFmtId="0" fontId="12" fillId="0" borderId="10" xfId="0" applyFont="1" applyBorder="1" applyAlignment="1">
      <alignment horizontal="left" vertical="center"/>
    </xf>
    <xf numFmtId="0" fontId="5" fillId="0" borderId="1" xfId="0" applyFont="1" applyBorder="1"/>
    <xf numFmtId="9" fontId="0" fillId="0" borderId="1" xfId="1" applyFont="1" applyBorder="1" applyAlignment="1">
      <alignment horizontal="center" vertical="center"/>
    </xf>
    <xf numFmtId="0" fontId="4" fillId="0" borderId="1" xfId="0" applyFont="1" applyBorder="1"/>
    <xf numFmtId="9" fontId="0" fillId="0" borderId="1" xfId="0" applyNumberFormat="1" applyBorder="1" applyAlignment="1">
      <alignment horizontal="center"/>
    </xf>
    <xf numFmtId="9" fontId="4" fillId="0" borderId="1" xfId="0" applyNumberFormat="1" applyFont="1" applyBorder="1" applyAlignment="1">
      <alignment horizontal="center"/>
    </xf>
    <xf numFmtId="0" fontId="20" fillId="0" borderId="1" xfId="0" applyFont="1" applyBorder="1" applyAlignment="1">
      <alignment horizontal="center"/>
    </xf>
    <xf numFmtId="9" fontId="0" fillId="0" borderId="1" xfId="0" applyNumberFormat="1" applyBorder="1" applyAlignment="1">
      <alignment horizontal="center" vertical="center"/>
    </xf>
    <xf numFmtId="9" fontId="0" fillId="5" borderId="1" xfId="0" applyNumberFormat="1" applyFill="1" applyBorder="1" applyAlignment="1">
      <alignment horizontal="center" vertical="center"/>
    </xf>
    <xf numFmtId="20" fontId="5" fillId="5" borderId="1" xfId="0" applyNumberFormat="1" applyFont="1" applyFill="1" applyBorder="1" applyAlignment="1">
      <alignment horizontal="center" vertical="center"/>
    </xf>
    <xf numFmtId="0" fontId="11" fillId="0" borderId="8" xfId="0" applyFont="1" applyBorder="1" applyAlignment="1">
      <alignment horizontal="center" vertical="center"/>
    </xf>
    <xf numFmtId="0" fontId="11" fillId="0" borderId="1" xfId="0" applyFont="1" applyBorder="1" applyAlignment="1">
      <alignment vertical="center"/>
    </xf>
    <xf numFmtId="0" fontId="11" fillId="4" borderId="6" xfId="0" applyFont="1" applyFill="1" applyBorder="1" applyAlignment="1">
      <alignment horizontal="center" vertical="center"/>
    </xf>
    <xf numFmtId="0" fontId="11" fillId="0" borderId="9" xfId="0" applyFont="1" applyBorder="1" applyAlignment="1">
      <alignment horizontal="center" vertical="center"/>
    </xf>
    <xf numFmtId="9" fontId="2" fillId="2" borderId="1" xfId="0" applyNumberFormat="1" applyFont="1" applyFill="1" applyBorder="1" applyAlignment="1">
      <alignment horizontal="center"/>
    </xf>
    <xf numFmtId="9" fontId="0" fillId="0" borderId="6" xfId="0" applyNumberFormat="1" applyBorder="1" applyAlignment="1">
      <alignment horizontal="center"/>
    </xf>
    <xf numFmtId="9" fontId="0" fillId="0" borderId="0" xfId="0" applyNumberFormat="1" applyAlignment="1">
      <alignment horizontal="center"/>
    </xf>
    <xf numFmtId="0" fontId="0" fillId="0" borderId="3" xfId="0" applyBorder="1" applyAlignment="1">
      <alignment horizontal="center"/>
    </xf>
    <xf numFmtId="0" fontId="22" fillId="0" borderId="1" xfId="0" applyFont="1" applyBorder="1"/>
    <xf numFmtId="0" fontId="11" fillId="0" borderId="1" xfId="0" applyFont="1" applyBorder="1" applyAlignment="1">
      <alignment horizontal="center"/>
    </xf>
    <xf numFmtId="0" fontId="4" fillId="0" borderId="0" xfId="0" applyFont="1" applyAlignment="1">
      <alignment horizontal="center"/>
    </xf>
    <xf numFmtId="9" fontId="5" fillId="0" borderId="1" xfId="0" applyNumberFormat="1" applyFont="1" applyBorder="1" applyAlignment="1">
      <alignment horizontal="center"/>
    </xf>
    <xf numFmtId="9" fontId="9" fillId="0" borderId="1" xfId="0" applyNumberFormat="1" applyFont="1" applyBorder="1" applyAlignment="1">
      <alignment horizontal="center"/>
    </xf>
    <xf numFmtId="0" fontId="23" fillId="6" borderId="1" xfId="0" applyFont="1" applyFill="1" applyBorder="1" applyAlignment="1">
      <alignment horizontal="center"/>
    </xf>
    <xf numFmtId="20" fontId="7" fillId="0" borderId="1" xfId="0" applyNumberFormat="1" applyFont="1" applyBorder="1" applyAlignment="1">
      <alignment horizontal="center"/>
    </xf>
    <xf numFmtId="9" fontId="6" fillId="0" borderId="1" xfId="0" applyNumberFormat="1" applyFont="1" applyBorder="1" applyAlignment="1">
      <alignment horizontal="center"/>
    </xf>
    <xf numFmtId="0" fontId="0" fillId="7" borderId="1" xfId="0" applyFill="1" applyBorder="1" applyAlignment="1">
      <alignment horizontal="center"/>
    </xf>
    <xf numFmtId="9" fontId="1" fillId="0" borderId="1" xfId="1" applyFont="1" applyBorder="1" applyAlignment="1">
      <alignment horizontal="center"/>
    </xf>
    <xf numFmtId="0" fontId="5" fillId="0" borderId="11" xfId="0" applyFont="1" applyBorder="1" applyAlignment="1">
      <alignment horizontal="center" vertical="center"/>
    </xf>
    <xf numFmtId="0" fontId="5" fillId="5" borderId="12" xfId="0" applyFont="1" applyFill="1" applyBorder="1" applyAlignment="1">
      <alignment horizontal="center" vertical="center"/>
    </xf>
    <xf numFmtId="0" fontId="5" fillId="0" borderId="5" xfId="0" applyFont="1" applyBorder="1" applyAlignment="1">
      <alignment horizontal="center" vertical="center"/>
    </xf>
    <xf numFmtId="0" fontId="12" fillId="5" borderId="1" xfId="0" applyFont="1" applyFill="1" applyBorder="1" applyAlignment="1" applyProtection="1">
      <alignment horizontal="center" vertical="center"/>
      <protection locked="0"/>
    </xf>
    <xf numFmtId="0" fontId="12" fillId="0" borderId="10" xfId="0" applyFont="1" applyBorder="1" applyAlignment="1">
      <alignment horizontal="center" vertical="center"/>
    </xf>
    <xf numFmtId="0" fontId="24" fillId="0" borderId="1" xfId="0" applyFont="1" applyBorder="1"/>
    <xf numFmtId="0" fontId="22" fillId="0" borderId="1" xfId="0" applyFont="1" applyBorder="1" applyAlignment="1">
      <alignment horizontal="center"/>
    </xf>
    <xf numFmtId="0" fontId="16" fillId="0" borderId="1" xfId="0" applyFont="1" applyBorder="1" applyAlignment="1">
      <alignment horizontal="center" vertical="center"/>
    </xf>
    <xf numFmtId="20" fontId="0" fillId="0" borderId="0" xfId="0" applyNumberFormat="1"/>
    <xf numFmtId="9" fontId="0" fillId="0" borderId="1" xfId="1" applyFont="1" applyBorder="1" applyAlignment="1">
      <alignment horizont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9" fontId="0" fillId="0" borderId="6" xfId="0" applyNumberFormat="1" applyBorder="1" applyAlignment="1">
      <alignment horizontal="center" vertical="center"/>
    </xf>
    <xf numFmtId="18" fontId="4" fillId="0" borderId="1" xfId="0" applyNumberFormat="1" applyFont="1" applyBorder="1" applyAlignment="1">
      <alignment horizontal="center"/>
    </xf>
    <xf numFmtId="9" fontId="4" fillId="0" borderId="1" xfId="0" applyNumberFormat="1" applyFont="1" applyBorder="1" applyAlignment="1">
      <alignment horizontal="center" vertical="center"/>
    </xf>
    <xf numFmtId="0" fontId="10" fillId="0" borderId="1" xfId="0" applyFont="1" applyBorder="1" applyAlignment="1">
      <alignment horizontal="center"/>
    </xf>
    <xf numFmtId="0" fontId="8" fillId="0" borderId="1" xfId="0" applyFont="1" applyBorder="1" applyAlignment="1">
      <alignment horizontal="center" vertical="center"/>
    </xf>
    <xf numFmtId="0" fontId="8" fillId="5" borderId="1" xfId="0" applyFont="1" applyFill="1" applyBorder="1" applyAlignment="1">
      <alignment horizontal="center" vertical="center"/>
    </xf>
    <xf numFmtId="0" fontId="10" fillId="5" borderId="1" xfId="0" applyFont="1" applyFill="1" applyBorder="1" applyAlignment="1">
      <alignment horizontal="center"/>
    </xf>
    <xf numFmtId="9" fontId="10" fillId="0" borderId="1" xfId="0" applyNumberFormat="1" applyFont="1" applyBorder="1" applyAlignment="1">
      <alignment horizontal="center"/>
    </xf>
    <xf numFmtId="20" fontId="10" fillId="0" borderId="1" xfId="0" applyNumberFormat="1" applyFont="1" applyBorder="1" applyAlignment="1">
      <alignment horizontal="center"/>
    </xf>
    <xf numFmtId="0" fontId="25" fillId="0" borderId="1" xfId="0" applyFont="1" applyBorder="1" applyAlignment="1">
      <alignment horizontal="center" vertical="center"/>
    </xf>
    <xf numFmtId="0" fontId="11" fillId="5" borderId="1" xfId="0" applyFont="1" applyFill="1" applyBorder="1" applyAlignment="1">
      <alignment horizontal="center" vertical="center"/>
    </xf>
    <xf numFmtId="0" fontId="20" fillId="5" borderId="1" xfId="0" applyFont="1" applyFill="1" applyBorder="1" applyAlignment="1">
      <alignment horizontal="center" vertical="center"/>
    </xf>
    <xf numFmtId="0" fontId="17" fillId="0" borderId="1" xfId="0" applyFont="1" applyBorder="1" applyAlignment="1">
      <alignment horizontal="center" vertical="center"/>
    </xf>
    <xf numFmtId="0" fontId="26" fillId="4" borderId="1" xfId="0" applyFont="1" applyFill="1" applyBorder="1" applyAlignment="1">
      <alignment horizontal="center" vertical="center"/>
    </xf>
    <xf numFmtId="0" fontId="21" fillId="0" borderId="1" xfId="0" applyFont="1" applyBorder="1" applyAlignment="1">
      <alignment horizontal="center" vertical="center"/>
    </xf>
    <xf numFmtId="0" fontId="27" fillId="0" borderId="1" xfId="0" applyFont="1" applyBorder="1" applyAlignment="1">
      <alignment horizontal="center"/>
    </xf>
    <xf numFmtId="0" fontId="15" fillId="0" borderId="0" xfId="0" applyFont="1" applyAlignment="1">
      <alignment horizontal="center"/>
    </xf>
    <xf numFmtId="0" fontId="2" fillId="8" borderId="1" xfId="0" applyFont="1" applyFill="1" applyBorder="1" applyAlignment="1">
      <alignment horizontal="center"/>
    </xf>
    <xf numFmtId="20" fontId="15" fillId="0" borderId="1" xfId="0" applyNumberFormat="1" applyFont="1" applyBorder="1" applyAlignment="1">
      <alignment horizontal="center"/>
    </xf>
    <xf numFmtId="9" fontId="15" fillId="0" borderId="1" xfId="0" applyNumberFormat="1" applyFont="1" applyBorder="1" applyAlignment="1">
      <alignment horizontal="center"/>
    </xf>
    <xf numFmtId="0" fontId="29" fillId="0" borderId="1" xfId="0" applyFont="1" applyBorder="1" applyAlignment="1">
      <alignment horizontal="center"/>
    </xf>
    <xf numFmtId="0" fontId="15" fillId="0" borderId="1" xfId="0" applyFont="1" applyBorder="1" applyAlignment="1">
      <alignment horizontal="center" wrapText="1"/>
    </xf>
    <xf numFmtId="0" fontId="14" fillId="4" borderId="1" xfId="0" applyFont="1" applyFill="1" applyBorder="1" applyAlignment="1">
      <alignment horizontal="center" vertical="center"/>
    </xf>
    <xf numFmtId="0" fontId="30" fillId="0" borderId="1" xfId="2" applyFont="1" applyFill="1" applyBorder="1" applyAlignment="1">
      <alignment horizontal="center" vertical="center"/>
    </xf>
    <xf numFmtId="0" fontId="15" fillId="4" borderId="1" xfId="0" applyFont="1" applyFill="1" applyBorder="1" applyAlignment="1">
      <alignment horizontal="center"/>
    </xf>
    <xf numFmtId="0" fontId="26" fillId="0" borderId="1" xfId="0" applyFont="1" applyBorder="1" applyAlignment="1">
      <alignment horizontal="center" vertical="center"/>
    </xf>
    <xf numFmtId="0" fontId="16" fillId="0" borderId="1" xfId="0" applyFont="1" applyBorder="1" applyAlignment="1">
      <alignment horizontal="center"/>
    </xf>
    <xf numFmtId="0" fontId="29" fillId="0" borderId="1" xfId="2" applyFont="1" applyBorder="1" applyAlignment="1">
      <alignment horizontal="center" vertical="center"/>
    </xf>
    <xf numFmtId="0" fontId="2" fillId="6" borderId="1" xfId="0" applyFont="1" applyFill="1" applyBorder="1" applyAlignment="1">
      <alignment horizontal="center"/>
    </xf>
    <xf numFmtId="0" fontId="31" fillId="5" borderId="1" xfId="0" applyFont="1" applyFill="1" applyBorder="1" applyAlignment="1">
      <alignment horizontal="center" vertical="center"/>
    </xf>
    <xf numFmtId="0" fontId="32" fillId="0" borderId="1" xfId="0" applyFont="1" applyBorder="1" applyAlignment="1">
      <alignment horizontal="center"/>
    </xf>
    <xf numFmtId="0" fontId="32" fillId="0" borderId="1" xfId="2" applyFont="1" applyBorder="1" applyAlignment="1">
      <alignment horizontal="center" vertical="center"/>
    </xf>
    <xf numFmtId="15" fontId="28" fillId="0" borderId="2" xfId="2" applyNumberFormat="1" applyBorder="1" applyAlignment="1">
      <alignment horizontal="left" vertical="center"/>
    </xf>
    <xf numFmtId="0" fontId="33" fillId="0" borderId="10" xfId="2" applyFont="1" applyFill="1" applyBorder="1" applyAlignment="1">
      <alignment horizontal="left" vertical="center"/>
    </xf>
    <xf numFmtId="15" fontId="28" fillId="0" borderId="1" xfId="2" applyNumberFormat="1" applyBorder="1" applyAlignment="1">
      <alignment horizontal="left" vertical="center"/>
    </xf>
    <xf numFmtId="0" fontId="21" fillId="0" borderId="1" xfId="0" applyFont="1" applyBorder="1" applyAlignment="1">
      <alignment horizontal="left" vertical="center"/>
    </xf>
    <xf numFmtId="0" fontId="33" fillId="0" borderId="1" xfId="2" applyFont="1" applyFill="1" applyBorder="1" applyAlignment="1">
      <alignment horizontal="left" vertical="center"/>
    </xf>
    <xf numFmtId="0" fontId="12" fillId="0" borderId="1" xfId="0" applyFont="1" applyBorder="1"/>
    <xf numFmtId="0" fontId="13" fillId="0" borderId="1" xfId="0" applyFont="1" applyBorder="1"/>
    <xf numFmtId="0" fontId="34" fillId="0" borderId="1" xfId="0" applyFont="1" applyBorder="1" applyAlignment="1">
      <alignment horizontal="center"/>
    </xf>
    <xf numFmtId="0" fontId="28" fillId="0" borderId="1" xfId="2" applyBorder="1" applyAlignment="1">
      <alignment horizontal="center" vertical="center"/>
    </xf>
    <xf numFmtId="0" fontId="0" fillId="0" borderId="2" xfId="0" applyBorder="1" applyAlignment="1">
      <alignment horizontal="center"/>
    </xf>
    <xf numFmtId="0" fontId="34" fillId="0" borderId="0" xfId="0" applyFont="1" applyAlignment="1">
      <alignment horizontal="center"/>
    </xf>
    <xf numFmtId="0" fontId="2" fillId="2" borderId="1" xfId="0" applyFont="1" applyFill="1" applyBorder="1" applyAlignment="1">
      <alignment horizontal="left"/>
    </xf>
    <xf numFmtId="20" fontId="2" fillId="2" borderId="1" xfId="0" applyNumberFormat="1" applyFont="1" applyFill="1" applyBorder="1" applyAlignment="1">
      <alignment horizontal="left"/>
    </xf>
    <xf numFmtId="164" fontId="2" fillId="2" borderId="1" xfId="0" applyNumberFormat="1" applyFont="1" applyFill="1" applyBorder="1" applyAlignment="1">
      <alignment horizontal="left"/>
    </xf>
    <xf numFmtId="9" fontId="2" fillId="2" borderId="1" xfId="1" applyFont="1" applyFill="1" applyBorder="1" applyAlignment="1">
      <alignment horizontal="left"/>
    </xf>
    <xf numFmtId="0" fontId="23" fillId="6" borderId="1" xfId="0" applyFont="1" applyFill="1" applyBorder="1" applyAlignment="1">
      <alignment horizontal="left"/>
    </xf>
    <xf numFmtId="0" fontId="2" fillId="8" borderId="1" xfId="0" applyFont="1" applyFill="1" applyBorder="1" applyAlignment="1">
      <alignment horizontal="left"/>
    </xf>
    <xf numFmtId="0" fontId="0" fillId="0" borderId="1" xfId="0" applyBorder="1" applyAlignment="1">
      <alignment horizontal="left"/>
    </xf>
    <xf numFmtId="0" fontId="5" fillId="0" borderId="1" xfId="0" applyFont="1" applyBorder="1" applyAlignment="1">
      <alignment horizontal="left" vertical="center"/>
    </xf>
    <xf numFmtId="0" fontId="11" fillId="0" borderId="1" xfId="0" applyFont="1" applyBorder="1" applyAlignment="1">
      <alignment horizontal="left" vertical="center"/>
    </xf>
    <xf numFmtId="0" fontId="20" fillId="0" borderId="1" xfId="0" applyFont="1" applyBorder="1" applyAlignment="1">
      <alignment horizontal="left" vertical="center"/>
    </xf>
    <xf numFmtId="9" fontId="0" fillId="0" borderId="1" xfId="0" applyNumberFormat="1" applyBorder="1" applyAlignment="1">
      <alignment horizontal="left"/>
    </xf>
    <xf numFmtId="20" fontId="0" fillId="0" borderId="1" xfId="0" applyNumberFormat="1" applyBorder="1" applyAlignment="1">
      <alignment horizontal="left"/>
    </xf>
    <xf numFmtId="0" fontId="17" fillId="0" borderId="1" xfId="0" applyFont="1" applyBorder="1" applyAlignment="1">
      <alignment horizontal="left" vertical="center"/>
    </xf>
    <xf numFmtId="0" fontId="13" fillId="0" borderId="1" xfId="0" applyFont="1" applyBorder="1" applyAlignment="1">
      <alignment horizontal="left"/>
    </xf>
    <xf numFmtId="0" fontId="33" fillId="0" borderId="2" xfId="2" applyFont="1" applyFill="1" applyBorder="1" applyAlignment="1">
      <alignment horizontal="left" vertical="center"/>
    </xf>
    <xf numFmtId="0" fontId="4" fillId="0" borderId="1" xfId="0" applyFont="1" applyBorder="1" applyAlignment="1">
      <alignment horizontal="left"/>
    </xf>
    <xf numFmtId="0" fontId="9" fillId="0" borderId="1" xfId="0" applyFont="1" applyBorder="1" applyAlignment="1">
      <alignment horizontal="left" vertical="center"/>
    </xf>
    <xf numFmtId="0" fontId="18" fillId="0" borderId="1" xfId="0" applyFont="1" applyBorder="1" applyAlignment="1">
      <alignment horizontal="left" vertical="center"/>
    </xf>
    <xf numFmtId="9" fontId="4" fillId="0" borderId="1" xfId="0" applyNumberFormat="1" applyFont="1" applyBorder="1" applyAlignment="1">
      <alignment horizontal="left"/>
    </xf>
    <xf numFmtId="0" fontId="35" fillId="0" borderId="1" xfId="0" applyFont="1" applyBorder="1" applyAlignment="1">
      <alignment horizontal="left" vertical="center"/>
    </xf>
    <xf numFmtId="20" fontId="4" fillId="0" borderId="1" xfId="0" applyNumberFormat="1" applyFont="1" applyBorder="1" applyAlignment="1">
      <alignment horizontal="left"/>
    </xf>
    <xf numFmtId="0" fontId="5" fillId="5" borderId="1" xfId="0" applyFont="1" applyFill="1" applyBorder="1" applyAlignment="1">
      <alignment horizontal="left" vertical="center"/>
    </xf>
    <xf numFmtId="0" fontId="5" fillId="4" borderId="1" xfId="0" applyFont="1" applyFill="1" applyBorder="1" applyAlignment="1">
      <alignment horizontal="left" vertical="center"/>
    </xf>
    <xf numFmtId="0" fontId="17" fillId="5" borderId="1" xfId="0" applyFont="1" applyFill="1" applyBorder="1" applyAlignment="1">
      <alignment horizontal="left" vertical="center"/>
    </xf>
    <xf numFmtId="0" fontId="31" fillId="5" borderId="1" xfId="0" applyFont="1" applyFill="1" applyBorder="1" applyAlignment="1">
      <alignment horizontal="left" vertical="center"/>
    </xf>
    <xf numFmtId="0" fontId="20" fillId="5" borderId="1" xfId="0" applyFont="1" applyFill="1" applyBorder="1" applyAlignment="1">
      <alignment horizontal="left" vertical="center"/>
    </xf>
    <xf numFmtId="0" fontId="20" fillId="4" borderId="1" xfId="0" applyFont="1" applyFill="1" applyBorder="1" applyAlignment="1">
      <alignment horizontal="left" vertical="center"/>
    </xf>
    <xf numFmtId="0" fontId="11" fillId="5" borderId="1" xfId="0" applyFont="1" applyFill="1" applyBorder="1" applyAlignment="1">
      <alignment horizontal="left" vertical="center"/>
    </xf>
    <xf numFmtId="0" fontId="0" fillId="4" borderId="1" xfId="0" applyFill="1" applyBorder="1" applyAlignment="1">
      <alignment horizontal="left"/>
    </xf>
  </cellXfs>
  <cellStyles count="3">
    <cellStyle name="Hyperlink" xfId="2" builtinId="8"/>
    <cellStyle name="Normal" xfId="0" builtinId="0"/>
    <cellStyle name="Percent" xfId="1" builtinId="5"/>
  </cellStyles>
  <dxfs count="11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ustomXml" Target="../customXml/item2.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ustomXml" Target="../customXml/item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49.xml.rels><?xml version="1.0" encoding="UTF-8" standalone="yes"?>
<Relationships xmlns="http://schemas.openxmlformats.org/package/2006/relationships"><Relationship Id="rId8" Type="http://schemas.openxmlformats.org/officeDocument/2006/relationships/hyperlink" Target="https://candorworks.sharepoint.com/:x:/s/MISConnect/IQCgYAwhamqQR6ZIian7LklxAVg6iiNnjXNcNvR6kTWhnco?e=fHZT5t" TargetMode="External"/><Relationship Id="rId3" Type="http://schemas.openxmlformats.org/officeDocument/2006/relationships/hyperlink" Target="https://candorworks.sharepoint.com/:x:/s/MISConnect/IQAaYUq68jz0RJCZyLcXiuRpAc-BDqPhUxdujnug4B-cWQA?e=ygLE9Z" TargetMode="External"/><Relationship Id="rId7" Type="http://schemas.openxmlformats.org/officeDocument/2006/relationships/hyperlink" Target="../../../../:x:/s/MISConnect/IQB4sFO15PfJQoO8w0TVlm0RAVsbwZJwkTr3NuA3afeiBTg?e=BXQM5I" TargetMode="External"/><Relationship Id="rId2" Type="http://schemas.openxmlformats.org/officeDocument/2006/relationships/hyperlink" Target="https://candorworks.sharepoint.com/:x:/s/MISConnect/IQAbhLBzS_KsRbxGs7M9JGNNARps0B8tueskYy_JY6PzknA?e=yoDaqi" TargetMode="External"/><Relationship Id="rId1" Type="http://schemas.openxmlformats.org/officeDocument/2006/relationships/hyperlink" Target="../../../../:x:/s/MISConnect/IQDKJ8l_yKzwTou3JM97TfsHAZzDvLkFsPZzV0iTFkJIX2o?e=ya0eg8" TargetMode="External"/><Relationship Id="rId6" Type="http://schemas.openxmlformats.org/officeDocument/2006/relationships/hyperlink" Target="https://candorworks.sharepoint.com/:x:/s/MISConnect/IQATFolya7ORTZZX4WIrUByBAaeLZDyCJEWdl3Sm5SGWW8c?e=APhYZL" TargetMode="External"/><Relationship Id="rId5" Type="http://schemas.openxmlformats.org/officeDocument/2006/relationships/hyperlink" Target="https://candorworks.sharepoint.com/:x:/s/MISConnect/IQBOmsXDG9-CQ6A-IUcZmjFaAfF3lZ2otEAag2e1FzkRcuY?e=Vctb6i" TargetMode="External"/><Relationship Id="rId4" Type="http://schemas.openxmlformats.org/officeDocument/2006/relationships/hyperlink" Target="https://candorworks.sharepoint.com/:x:/s/MISConnect/IQB_fMcLENI1R7BwwxBHYLrKAY881SfvnNrAaltrtDy-R2w?e=3iaTk7" TargetMode="External"/></Relationships>
</file>

<file path=xl/worksheets/_rels/sheet50.xml.rels><?xml version="1.0" encoding="UTF-8" standalone="yes"?>
<Relationships xmlns="http://schemas.openxmlformats.org/package/2006/relationships"><Relationship Id="rId3" Type="http://schemas.openxmlformats.org/officeDocument/2006/relationships/hyperlink" Target="https://candorworks.sharepoint.com/:x:/s/MISConnect/IQB47yxvFPMxTKQf3Ui9wsZwAc-7Gw2IgEenhSgHhiTAjOE?e=P6Y1xM" TargetMode="External"/><Relationship Id="rId2" Type="http://schemas.openxmlformats.org/officeDocument/2006/relationships/hyperlink" Target="https://candorworks.sharepoint.com/:x:/s/MISConnect/IQBNb7oaLZSpT7g0BTQ44qKMAYNLF6f4dX0Pi2YxyUuU7Zc?e=4NDy6U" TargetMode="External"/><Relationship Id="rId1" Type="http://schemas.openxmlformats.org/officeDocument/2006/relationships/hyperlink" Target="https://candorworks.sharepoint.com/:x:/s/MISConnect/IQAQu88Xu-GHQ72_zNya76GHASNbXbh7sVj5Trgal9rj_QM?e=JHocHu" TargetMode="External"/><Relationship Id="rId5" Type="http://schemas.openxmlformats.org/officeDocument/2006/relationships/hyperlink" Target="../../../../:x:/s/MISConnect/IQCqcaCkIvBzQKB5RQBz67n_AaSFUeUDqTlSqKsVEhBymL0?e=hf9HGc" TargetMode="External"/><Relationship Id="rId4" Type="http://schemas.openxmlformats.org/officeDocument/2006/relationships/hyperlink" Target="https://candorworks.sharepoint.com/:x:/s/MISConnect/IQAAVH9Xo9-sT6Jbv1WLFBVQAZ36Kjw8hOOBr-j_41-ZW6M?e=efddRn" TargetMode="External"/></Relationships>
</file>

<file path=xl/worksheets/_rels/sheet51.xml.rels><?xml version="1.0" encoding="UTF-8" standalone="yes"?>
<Relationships xmlns="http://schemas.openxmlformats.org/package/2006/relationships"><Relationship Id="rId2" Type="http://schemas.openxmlformats.org/officeDocument/2006/relationships/hyperlink" Target="https://candorworks.sharepoint.com/:x:/s/MISConnect/IQBwPOyuHiOzS4tY42NDtK3RAfAHc1c9m7IbszRciodf3P0?e=XT5Gyz" TargetMode="External"/><Relationship Id="rId1" Type="http://schemas.openxmlformats.org/officeDocument/2006/relationships/hyperlink" Target="https://candorworks.sharepoint.com/:x:/s/MISConnect/IQA3V2oO_8gWSLtVraO70CmWAUpBxW3WX4ioUZl6M2r7c9Q?e=L2et8H" TargetMode="External"/></Relationships>
</file>

<file path=xl/worksheets/_rels/sheet52.xml.rels><?xml version="1.0" encoding="UTF-8" standalone="yes"?>
<Relationships xmlns="http://schemas.openxmlformats.org/package/2006/relationships"><Relationship Id="rId2" Type="http://schemas.openxmlformats.org/officeDocument/2006/relationships/hyperlink" Target="https://candorworks.sharepoint.com/:x:/s/MISConnect/IQB47yxvFPMxTKQf3Ui9wsZwAc-7Gw2IgEenhSgHhiTAjOE?e=P6Y1xM" TargetMode="External"/><Relationship Id="rId1" Type="http://schemas.openxmlformats.org/officeDocument/2006/relationships/hyperlink" Target="https://candorworks.sharepoint.com/:x:/s/MISConnect/IQAbhLBzS_KsRbxGs7M9JGNNARps0B8tueskYy_JY6PzknA?e=yoDaq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C392A-AC10-487A-8751-2323CC36211B}">
  <sheetPr codeName="Sheet1"/>
  <dimension ref="A1:W49"/>
  <sheetViews>
    <sheetView showGridLines="0" workbookViewId="0">
      <pane ySplit="1" topLeftCell="A19" activePane="bottomLeft" state="frozen"/>
      <selection pane="bottomLeft" activeCell="D43" sqref="D43"/>
    </sheetView>
  </sheetViews>
  <sheetFormatPr defaultRowHeight="14.4" x14ac:dyDescent="0.3"/>
  <cols>
    <col min="1" max="2" width="8.88671875" customWidth="1"/>
    <col min="3" max="3" width="61.44140625" bestFit="1" customWidth="1"/>
    <col min="4" max="4" width="10.44140625" bestFit="1" customWidth="1"/>
    <col min="8" max="8" width="39.44140625" bestFit="1" customWidth="1"/>
    <col min="9" max="9" width="31.88671875" bestFit="1" customWidth="1"/>
    <col min="13" max="15" width="8.88671875" customWidth="1"/>
    <col min="18" max="23" width="8.88671875" customWidth="1"/>
  </cols>
  <sheetData>
    <row r="1" spans="1:23"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c r="W1" s="5" t="s">
        <v>22</v>
      </c>
    </row>
    <row r="2" spans="1:23" x14ac:dyDescent="0.3">
      <c r="A2" s="7">
        <v>1</v>
      </c>
      <c r="B2" s="6" t="s">
        <v>23</v>
      </c>
      <c r="C2" s="6" t="s">
        <v>27</v>
      </c>
      <c r="D2" s="6">
        <v>51225107</v>
      </c>
      <c r="E2" s="6">
        <v>10</v>
      </c>
      <c r="F2" s="7">
        <v>16</v>
      </c>
      <c r="G2" s="7">
        <v>0</v>
      </c>
      <c r="H2" s="6" t="s">
        <v>64</v>
      </c>
      <c r="I2" s="6" t="s">
        <v>86</v>
      </c>
      <c r="J2" s="7" t="s">
        <v>130</v>
      </c>
      <c r="K2" s="11">
        <v>0.95486111111111116</v>
      </c>
      <c r="L2" s="11">
        <v>0.96944444444444444</v>
      </c>
      <c r="M2" s="6" t="s">
        <v>109</v>
      </c>
      <c r="N2" s="7" t="s">
        <v>109</v>
      </c>
      <c r="O2" s="6" t="s">
        <v>61</v>
      </c>
      <c r="P2" s="7" t="s">
        <v>131</v>
      </c>
      <c r="Q2" s="7" t="s">
        <v>86</v>
      </c>
      <c r="R2" s="7" t="s">
        <v>62</v>
      </c>
      <c r="S2" s="7" t="s">
        <v>123</v>
      </c>
      <c r="T2" s="6" t="s">
        <v>112</v>
      </c>
      <c r="U2" s="7" t="s">
        <v>109</v>
      </c>
      <c r="V2" s="7" t="s">
        <v>109</v>
      </c>
      <c r="W2" s="6" t="s">
        <v>112</v>
      </c>
    </row>
    <row r="3" spans="1:23" x14ac:dyDescent="0.3">
      <c r="A3" s="7">
        <v>2</v>
      </c>
      <c r="B3" s="6" t="s">
        <v>24</v>
      </c>
      <c r="C3" s="6" t="s">
        <v>28</v>
      </c>
      <c r="D3" s="6">
        <v>61225007</v>
      </c>
      <c r="E3" s="6">
        <v>18</v>
      </c>
      <c r="F3" s="7">
        <v>49</v>
      </c>
      <c r="G3" s="7">
        <v>23</v>
      </c>
      <c r="H3" s="6" t="s">
        <v>65</v>
      </c>
      <c r="I3" s="6" t="s">
        <v>87</v>
      </c>
      <c r="J3" s="7" t="s">
        <v>130</v>
      </c>
      <c r="K3" s="11">
        <v>0.82708333333333328</v>
      </c>
      <c r="L3" s="11">
        <v>0.84027777777777779</v>
      </c>
      <c r="M3" s="6" t="s">
        <v>109</v>
      </c>
      <c r="N3" s="7" t="s">
        <v>109</v>
      </c>
      <c r="O3" s="6" t="s">
        <v>61</v>
      </c>
      <c r="P3" s="7" t="s">
        <v>131</v>
      </c>
      <c r="Q3" s="7" t="s">
        <v>87</v>
      </c>
      <c r="R3" s="7" t="s">
        <v>63</v>
      </c>
      <c r="S3" s="7" t="s">
        <v>123</v>
      </c>
      <c r="T3" s="6" t="s">
        <v>113</v>
      </c>
      <c r="U3" s="7" t="s">
        <v>109</v>
      </c>
      <c r="V3" s="7" t="s">
        <v>109</v>
      </c>
      <c r="W3" s="6" t="s">
        <v>113</v>
      </c>
    </row>
    <row r="4" spans="1:23" x14ac:dyDescent="0.3">
      <c r="A4" s="7">
        <v>3</v>
      </c>
      <c r="B4" s="6" t="s">
        <v>24</v>
      </c>
      <c r="C4" s="6" t="s">
        <v>29</v>
      </c>
      <c r="D4" s="6">
        <v>61225006</v>
      </c>
      <c r="E4" s="6">
        <v>24</v>
      </c>
      <c r="F4" s="7">
        <v>193</v>
      </c>
      <c r="G4" s="7">
        <v>7</v>
      </c>
      <c r="H4" s="6" t="s">
        <v>66</v>
      </c>
      <c r="I4" s="6" t="s">
        <v>88</v>
      </c>
      <c r="J4" s="7" t="s">
        <v>130</v>
      </c>
      <c r="K4" s="11">
        <v>0.8305555555555556</v>
      </c>
      <c r="L4" s="11">
        <v>1.3888888888888889E-3</v>
      </c>
      <c r="M4" s="6" t="s">
        <v>109</v>
      </c>
      <c r="N4" s="7" t="s">
        <v>109</v>
      </c>
      <c r="O4" s="6" t="s">
        <v>61</v>
      </c>
      <c r="P4" s="7" t="s">
        <v>131</v>
      </c>
      <c r="Q4" s="7" t="s">
        <v>88</v>
      </c>
      <c r="R4" s="7" t="s">
        <v>63</v>
      </c>
      <c r="S4" s="7" t="s">
        <v>123</v>
      </c>
      <c r="T4" s="6" t="s">
        <v>113</v>
      </c>
      <c r="U4" s="7" t="s">
        <v>109</v>
      </c>
      <c r="V4" s="7" t="s">
        <v>109</v>
      </c>
      <c r="W4" s="6" t="s">
        <v>113</v>
      </c>
    </row>
    <row r="5" spans="1:23" x14ac:dyDescent="0.3">
      <c r="A5" s="7">
        <v>4</v>
      </c>
      <c r="B5" s="6" t="s">
        <v>24</v>
      </c>
      <c r="C5" s="6" t="s">
        <v>30</v>
      </c>
      <c r="D5" s="6">
        <v>61225005</v>
      </c>
      <c r="E5" s="6">
        <v>28</v>
      </c>
      <c r="F5" s="7">
        <v>27</v>
      </c>
      <c r="G5" s="7">
        <v>7</v>
      </c>
      <c r="H5" s="6" t="s">
        <v>67</v>
      </c>
      <c r="I5" s="6" t="s">
        <v>89</v>
      </c>
      <c r="J5" s="7" t="s">
        <v>130</v>
      </c>
      <c r="K5" s="11">
        <v>0.7944444444444444</v>
      </c>
      <c r="L5" s="11">
        <v>0.81041666666666667</v>
      </c>
      <c r="M5" s="6" t="s">
        <v>109</v>
      </c>
      <c r="N5" s="7" t="s">
        <v>109</v>
      </c>
      <c r="O5" s="6" t="s">
        <v>61</v>
      </c>
      <c r="P5" s="7" t="s">
        <v>131</v>
      </c>
      <c r="Q5" s="7" t="s">
        <v>89</v>
      </c>
      <c r="R5" s="7" t="s">
        <v>63</v>
      </c>
      <c r="S5" s="7" t="s">
        <v>123</v>
      </c>
      <c r="T5" s="6" t="s">
        <v>113</v>
      </c>
      <c r="U5" s="7" t="s">
        <v>109</v>
      </c>
      <c r="V5" s="7" t="s">
        <v>109</v>
      </c>
      <c r="W5" s="6" t="s">
        <v>113</v>
      </c>
    </row>
    <row r="6" spans="1:23" x14ac:dyDescent="0.3">
      <c r="A6" s="7">
        <v>5</v>
      </c>
      <c r="B6" s="6" t="s">
        <v>24</v>
      </c>
      <c r="C6" s="6" t="s">
        <v>31</v>
      </c>
      <c r="D6" s="6">
        <v>61225003</v>
      </c>
      <c r="E6" s="6">
        <v>29</v>
      </c>
      <c r="F6" s="7">
        <v>5</v>
      </c>
      <c r="G6" s="7">
        <v>0</v>
      </c>
      <c r="H6" s="10" t="s">
        <v>84</v>
      </c>
      <c r="I6" s="6" t="s">
        <v>90</v>
      </c>
      <c r="J6" s="7" t="s">
        <v>130</v>
      </c>
      <c r="K6" s="11">
        <v>0.94166666666666665</v>
      </c>
      <c r="L6" s="11">
        <v>0.99930555555555556</v>
      </c>
      <c r="M6" s="6" t="s">
        <v>109</v>
      </c>
      <c r="N6" s="7" t="s">
        <v>109</v>
      </c>
      <c r="O6" s="6" t="s">
        <v>61</v>
      </c>
      <c r="P6" s="7" t="s">
        <v>131</v>
      </c>
      <c r="Q6" s="7" t="s">
        <v>90</v>
      </c>
      <c r="R6" s="7" t="s">
        <v>63</v>
      </c>
      <c r="S6" s="7" t="s">
        <v>123</v>
      </c>
      <c r="T6" s="6" t="s">
        <v>113</v>
      </c>
      <c r="U6" s="7" t="s">
        <v>109</v>
      </c>
      <c r="V6" s="7" t="s">
        <v>109</v>
      </c>
      <c r="W6" s="6" t="s">
        <v>113</v>
      </c>
    </row>
    <row r="7" spans="1:23" x14ac:dyDescent="0.3">
      <c r="A7" s="7">
        <v>6</v>
      </c>
      <c r="B7" s="6" t="s">
        <v>24</v>
      </c>
      <c r="C7" s="6" t="s">
        <v>32</v>
      </c>
      <c r="D7" s="6">
        <v>61225004</v>
      </c>
      <c r="E7" s="6">
        <v>29</v>
      </c>
      <c r="F7" s="7">
        <v>5</v>
      </c>
      <c r="G7" s="7">
        <v>2</v>
      </c>
      <c r="H7" s="10" t="s">
        <v>64</v>
      </c>
      <c r="I7" s="6" t="s">
        <v>91</v>
      </c>
      <c r="J7" s="7" t="s">
        <v>130</v>
      </c>
      <c r="K7" s="11">
        <v>0.79236111111111107</v>
      </c>
      <c r="L7" s="11">
        <v>0.81388888888888888</v>
      </c>
      <c r="M7" s="6" t="s">
        <v>109</v>
      </c>
      <c r="N7" s="7" t="s">
        <v>109</v>
      </c>
      <c r="O7" s="6" t="s">
        <v>61</v>
      </c>
      <c r="P7" s="7" t="s">
        <v>131</v>
      </c>
      <c r="Q7" s="7" t="s">
        <v>91</v>
      </c>
      <c r="R7" s="7" t="s">
        <v>63</v>
      </c>
      <c r="S7" s="7" t="s">
        <v>123</v>
      </c>
      <c r="T7" s="6" t="s">
        <v>113</v>
      </c>
      <c r="U7" s="7" t="s">
        <v>109</v>
      </c>
      <c r="V7" s="7" t="s">
        <v>109</v>
      </c>
      <c r="W7" s="6" t="s">
        <v>113</v>
      </c>
    </row>
    <row r="8" spans="1:23" x14ac:dyDescent="0.3">
      <c r="A8" s="7">
        <v>7</v>
      </c>
      <c r="B8" s="6" t="s">
        <v>25</v>
      </c>
      <c r="C8" s="6" t="s">
        <v>33</v>
      </c>
      <c r="D8" s="6">
        <v>41225016</v>
      </c>
      <c r="E8" s="6">
        <v>37</v>
      </c>
      <c r="F8" s="7">
        <v>64</v>
      </c>
      <c r="G8" s="7">
        <v>20</v>
      </c>
      <c r="H8" s="6" t="s">
        <v>68</v>
      </c>
      <c r="I8" s="6" t="s">
        <v>92</v>
      </c>
      <c r="J8" s="7" t="s">
        <v>130</v>
      </c>
      <c r="K8" s="11">
        <v>0.67013888888888884</v>
      </c>
      <c r="L8" s="11">
        <v>0.71944444444444444</v>
      </c>
      <c r="M8" s="6" t="s">
        <v>109</v>
      </c>
      <c r="N8" s="7" t="s">
        <v>109</v>
      </c>
      <c r="O8" s="6" t="s">
        <v>61</v>
      </c>
      <c r="P8" s="7" t="s">
        <v>131</v>
      </c>
      <c r="Q8" s="7" t="s">
        <v>92</v>
      </c>
      <c r="R8" s="7" t="s">
        <v>62</v>
      </c>
      <c r="S8" s="7" t="s">
        <v>123</v>
      </c>
      <c r="T8" s="6" t="s">
        <v>114</v>
      </c>
      <c r="U8" s="7" t="s">
        <v>109</v>
      </c>
      <c r="V8" s="7" t="s">
        <v>109</v>
      </c>
      <c r="W8" s="6" t="s">
        <v>114</v>
      </c>
    </row>
    <row r="9" spans="1:23" x14ac:dyDescent="0.3">
      <c r="A9" s="7">
        <v>8</v>
      </c>
      <c r="B9" s="6" t="s">
        <v>24</v>
      </c>
      <c r="C9" s="6" t="s">
        <v>34</v>
      </c>
      <c r="D9" s="6">
        <v>61225002</v>
      </c>
      <c r="E9" s="6">
        <v>38</v>
      </c>
      <c r="F9" s="7">
        <v>27</v>
      </c>
      <c r="G9" s="7">
        <v>8</v>
      </c>
      <c r="H9" s="6" t="s">
        <v>69</v>
      </c>
      <c r="I9" s="6" t="s">
        <v>93</v>
      </c>
      <c r="J9" s="7" t="s">
        <v>130</v>
      </c>
      <c r="K9" s="11">
        <v>0.74652777777777779</v>
      </c>
      <c r="L9" s="11">
        <v>0.75347222222222221</v>
      </c>
      <c r="M9" s="6" t="s">
        <v>109</v>
      </c>
      <c r="N9" s="7" t="s">
        <v>109</v>
      </c>
      <c r="O9" s="6" t="s">
        <v>61</v>
      </c>
      <c r="P9" s="7" t="s">
        <v>131</v>
      </c>
      <c r="Q9" s="7" t="s">
        <v>93</v>
      </c>
      <c r="R9" s="7" t="s">
        <v>63</v>
      </c>
      <c r="S9" s="7" t="s">
        <v>123</v>
      </c>
      <c r="T9" s="6" t="s">
        <v>113</v>
      </c>
      <c r="U9" s="7" t="s">
        <v>109</v>
      </c>
      <c r="V9" s="7" t="s">
        <v>109</v>
      </c>
      <c r="W9" s="6" t="s">
        <v>113</v>
      </c>
    </row>
    <row r="10" spans="1:23" x14ac:dyDescent="0.3">
      <c r="A10" s="7">
        <v>9</v>
      </c>
      <c r="B10" s="6" t="s">
        <v>23</v>
      </c>
      <c r="C10" s="6" t="s">
        <v>35</v>
      </c>
      <c r="D10" s="6">
        <v>50825149</v>
      </c>
      <c r="E10" s="6">
        <v>60</v>
      </c>
      <c r="F10" s="7">
        <v>198</v>
      </c>
      <c r="G10" s="7">
        <v>33</v>
      </c>
      <c r="H10" s="6" t="s">
        <v>65</v>
      </c>
      <c r="I10" s="6" t="s">
        <v>86</v>
      </c>
      <c r="J10" s="7" t="s">
        <v>130</v>
      </c>
      <c r="K10" s="11">
        <v>0.8833333333333333</v>
      </c>
      <c r="L10" s="11">
        <v>0.96805555555555556</v>
      </c>
      <c r="M10" s="6" t="s">
        <v>109</v>
      </c>
      <c r="N10" s="7" t="s">
        <v>109</v>
      </c>
      <c r="O10" s="6" t="s">
        <v>61</v>
      </c>
      <c r="P10" s="7" t="s">
        <v>131</v>
      </c>
      <c r="Q10" s="7" t="s">
        <v>86</v>
      </c>
      <c r="R10" s="7" t="s">
        <v>62</v>
      </c>
      <c r="S10" s="7" t="s">
        <v>123</v>
      </c>
      <c r="T10" s="6" t="s">
        <v>115</v>
      </c>
      <c r="U10" s="7" t="s">
        <v>109</v>
      </c>
      <c r="V10" s="7" t="s">
        <v>109</v>
      </c>
      <c r="W10" s="6" t="s">
        <v>115</v>
      </c>
    </row>
    <row r="11" spans="1:23" x14ac:dyDescent="0.3">
      <c r="A11" s="7">
        <v>10</v>
      </c>
      <c r="B11" s="6" t="s">
        <v>23</v>
      </c>
      <c r="C11" s="6" t="s">
        <v>36</v>
      </c>
      <c r="D11" s="6">
        <v>50825010</v>
      </c>
      <c r="E11" s="6">
        <v>60</v>
      </c>
      <c r="F11" s="7">
        <v>87</v>
      </c>
      <c r="G11" s="7">
        <v>59</v>
      </c>
      <c r="H11" s="6" t="s">
        <v>70</v>
      </c>
      <c r="I11" s="6" t="s">
        <v>94</v>
      </c>
      <c r="J11" s="7" t="s">
        <v>130</v>
      </c>
      <c r="K11" s="11">
        <v>0.77083333333333337</v>
      </c>
      <c r="L11" s="11">
        <v>0.82777777777777772</v>
      </c>
      <c r="M11" s="6" t="s">
        <v>109</v>
      </c>
      <c r="N11" s="7" t="s">
        <v>109</v>
      </c>
      <c r="O11" s="6" t="s">
        <v>61</v>
      </c>
      <c r="P11" s="7" t="s">
        <v>131</v>
      </c>
      <c r="Q11" s="7" t="s">
        <v>94</v>
      </c>
      <c r="R11" s="7" t="s">
        <v>62</v>
      </c>
      <c r="S11" s="7" t="s">
        <v>123</v>
      </c>
      <c r="T11" s="6" t="s">
        <v>115</v>
      </c>
      <c r="U11" s="7" t="s">
        <v>109</v>
      </c>
      <c r="V11" s="7" t="s">
        <v>109</v>
      </c>
      <c r="W11" s="6" t="s">
        <v>115</v>
      </c>
    </row>
    <row r="12" spans="1:23" x14ac:dyDescent="0.3">
      <c r="A12" s="7">
        <v>11</v>
      </c>
      <c r="B12" s="6" t="s">
        <v>23</v>
      </c>
      <c r="C12" s="6" t="s">
        <v>37</v>
      </c>
      <c r="D12" s="6">
        <v>50825009</v>
      </c>
      <c r="E12" s="6">
        <v>75</v>
      </c>
      <c r="F12" s="7">
        <v>108</v>
      </c>
      <c r="G12" s="7">
        <v>76</v>
      </c>
      <c r="H12" s="6" t="s">
        <v>71</v>
      </c>
      <c r="I12" s="6" t="s">
        <v>87</v>
      </c>
      <c r="J12" s="7" t="s">
        <v>130</v>
      </c>
      <c r="K12" s="11">
        <v>0.74583333333333335</v>
      </c>
      <c r="L12" s="11">
        <v>0.77708333333333335</v>
      </c>
      <c r="M12" s="6" t="s">
        <v>109</v>
      </c>
      <c r="N12" s="7" t="s">
        <v>109</v>
      </c>
      <c r="O12" s="6" t="s">
        <v>61</v>
      </c>
      <c r="P12" s="7" t="s">
        <v>131</v>
      </c>
      <c r="Q12" s="7" t="s">
        <v>87</v>
      </c>
      <c r="R12" s="7" t="s">
        <v>62</v>
      </c>
      <c r="S12" s="7" t="s">
        <v>123</v>
      </c>
      <c r="T12" s="6" t="s">
        <v>115</v>
      </c>
      <c r="U12" s="7" t="s">
        <v>109</v>
      </c>
      <c r="V12" s="7" t="s">
        <v>109</v>
      </c>
      <c r="W12" s="6" t="s">
        <v>115</v>
      </c>
    </row>
    <row r="13" spans="1:23" x14ac:dyDescent="0.3">
      <c r="A13" s="7">
        <v>12</v>
      </c>
      <c r="B13" s="6" t="s">
        <v>23</v>
      </c>
      <c r="C13" s="6" t="s">
        <v>38</v>
      </c>
      <c r="D13" s="6">
        <v>50725096</v>
      </c>
      <c r="E13" s="6">
        <v>80</v>
      </c>
      <c r="F13" s="7">
        <v>165</v>
      </c>
      <c r="G13" s="7">
        <v>86</v>
      </c>
      <c r="H13" s="6" t="s">
        <v>72</v>
      </c>
      <c r="I13" s="6" t="s">
        <v>95</v>
      </c>
      <c r="J13" s="7" t="s">
        <v>130</v>
      </c>
      <c r="K13" s="11">
        <v>0.78402777777777777</v>
      </c>
      <c r="L13" s="11">
        <v>0.78819444444444442</v>
      </c>
      <c r="M13" s="6" t="s">
        <v>109</v>
      </c>
      <c r="N13" s="7" t="s">
        <v>109</v>
      </c>
      <c r="O13" s="6" t="s">
        <v>61</v>
      </c>
      <c r="P13" s="7" t="s">
        <v>131</v>
      </c>
      <c r="Q13" s="7" t="s">
        <v>95</v>
      </c>
      <c r="R13" s="7" t="s">
        <v>62</v>
      </c>
      <c r="S13" s="7" t="s">
        <v>123</v>
      </c>
      <c r="T13" s="6" t="s">
        <v>115</v>
      </c>
      <c r="U13" s="7" t="s">
        <v>109</v>
      </c>
      <c r="V13" s="7" t="s">
        <v>109</v>
      </c>
      <c r="W13" s="6" t="s">
        <v>115</v>
      </c>
    </row>
    <row r="14" spans="1:23" x14ac:dyDescent="0.3">
      <c r="A14" s="7">
        <v>13</v>
      </c>
      <c r="B14" s="6" t="s">
        <v>23</v>
      </c>
      <c r="C14" s="6" t="s">
        <v>39</v>
      </c>
      <c r="D14" s="6">
        <v>51225109</v>
      </c>
      <c r="E14" s="6">
        <v>100</v>
      </c>
      <c r="F14" s="7">
        <v>177</v>
      </c>
      <c r="G14" s="7">
        <v>61</v>
      </c>
      <c r="H14" s="6" t="s">
        <v>73</v>
      </c>
      <c r="I14" s="6" t="s">
        <v>96</v>
      </c>
      <c r="J14" s="7" t="s">
        <v>130</v>
      </c>
      <c r="K14" s="11">
        <v>0.75902777777777775</v>
      </c>
      <c r="L14" s="11">
        <v>0.8256944444444444</v>
      </c>
      <c r="M14" s="6" t="s">
        <v>109</v>
      </c>
      <c r="N14" s="7" t="s">
        <v>109</v>
      </c>
      <c r="O14" s="6" t="s">
        <v>61</v>
      </c>
      <c r="P14" s="7" t="s">
        <v>131</v>
      </c>
      <c r="Q14" s="7" t="s">
        <v>92</v>
      </c>
      <c r="R14" s="7" t="s">
        <v>62</v>
      </c>
      <c r="S14" s="7" t="s">
        <v>123</v>
      </c>
      <c r="T14" s="6" t="s">
        <v>112</v>
      </c>
      <c r="U14" s="7" t="s">
        <v>109</v>
      </c>
      <c r="V14" s="7" t="s">
        <v>109</v>
      </c>
      <c r="W14" s="6" t="s">
        <v>112</v>
      </c>
    </row>
    <row r="15" spans="1:23" x14ac:dyDescent="0.3">
      <c r="A15" s="7">
        <v>14</v>
      </c>
      <c r="B15" s="6" t="s">
        <v>23</v>
      </c>
      <c r="C15" s="6" t="s">
        <v>40</v>
      </c>
      <c r="D15" s="6">
        <v>51125138</v>
      </c>
      <c r="E15" s="6">
        <v>100</v>
      </c>
      <c r="F15" s="7">
        <v>161</v>
      </c>
      <c r="G15" s="7">
        <v>108</v>
      </c>
      <c r="H15" s="6" t="s">
        <v>74</v>
      </c>
      <c r="I15" s="6" t="s">
        <v>97</v>
      </c>
      <c r="J15" s="7" t="s">
        <v>130</v>
      </c>
      <c r="K15" s="11">
        <v>0.73819444444444449</v>
      </c>
      <c r="L15" s="11">
        <v>0.73819444444444449</v>
      </c>
      <c r="M15" s="6" t="s">
        <v>109</v>
      </c>
      <c r="N15" s="7" t="s">
        <v>109</v>
      </c>
      <c r="O15" s="6" t="s">
        <v>61</v>
      </c>
      <c r="P15" s="7" t="s">
        <v>131</v>
      </c>
      <c r="Q15" s="7" t="s">
        <v>89</v>
      </c>
      <c r="R15" s="7" t="s">
        <v>62</v>
      </c>
      <c r="S15" s="7" t="s">
        <v>123</v>
      </c>
      <c r="T15" s="6" t="s">
        <v>116</v>
      </c>
      <c r="U15" s="7" t="s">
        <v>109</v>
      </c>
      <c r="V15" s="7" t="s">
        <v>109</v>
      </c>
      <c r="W15" s="6" t="s">
        <v>116</v>
      </c>
    </row>
    <row r="16" spans="1:23" x14ac:dyDescent="0.3">
      <c r="A16" s="7">
        <v>15</v>
      </c>
      <c r="B16" s="6" t="s">
        <v>24</v>
      </c>
      <c r="C16" s="6" t="s">
        <v>41</v>
      </c>
      <c r="D16" s="6">
        <v>61125005</v>
      </c>
      <c r="E16" s="6">
        <v>105</v>
      </c>
      <c r="F16" s="7">
        <v>211</v>
      </c>
      <c r="G16" s="7">
        <v>110</v>
      </c>
      <c r="H16" s="6" t="s">
        <v>75</v>
      </c>
      <c r="I16" s="6" t="s">
        <v>98</v>
      </c>
      <c r="J16" s="7" t="s">
        <v>130</v>
      </c>
      <c r="K16" s="11">
        <v>0.80694444444444446</v>
      </c>
      <c r="L16" s="11">
        <v>0.84583333333333333</v>
      </c>
      <c r="M16" s="6" t="s">
        <v>110</v>
      </c>
      <c r="N16" s="7" t="s">
        <v>109</v>
      </c>
      <c r="O16" s="6" t="s">
        <v>61</v>
      </c>
      <c r="P16" s="7" t="s">
        <v>131</v>
      </c>
      <c r="Q16" s="7" t="s">
        <v>88</v>
      </c>
      <c r="R16" s="7" t="s">
        <v>63</v>
      </c>
      <c r="S16" s="7" t="s">
        <v>123</v>
      </c>
      <c r="T16" s="6" t="s">
        <v>117</v>
      </c>
      <c r="U16" s="7" t="s">
        <v>109</v>
      </c>
      <c r="V16" s="7" t="s">
        <v>109</v>
      </c>
      <c r="W16" s="6" t="s">
        <v>117</v>
      </c>
    </row>
    <row r="17" spans="1:23" x14ac:dyDescent="0.3">
      <c r="A17" s="7">
        <v>16</v>
      </c>
      <c r="B17" s="6" t="s">
        <v>25</v>
      </c>
      <c r="C17" s="6" t="s">
        <v>42</v>
      </c>
      <c r="D17" s="6">
        <v>41225025</v>
      </c>
      <c r="E17" s="6">
        <v>111</v>
      </c>
      <c r="F17" s="7">
        <v>179</v>
      </c>
      <c r="G17" s="7">
        <v>111</v>
      </c>
      <c r="H17" s="6" t="s">
        <v>76</v>
      </c>
      <c r="I17" s="6" t="s">
        <v>98</v>
      </c>
      <c r="J17" s="7" t="s">
        <v>130</v>
      </c>
      <c r="K17" s="11">
        <v>0.79861111111111116</v>
      </c>
      <c r="L17" s="11">
        <v>0.86944444444444446</v>
      </c>
      <c r="M17" s="6" t="s">
        <v>109</v>
      </c>
      <c r="N17" s="7" t="s">
        <v>109</v>
      </c>
      <c r="O17" s="6" t="s">
        <v>61</v>
      </c>
      <c r="P17" s="7" t="s">
        <v>131</v>
      </c>
      <c r="Q17" s="7" t="s">
        <v>88</v>
      </c>
      <c r="R17" s="7" t="s">
        <v>62</v>
      </c>
      <c r="S17" s="7" t="s">
        <v>123</v>
      </c>
      <c r="T17" s="6" t="s">
        <v>118</v>
      </c>
      <c r="U17" s="7" t="s">
        <v>109</v>
      </c>
      <c r="V17" s="7" t="s">
        <v>109</v>
      </c>
      <c r="W17" s="6" t="s">
        <v>118</v>
      </c>
    </row>
    <row r="18" spans="1:23" x14ac:dyDescent="0.3">
      <c r="A18" s="7">
        <v>17</v>
      </c>
      <c r="B18" s="6" t="s">
        <v>23</v>
      </c>
      <c r="C18" s="6" t="s">
        <v>43</v>
      </c>
      <c r="D18" s="6">
        <v>51125143</v>
      </c>
      <c r="E18" s="6">
        <v>120</v>
      </c>
      <c r="F18" s="7">
        <v>212</v>
      </c>
      <c r="G18" s="7">
        <v>126</v>
      </c>
      <c r="H18" s="10" t="s">
        <v>127</v>
      </c>
      <c r="I18" s="6" t="s">
        <v>99</v>
      </c>
      <c r="J18" s="7" t="s">
        <v>130</v>
      </c>
      <c r="K18" s="11">
        <v>0.94930555555555551</v>
      </c>
      <c r="L18" s="11">
        <v>0.98750000000000004</v>
      </c>
      <c r="M18" s="6" t="s">
        <v>109</v>
      </c>
      <c r="N18" s="7" t="s">
        <v>109</v>
      </c>
      <c r="O18" s="6" t="s">
        <v>61</v>
      </c>
      <c r="P18" s="7" t="s">
        <v>131</v>
      </c>
      <c r="Q18" s="7" t="s">
        <v>91</v>
      </c>
      <c r="R18" s="7" t="s">
        <v>62</v>
      </c>
      <c r="S18" s="7" t="s">
        <v>123</v>
      </c>
      <c r="T18" s="6" t="s">
        <v>116</v>
      </c>
      <c r="U18" s="7" t="s">
        <v>109</v>
      </c>
      <c r="V18" s="7" t="s">
        <v>109</v>
      </c>
      <c r="W18" s="6" t="s">
        <v>116</v>
      </c>
    </row>
    <row r="19" spans="1:23" x14ac:dyDescent="0.3">
      <c r="A19" s="7">
        <v>18</v>
      </c>
      <c r="B19" s="6" t="s">
        <v>25</v>
      </c>
      <c r="C19" s="6" t="s">
        <v>44</v>
      </c>
      <c r="D19" s="6">
        <v>41225022</v>
      </c>
      <c r="E19" s="6">
        <v>135</v>
      </c>
      <c r="F19" s="7">
        <v>266</v>
      </c>
      <c r="G19" s="7">
        <v>42</v>
      </c>
      <c r="H19" s="6" t="s">
        <v>77</v>
      </c>
      <c r="I19" s="6" t="s">
        <v>100</v>
      </c>
      <c r="J19" s="7" t="s">
        <v>130</v>
      </c>
      <c r="K19" s="11">
        <v>0.69305555555555554</v>
      </c>
      <c r="L19" s="11">
        <v>0.74027777777777781</v>
      </c>
      <c r="M19" s="6" t="s">
        <v>109</v>
      </c>
      <c r="N19" s="7" t="s">
        <v>109</v>
      </c>
      <c r="O19" s="6" t="s">
        <v>61</v>
      </c>
      <c r="P19" s="7" t="s">
        <v>131</v>
      </c>
      <c r="Q19" s="7" t="s">
        <v>92</v>
      </c>
      <c r="R19" s="7" t="s">
        <v>62</v>
      </c>
      <c r="S19" s="7" t="s">
        <v>123</v>
      </c>
      <c r="T19" s="6" t="s">
        <v>114</v>
      </c>
      <c r="U19" s="7" t="s">
        <v>109</v>
      </c>
      <c r="V19" s="7" t="s">
        <v>109</v>
      </c>
      <c r="W19" s="6" t="s">
        <v>114</v>
      </c>
    </row>
    <row r="20" spans="1:23" x14ac:dyDescent="0.3">
      <c r="A20" s="7">
        <v>19</v>
      </c>
      <c r="B20" s="6" t="s">
        <v>24</v>
      </c>
      <c r="C20" s="6" t="s">
        <v>45</v>
      </c>
      <c r="D20" s="6">
        <v>61125004</v>
      </c>
      <c r="E20" s="6">
        <v>135</v>
      </c>
      <c r="F20" s="7">
        <v>315</v>
      </c>
      <c r="G20" s="7">
        <v>103</v>
      </c>
      <c r="H20" s="6" t="s">
        <v>78</v>
      </c>
      <c r="I20" s="6" t="s">
        <v>101</v>
      </c>
      <c r="J20" s="7" t="s">
        <v>130</v>
      </c>
      <c r="K20" s="11">
        <v>0.69305555555555554</v>
      </c>
      <c r="L20" s="11">
        <v>0.7368055555555556</v>
      </c>
      <c r="M20" s="6" t="s">
        <v>110</v>
      </c>
      <c r="N20" s="7" t="s">
        <v>109</v>
      </c>
      <c r="O20" s="6" t="s">
        <v>61</v>
      </c>
      <c r="P20" s="7" t="s">
        <v>131</v>
      </c>
      <c r="Q20" s="7" t="s">
        <v>93</v>
      </c>
      <c r="R20" s="7" t="s">
        <v>63</v>
      </c>
      <c r="S20" s="7" t="s">
        <v>123</v>
      </c>
      <c r="T20" s="6" t="s">
        <v>117</v>
      </c>
      <c r="U20" s="7" t="s">
        <v>109</v>
      </c>
      <c r="V20" s="7" t="s">
        <v>109</v>
      </c>
      <c r="W20" s="6" t="s">
        <v>117</v>
      </c>
    </row>
    <row r="21" spans="1:23" x14ac:dyDescent="0.3">
      <c r="A21" s="7">
        <v>20</v>
      </c>
      <c r="B21" s="6" t="s">
        <v>24</v>
      </c>
      <c r="C21" s="6" t="s">
        <v>46</v>
      </c>
      <c r="D21" s="6">
        <v>61225009</v>
      </c>
      <c r="E21" s="6">
        <v>150</v>
      </c>
      <c r="F21" s="7">
        <v>252</v>
      </c>
      <c r="G21" s="7">
        <v>159</v>
      </c>
      <c r="H21" s="6" t="s">
        <v>79</v>
      </c>
      <c r="I21" s="6" t="s">
        <v>102</v>
      </c>
      <c r="J21" s="7" t="s">
        <v>130</v>
      </c>
      <c r="K21" s="11">
        <v>0.81041666666666667</v>
      </c>
      <c r="L21" s="11">
        <v>0.83263888888888893</v>
      </c>
      <c r="M21" s="6" t="s">
        <v>110</v>
      </c>
      <c r="N21" s="7" t="s">
        <v>109</v>
      </c>
      <c r="O21" s="6" t="s">
        <v>61</v>
      </c>
      <c r="P21" s="7" t="s">
        <v>131</v>
      </c>
      <c r="Q21" s="7" t="s">
        <v>89</v>
      </c>
      <c r="R21" s="7" t="s">
        <v>63</v>
      </c>
      <c r="S21" s="7" t="s">
        <v>123</v>
      </c>
      <c r="T21" s="6" t="s">
        <v>119</v>
      </c>
      <c r="U21" s="7" t="s">
        <v>109</v>
      </c>
      <c r="V21" s="7" t="s">
        <v>109</v>
      </c>
      <c r="W21" s="6" t="s">
        <v>119</v>
      </c>
    </row>
    <row r="22" spans="1:23" x14ac:dyDescent="0.3">
      <c r="A22" s="7">
        <v>21</v>
      </c>
      <c r="B22" s="6" t="s">
        <v>23</v>
      </c>
      <c r="C22" s="6" t="s">
        <v>47</v>
      </c>
      <c r="D22" s="6">
        <v>51125139</v>
      </c>
      <c r="E22" s="6">
        <v>150</v>
      </c>
      <c r="F22" s="7">
        <v>209</v>
      </c>
      <c r="G22" s="7">
        <v>150</v>
      </c>
      <c r="H22" s="10" t="s">
        <v>124</v>
      </c>
      <c r="I22" s="6" t="s">
        <v>99</v>
      </c>
      <c r="J22" s="7" t="s">
        <v>130</v>
      </c>
      <c r="K22" s="11">
        <v>0.90555555555555556</v>
      </c>
      <c r="L22" s="11">
        <v>0.96319444444444446</v>
      </c>
      <c r="M22" s="6" t="s">
        <v>109</v>
      </c>
      <c r="N22" s="7" t="s">
        <v>109</v>
      </c>
      <c r="O22" s="6" t="s">
        <v>61</v>
      </c>
      <c r="P22" s="7" t="s">
        <v>131</v>
      </c>
      <c r="Q22" s="7" t="s">
        <v>87</v>
      </c>
      <c r="R22" s="7" t="s">
        <v>62</v>
      </c>
      <c r="S22" s="7" t="s">
        <v>123</v>
      </c>
      <c r="T22" s="6" t="s">
        <v>116</v>
      </c>
      <c r="U22" s="7" t="s">
        <v>109</v>
      </c>
      <c r="V22" s="7" t="s">
        <v>109</v>
      </c>
      <c r="W22" s="6" t="s">
        <v>116</v>
      </c>
    </row>
    <row r="23" spans="1:23" x14ac:dyDescent="0.3">
      <c r="A23" s="7">
        <v>22</v>
      </c>
      <c r="B23" s="6" t="s">
        <v>24</v>
      </c>
      <c r="C23" s="6" t="s">
        <v>48</v>
      </c>
      <c r="D23" s="6">
        <v>61125003</v>
      </c>
      <c r="E23" s="6">
        <v>201</v>
      </c>
      <c r="F23" s="7">
        <v>404</v>
      </c>
      <c r="G23" s="7">
        <v>43</v>
      </c>
      <c r="H23" s="10" t="s">
        <v>128</v>
      </c>
      <c r="I23" s="6" t="s">
        <v>103</v>
      </c>
      <c r="J23" s="7" t="s">
        <v>130</v>
      </c>
      <c r="K23" s="11">
        <v>0.82847222222222228</v>
      </c>
      <c r="L23" s="11">
        <v>0.85486111111111107</v>
      </c>
      <c r="M23" s="6" t="s">
        <v>110</v>
      </c>
      <c r="N23" s="7" t="s">
        <v>109</v>
      </c>
      <c r="O23" s="6" t="s">
        <v>61</v>
      </c>
      <c r="P23" s="7" t="s">
        <v>131</v>
      </c>
      <c r="Q23" s="7" t="s">
        <v>90</v>
      </c>
      <c r="R23" s="7" t="s">
        <v>63</v>
      </c>
      <c r="S23" s="7" t="s">
        <v>123</v>
      </c>
      <c r="T23" s="6" t="s">
        <v>116</v>
      </c>
      <c r="U23" s="7" t="s">
        <v>109</v>
      </c>
      <c r="V23" s="7" t="s">
        <v>109</v>
      </c>
      <c r="W23" s="6" t="s">
        <v>116</v>
      </c>
    </row>
    <row r="24" spans="1:23" x14ac:dyDescent="0.3">
      <c r="A24" s="7">
        <v>23</v>
      </c>
      <c r="B24" s="6" t="s">
        <v>24</v>
      </c>
      <c r="C24" s="6" t="s">
        <v>49</v>
      </c>
      <c r="D24" s="6">
        <v>61225008</v>
      </c>
      <c r="E24" s="6">
        <v>225</v>
      </c>
      <c r="F24" s="7">
        <v>489</v>
      </c>
      <c r="G24" s="7">
        <v>105</v>
      </c>
      <c r="H24" s="6" t="s">
        <v>80</v>
      </c>
      <c r="I24" s="6" t="s">
        <v>104</v>
      </c>
      <c r="J24" s="7" t="s">
        <v>130</v>
      </c>
      <c r="K24" s="11">
        <v>0.87569444444444444</v>
      </c>
      <c r="L24" s="11">
        <v>0.91805555555555551</v>
      </c>
      <c r="M24" s="6" t="s">
        <v>109</v>
      </c>
      <c r="N24" s="7" t="s">
        <v>109</v>
      </c>
      <c r="O24" s="6" t="s">
        <v>61</v>
      </c>
      <c r="P24" s="7" t="s">
        <v>131</v>
      </c>
      <c r="Q24" s="7" t="s">
        <v>93</v>
      </c>
      <c r="R24" s="7" t="s">
        <v>63</v>
      </c>
      <c r="S24" s="7" t="s">
        <v>123</v>
      </c>
      <c r="T24" s="6" t="s">
        <v>120</v>
      </c>
      <c r="U24" s="7" t="s">
        <v>109</v>
      </c>
      <c r="V24" s="7" t="s">
        <v>109</v>
      </c>
      <c r="W24" s="6" t="s">
        <v>120</v>
      </c>
    </row>
    <row r="25" spans="1:23" x14ac:dyDescent="0.3">
      <c r="A25" s="7">
        <v>24</v>
      </c>
      <c r="B25" s="6" t="s">
        <v>26</v>
      </c>
      <c r="C25" s="6" t="s">
        <v>50</v>
      </c>
      <c r="D25" s="6">
        <v>41225020</v>
      </c>
      <c r="E25" s="6">
        <v>241</v>
      </c>
      <c r="F25" s="7">
        <v>379</v>
      </c>
      <c r="G25" s="7">
        <v>37</v>
      </c>
      <c r="H25" s="10" t="s">
        <v>125</v>
      </c>
      <c r="I25" s="6" t="s">
        <v>105</v>
      </c>
      <c r="J25" s="7" t="s">
        <v>130</v>
      </c>
      <c r="K25" s="11">
        <v>0.94513888888888886</v>
      </c>
      <c r="L25" s="11">
        <v>0.96875</v>
      </c>
      <c r="M25" s="6" t="s">
        <v>109</v>
      </c>
      <c r="N25" s="7" t="s">
        <v>109</v>
      </c>
      <c r="O25" s="6" t="s">
        <v>61</v>
      </c>
      <c r="P25" s="7" t="s">
        <v>131</v>
      </c>
      <c r="Q25" s="7" t="s">
        <v>92</v>
      </c>
      <c r="R25" s="7" t="s">
        <v>62</v>
      </c>
      <c r="S25" s="7" t="s">
        <v>123</v>
      </c>
      <c r="T25" s="6" t="s">
        <v>121</v>
      </c>
      <c r="U25" s="7" t="s">
        <v>109</v>
      </c>
      <c r="V25" s="7" t="s">
        <v>109</v>
      </c>
      <c r="W25" s="6" t="s">
        <v>121</v>
      </c>
    </row>
    <row r="26" spans="1:23" x14ac:dyDescent="0.3">
      <c r="A26" s="7">
        <v>25</v>
      </c>
      <c r="B26" s="6" t="s">
        <v>24</v>
      </c>
      <c r="C26" s="6" t="s">
        <v>51</v>
      </c>
      <c r="D26" s="6">
        <v>61125015</v>
      </c>
      <c r="E26" s="6">
        <v>249</v>
      </c>
      <c r="F26" s="7">
        <v>466</v>
      </c>
      <c r="G26" s="7">
        <v>143</v>
      </c>
      <c r="H26" s="10" t="s">
        <v>126</v>
      </c>
      <c r="I26" s="6" t="s">
        <v>106</v>
      </c>
      <c r="J26" s="7" t="s">
        <v>130</v>
      </c>
      <c r="K26" s="11">
        <v>0.9</v>
      </c>
      <c r="L26" s="11">
        <v>0.99791666666666667</v>
      </c>
      <c r="M26" s="6" t="s">
        <v>110</v>
      </c>
      <c r="N26" s="7" t="s">
        <v>109</v>
      </c>
      <c r="O26" s="6" t="s">
        <v>61</v>
      </c>
      <c r="P26" s="7" t="s">
        <v>131</v>
      </c>
      <c r="Q26" s="7" t="s">
        <v>90</v>
      </c>
      <c r="R26" s="7" t="s">
        <v>63</v>
      </c>
      <c r="S26" s="7" t="s">
        <v>123</v>
      </c>
      <c r="T26" s="6" t="s">
        <v>120</v>
      </c>
      <c r="U26" s="7" t="s">
        <v>109</v>
      </c>
      <c r="V26" s="7" t="s">
        <v>109</v>
      </c>
      <c r="W26" s="6" t="s">
        <v>120</v>
      </c>
    </row>
    <row r="27" spans="1:23" x14ac:dyDescent="0.3">
      <c r="A27" s="7">
        <v>26</v>
      </c>
      <c r="B27" s="6" t="s">
        <v>23</v>
      </c>
      <c r="C27" s="6" t="s">
        <v>52</v>
      </c>
      <c r="D27" s="6">
        <v>51125133</v>
      </c>
      <c r="E27" s="6">
        <v>350</v>
      </c>
      <c r="F27" s="7">
        <v>707</v>
      </c>
      <c r="G27" s="7">
        <v>246</v>
      </c>
      <c r="H27" s="6" t="s">
        <v>81</v>
      </c>
      <c r="I27" s="6" t="s">
        <v>107</v>
      </c>
      <c r="J27" s="7" t="s">
        <v>130</v>
      </c>
      <c r="K27" s="11">
        <v>0.74722222222222223</v>
      </c>
      <c r="L27" s="11">
        <v>0.80902777777777779</v>
      </c>
      <c r="M27" s="6" t="s">
        <v>109</v>
      </c>
      <c r="N27" s="7" t="s">
        <v>109</v>
      </c>
      <c r="O27" s="6" t="s">
        <v>61</v>
      </c>
      <c r="P27" s="7" t="s">
        <v>131</v>
      </c>
      <c r="Q27" s="7" t="s">
        <v>92</v>
      </c>
      <c r="R27" s="7" t="s">
        <v>62</v>
      </c>
      <c r="S27" s="7" t="s">
        <v>123</v>
      </c>
      <c r="T27" s="6" t="s">
        <v>116</v>
      </c>
      <c r="U27" s="7" t="s">
        <v>109</v>
      </c>
      <c r="V27" s="7" t="s">
        <v>109</v>
      </c>
      <c r="W27" s="6" t="s">
        <v>116</v>
      </c>
    </row>
    <row r="28" spans="1:23" x14ac:dyDescent="0.3">
      <c r="A28" s="7">
        <v>27</v>
      </c>
      <c r="B28" s="6" t="s">
        <v>23</v>
      </c>
      <c r="C28" s="6" t="s">
        <v>53</v>
      </c>
      <c r="D28" s="6">
        <v>51125142</v>
      </c>
      <c r="E28" s="6">
        <v>400</v>
      </c>
      <c r="F28" s="7">
        <v>886</v>
      </c>
      <c r="G28" s="7">
        <v>382</v>
      </c>
      <c r="H28" s="10" t="s">
        <v>129</v>
      </c>
      <c r="I28" s="6" t="s">
        <v>108</v>
      </c>
      <c r="J28" s="7" t="s">
        <v>130</v>
      </c>
      <c r="K28" s="11">
        <v>0.77847222222222223</v>
      </c>
      <c r="L28" s="11">
        <v>0.79027777777777775</v>
      </c>
      <c r="M28" s="6" t="s">
        <v>109</v>
      </c>
      <c r="N28" s="7" t="s">
        <v>109</v>
      </c>
      <c r="O28" s="6" t="s">
        <v>61</v>
      </c>
      <c r="P28" s="7" t="s">
        <v>131</v>
      </c>
      <c r="Q28" s="7" t="s">
        <v>94</v>
      </c>
      <c r="R28" s="7" t="s">
        <v>62</v>
      </c>
      <c r="S28" s="7" t="s">
        <v>123</v>
      </c>
      <c r="T28" s="6" t="s">
        <v>116</v>
      </c>
      <c r="U28" s="7" t="s">
        <v>109</v>
      </c>
      <c r="V28" s="7" t="s">
        <v>109</v>
      </c>
      <c r="W28" s="6" t="s">
        <v>116</v>
      </c>
    </row>
    <row r="29" spans="1:23" x14ac:dyDescent="0.3">
      <c r="A29" s="7">
        <v>28</v>
      </c>
      <c r="B29" s="6" t="s">
        <v>23</v>
      </c>
      <c r="C29" s="6" t="s">
        <v>54</v>
      </c>
      <c r="D29" s="6">
        <v>51225116</v>
      </c>
      <c r="E29" s="6" t="s">
        <v>60</v>
      </c>
      <c r="F29" s="7">
        <v>16</v>
      </c>
      <c r="G29" s="7">
        <v>0</v>
      </c>
      <c r="H29" s="6" t="s">
        <v>82</v>
      </c>
      <c r="I29" s="6" t="s">
        <v>89</v>
      </c>
      <c r="J29" s="7" t="s">
        <v>130</v>
      </c>
      <c r="K29" s="11">
        <v>0.95902777777777781</v>
      </c>
      <c r="L29" s="11">
        <v>0.96597222222222223</v>
      </c>
      <c r="M29" s="6" t="s">
        <v>109</v>
      </c>
      <c r="N29" s="9" t="s">
        <v>111</v>
      </c>
      <c r="O29" s="6" t="s">
        <v>61</v>
      </c>
      <c r="P29" s="7" t="s">
        <v>131</v>
      </c>
      <c r="Q29" s="7" t="s">
        <v>89</v>
      </c>
      <c r="R29" s="7" t="s">
        <v>62</v>
      </c>
      <c r="S29" s="7" t="s">
        <v>123</v>
      </c>
      <c r="T29" s="6" t="s">
        <v>122</v>
      </c>
      <c r="U29" s="7" t="s">
        <v>109</v>
      </c>
      <c r="V29" s="7" t="s">
        <v>109</v>
      </c>
      <c r="W29" s="6" t="s">
        <v>122</v>
      </c>
    </row>
    <row r="30" spans="1:23" x14ac:dyDescent="0.3">
      <c r="A30" s="7">
        <v>29</v>
      </c>
      <c r="B30" s="6" t="s">
        <v>23</v>
      </c>
      <c r="C30" s="6" t="s">
        <v>55</v>
      </c>
      <c r="D30" s="6">
        <v>51225120</v>
      </c>
      <c r="E30" s="6" t="s">
        <v>60</v>
      </c>
      <c r="F30" s="7">
        <v>2</v>
      </c>
      <c r="G30" s="7">
        <v>1</v>
      </c>
      <c r="H30" s="6" t="s">
        <v>83</v>
      </c>
      <c r="I30" s="6" t="s">
        <v>91</v>
      </c>
      <c r="J30" s="7" t="s">
        <v>130</v>
      </c>
      <c r="K30" s="11">
        <v>0.76944444444444449</v>
      </c>
      <c r="L30" s="11">
        <v>0.80694444444444446</v>
      </c>
      <c r="M30" s="6" t="s">
        <v>109</v>
      </c>
      <c r="N30" s="9" t="s">
        <v>111</v>
      </c>
      <c r="O30" s="6" t="s">
        <v>61</v>
      </c>
      <c r="P30" s="7" t="s">
        <v>131</v>
      </c>
      <c r="Q30" s="7" t="s">
        <v>91</v>
      </c>
      <c r="R30" s="7" t="s">
        <v>62</v>
      </c>
      <c r="S30" s="7" t="s">
        <v>123</v>
      </c>
      <c r="T30" s="6" t="s">
        <v>122</v>
      </c>
      <c r="U30" s="7" t="s">
        <v>109</v>
      </c>
      <c r="V30" s="7" t="s">
        <v>109</v>
      </c>
      <c r="W30" s="6" t="s">
        <v>122</v>
      </c>
    </row>
    <row r="31" spans="1:23" x14ac:dyDescent="0.3">
      <c r="A31" s="7">
        <v>30</v>
      </c>
      <c r="B31" s="6" t="s">
        <v>23</v>
      </c>
      <c r="C31" s="6" t="s">
        <v>56</v>
      </c>
      <c r="D31" s="6">
        <v>51225121</v>
      </c>
      <c r="E31" s="6" t="s">
        <v>60</v>
      </c>
      <c r="F31" s="7">
        <v>17</v>
      </c>
      <c r="G31" s="7">
        <v>4</v>
      </c>
      <c r="H31" s="6" t="s">
        <v>84</v>
      </c>
      <c r="I31" s="6" t="s">
        <v>88</v>
      </c>
      <c r="J31" s="7" t="s">
        <v>130</v>
      </c>
      <c r="K31" s="11">
        <v>0.90277777777777779</v>
      </c>
      <c r="L31" s="11">
        <v>0.92500000000000004</v>
      </c>
      <c r="M31" s="6" t="s">
        <v>109</v>
      </c>
      <c r="N31" s="9" t="s">
        <v>111</v>
      </c>
      <c r="O31" s="6" t="s">
        <v>61</v>
      </c>
      <c r="P31" s="7" t="s">
        <v>131</v>
      </c>
      <c r="Q31" s="7" t="s">
        <v>88</v>
      </c>
      <c r="R31" s="7" t="s">
        <v>62</v>
      </c>
      <c r="S31" s="7" t="s">
        <v>123</v>
      </c>
      <c r="T31" s="6" t="s">
        <v>122</v>
      </c>
      <c r="U31" s="7" t="s">
        <v>109</v>
      </c>
      <c r="V31" s="7" t="s">
        <v>109</v>
      </c>
      <c r="W31" s="6" t="s">
        <v>122</v>
      </c>
    </row>
    <row r="32" spans="1:23" x14ac:dyDescent="0.3">
      <c r="A32" s="7">
        <v>31</v>
      </c>
      <c r="B32" s="6" t="s">
        <v>23</v>
      </c>
      <c r="C32" s="6" t="s">
        <v>57</v>
      </c>
      <c r="D32" s="6">
        <v>51225119</v>
      </c>
      <c r="E32" s="6" t="s">
        <v>60</v>
      </c>
      <c r="F32" s="7">
        <v>2</v>
      </c>
      <c r="G32" s="7">
        <v>0</v>
      </c>
      <c r="H32" s="6" t="s">
        <v>68</v>
      </c>
      <c r="I32" s="6" t="s">
        <v>86</v>
      </c>
      <c r="J32" s="7" t="s">
        <v>130</v>
      </c>
      <c r="K32" s="11">
        <v>0.76458333333333328</v>
      </c>
      <c r="L32" s="11">
        <v>0.77013888888888893</v>
      </c>
      <c r="M32" s="6" t="s">
        <v>109</v>
      </c>
      <c r="N32" s="9" t="s">
        <v>111</v>
      </c>
      <c r="O32" s="6" t="s">
        <v>61</v>
      </c>
      <c r="P32" s="7" t="s">
        <v>131</v>
      </c>
      <c r="Q32" s="7" t="s">
        <v>86</v>
      </c>
      <c r="R32" s="7" t="s">
        <v>62</v>
      </c>
      <c r="S32" s="7" t="s">
        <v>123</v>
      </c>
      <c r="T32" s="6" t="s">
        <v>122</v>
      </c>
      <c r="U32" s="7" t="s">
        <v>109</v>
      </c>
      <c r="V32" s="7" t="s">
        <v>109</v>
      </c>
      <c r="W32" s="6" t="s">
        <v>122</v>
      </c>
    </row>
    <row r="33" spans="1:23" x14ac:dyDescent="0.3">
      <c r="A33" s="14">
        <v>32</v>
      </c>
      <c r="B33" s="8" t="s">
        <v>23</v>
      </c>
      <c r="C33" s="8" t="s">
        <v>58</v>
      </c>
      <c r="D33" s="8">
        <v>51225118</v>
      </c>
      <c r="E33" s="8" t="s">
        <v>60</v>
      </c>
      <c r="F33" s="14" t="s">
        <v>109</v>
      </c>
      <c r="G33" s="14" t="s">
        <v>109</v>
      </c>
      <c r="H33" s="8" t="s">
        <v>85</v>
      </c>
      <c r="I33" s="14" t="s">
        <v>109</v>
      </c>
      <c r="J33" s="8" t="s">
        <v>85</v>
      </c>
      <c r="K33" s="14" t="s">
        <v>109</v>
      </c>
      <c r="L33" s="14" t="s">
        <v>109</v>
      </c>
      <c r="M33" s="8" t="s">
        <v>109</v>
      </c>
      <c r="N33" s="14" t="s">
        <v>109</v>
      </c>
      <c r="O33" s="8" t="s">
        <v>61</v>
      </c>
      <c r="P33" s="14" t="s">
        <v>109</v>
      </c>
      <c r="Q33" s="14" t="s">
        <v>109</v>
      </c>
      <c r="R33" s="14" t="s">
        <v>62</v>
      </c>
      <c r="S33" s="14" t="s">
        <v>123</v>
      </c>
      <c r="T33" s="8" t="s">
        <v>122</v>
      </c>
      <c r="U33" s="14" t="s">
        <v>109</v>
      </c>
      <c r="V33" s="14" t="s">
        <v>152</v>
      </c>
      <c r="W33" s="8" t="s">
        <v>122</v>
      </c>
    </row>
    <row r="34" spans="1:23" x14ac:dyDescent="0.3">
      <c r="A34" s="14">
        <v>33</v>
      </c>
      <c r="B34" s="8" t="s">
        <v>23</v>
      </c>
      <c r="C34" s="8" t="s">
        <v>59</v>
      </c>
      <c r="D34" s="8">
        <v>51225117</v>
      </c>
      <c r="E34" s="8" t="s">
        <v>60</v>
      </c>
      <c r="F34" s="14" t="s">
        <v>109</v>
      </c>
      <c r="G34" s="14" t="s">
        <v>109</v>
      </c>
      <c r="H34" s="8" t="s">
        <v>85</v>
      </c>
      <c r="I34" s="14" t="s">
        <v>109</v>
      </c>
      <c r="J34" s="8" t="s">
        <v>85</v>
      </c>
      <c r="K34" s="14" t="s">
        <v>109</v>
      </c>
      <c r="L34" s="14" t="s">
        <v>109</v>
      </c>
      <c r="M34" s="8" t="s">
        <v>109</v>
      </c>
      <c r="N34" s="14" t="s">
        <v>109</v>
      </c>
      <c r="O34" s="8" t="s">
        <v>61</v>
      </c>
      <c r="P34" s="14" t="s">
        <v>109</v>
      </c>
      <c r="Q34" s="14" t="s">
        <v>109</v>
      </c>
      <c r="R34" s="14" t="s">
        <v>62</v>
      </c>
      <c r="S34" s="14" t="s">
        <v>123</v>
      </c>
      <c r="T34" s="8" t="s">
        <v>122</v>
      </c>
      <c r="U34" s="14" t="s">
        <v>109</v>
      </c>
      <c r="V34" s="14" t="s">
        <v>152</v>
      </c>
      <c r="W34" s="8" t="s">
        <v>122</v>
      </c>
    </row>
    <row r="35" spans="1:23" x14ac:dyDescent="0.3">
      <c r="A35" s="7">
        <v>34</v>
      </c>
      <c r="B35" s="6" t="s">
        <v>135</v>
      </c>
      <c r="C35" s="7" t="s">
        <v>132</v>
      </c>
      <c r="D35" s="7">
        <v>20126004</v>
      </c>
      <c r="E35" s="7">
        <v>55</v>
      </c>
      <c r="F35" s="7">
        <v>37</v>
      </c>
      <c r="G35" s="7">
        <v>11</v>
      </c>
      <c r="H35" s="7" t="s">
        <v>69</v>
      </c>
      <c r="I35" s="7" t="s">
        <v>94</v>
      </c>
      <c r="J35" s="7" t="s">
        <v>130</v>
      </c>
      <c r="K35" s="11">
        <v>0.88263888888888886</v>
      </c>
      <c r="L35" s="11">
        <v>0.93194444444444446</v>
      </c>
      <c r="M35" s="7" t="s">
        <v>109</v>
      </c>
      <c r="N35" s="7" t="s">
        <v>109</v>
      </c>
      <c r="O35" s="6" t="s">
        <v>61</v>
      </c>
      <c r="P35" s="7" t="s">
        <v>131</v>
      </c>
      <c r="Q35" s="7" t="s">
        <v>94</v>
      </c>
      <c r="R35" s="7" t="s">
        <v>62</v>
      </c>
      <c r="S35" s="7" t="s">
        <v>136</v>
      </c>
      <c r="T35" s="7" t="s">
        <v>112</v>
      </c>
      <c r="U35" s="7" t="s">
        <v>109</v>
      </c>
      <c r="V35" s="7" t="s">
        <v>109</v>
      </c>
      <c r="W35" s="7" t="s">
        <v>112</v>
      </c>
    </row>
    <row r="36" spans="1:23" x14ac:dyDescent="0.3">
      <c r="A36" s="7">
        <v>35</v>
      </c>
      <c r="B36" s="6" t="s">
        <v>135</v>
      </c>
      <c r="C36" s="7" t="s">
        <v>133</v>
      </c>
      <c r="D36" s="7">
        <v>20126005</v>
      </c>
      <c r="E36" s="7">
        <v>75</v>
      </c>
      <c r="F36" s="7">
        <v>197</v>
      </c>
      <c r="G36" s="7">
        <v>57</v>
      </c>
      <c r="H36" s="7" t="s">
        <v>68</v>
      </c>
      <c r="I36" s="7" t="s">
        <v>92</v>
      </c>
      <c r="J36" s="7" t="s">
        <v>130</v>
      </c>
      <c r="K36" s="11">
        <v>0.86805555555555558</v>
      </c>
      <c r="L36" s="11">
        <v>0.89097222222222228</v>
      </c>
      <c r="M36" s="7" t="s">
        <v>109</v>
      </c>
      <c r="N36" s="7" t="s">
        <v>109</v>
      </c>
      <c r="O36" s="6" t="s">
        <v>61</v>
      </c>
      <c r="P36" s="7" t="s">
        <v>131</v>
      </c>
      <c r="Q36" s="7" t="s">
        <v>92</v>
      </c>
      <c r="R36" s="7" t="s">
        <v>62</v>
      </c>
      <c r="S36" s="7" t="s">
        <v>136</v>
      </c>
      <c r="T36" s="7" t="s">
        <v>112</v>
      </c>
      <c r="U36" s="7" t="s">
        <v>109</v>
      </c>
      <c r="V36" s="7" t="s">
        <v>109</v>
      </c>
      <c r="W36" s="7" t="s">
        <v>112</v>
      </c>
    </row>
    <row r="37" spans="1:23" x14ac:dyDescent="0.3">
      <c r="A37" s="7">
        <v>36</v>
      </c>
      <c r="B37" s="6" t="s">
        <v>135</v>
      </c>
      <c r="C37" s="7" t="s">
        <v>134</v>
      </c>
      <c r="D37" s="7">
        <v>20126006</v>
      </c>
      <c r="E37" s="7">
        <v>85</v>
      </c>
      <c r="F37" s="7">
        <v>162</v>
      </c>
      <c r="G37" s="7">
        <v>52</v>
      </c>
      <c r="H37" s="7" t="s">
        <v>64</v>
      </c>
      <c r="I37" s="7" t="s">
        <v>89</v>
      </c>
      <c r="J37" s="7" t="s">
        <v>130</v>
      </c>
      <c r="K37" s="11">
        <v>0.87013888888888891</v>
      </c>
      <c r="L37" s="11">
        <v>0.90069444444444446</v>
      </c>
      <c r="M37" s="7" t="s">
        <v>109</v>
      </c>
      <c r="N37" s="7" t="s">
        <v>109</v>
      </c>
      <c r="O37" s="6" t="s">
        <v>61</v>
      </c>
      <c r="P37" s="7" t="s">
        <v>131</v>
      </c>
      <c r="Q37" s="7" t="s">
        <v>89</v>
      </c>
      <c r="R37" s="7" t="s">
        <v>62</v>
      </c>
      <c r="S37" s="7" t="s">
        <v>136</v>
      </c>
      <c r="T37" s="7" t="s">
        <v>112</v>
      </c>
      <c r="U37" s="7" t="s">
        <v>109</v>
      </c>
      <c r="V37" s="7" t="s">
        <v>109</v>
      </c>
      <c r="W37" s="7" t="s">
        <v>112</v>
      </c>
    </row>
    <row r="38" spans="1:23" x14ac:dyDescent="0.3">
      <c r="A38" s="7">
        <v>37</v>
      </c>
      <c r="B38" s="6" t="s">
        <v>23</v>
      </c>
      <c r="C38" s="7" t="s">
        <v>137</v>
      </c>
      <c r="D38" s="7">
        <v>51225033</v>
      </c>
      <c r="E38" s="7">
        <v>80</v>
      </c>
      <c r="F38" s="7">
        <v>124</v>
      </c>
      <c r="G38" s="7">
        <v>78</v>
      </c>
      <c r="H38" s="7" t="s">
        <v>72</v>
      </c>
      <c r="I38" s="7" t="s">
        <v>93</v>
      </c>
      <c r="J38" s="7" t="s">
        <v>130</v>
      </c>
      <c r="K38" s="11">
        <v>0.89027777777777772</v>
      </c>
      <c r="L38" s="11">
        <v>0.95277777777777772</v>
      </c>
      <c r="M38" s="7" t="s">
        <v>109</v>
      </c>
      <c r="N38" s="7" t="s">
        <v>109</v>
      </c>
      <c r="O38" s="6" t="s">
        <v>61</v>
      </c>
      <c r="P38" s="7" t="s">
        <v>131</v>
      </c>
      <c r="Q38" s="7" t="s">
        <v>93</v>
      </c>
      <c r="R38" s="7" t="s">
        <v>62</v>
      </c>
      <c r="S38" s="7" t="s">
        <v>141</v>
      </c>
      <c r="T38" s="7" t="s">
        <v>142</v>
      </c>
      <c r="U38" s="7" t="s">
        <v>109</v>
      </c>
      <c r="V38" s="7" t="s">
        <v>109</v>
      </c>
      <c r="W38" s="7" t="s">
        <v>142</v>
      </c>
    </row>
    <row r="39" spans="1:23" x14ac:dyDescent="0.3">
      <c r="A39" s="7">
        <v>38</v>
      </c>
      <c r="B39" s="6" t="s">
        <v>23</v>
      </c>
      <c r="C39" s="7" t="s">
        <v>138</v>
      </c>
      <c r="D39" s="7">
        <v>51225034</v>
      </c>
      <c r="E39" s="7">
        <v>10</v>
      </c>
      <c r="F39" s="7">
        <v>54</v>
      </c>
      <c r="G39" s="7">
        <v>4</v>
      </c>
      <c r="H39" s="7" t="s">
        <v>82</v>
      </c>
      <c r="I39" s="7" t="s">
        <v>90</v>
      </c>
      <c r="J39" s="7" t="s">
        <v>130</v>
      </c>
      <c r="K39" s="11">
        <v>0.9458333333333333</v>
      </c>
      <c r="L39" s="7" t="s">
        <v>151</v>
      </c>
      <c r="M39" s="7" t="s">
        <v>109</v>
      </c>
      <c r="N39" s="7" t="s">
        <v>109</v>
      </c>
      <c r="O39" s="6" t="s">
        <v>61</v>
      </c>
      <c r="P39" s="7" t="s">
        <v>131</v>
      </c>
      <c r="Q39" s="7" t="s">
        <v>90</v>
      </c>
      <c r="R39" s="7" t="s">
        <v>62</v>
      </c>
      <c r="S39" s="7" t="s">
        <v>141</v>
      </c>
      <c r="T39" s="7" t="s">
        <v>142</v>
      </c>
      <c r="U39" s="7" t="s">
        <v>109</v>
      </c>
      <c r="V39" s="7" t="s">
        <v>109</v>
      </c>
      <c r="W39" s="7" t="s">
        <v>142</v>
      </c>
    </row>
    <row r="40" spans="1:23" x14ac:dyDescent="0.3">
      <c r="A40" s="7">
        <v>39</v>
      </c>
      <c r="B40" s="6" t="s">
        <v>23</v>
      </c>
      <c r="C40" s="7" t="s">
        <v>139</v>
      </c>
      <c r="D40" s="7">
        <v>51225032</v>
      </c>
      <c r="E40" s="7">
        <v>70</v>
      </c>
      <c r="F40" s="7">
        <v>120</v>
      </c>
      <c r="G40" s="7">
        <v>69</v>
      </c>
      <c r="H40" s="7" t="s">
        <v>83</v>
      </c>
      <c r="I40" s="7" t="s">
        <v>88</v>
      </c>
      <c r="J40" s="7" t="s">
        <v>130</v>
      </c>
      <c r="K40" s="11">
        <v>0.94791666666666663</v>
      </c>
      <c r="L40" s="11">
        <v>0.97291666666666665</v>
      </c>
      <c r="M40" s="7" t="s">
        <v>109</v>
      </c>
      <c r="N40" s="7" t="s">
        <v>109</v>
      </c>
      <c r="O40" s="6" t="s">
        <v>61</v>
      </c>
      <c r="P40" s="7" t="s">
        <v>131</v>
      </c>
      <c r="Q40" s="7" t="s">
        <v>88</v>
      </c>
      <c r="R40" s="7" t="s">
        <v>62</v>
      </c>
      <c r="S40" s="7" t="s">
        <v>141</v>
      </c>
      <c r="T40" s="7" t="s">
        <v>142</v>
      </c>
      <c r="U40" s="7" t="s">
        <v>109</v>
      </c>
      <c r="V40" s="7" t="s">
        <v>109</v>
      </c>
      <c r="W40" s="7" t="s">
        <v>142</v>
      </c>
    </row>
    <row r="41" spans="1:23" x14ac:dyDescent="0.3">
      <c r="A41" s="14">
        <v>40</v>
      </c>
      <c r="B41" s="8" t="s">
        <v>23</v>
      </c>
      <c r="C41" s="14" t="s">
        <v>140</v>
      </c>
      <c r="D41" s="14">
        <v>51225035</v>
      </c>
      <c r="E41" s="14">
        <v>30</v>
      </c>
      <c r="F41" s="14" t="s">
        <v>109</v>
      </c>
      <c r="G41" s="14" t="s">
        <v>109</v>
      </c>
      <c r="H41" s="14" t="s">
        <v>67</v>
      </c>
      <c r="I41" s="14" t="s">
        <v>87</v>
      </c>
      <c r="J41" s="14" t="s">
        <v>85</v>
      </c>
      <c r="K41" s="14" t="s">
        <v>109</v>
      </c>
      <c r="L41" s="14" t="s">
        <v>109</v>
      </c>
      <c r="M41" s="14" t="s">
        <v>109</v>
      </c>
      <c r="N41" s="14" t="s">
        <v>109</v>
      </c>
      <c r="O41" s="8" t="s">
        <v>61</v>
      </c>
      <c r="P41" s="14" t="s">
        <v>109</v>
      </c>
      <c r="Q41" s="14" t="s">
        <v>109</v>
      </c>
      <c r="R41" s="14" t="s">
        <v>62</v>
      </c>
      <c r="S41" s="14" t="s">
        <v>141</v>
      </c>
      <c r="T41" s="14" t="s">
        <v>142</v>
      </c>
      <c r="U41" s="14" t="s">
        <v>109</v>
      </c>
      <c r="V41" s="14" t="s">
        <v>152</v>
      </c>
      <c r="W41" s="14" t="s">
        <v>142</v>
      </c>
    </row>
    <row r="42" spans="1:23" x14ac:dyDescent="0.3">
      <c r="A42" s="7">
        <v>41</v>
      </c>
      <c r="B42" s="6" t="s">
        <v>143</v>
      </c>
      <c r="C42" s="7" t="s">
        <v>144</v>
      </c>
      <c r="D42" s="7">
        <v>11125087</v>
      </c>
      <c r="E42" s="7">
        <v>23</v>
      </c>
      <c r="F42" s="7">
        <v>20</v>
      </c>
      <c r="G42" s="7">
        <v>13</v>
      </c>
      <c r="H42" s="7" t="s">
        <v>68</v>
      </c>
      <c r="I42" s="7" t="s">
        <v>86</v>
      </c>
      <c r="J42" s="7" t="s">
        <v>130</v>
      </c>
      <c r="K42" s="11">
        <v>0.96875</v>
      </c>
      <c r="L42" s="11">
        <v>0.97777777777777775</v>
      </c>
      <c r="M42" s="7" t="s">
        <v>109</v>
      </c>
      <c r="N42" s="7" t="s">
        <v>109</v>
      </c>
      <c r="O42" s="6" t="s">
        <v>145</v>
      </c>
      <c r="P42" s="7" t="s">
        <v>131</v>
      </c>
      <c r="Q42" s="7" t="s">
        <v>86</v>
      </c>
      <c r="R42" s="7" t="s">
        <v>62</v>
      </c>
      <c r="S42" s="7" t="s">
        <v>146</v>
      </c>
      <c r="T42" s="7" t="s">
        <v>147</v>
      </c>
      <c r="U42" s="7" t="s">
        <v>109</v>
      </c>
      <c r="V42" s="7" t="s">
        <v>109</v>
      </c>
      <c r="W42" s="7" t="s">
        <v>147</v>
      </c>
    </row>
    <row r="43" spans="1:23" x14ac:dyDescent="0.3">
      <c r="A43" s="7">
        <v>42</v>
      </c>
      <c r="B43" s="6" t="s">
        <v>143</v>
      </c>
      <c r="C43" s="7" t="s">
        <v>148</v>
      </c>
      <c r="D43" s="7">
        <v>11225015</v>
      </c>
      <c r="E43" s="7">
        <v>42</v>
      </c>
      <c r="F43" s="7">
        <v>40</v>
      </c>
      <c r="G43" s="7">
        <v>4</v>
      </c>
      <c r="H43" s="7" t="s">
        <v>71</v>
      </c>
      <c r="I43" s="7" t="s">
        <v>87</v>
      </c>
      <c r="J43" s="7" t="s">
        <v>130</v>
      </c>
      <c r="K43" s="11">
        <v>0.96458333333333335</v>
      </c>
      <c r="L43" s="11">
        <v>0.97291666666666665</v>
      </c>
      <c r="M43" s="7" t="s">
        <v>109</v>
      </c>
      <c r="N43" s="7" t="s">
        <v>109</v>
      </c>
      <c r="O43" s="6" t="s">
        <v>145</v>
      </c>
      <c r="P43" s="7" t="s">
        <v>131</v>
      </c>
      <c r="Q43" s="7" t="s">
        <v>87</v>
      </c>
      <c r="R43" s="7" t="s">
        <v>62</v>
      </c>
      <c r="S43" s="7" t="s">
        <v>149</v>
      </c>
      <c r="T43" s="7" t="s">
        <v>150</v>
      </c>
      <c r="U43" s="7" t="s">
        <v>109</v>
      </c>
      <c r="V43" s="7" t="s">
        <v>109</v>
      </c>
      <c r="W43" s="7" t="s">
        <v>150</v>
      </c>
    </row>
    <row r="48" spans="1:23" x14ac:dyDescent="0.3">
      <c r="I48" s="12"/>
    </row>
    <row r="49" spans="9:9" x14ac:dyDescent="0.3">
      <c r="I49" s="13"/>
    </row>
  </sheetData>
  <conditionalFormatting sqref="D1">
    <cfRule type="duplicateValues" dxfId="116"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587A0-A675-4B12-B1DC-0B8B9D65963A}">
  <sheetPr codeName="Sheet2"/>
  <dimension ref="A1:W72"/>
  <sheetViews>
    <sheetView showGridLines="0" workbookViewId="0">
      <pane ySplit="1" topLeftCell="A52" activePane="bottomLeft" state="frozen"/>
      <selection pane="bottomLeft" activeCell="B72" sqref="B72"/>
    </sheetView>
  </sheetViews>
  <sheetFormatPr defaultRowHeight="14.4" x14ac:dyDescent="0.3"/>
  <cols>
    <col min="1" max="2" width="8.88671875" style="27"/>
    <col min="3" max="3" width="52" style="27" customWidth="1"/>
    <col min="4" max="7" width="8.88671875" style="27"/>
    <col min="8" max="8" width="44.77734375" style="27" customWidth="1"/>
    <col min="9" max="9" width="47.33203125" style="27" customWidth="1"/>
    <col min="10" max="12" width="8.88671875" style="27"/>
    <col min="13" max="13" width="17.5546875" style="27" customWidth="1"/>
    <col min="14" max="14" width="8.88671875" style="27"/>
    <col min="15" max="15" width="12" style="27" bestFit="1" customWidth="1"/>
    <col min="16" max="16" width="8.88671875" style="27"/>
    <col min="17" max="17" width="11.77734375" style="27" bestFit="1" customWidth="1"/>
    <col min="18" max="20" width="8.88671875" style="27"/>
    <col min="21" max="21" width="37.44140625" style="27" bestFit="1" customWidth="1"/>
    <col min="22" max="16384" width="8.88671875" style="27"/>
  </cols>
  <sheetData>
    <row r="1" spans="1:23" x14ac:dyDescent="0.3">
      <c r="A1" s="22" t="s">
        <v>0</v>
      </c>
      <c r="B1" s="22" t="s">
        <v>1</v>
      </c>
      <c r="C1" s="22" t="s">
        <v>2</v>
      </c>
      <c r="D1" s="22" t="s">
        <v>3</v>
      </c>
      <c r="E1" s="22" t="s">
        <v>4</v>
      </c>
      <c r="F1" s="22" t="s">
        <v>5</v>
      </c>
      <c r="G1" s="22" t="s">
        <v>6</v>
      </c>
      <c r="H1" s="22" t="s">
        <v>7</v>
      </c>
      <c r="I1" s="22" t="s">
        <v>8</v>
      </c>
      <c r="J1" s="22" t="s">
        <v>9</v>
      </c>
      <c r="K1" s="23" t="s">
        <v>10</v>
      </c>
      <c r="L1" s="23" t="s">
        <v>11</v>
      </c>
      <c r="M1" s="24" t="s">
        <v>12</v>
      </c>
      <c r="N1" s="25" t="s">
        <v>13</v>
      </c>
      <c r="O1" s="22" t="s">
        <v>14</v>
      </c>
      <c r="P1" s="22" t="s">
        <v>15</v>
      </c>
      <c r="Q1" s="22" t="s">
        <v>16</v>
      </c>
      <c r="R1" s="22" t="s">
        <v>17</v>
      </c>
      <c r="S1" s="22" t="s">
        <v>18</v>
      </c>
      <c r="T1" s="22" t="s">
        <v>19</v>
      </c>
      <c r="U1" s="22" t="s">
        <v>20</v>
      </c>
      <c r="V1" s="22" t="s">
        <v>21</v>
      </c>
      <c r="W1" s="26" t="s">
        <v>22</v>
      </c>
    </row>
    <row r="2" spans="1:23" customFormat="1" x14ac:dyDescent="0.3">
      <c r="A2" s="7">
        <v>1</v>
      </c>
      <c r="B2" s="6" t="s">
        <v>25</v>
      </c>
      <c r="C2" s="6" t="s">
        <v>42</v>
      </c>
      <c r="D2" s="6">
        <v>41225025</v>
      </c>
      <c r="E2" s="6">
        <v>95</v>
      </c>
      <c r="F2" s="6">
        <v>177</v>
      </c>
      <c r="G2" s="6">
        <v>98</v>
      </c>
      <c r="H2" s="7" t="s">
        <v>153</v>
      </c>
      <c r="I2" s="6" t="s">
        <v>154</v>
      </c>
      <c r="J2" s="6" t="s">
        <v>130</v>
      </c>
      <c r="K2" s="15">
        <v>0.70902777777777781</v>
      </c>
      <c r="L2" s="15">
        <v>0.79722222222222228</v>
      </c>
      <c r="M2" s="16">
        <f t="shared" ref="M2:M33" si="0">L2-K2</f>
        <v>8.8194444444444464E-2</v>
      </c>
      <c r="N2" s="6" t="s">
        <v>110</v>
      </c>
      <c r="O2" s="6" t="s">
        <v>61</v>
      </c>
      <c r="P2" s="7" t="s">
        <v>131</v>
      </c>
      <c r="Q2" s="7" t="s">
        <v>154</v>
      </c>
      <c r="R2" s="7" t="s">
        <v>62</v>
      </c>
      <c r="S2" s="7" t="s">
        <v>123</v>
      </c>
      <c r="T2" s="7" t="s">
        <v>118</v>
      </c>
      <c r="U2" s="7" t="s">
        <v>290</v>
      </c>
      <c r="V2" s="7" t="s">
        <v>109</v>
      </c>
      <c r="W2" s="7" t="s">
        <v>118</v>
      </c>
    </row>
    <row r="3" spans="1:23" customFormat="1" x14ac:dyDescent="0.3">
      <c r="A3" s="7">
        <v>2</v>
      </c>
      <c r="B3" s="6" t="s">
        <v>26</v>
      </c>
      <c r="C3" s="6" t="s">
        <v>155</v>
      </c>
      <c r="D3" s="6">
        <v>41125004</v>
      </c>
      <c r="E3" s="6">
        <v>121</v>
      </c>
      <c r="F3" s="6">
        <v>240</v>
      </c>
      <c r="G3" s="6">
        <v>51</v>
      </c>
      <c r="H3" s="7" t="s">
        <v>156</v>
      </c>
      <c r="I3" s="6" t="s">
        <v>157</v>
      </c>
      <c r="J3" s="6" t="s">
        <v>130</v>
      </c>
      <c r="K3" s="15">
        <v>0.81527777777777777</v>
      </c>
      <c r="L3" s="15">
        <v>0.93125000000000002</v>
      </c>
      <c r="M3" s="16">
        <f t="shared" si="0"/>
        <v>0.11597222222222225</v>
      </c>
      <c r="N3" s="6" t="s">
        <v>109</v>
      </c>
      <c r="O3" s="6" t="s">
        <v>61</v>
      </c>
      <c r="P3" s="7" t="s">
        <v>131</v>
      </c>
      <c r="Q3" s="7" t="s">
        <v>154</v>
      </c>
      <c r="R3" s="7" t="s">
        <v>62</v>
      </c>
      <c r="S3" s="7" t="s">
        <v>123</v>
      </c>
      <c r="T3" s="7" t="s">
        <v>121</v>
      </c>
      <c r="U3" s="7" t="s">
        <v>291</v>
      </c>
      <c r="V3" s="7" t="s">
        <v>109</v>
      </c>
      <c r="W3" s="7" t="s">
        <v>121</v>
      </c>
    </row>
    <row r="4" spans="1:23" customFormat="1" x14ac:dyDescent="0.3">
      <c r="A4" s="7">
        <v>3</v>
      </c>
      <c r="B4" s="6" t="s">
        <v>26</v>
      </c>
      <c r="C4" s="6" t="s">
        <v>158</v>
      </c>
      <c r="D4" s="6">
        <v>41025028</v>
      </c>
      <c r="E4" s="6">
        <v>171</v>
      </c>
      <c r="F4" s="6">
        <v>279</v>
      </c>
      <c r="G4" s="6">
        <v>170</v>
      </c>
      <c r="H4" s="7" t="s">
        <v>159</v>
      </c>
      <c r="I4" s="6" t="s">
        <v>99</v>
      </c>
      <c r="J4" s="6" t="s">
        <v>130</v>
      </c>
      <c r="K4" s="15">
        <v>0.83333333333333337</v>
      </c>
      <c r="L4" s="15">
        <v>0.86250000000000004</v>
      </c>
      <c r="M4" s="16">
        <f t="shared" si="0"/>
        <v>2.9166666666666674E-2</v>
      </c>
      <c r="N4" s="6" t="s">
        <v>109</v>
      </c>
      <c r="O4" s="6" t="s">
        <v>61</v>
      </c>
      <c r="P4" s="7" t="s">
        <v>131</v>
      </c>
      <c r="Q4" s="7" t="s">
        <v>87</v>
      </c>
      <c r="R4" s="7" t="s">
        <v>62</v>
      </c>
      <c r="S4" s="7" t="s">
        <v>123</v>
      </c>
      <c r="T4" s="7" t="s">
        <v>121</v>
      </c>
      <c r="U4" s="7" t="s">
        <v>290</v>
      </c>
      <c r="V4" s="7" t="s">
        <v>109</v>
      </c>
      <c r="W4" s="7" t="s">
        <v>121</v>
      </c>
    </row>
    <row r="5" spans="1:23" customFormat="1" x14ac:dyDescent="0.3">
      <c r="A5" s="7">
        <v>4</v>
      </c>
      <c r="B5" s="6" t="s">
        <v>26</v>
      </c>
      <c r="C5" s="6" t="s">
        <v>160</v>
      </c>
      <c r="D5" s="6">
        <v>41025026</v>
      </c>
      <c r="E5" s="6">
        <v>379</v>
      </c>
      <c r="F5" s="6">
        <v>530</v>
      </c>
      <c r="G5" s="6">
        <v>137</v>
      </c>
      <c r="H5" s="7" t="s">
        <v>161</v>
      </c>
      <c r="I5" s="6" t="s">
        <v>162</v>
      </c>
      <c r="J5" s="6" t="s">
        <v>130</v>
      </c>
      <c r="K5" s="15">
        <v>0.98402777777777772</v>
      </c>
      <c r="L5" s="15">
        <v>1.0020833333333334</v>
      </c>
      <c r="M5" s="16">
        <f t="shared" si="0"/>
        <v>1.8055555555555713E-2</v>
      </c>
      <c r="N5" s="6" t="s">
        <v>109</v>
      </c>
      <c r="O5" s="6" t="s">
        <v>61</v>
      </c>
      <c r="P5" s="7" t="s">
        <v>131</v>
      </c>
      <c r="Q5" s="7" t="s">
        <v>94</v>
      </c>
      <c r="R5" s="7" t="s">
        <v>62</v>
      </c>
      <c r="S5" s="7" t="s">
        <v>123</v>
      </c>
      <c r="T5" s="7" t="s">
        <v>121</v>
      </c>
      <c r="U5" s="7" t="s">
        <v>291</v>
      </c>
      <c r="V5" s="7" t="s">
        <v>109</v>
      </c>
      <c r="W5" s="7" t="s">
        <v>121</v>
      </c>
    </row>
    <row r="6" spans="1:23" customFormat="1" x14ac:dyDescent="0.3">
      <c r="A6" s="7">
        <v>5</v>
      </c>
      <c r="B6" s="6" t="s">
        <v>26</v>
      </c>
      <c r="C6" s="6" t="s">
        <v>50</v>
      </c>
      <c r="D6" s="6">
        <v>41225020</v>
      </c>
      <c r="E6" s="6">
        <v>288</v>
      </c>
      <c r="F6" s="6">
        <v>9</v>
      </c>
      <c r="G6" s="6">
        <v>0</v>
      </c>
      <c r="H6" s="7" t="s">
        <v>69</v>
      </c>
      <c r="I6" s="6" t="s">
        <v>179</v>
      </c>
      <c r="J6" s="6" t="s">
        <v>130</v>
      </c>
      <c r="K6" s="15">
        <v>0.73402777777777772</v>
      </c>
      <c r="L6" s="15">
        <v>0.78263888888888888</v>
      </c>
      <c r="M6" s="16">
        <f t="shared" si="0"/>
        <v>4.861111111111116E-2</v>
      </c>
      <c r="N6" s="6" t="s">
        <v>109</v>
      </c>
      <c r="O6" s="6" t="s">
        <v>61</v>
      </c>
      <c r="P6" s="7" t="s">
        <v>131</v>
      </c>
      <c r="Q6" s="7" t="s">
        <v>179</v>
      </c>
      <c r="R6" s="7" t="s">
        <v>62</v>
      </c>
      <c r="S6" s="7" t="s">
        <v>123</v>
      </c>
      <c r="T6" s="7" t="s">
        <v>121</v>
      </c>
      <c r="U6" s="7" t="s">
        <v>291</v>
      </c>
      <c r="V6" s="7" t="s">
        <v>109</v>
      </c>
      <c r="W6" s="7" t="s">
        <v>121</v>
      </c>
    </row>
    <row r="7" spans="1:23" customFormat="1" x14ac:dyDescent="0.3">
      <c r="A7" s="7">
        <v>6</v>
      </c>
      <c r="B7" s="6" t="s">
        <v>163</v>
      </c>
      <c r="C7" s="6" t="s">
        <v>164</v>
      </c>
      <c r="D7" s="6">
        <v>40126008</v>
      </c>
      <c r="E7" s="6">
        <v>74</v>
      </c>
      <c r="F7" s="6">
        <v>73</v>
      </c>
      <c r="G7" s="6">
        <v>21</v>
      </c>
      <c r="H7" s="7" t="s">
        <v>69</v>
      </c>
      <c r="I7" s="6" t="s">
        <v>93</v>
      </c>
      <c r="J7" s="6" t="s">
        <v>130</v>
      </c>
      <c r="K7" s="15">
        <v>0.67152777777777772</v>
      </c>
      <c r="L7" s="15">
        <v>0.70833333333333337</v>
      </c>
      <c r="M7" s="16">
        <f t="shared" si="0"/>
        <v>3.6805555555555647E-2</v>
      </c>
      <c r="N7" s="6" t="s">
        <v>165</v>
      </c>
      <c r="O7" s="6" t="s">
        <v>61</v>
      </c>
      <c r="P7" s="7" t="s">
        <v>131</v>
      </c>
      <c r="Q7" s="7" t="s">
        <v>93</v>
      </c>
      <c r="R7" s="7" t="s">
        <v>62</v>
      </c>
      <c r="S7" s="7" t="s">
        <v>123</v>
      </c>
      <c r="T7" s="7" t="s">
        <v>166</v>
      </c>
      <c r="U7" s="7" t="s">
        <v>291</v>
      </c>
      <c r="V7" s="7" t="s">
        <v>109</v>
      </c>
      <c r="W7" s="7" t="s">
        <v>166</v>
      </c>
    </row>
    <row r="8" spans="1:23" customFormat="1" x14ac:dyDescent="0.3">
      <c r="A8" s="7">
        <v>7</v>
      </c>
      <c r="B8" s="6" t="s">
        <v>163</v>
      </c>
      <c r="C8" s="6" t="s">
        <v>167</v>
      </c>
      <c r="D8" s="6">
        <v>40126007</v>
      </c>
      <c r="E8" s="6">
        <v>350</v>
      </c>
      <c r="F8" s="6">
        <v>502</v>
      </c>
      <c r="G8" s="6">
        <v>261</v>
      </c>
      <c r="H8" s="7" t="s">
        <v>168</v>
      </c>
      <c r="I8" s="6" t="s">
        <v>169</v>
      </c>
      <c r="J8" s="6" t="s">
        <v>130</v>
      </c>
      <c r="K8" s="15">
        <v>0.88958333333333328</v>
      </c>
      <c r="L8" s="15">
        <v>0.93888888888888888</v>
      </c>
      <c r="M8" s="16">
        <f t="shared" si="0"/>
        <v>4.9305555555555602E-2</v>
      </c>
      <c r="N8" s="6" t="s">
        <v>165</v>
      </c>
      <c r="O8" s="6" t="s">
        <v>61</v>
      </c>
      <c r="P8" s="7" t="s">
        <v>131</v>
      </c>
      <c r="Q8" s="7" t="s">
        <v>94</v>
      </c>
      <c r="R8" s="7" t="s">
        <v>62</v>
      </c>
      <c r="S8" s="7" t="s">
        <v>123</v>
      </c>
      <c r="T8" s="7" t="s">
        <v>166</v>
      </c>
      <c r="U8" s="7" t="s">
        <v>291</v>
      </c>
      <c r="V8" s="7" t="s">
        <v>109</v>
      </c>
      <c r="W8" s="7" t="s">
        <v>166</v>
      </c>
    </row>
    <row r="9" spans="1:23" customFormat="1" x14ac:dyDescent="0.3">
      <c r="A9" s="7">
        <v>8</v>
      </c>
      <c r="B9" s="6" t="s">
        <v>170</v>
      </c>
      <c r="C9" s="6" t="s">
        <v>171</v>
      </c>
      <c r="D9" s="6">
        <v>41125019</v>
      </c>
      <c r="E9" s="6">
        <v>210</v>
      </c>
      <c r="F9" s="6">
        <v>322</v>
      </c>
      <c r="G9" s="6">
        <v>114</v>
      </c>
      <c r="H9" s="7" t="s">
        <v>172</v>
      </c>
      <c r="I9" s="6" t="s">
        <v>173</v>
      </c>
      <c r="J9" s="6" t="s">
        <v>130</v>
      </c>
      <c r="K9" s="15">
        <v>0.94513888888888886</v>
      </c>
      <c r="L9" s="15">
        <v>0.98541666666666672</v>
      </c>
      <c r="M9" s="16">
        <f t="shared" si="0"/>
        <v>4.0277777777777857E-2</v>
      </c>
      <c r="N9" s="6" t="s">
        <v>174</v>
      </c>
      <c r="O9" s="6" t="s">
        <v>61</v>
      </c>
      <c r="P9" s="7" t="s">
        <v>131</v>
      </c>
      <c r="Q9" s="7" t="s">
        <v>91</v>
      </c>
      <c r="R9" s="7" t="s">
        <v>62</v>
      </c>
      <c r="S9" s="7" t="s">
        <v>123</v>
      </c>
      <c r="T9" s="7" t="s">
        <v>175</v>
      </c>
      <c r="U9" s="7" t="s">
        <v>291</v>
      </c>
      <c r="V9" s="7" t="s">
        <v>109</v>
      </c>
      <c r="W9" s="7" t="s">
        <v>175</v>
      </c>
    </row>
    <row r="10" spans="1:23" customFormat="1" x14ac:dyDescent="0.3">
      <c r="A10" s="7">
        <v>9</v>
      </c>
      <c r="B10" s="6" t="s">
        <v>135</v>
      </c>
      <c r="C10" s="6" t="s">
        <v>176</v>
      </c>
      <c r="D10" s="6">
        <v>20126001</v>
      </c>
      <c r="E10" s="6">
        <v>75</v>
      </c>
      <c r="F10" s="6">
        <v>83</v>
      </c>
      <c r="G10" s="6">
        <v>40</v>
      </c>
      <c r="H10" s="7" t="s">
        <v>67</v>
      </c>
      <c r="I10" s="6" t="s">
        <v>95</v>
      </c>
      <c r="J10" s="6" t="s">
        <v>130</v>
      </c>
      <c r="K10" s="15">
        <v>0.75972222222222219</v>
      </c>
      <c r="L10" s="15">
        <v>0.8</v>
      </c>
      <c r="M10" s="16">
        <f t="shared" si="0"/>
        <v>4.0277777777777857E-2</v>
      </c>
      <c r="N10" s="6" t="s">
        <v>109</v>
      </c>
      <c r="O10" s="6" t="s">
        <v>61</v>
      </c>
      <c r="P10" s="7" t="s">
        <v>131</v>
      </c>
      <c r="Q10" s="7" t="s">
        <v>95</v>
      </c>
      <c r="R10" s="7" t="s">
        <v>62</v>
      </c>
      <c r="S10" s="7" t="s">
        <v>123</v>
      </c>
      <c r="T10" s="7" t="s">
        <v>112</v>
      </c>
      <c r="U10" s="7" t="s">
        <v>291</v>
      </c>
      <c r="V10" s="7" t="s">
        <v>109</v>
      </c>
      <c r="W10" s="7" t="s">
        <v>112</v>
      </c>
    </row>
    <row r="11" spans="1:23" customFormat="1" x14ac:dyDescent="0.3">
      <c r="A11" s="7">
        <v>10</v>
      </c>
      <c r="B11" s="6" t="s">
        <v>135</v>
      </c>
      <c r="C11" s="6" t="s">
        <v>177</v>
      </c>
      <c r="D11" s="6">
        <v>20126002</v>
      </c>
      <c r="E11" s="6">
        <v>50</v>
      </c>
      <c r="F11" s="6">
        <v>78</v>
      </c>
      <c r="G11" s="6">
        <v>37</v>
      </c>
      <c r="H11" s="7" t="s">
        <v>67</v>
      </c>
      <c r="I11" s="6" t="s">
        <v>95</v>
      </c>
      <c r="J11" s="6" t="s">
        <v>130</v>
      </c>
      <c r="K11" s="15">
        <v>0.7</v>
      </c>
      <c r="L11" s="15">
        <v>0.70833333333333337</v>
      </c>
      <c r="M11" s="16">
        <f t="shared" si="0"/>
        <v>8.3333333333334147E-3</v>
      </c>
      <c r="N11" s="6" t="s">
        <v>109</v>
      </c>
      <c r="O11" s="6" t="s">
        <v>61</v>
      </c>
      <c r="P11" s="7" t="s">
        <v>131</v>
      </c>
      <c r="Q11" s="7" t="s">
        <v>95</v>
      </c>
      <c r="R11" s="7" t="s">
        <v>62</v>
      </c>
      <c r="S11" s="7" t="s">
        <v>123</v>
      </c>
      <c r="T11" s="7" t="s">
        <v>112</v>
      </c>
      <c r="U11" s="7" t="s">
        <v>291</v>
      </c>
      <c r="V11" s="7" t="s">
        <v>109</v>
      </c>
      <c r="W11" s="7" t="s">
        <v>112</v>
      </c>
    </row>
    <row r="12" spans="1:23" x14ac:dyDescent="0.3">
      <c r="A12" s="28">
        <v>11</v>
      </c>
      <c r="B12" s="29" t="s">
        <v>135</v>
      </c>
      <c r="C12" s="29" t="s">
        <v>178</v>
      </c>
      <c r="D12" s="29">
        <v>21025009</v>
      </c>
      <c r="E12" s="29">
        <v>102</v>
      </c>
      <c r="F12" s="29">
        <v>276</v>
      </c>
      <c r="G12" s="29">
        <v>71</v>
      </c>
      <c r="H12" s="28" t="s">
        <v>70</v>
      </c>
      <c r="I12" s="29" t="s">
        <v>179</v>
      </c>
      <c r="J12" s="29" t="s">
        <v>130</v>
      </c>
      <c r="K12" s="30">
        <v>1.3888888888888888E-2</v>
      </c>
      <c r="L12" s="30">
        <v>4.3055555555555562E-2</v>
      </c>
      <c r="M12" s="16">
        <f t="shared" si="0"/>
        <v>2.9166666666666674E-2</v>
      </c>
      <c r="N12" s="29" t="s">
        <v>109</v>
      </c>
      <c r="O12" s="29" t="s">
        <v>61</v>
      </c>
      <c r="P12" s="28" t="s">
        <v>109</v>
      </c>
      <c r="Q12" s="28" t="s">
        <v>109</v>
      </c>
      <c r="R12" s="28" t="s">
        <v>62</v>
      </c>
      <c r="S12" s="28" t="s">
        <v>123</v>
      </c>
      <c r="T12" s="28" t="s">
        <v>180</v>
      </c>
      <c r="U12" s="7" t="s">
        <v>290</v>
      </c>
      <c r="V12" s="28" t="s">
        <v>109</v>
      </c>
      <c r="W12" s="28" t="s">
        <v>180</v>
      </c>
    </row>
    <row r="13" spans="1:23" customFormat="1" x14ac:dyDescent="0.3">
      <c r="A13" s="7">
        <v>12</v>
      </c>
      <c r="B13" s="6" t="s">
        <v>143</v>
      </c>
      <c r="C13" s="6" t="s">
        <v>181</v>
      </c>
      <c r="D13" s="6">
        <v>10126002</v>
      </c>
      <c r="E13" s="6">
        <v>65</v>
      </c>
      <c r="F13" s="6">
        <v>39</v>
      </c>
      <c r="G13" s="6">
        <v>6</v>
      </c>
      <c r="H13" s="7" t="s">
        <v>68</v>
      </c>
      <c r="I13" s="6" t="s">
        <v>86</v>
      </c>
      <c r="J13" s="6" t="s">
        <v>130</v>
      </c>
      <c r="K13" s="15">
        <v>0.85277777777777775</v>
      </c>
      <c r="L13" s="15">
        <v>0.91874999999999996</v>
      </c>
      <c r="M13" s="16">
        <f t="shared" si="0"/>
        <v>6.597222222222221E-2</v>
      </c>
      <c r="N13" s="6" t="s">
        <v>109</v>
      </c>
      <c r="O13" s="6" t="s">
        <v>61</v>
      </c>
      <c r="P13" s="7" t="s">
        <v>131</v>
      </c>
      <c r="Q13" s="7" t="s">
        <v>86</v>
      </c>
      <c r="R13" s="7" t="s">
        <v>62</v>
      </c>
      <c r="S13" s="7" t="s">
        <v>123</v>
      </c>
      <c r="T13" s="7" t="s">
        <v>182</v>
      </c>
      <c r="U13" s="7" t="s">
        <v>291</v>
      </c>
      <c r="V13" s="7" t="s">
        <v>109</v>
      </c>
      <c r="W13" s="7" t="s">
        <v>182</v>
      </c>
    </row>
    <row r="14" spans="1:23" customFormat="1" x14ac:dyDescent="0.3">
      <c r="A14" s="7">
        <v>13</v>
      </c>
      <c r="B14" s="6" t="s">
        <v>143</v>
      </c>
      <c r="C14" s="6" t="s">
        <v>183</v>
      </c>
      <c r="D14" s="6">
        <v>11225027</v>
      </c>
      <c r="E14" s="6">
        <v>80</v>
      </c>
      <c r="F14" s="6">
        <v>172</v>
      </c>
      <c r="G14" s="6">
        <v>79</v>
      </c>
      <c r="H14" s="7" t="s">
        <v>184</v>
      </c>
      <c r="I14" s="6" t="s">
        <v>94</v>
      </c>
      <c r="J14" s="6" t="s">
        <v>130</v>
      </c>
      <c r="K14" s="15">
        <v>0.70347222222222228</v>
      </c>
      <c r="L14" s="15">
        <v>0.73611111111111116</v>
      </c>
      <c r="M14" s="16">
        <f t="shared" si="0"/>
        <v>3.2638888888888884E-2</v>
      </c>
      <c r="N14" s="6" t="s">
        <v>109</v>
      </c>
      <c r="O14" s="6" t="s">
        <v>61</v>
      </c>
      <c r="P14" s="7" t="s">
        <v>131</v>
      </c>
      <c r="Q14" s="7" t="s">
        <v>94</v>
      </c>
      <c r="R14" s="7" t="s">
        <v>62</v>
      </c>
      <c r="S14" s="7" t="s">
        <v>123</v>
      </c>
      <c r="T14" s="7" t="s">
        <v>121</v>
      </c>
      <c r="U14" s="7" t="s">
        <v>290</v>
      </c>
      <c r="V14" s="7" t="s">
        <v>109</v>
      </c>
      <c r="W14" s="7" t="s">
        <v>121</v>
      </c>
    </row>
    <row r="15" spans="1:23" customFormat="1" x14ac:dyDescent="0.3">
      <c r="A15" s="7">
        <v>14</v>
      </c>
      <c r="B15" s="6" t="s">
        <v>143</v>
      </c>
      <c r="C15" s="6" t="s">
        <v>185</v>
      </c>
      <c r="D15" s="6">
        <v>11125002</v>
      </c>
      <c r="E15" s="6">
        <v>150</v>
      </c>
      <c r="F15" s="6">
        <v>244</v>
      </c>
      <c r="G15" s="6">
        <v>80</v>
      </c>
      <c r="H15" s="7" t="s">
        <v>186</v>
      </c>
      <c r="I15" s="6" t="s">
        <v>187</v>
      </c>
      <c r="J15" s="6" t="s">
        <v>130</v>
      </c>
      <c r="K15" s="15">
        <v>0.8125</v>
      </c>
      <c r="L15" s="15">
        <v>0.8520833333333333</v>
      </c>
      <c r="M15" s="16">
        <f t="shared" si="0"/>
        <v>3.9583333333333304E-2</v>
      </c>
      <c r="N15" s="6" t="s">
        <v>109</v>
      </c>
      <c r="O15" s="6" t="s">
        <v>61</v>
      </c>
      <c r="P15" s="7" t="s">
        <v>131</v>
      </c>
      <c r="Q15" s="7" t="s">
        <v>209</v>
      </c>
      <c r="R15" s="7" t="s">
        <v>62</v>
      </c>
      <c r="S15" s="7" t="s">
        <v>123</v>
      </c>
      <c r="T15" s="7" t="s">
        <v>116</v>
      </c>
      <c r="U15" s="7" t="s">
        <v>291</v>
      </c>
      <c r="V15" s="7" t="s">
        <v>109</v>
      </c>
      <c r="W15" s="7" t="s">
        <v>116</v>
      </c>
    </row>
    <row r="16" spans="1:23" customFormat="1" x14ac:dyDescent="0.3">
      <c r="A16" s="7">
        <v>15</v>
      </c>
      <c r="B16" s="6" t="s">
        <v>143</v>
      </c>
      <c r="C16" s="6" t="s">
        <v>188</v>
      </c>
      <c r="D16" s="6">
        <v>10126001</v>
      </c>
      <c r="E16" s="6">
        <v>100</v>
      </c>
      <c r="F16" s="6">
        <v>202</v>
      </c>
      <c r="G16" s="6">
        <v>86</v>
      </c>
      <c r="H16" s="7" t="s">
        <v>65</v>
      </c>
      <c r="I16" s="6" t="s">
        <v>154</v>
      </c>
      <c r="J16" s="6" t="s">
        <v>130</v>
      </c>
      <c r="K16" s="15">
        <v>0.94236111111111109</v>
      </c>
      <c r="L16" s="15">
        <v>0.98263888888888884</v>
      </c>
      <c r="M16" s="16">
        <f t="shared" si="0"/>
        <v>4.0277777777777746E-2</v>
      </c>
      <c r="N16" s="6" t="s">
        <v>109</v>
      </c>
      <c r="O16" s="6" t="s">
        <v>61</v>
      </c>
      <c r="P16" s="7" t="s">
        <v>131</v>
      </c>
      <c r="Q16" s="7" t="s">
        <v>154</v>
      </c>
      <c r="R16" s="7" t="s">
        <v>62</v>
      </c>
      <c r="S16" s="7" t="s">
        <v>123</v>
      </c>
      <c r="T16" s="7" t="s">
        <v>189</v>
      </c>
      <c r="U16" s="7" t="s">
        <v>290</v>
      </c>
      <c r="V16" s="7" t="s">
        <v>109</v>
      </c>
      <c r="W16" s="7" t="s">
        <v>189</v>
      </c>
    </row>
    <row r="17" spans="1:23" x14ac:dyDescent="0.3">
      <c r="A17" s="28">
        <v>16</v>
      </c>
      <c r="B17" s="29" t="s">
        <v>143</v>
      </c>
      <c r="C17" s="29" t="s">
        <v>190</v>
      </c>
      <c r="D17" s="29">
        <v>10126003</v>
      </c>
      <c r="E17" s="29">
        <v>100</v>
      </c>
      <c r="F17" s="29">
        <v>70</v>
      </c>
      <c r="G17" s="29">
        <v>5</v>
      </c>
      <c r="H17" s="28" t="s">
        <v>191</v>
      </c>
      <c r="I17" s="29" t="s">
        <v>192</v>
      </c>
      <c r="J17" s="29" t="s">
        <v>130</v>
      </c>
      <c r="K17" s="30">
        <v>0.83125000000000004</v>
      </c>
      <c r="L17" s="30">
        <v>1.0305555555555557</v>
      </c>
      <c r="M17" s="16">
        <f t="shared" si="0"/>
        <v>0.19930555555555562</v>
      </c>
      <c r="N17" s="29" t="s">
        <v>109</v>
      </c>
      <c r="O17" s="29" t="s">
        <v>61</v>
      </c>
      <c r="P17" s="28" t="s">
        <v>109</v>
      </c>
      <c r="Q17" s="28" t="s">
        <v>109</v>
      </c>
      <c r="R17" s="28" t="s">
        <v>62</v>
      </c>
      <c r="S17" s="28" t="s">
        <v>123</v>
      </c>
      <c r="T17" s="28" t="s">
        <v>182</v>
      </c>
      <c r="U17" s="7" t="s">
        <v>291</v>
      </c>
      <c r="V17" s="28" t="s">
        <v>109</v>
      </c>
      <c r="W17" s="28" t="s">
        <v>182</v>
      </c>
    </row>
    <row r="18" spans="1:23" x14ac:dyDescent="0.3">
      <c r="A18" s="28">
        <v>17</v>
      </c>
      <c r="B18" s="29" t="s">
        <v>143</v>
      </c>
      <c r="C18" s="29" t="s">
        <v>190</v>
      </c>
      <c r="D18" s="29">
        <v>10126004</v>
      </c>
      <c r="E18" s="29">
        <v>100</v>
      </c>
      <c r="F18" s="29">
        <v>246</v>
      </c>
      <c r="G18" s="29">
        <v>70</v>
      </c>
      <c r="H18" s="28" t="s">
        <v>193</v>
      </c>
      <c r="I18" s="29" t="s">
        <v>194</v>
      </c>
      <c r="J18" s="29" t="s">
        <v>130</v>
      </c>
      <c r="K18" s="30">
        <v>0.9243055555555556</v>
      </c>
      <c r="L18" s="30">
        <v>1.0326388888888889</v>
      </c>
      <c r="M18" s="16">
        <f t="shared" si="0"/>
        <v>0.10833333333333328</v>
      </c>
      <c r="N18" s="29" t="s">
        <v>109</v>
      </c>
      <c r="O18" s="29" t="s">
        <v>61</v>
      </c>
      <c r="P18" s="28" t="s">
        <v>109</v>
      </c>
      <c r="Q18" s="28" t="s">
        <v>109</v>
      </c>
      <c r="R18" s="28" t="s">
        <v>62</v>
      </c>
      <c r="S18" s="28" t="s">
        <v>123</v>
      </c>
      <c r="T18" s="28" t="s">
        <v>182</v>
      </c>
      <c r="U18" s="7" t="s">
        <v>291</v>
      </c>
      <c r="V18" s="28" t="s">
        <v>109</v>
      </c>
      <c r="W18" s="28" t="s">
        <v>182</v>
      </c>
    </row>
    <row r="19" spans="1:23" customFormat="1" x14ac:dyDescent="0.3">
      <c r="A19" s="7">
        <v>18</v>
      </c>
      <c r="B19" s="6" t="s">
        <v>23</v>
      </c>
      <c r="C19" s="6" t="s">
        <v>195</v>
      </c>
      <c r="D19" s="6">
        <v>50925076</v>
      </c>
      <c r="E19" s="6">
        <v>100</v>
      </c>
      <c r="F19" s="6">
        <v>182</v>
      </c>
      <c r="G19" s="6">
        <v>58</v>
      </c>
      <c r="H19" s="7" t="s">
        <v>196</v>
      </c>
      <c r="I19" s="6" t="s">
        <v>91</v>
      </c>
      <c r="J19" s="6" t="s">
        <v>130</v>
      </c>
      <c r="K19" s="15">
        <v>0.98055555555555551</v>
      </c>
      <c r="L19" s="15">
        <v>1.0020833333333334</v>
      </c>
      <c r="M19" s="16">
        <f t="shared" si="0"/>
        <v>2.1527777777777923E-2</v>
      </c>
      <c r="N19" s="6" t="s">
        <v>109</v>
      </c>
      <c r="O19" s="6" t="s">
        <v>61</v>
      </c>
      <c r="P19" s="7" t="s">
        <v>131</v>
      </c>
      <c r="Q19" s="7" t="s">
        <v>91</v>
      </c>
      <c r="R19" s="7" t="s">
        <v>62</v>
      </c>
      <c r="S19" s="7" t="s">
        <v>123</v>
      </c>
      <c r="T19" s="7" t="s">
        <v>197</v>
      </c>
      <c r="U19" s="7" t="s">
        <v>291</v>
      </c>
      <c r="V19" s="7" t="s">
        <v>109</v>
      </c>
      <c r="W19" s="7" t="s">
        <v>197</v>
      </c>
    </row>
    <row r="20" spans="1:23" customFormat="1" x14ac:dyDescent="0.3">
      <c r="A20" s="7">
        <v>19</v>
      </c>
      <c r="B20" s="6" t="s">
        <v>23</v>
      </c>
      <c r="C20" s="6" t="s">
        <v>198</v>
      </c>
      <c r="D20" s="6">
        <v>50925062</v>
      </c>
      <c r="E20" s="6">
        <v>100</v>
      </c>
      <c r="F20" s="6">
        <v>140</v>
      </c>
      <c r="G20" s="6">
        <v>96</v>
      </c>
      <c r="H20" s="7" t="s">
        <v>71</v>
      </c>
      <c r="I20" s="6" t="s">
        <v>87</v>
      </c>
      <c r="J20" s="6" t="s">
        <v>130</v>
      </c>
      <c r="K20" s="15">
        <v>0.70833333333333337</v>
      </c>
      <c r="L20" s="15">
        <v>0.75208333333333333</v>
      </c>
      <c r="M20" s="16">
        <f t="shared" si="0"/>
        <v>4.3749999999999956E-2</v>
      </c>
      <c r="N20" s="6" t="s">
        <v>109</v>
      </c>
      <c r="O20" s="6" t="s">
        <v>61</v>
      </c>
      <c r="P20" s="7" t="s">
        <v>131</v>
      </c>
      <c r="Q20" s="7" t="s">
        <v>87</v>
      </c>
      <c r="R20" s="7" t="s">
        <v>62</v>
      </c>
      <c r="S20" s="7" t="s">
        <v>123</v>
      </c>
      <c r="T20" s="7" t="s">
        <v>197</v>
      </c>
      <c r="U20" s="7" t="s">
        <v>290</v>
      </c>
      <c r="V20" s="7" t="s">
        <v>109</v>
      </c>
      <c r="W20" s="7" t="s">
        <v>197</v>
      </c>
    </row>
    <row r="21" spans="1:23" customFormat="1" x14ac:dyDescent="0.3">
      <c r="A21" s="7">
        <v>20</v>
      </c>
      <c r="B21" s="6" t="s">
        <v>23</v>
      </c>
      <c r="C21" s="6" t="s">
        <v>199</v>
      </c>
      <c r="D21" s="6">
        <v>50925064</v>
      </c>
      <c r="E21" s="6">
        <v>100</v>
      </c>
      <c r="F21" s="6">
        <v>155</v>
      </c>
      <c r="G21" s="6">
        <v>102</v>
      </c>
      <c r="H21" s="7" t="s">
        <v>200</v>
      </c>
      <c r="I21" s="6" t="s">
        <v>91</v>
      </c>
      <c r="J21" s="6" t="s">
        <v>130</v>
      </c>
      <c r="K21" s="15">
        <v>0.84305555555555556</v>
      </c>
      <c r="L21" s="15">
        <v>0.89930555555555558</v>
      </c>
      <c r="M21" s="16">
        <f t="shared" si="0"/>
        <v>5.6250000000000022E-2</v>
      </c>
      <c r="N21" s="6" t="s">
        <v>109</v>
      </c>
      <c r="O21" s="6" t="s">
        <v>61</v>
      </c>
      <c r="P21" s="7" t="s">
        <v>131</v>
      </c>
      <c r="Q21" s="7" t="s">
        <v>91</v>
      </c>
      <c r="R21" s="7" t="s">
        <v>62</v>
      </c>
      <c r="S21" s="7" t="s">
        <v>123</v>
      </c>
      <c r="T21" s="7" t="s">
        <v>197</v>
      </c>
      <c r="U21" s="7" t="s">
        <v>290</v>
      </c>
      <c r="V21" s="7" t="s">
        <v>109</v>
      </c>
      <c r="W21" s="7" t="s">
        <v>197</v>
      </c>
    </row>
    <row r="22" spans="1:23" customFormat="1" x14ac:dyDescent="0.3">
      <c r="A22" s="7">
        <v>21</v>
      </c>
      <c r="B22" s="6" t="s">
        <v>23</v>
      </c>
      <c r="C22" s="6" t="s">
        <v>201</v>
      </c>
      <c r="D22" s="6">
        <v>51225045</v>
      </c>
      <c r="E22" s="6">
        <v>75</v>
      </c>
      <c r="F22" s="6">
        <v>152</v>
      </c>
      <c r="G22" s="6">
        <v>7</v>
      </c>
      <c r="H22" s="7" t="s">
        <v>72</v>
      </c>
      <c r="I22" s="6" t="s">
        <v>89</v>
      </c>
      <c r="J22" s="6" t="s">
        <v>130</v>
      </c>
      <c r="K22" s="15">
        <v>0.71875</v>
      </c>
      <c r="L22" s="15">
        <v>0.74027777777777781</v>
      </c>
      <c r="M22" s="16">
        <f t="shared" si="0"/>
        <v>2.1527777777777812E-2</v>
      </c>
      <c r="N22" s="6" t="s">
        <v>109</v>
      </c>
      <c r="O22" s="6" t="s">
        <v>61</v>
      </c>
      <c r="P22" s="7" t="s">
        <v>131</v>
      </c>
      <c r="Q22" s="7" t="s">
        <v>89</v>
      </c>
      <c r="R22" s="7" t="s">
        <v>62</v>
      </c>
      <c r="S22" s="7" t="s">
        <v>123</v>
      </c>
      <c r="T22" s="7" t="s">
        <v>197</v>
      </c>
      <c r="U22" s="7" t="s">
        <v>291</v>
      </c>
      <c r="V22" s="7" t="s">
        <v>109</v>
      </c>
      <c r="W22" s="7" t="s">
        <v>197</v>
      </c>
    </row>
    <row r="23" spans="1:23" customFormat="1" x14ac:dyDescent="0.3">
      <c r="A23" s="7">
        <v>22</v>
      </c>
      <c r="B23" s="6" t="s">
        <v>23</v>
      </c>
      <c r="C23" s="6" t="s">
        <v>202</v>
      </c>
      <c r="D23" s="6">
        <v>51225044</v>
      </c>
      <c r="E23" s="6">
        <v>75</v>
      </c>
      <c r="F23" s="6">
        <v>150</v>
      </c>
      <c r="G23" s="6">
        <v>34</v>
      </c>
      <c r="H23" s="7" t="s">
        <v>84</v>
      </c>
      <c r="I23" s="6" t="s">
        <v>179</v>
      </c>
      <c r="J23" s="6" t="s">
        <v>130</v>
      </c>
      <c r="K23" s="15">
        <v>0.80763888888888891</v>
      </c>
      <c r="L23" s="15">
        <v>0.8354166666666667</v>
      </c>
      <c r="M23" s="16">
        <f t="shared" si="0"/>
        <v>2.777777777777779E-2</v>
      </c>
      <c r="N23" s="6" t="s">
        <v>109</v>
      </c>
      <c r="O23" s="6" t="s">
        <v>61</v>
      </c>
      <c r="P23" s="7" t="s">
        <v>131</v>
      </c>
      <c r="Q23" s="7" t="s">
        <v>179</v>
      </c>
      <c r="R23" s="7" t="s">
        <v>62</v>
      </c>
      <c r="S23" s="7" t="s">
        <v>123</v>
      </c>
      <c r="T23" s="7" t="s">
        <v>197</v>
      </c>
      <c r="U23" s="7" t="s">
        <v>291</v>
      </c>
      <c r="V23" s="7" t="s">
        <v>109</v>
      </c>
      <c r="W23" s="7" t="s">
        <v>197</v>
      </c>
    </row>
    <row r="24" spans="1:23" customFormat="1" x14ac:dyDescent="0.3">
      <c r="A24" s="7">
        <v>23</v>
      </c>
      <c r="B24" s="6" t="s">
        <v>23</v>
      </c>
      <c r="C24" s="6" t="s">
        <v>203</v>
      </c>
      <c r="D24" s="6">
        <v>51025063</v>
      </c>
      <c r="E24" s="6">
        <v>150</v>
      </c>
      <c r="F24" s="6">
        <v>304</v>
      </c>
      <c r="G24" s="6">
        <v>67</v>
      </c>
      <c r="H24" s="7" t="s">
        <v>204</v>
      </c>
      <c r="I24" s="6" t="s">
        <v>187</v>
      </c>
      <c r="J24" s="6" t="s">
        <v>130</v>
      </c>
      <c r="K24" s="15">
        <v>0.90763888888888888</v>
      </c>
      <c r="L24" s="15">
        <v>0.92083333333333328</v>
      </c>
      <c r="M24" s="16">
        <f t="shared" si="0"/>
        <v>1.3194444444444398E-2</v>
      </c>
      <c r="N24" s="6" t="s">
        <v>109</v>
      </c>
      <c r="O24" s="6" t="s">
        <v>61</v>
      </c>
      <c r="P24" s="7" t="s">
        <v>131</v>
      </c>
      <c r="Q24" s="7" t="s">
        <v>95</v>
      </c>
      <c r="R24" s="7" t="s">
        <v>62</v>
      </c>
      <c r="S24" s="7" t="s">
        <v>123</v>
      </c>
      <c r="T24" s="7" t="s">
        <v>197</v>
      </c>
      <c r="U24" s="7" t="s">
        <v>291</v>
      </c>
      <c r="V24" s="7" t="s">
        <v>109</v>
      </c>
      <c r="W24" s="7" t="s">
        <v>197</v>
      </c>
    </row>
    <row r="25" spans="1:23" customFormat="1" x14ac:dyDescent="0.3">
      <c r="A25" s="7">
        <v>24</v>
      </c>
      <c r="B25" s="6" t="s">
        <v>23</v>
      </c>
      <c r="C25" s="6" t="s">
        <v>205</v>
      </c>
      <c r="D25" s="6">
        <v>50925075</v>
      </c>
      <c r="E25" s="6">
        <v>100</v>
      </c>
      <c r="F25" s="6">
        <v>203</v>
      </c>
      <c r="G25" s="6">
        <v>71</v>
      </c>
      <c r="H25" s="7" t="s">
        <v>68</v>
      </c>
      <c r="I25" s="6" t="s">
        <v>86</v>
      </c>
      <c r="J25" s="6" t="s">
        <v>130</v>
      </c>
      <c r="K25" s="15">
        <v>0.74861111111111112</v>
      </c>
      <c r="L25" s="15">
        <v>0.78333333333333333</v>
      </c>
      <c r="M25" s="16">
        <f t="shared" si="0"/>
        <v>3.472222222222221E-2</v>
      </c>
      <c r="N25" s="6" t="s">
        <v>109</v>
      </c>
      <c r="O25" s="6" t="s">
        <v>61</v>
      </c>
      <c r="P25" s="7" t="s">
        <v>131</v>
      </c>
      <c r="Q25" s="7" t="s">
        <v>86</v>
      </c>
      <c r="R25" s="7" t="s">
        <v>62</v>
      </c>
      <c r="S25" s="7" t="s">
        <v>123</v>
      </c>
      <c r="T25" s="7" t="s">
        <v>197</v>
      </c>
      <c r="U25" s="7" t="s">
        <v>291</v>
      </c>
      <c r="V25" s="7" t="s">
        <v>109</v>
      </c>
      <c r="W25" s="7" t="s">
        <v>197</v>
      </c>
    </row>
    <row r="26" spans="1:23" customFormat="1" x14ac:dyDescent="0.3">
      <c r="A26" s="7">
        <v>25</v>
      </c>
      <c r="B26" s="6" t="s">
        <v>23</v>
      </c>
      <c r="C26" s="6" t="s">
        <v>206</v>
      </c>
      <c r="D26" s="6">
        <v>50925080</v>
      </c>
      <c r="E26" s="6">
        <v>50</v>
      </c>
      <c r="F26" s="6">
        <v>21</v>
      </c>
      <c r="G26" s="6">
        <v>3</v>
      </c>
      <c r="H26" s="7" t="s">
        <v>72</v>
      </c>
      <c r="I26" s="6" t="s">
        <v>89</v>
      </c>
      <c r="J26" s="6" t="s">
        <v>130</v>
      </c>
      <c r="K26" s="15">
        <v>0.75208333333333333</v>
      </c>
      <c r="L26" s="15">
        <v>0.7680555555555556</v>
      </c>
      <c r="M26" s="16">
        <f t="shared" si="0"/>
        <v>1.5972222222222276E-2</v>
      </c>
      <c r="N26" s="6" t="s">
        <v>109</v>
      </c>
      <c r="O26" s="6" t="s">
        <v>61</v>
      </c>
      <c r="P26" s="7" t="s">
        <v>131</v>
      </c>
      <c r="Q26" s="7" t="s">
        <v>89</v>
      </c>
      <c r="R26" s="7" t="s">
        <v>62</v>
      </c>
      <c r="S26" s="7" t="s">
        <v>123</v>
      </c>
      <c r="T26" s="7" t="s">
        <v>197</v>
      </c>
      <c r="U26" s="7" t="s">
        <v>291</v>
      </c>
      <c r="V26" s="7" t="s">
        <v>109</v>
      </c>
      <c r="W26" s="7" t="s">
        <v>197</v>
      </c>
    </row>
    <row r="27" spans="1:23" customFormat="1" x14ac:dyDescent="0.3">
      <c r="A27" s="7">
        <v>26</v>
      </c>
      <c r="B27" s="6" t="s">
        <v>23</v>
      </c>
      <c r="C27" s="6" t="s">
        <v>207</v>
      </c>
      <c r="D27" s="6">
        <v>50925079</v>
      </c>
      <c r="E27" s="6">
        <v>30</v>
      </c>
      <c r="F27" s="6">
        <v>42</v>
      </c>
      <c r="G27" s="6">
        <v>16</v>
      </c>
      <c r="H27" s="7" t="s">
        <v>153</v>
      </c>
      <c r="I27" s="6" t="s">
        <v>154</v>
      </c>
      <c r="J27" s="6" t="s">
        <v>130</v>
      </c>
      <c r="K27" s="15">
        <v>0.74444444444444446</v>
      </c>
      <c r="L27" s="15">
        <v>0.81736111111111109</v>
      </c>
      <c r="M27" s="16">
        <f t="shared" si="0"/>
        <v>7.291666666666663E-2</v>
      </c>
      <c r="N27" s="6" t="s">
        <v>109</v>
      </c>
      <c r="O27" s="6" t="s">
        <v>61</v>
      </c>
      <c r="P27" s="7" t="s">
        <v>131</v>
      </c>
      <c r="Q27" s="7" t="s">
        <v>154</v>
      </c>
      <c r="R27" s="7" t="s">
        <v>62</v>
      </c>
      <c r="S27" s="7" t="s">
        <v>123</v>
      </c>
      <c r="T27" s="7" t="s">
        <v>197</v>
      </c>
      <c r="U27" s="7" t="s">
        <v>291</v>
      </c>
      <c r="V27" s="7" t="s">
        <v>109</v>
      </c>
      <c r="W27" s="7" t="s">
        <v>197</v>
      </c>
    </row>
    <row r="28" spans="1:23" customFormat="1" x14ac:dyDescent="0.3">
      <c r="A28" s="7">
        <v>27</v>
      </c>
      <c r="B28" s="6" t="s">
        <v>23</v>
      </c>
      <c r="C28" s="6" t="s">
        <v>208</v>
      </c>
      <c r="D28" s="6">
        <v>50925078</v>
      </c>
      <c r="E28" s="6">
        <v>30</v>
      </c>
      <c r="F28" s="6">
        <v>47</v>
      </c>
      <c r="G28" s="6">
        <v>5</v>
      </c>
      <c r="H28" s="7" t="s">
        <v>66</v>
      </c>
      <c r="I28" s="6" t="s">
        <v>209</v>
      </c>
      <c r="J28" s="6" t="s">
        <v>130</v>
      </c>
      <c r="K28" s="15">
        <v>0.66805555555555551</v>
      </c>
      <c r="L28" s="15">
        <v>0.68680555555555556</v>
      </c>
      <c r="M28" s="16">
        <f t="shared" si="0"/>
        <v>1.8750000000000044E-2</v>
      </c>
      <c r="N28" s="6" t="s">
        <v>109</v>
      </c>
      <c r="O28" s="6" t="s">
        <v>61</v>
      </c>
      <c r="P28" s="7" t="s">
        <v>131</v>
      </c>
      <c r="Q28" s="7" t="s">
        <v>209</v>
      </c>
      <c r="R28" s="7" t="s">
        <v>62</v>
      </c>
      <c r="S28" s="7" t="s">
        <v>123</v>
      </c>
      <c r="T28" s="7" t="s">
        <v>197</v>
      </c>
      <c r="U28" s="7" t="s">
        <v>291</v>
      </c>
      <c r="V28" s="7" t="s">
        <v>109</v>
      </c>
      <c r="W28" s="7" t="s">
        <v>197</v>
      </c>
    </row>
    <row r="29" spans="1:23" customFormat="1" x14ac:dyDescent="0.3">
      <c r="A29" s="7">
        <v>28</v>
      </c>
      <c r="B29" s="6" t="s">
        <v>23</v>
      </c>
      <c r="C29" s="6" t="s">
        <v>210</v>
      </c>
      <c r="D29" s="6">
        <v>50925063</v>
      </c>
      <c r="E29" s="6">
        <v>50</v>
      </c>
      <c r="F29" s="6">
        <v>83</v>
      </c>
      <c r="G29" s="6">
        <v>7</v>
      </c>
      <c r="H29" s="7" t="s">
        <v>84</v>
      </c>
      <c r="I29" s="6" t="s">
        <v>89</v>
      </c>
      <c r="J29" s="6" t="s">
        <v>130</v>
      </c>
      <c r="K29" s="15">
        <v>0.69722222222222219</v>
      </c>
      <c r="L29" s="15">
        <v>0.70763888888888893</v>
      </c>
      <c r="M29" s="16">
        <f t="shared" si="0"/>
        <v>1.0416666666666741E-2</v>
      </c>
      <c r="N29" s="6" t="s">
        <v>109</v>
      </c>
      <c r="O29" s="6" t="s">
        <v>61</v>
      </c>
      <c r="P29" s="7" t="s">
        <v>131</v>
      </c>
      <c r="Q29" s="7" t="s">
        <v>89</v>
      </c>
      <c r="R29" s="7" t="s">
        <v>62</v>
      </c>
      <c r="S29" s="7" t="s">
        <v>123</v>
      </c>
      <c r="T29" s="7" t="s">
        <v>197</v>
      </c>
      <c r="U29" s="7" t="s">
        <v>291</v>
      </c>
      <c r="V29" s="7" t="s">
        <v>109</v>
      </c>
      <c r="W29" s="7" t="s">
        <v>197</v>
      </c>
    </row>
    <row r="30" spans="1:23" customFormat="1" x14ac:dyDescent="0.3">
      <c r="A30" s="7">
        <v>29</v>
      </c>
      <c r="B30" s="6" t="s">
        <v>23</v>
      </c>
      <c r="C30" s="6" t="s">
        <v>211</v>
      </c>
      <c r="D30" s="6">
        <v>51225077</v>
      </c>
      <c r="E30" s="6">
        <v>50</v>
      </c>
      <c r="F30" s="6">
        <v>106</v>
      </c>
      <c r="G30" s="6">
        <v>41</v>
      </c>
      <c r="H30" s="7" t="s">
        <v>184</v>
      </c>
      <c r="I30" s="6" t="s">
        <v>94</v>
      </c>
      <c r="J30" s="6" t="s">
        <v>130</v>
      </c>
      <c r="K30" s="15">
        <v>0.86736111111111114</v>
      </c>
      <c r="L30" s="15">
        <v>0.90833333333333333</v>
      </c>
      <c r="M30" s="16">
        <f t="shared" si="0"/>
        <v>4.0972222222222188E-2</v>
      </c>
      <c r="N30" s="6" t="s">
        <v>109</v>
      </c>
      <c r="O30" s="6" t="s">
        <v>61</v>
      </c>
      <c r="P30" s="7" t="s">
        <v>131</v>
      </c>
      <c r="Q30" s="7" t="s">
        <v>94</v>
      </c>
      <c r="R30" s="7" t="s">
        <v>62</v>
      </c>
      <c r="S30" s="7" t="s">
        <v>123</v>
      </c>
      <c r="T30" s="7" t="s">
        <v>197</v>
      </c>
      <c r="U30" s="7" t="s">
        <v>290</v>
      </c>
      <c r="V30" s="7" t="s">
        <v>109</v>
      </c>
      <c r="W30" s="7" t="s">
        <v>197</v>
      </c>
    </row>
    <row r="31" spans="1:23" customFormat="1" x14ac:dyDescent="0.3">
      <c r="A31" s="7">
        <v>30</v>
      </c>
      <c r="B31" s="6" t="s">
        <v>23</v>
      </c>
      <c r="C31" s="6" t="s">
        <v>212</v>
      </c>
      <c r="D31" s="6">
        <v>51225048</v>
      </c>
      <c r="E31" s="6">
        <v>35</v>
      </c>
      <c r="F31" s="6">
        <v>150</v>
      </c>
      <c r="G31" s="6">
        <v>0</v>
      </c>
      <c r="H31" s="7" t="s">
        <v>64</v>
      </c>
      <c r="I31" s="6" t="s">
        <v>86</v>
      </c>
      <c r="J31" s="6" t="s">
        <v>130</v>
      </c>
      <c r="K31" s="15">
        <v>0.81111111111111112</v>
      </c>
      <c r="L31" s="15">
        <v>0.81736111111111109</v>
      </c>
      <c r="M31" s="16">
        <f t="shared" si="0"/>
        <v>6.2499999999999778E-3</v>
      </c>
      <c r="N31" s="6" t="s">
        <v>109</v>
      </c>
      <c r="O31" s="6" t="s">
        <v>61</v>
      </c>
      <c r="P31" s="7" t="s">
        <v>131</v>
      </c>
      <c r="Q31" s="7" t="s">
        <v>86</v>
      </c>
      <c r="R31" s="7" t="s">
        <v>62</v>
      </c>
      <c r="S31" s="7" t="s">
        <v>123</v>
      </c>
      <c r="T31" s="7" t="s">
        <v>197</v>
      </c>
      <c r="U31" s="7" t="s">
        <v>291</v>
      </c>
      <c r="V31" s="7" t="s">
        <v>109</v>
      </c>
      <c r="W31" s="7" t="s">
        <v>197</v>
      </c>
    </row>
    <row r="32" spans="1:23" customFormat="1" x14ac:dyDescent="0.3">
      <c r="A32" s="7">
        <v>31</v>
      </c>
      <c r="B32" s="6" t="s">
        <v>23</v>
      </c>
      <c r="C32" s="6" t="s">
        <v>213</v>
      </c>
      <c r="D32" s="6">
        <v>50925065</v>
      </c>
      <c r="E32" s="6">
        <v>30</v>
      </c>
      <c r="F32" s="6">
        <v>49</v>
      </c>
      <c r="G32" s="6">
        <v>7</v>
      </c>
      <c r="H32" s="7" t="s">
        <v>214</v>
      </c>
      <c r="I32" s="6" t="s">
        <v>88</v>
      </c>
      <c r="J32" s="6" t="s">
        <v>130</v>
      </c>
      <c r="K32" s="15">
        <v>0.69236111111111109</v>
      </c>
      <c r="L32" s="15">
        <v>0.70416666666666672</v>
      </c>
      <c r="M32" s="16">
        <f t="shared" si="0"/>
        <v>1.1805555555555625E-2</v>
      </c>
      <c r="N32" s="6" t="s">
        <v>109</v>
      </c>
      <c r="O32" s="6" t="s">
        <v>61</v>
      </c>
      <c r="P32" s="7" t="s">
        <v>131</v>
      </c>
      <c r="Q32" s="7" t="s">
        <v>88</v>
      </c>
      <c r="R32" s="7" t="s">
        <v>62</v>
      </c>
      <c r="S32" s="7" t="s">
        <v>123</v>
      </c>
      <c r="T32" s="7" t="s">
        <v>197</v>
      </c>
      <c r="U32" s="7" t="s">
        <v>291</v>
      </c>
      <c r="V32" s="7" t="s">
        <v>109</v>
      </c>
      <c r="W32" s="7" t="s">
        <v>197</v>
      </c>
    </row>
    <row r="33" spans="1:23" customFormat="1" x14ac:dyDescent="0.3">
      <c r="A33" s="7">
        <v>32</v>
      </c>
      <c r="B33" s="6" t="s">
        <v>23</v>
      </c>
      <c r="C33" s="6" t="s">
        <v>215</v>
      </c>
      <c r="D33" s="6">
        <v>50925077</v>
      </c>
      <c r="E33" s="6">
        <v>30</v>
      </c>
      <c r="F33" s="6">
        <v>140</v>
      </c>
      <c r="G33" s="6">
        <v>19</v>
      </c>
      <c r="H33" s="7" t="s">
        <v>65</v>
      </c>
      <c r="I33" s="6" t="s">
        <v>209</v>
      </c>
      <c r="J33" s="6" t="s">
        <v>130</v>
      </c>
      <c r="K33" s="15">
        <v>0.6958333333333333</v>
      </c>
      <c r="L33" s="15">
        <v>0.75486111111111109</v>
      </c>
      <c r="M33" s="16">
        <f t="shared" si="0"/>
        <v>5.902777777777779E-2</v>
      </c>
      <c r="N33" s="6" t="s">
        <v>109</v>
      </c>
      <c r="O33" s="7" t="s">
        <v>61</v>
      </c>
      <c r="P33" s="7" t="s">
        <v>131</v>
      </c>
      <c r="Q33" s="7" t="s">
        <v>209</v>
      </c>
      <c r="R33" s="7" t="s">
        <v>62</v>
      </c>
      <c r="S33" s="7" t="s">
        <v>123</v>
      </c>
      <c r="T33" s="7" t="s">
        <v>197</v>
      </c>
      <c r="U33" s="7" t="s">
        <v>291</v>
      </c>
      <c r="V33" s="7" t="s">
        <v>109</v>
      </c>
      <c r="W33" s="7" t="s">
        <v>197</v>
      </c>
    </row>
    <row r="34" spans="1:23" customFormat="1" x14ac:dyDescent="0.3">
      <c r="A34" s="7">
        <v>33</v>
      </c>
      <c r="B34" s="6" t="s">
        <v>23</v>
      </c>
      <c r="C34" s="6" t="s">
        <v>216</v>
      </c>
      <c r="D34" s="6">
        <v>51225066</v>
      </c>
      <c r="E34" s="6">
        <v>100</v>
      </c>
      <c r="F34" s="6">
        <v>206</v>
      </c>
      <c r="G34" s="6">
        <v>88</v>
      </c>
      <c r="H34" s="7" t="s">
        <v>64</v>
      </c>
      <c r="I34" s="6" t="s">
        <v>154</v>
      </c>
      <c r="J34" s="6" t="s">
        <v>130</v>
      </c>
      <c r="K34" s="15">
        <v>0.7006944444444444</v>
      </c>
      <c r="L34" s="15">
        <v>0.7583333333333333</v>
      </c>
      <c r="M34" s="16">
        <f t="shared" ref="M34:M65" si="1">L34-K34</f>
        <v>5.7638888888888906E-2</v>
      </c>
      <c r="N34" s="6" t="s">
        <v>217</v>
      </c>
      <c r="O34" s="17" t="s">
        <v>61</v>
      </c>
      <c r="P34" s="7" t="s">
        <v>131</v>
      </c>
      <c r="Q34" s="7" t="s">
        <v>154</v>
      </c>
      <c r="R34" s="7" t="s">
        <v>62</v>
      </c>
      <c r="S34" s="7" t="s">
        <v>123</v>
      </c>
      <c r="T34" s="7" t="s">
        <v>218</v>
      </c>
      <c r="U34" s="7" t="s">
        <v>290</v>
      </c>
      <c r="V34" s="7" t="s">
        <v>109</v>
      </c>
      <c r="W34" s="7" t="s">
        <v>218</v>
      </c>
    </row>
    <row r="35" spans="1:23" customFormat="1" x14ac:dyDescent="0.3">
      <c r="A35" s="7">
        <v>34</v>
      </c>
      <c r="B35" s="6" t="s">
        <v>23</v>
      </c>
      <c r="C35" s="6" t="s">
        <v>219</v>
      </c>
      <c r="D35" s="6">
        <v>51225067</v>
      </c>
      <c r="E35" s="6">
        <v>100</v>
      </c>
      <c r="F35" s="6">
        <v>198</v>
      </c>
      <c r="G35" s="6">
        <v>79</v>
      </c>
      <c r="H35" s="7" t="s">
        <v>69</v>
      </c>
      <c r="I35" s="6" t="s">
        <v>179</v>
      </c>
      <c r="J35" s="6" t="s">
        <v>130</v>
      </c>
      <c r="K35" s="15">
        <v>0.85763888888888884</v>
      </c>
      <c r="L35" s="15">
        <v>0.93958333333333333</v>
      </c>
      <c r="M35" s="16">
        <f t="shared" si="1"/>
        <v>8.1944444444444486E-2</v>
      </c>
      <c r="N35" s="6" t="s">
        <v>217</v>
      </c>
      <c r="O35" s="6" t="s">
        <v>61</v>
      </c>
      <c r="P35" s="7" t="s">
        <v>131</v>
      </c>
      <c r="Q35" s="7" t="s">
        <v>179</v>
      </c>
      <c r="R35" s="7" t="s">
        <v>62</v>
      </c>
      <c r="S35" s="7" t="s">
        <v>136</v>
      </c>
      <c r="T35" s="7" t="s">
        <v>218</v>
      </c>
      <c r="U35" s="7" t="s">
        <v>291</v>
      </c>
      <c r="V35" s="7" t="s">
        <v>109</v>
      </c>
      <c r="W35" s="7" t="s">
        <v>218</v>
      </c>
    </row>
    <row r="36" spans="1:23" customFormat="1" x14ac:dyDescent="0.3">
      <c r="A36" s="7">
        <v>35</v>
      </c>
      <c r="B36" s="6" t="s">
        <v>23</v>
      </c>
      <c r="C36" s="6" t="s">
        <v>220</v>
      </c>
      <c r="D36" s="6">
        <v>51225068</v>
      </c>
      <c r="E36" s="6">
        <v>50</v>
      </c>
      <c r="F36" s="6">
        <v>28</v>
      </c>
      <c r="G36" s="6">
        <v>16</v>
      </c>
      <c r="H36" s="7" t="s">
        <v>70</v>
      </c>
      <c r="I36" s="6" t="s">
        <v>179</v>
      </c>
      <c r="J36" s="6" t="s">
        <v>130</v>
      </c>
      <c r="K36" s="15">
        <v>0.75624999999999998</v>
      </c>
      <c r="L36" s="15">
        <v>0.80763888888888891</v>
      </c>
      <c r="M36" s="16">
        <f t="shared" si="1"/>
        <v>5.1388888888888928E-2</v>
      </c>
      <c r="N36" s="6" t="s">
        <v>109</v>
      </c>
      <c r="O36" s="6" t="s">
        <v>61</v>
      </c>
      <c r="P36" s="7" t="s">
        <v>131</v>
      </c>
      <c r="Q36" s="7" t="s">
        <v>179</v>
      </c>
      <c r="R36" s="7" t="s">
        <v>62</v>
      </c>
      <c r="S36" s="7" t="s">
        <v>136</v>
      </c>
      <c r="T36" s="7" t="s">
        <v>218</v>
      </c>
      <c r="U36" s="7" t="s">
        <v>291</v>
      </c>
      <c r="V36" s="7" t="s">
        <v>109</v>
      </c>
      <c r="W36" s="7" t="s">
        <v>218</v>
      </c>
    </row>
    <row r="37" spans="1:23" customFormat="1" x14ac:dyDescent="0.3">
      <c r="A37" s="7">
        <v>36</v>
      </c>
      <c r="B37" s="6" t="s">
        <v>23</v>
      </c>
      <c r="C37" s="6" t="s">
        <v>221</v>
      </c>
      <c r="D37" s="6">
        <v>50325092</v>
      </c>
      <c r="E37" s="6">
        <v>30</v>
      </c>
      <c r="F37" s="6">
        <v>53</v>
      </c>
      <c r="G37" s="6">
        <v>40</v>
      </c>
      <c r="H37" s="7" t="s">
        <v>222</v>
      </c>
      <c r="I37" s="6" t="s">
        <v>88</v>
      </c>
      <c r="J37" s="6" t="s">
        <v>130</v>
      </c>
      <c r="K37" s="15">
        <v>0.66874999999999996</v>
      </c>
      <c r="L37" s="15">
        <v>0.68958333333333333</v>
      </c>
      <c r="M37" s="16">
        <f t="shared" si="1"/>
        <v>2.083333333333337E-2</v>
      </c>
      <c r="N37" s="6" t="s">
        <v>109</v>
      </c>
      <c r="O37" s="6" t="s">
        <v>61</v>
      </c>
      <c r="P37" s="7" t="s">
        <v>131</v>
      </c>
      <c r="Q37" s="7" t="s">
        <v>88</v>
      </c>
      <c r="R37" s="7" t="s">
        <v>62</v>
      </c>
      <c r="S37" s="7" t="s">
        <v>136</v>
      </c>
      <c r="T37" s="7" t="s">
        <v>223</v>
      </c>
      <c r="U37" s="7" t="s">
        <v>290</v>
      </c>
      <c r="V37" s="7" t="s">
        <v>109</v>
      </c>
      <c r="W37" s="7" t="s">
        <v>223</v>
      </c>
    </row>
    <row r="38" spans="1:23" customFormat="1" x14ac:dyDescent="0.3">
      <c r="A38" s="7">
        <v>37</v>
      </c>
      <c r="B38" s="6" t="s">
        <v>23</v>
      </c>
      <c r="C38" s="6" t="s">
        <v>224</v>
      </c>
      <c r="D38" s="6">
        <v>51225106</v>
      </c>
      <c r="E38" s="6">
        <v>98</v>
      </c>
      <c r="F38" s="6">
        <v>198</v>
      </c>
      <c r="G38" s="6">
        <v>51</v>
      </c>
      <c r="H38" s="7" t="s">
        <v>214</v>
      </c>
      <c r="I38" s="6" t="s">
        <v>209</v>
      </c>
      <c r="J38" s="6" t="s">
        <v>130</v>
      </c>
      <c r="K38" s="15">
        <v>0.98472222222222228</v>
      </c>
      <c r="L38" s="15">
        <v>1.0027777777777778</v>
      </c>
      <c r="M38" s="16">
        <f t="shared" si="1"/>
        <v>1.8055555555555491E-2</v>
      </c>
      <c r="N38" s="6" t="s">
        <v>225</v>
      </c>
      <c r="O38" s="6" t="s">
        <v>226</v>
      </c>
      <c r="P38" s="7" t="s">
        <v>131</v>
      </c>
      <c r="Q38" s="7" t="s">
        <v>95</v>
      </c>
      <c r="R38" s="7" t="s">
        <v>62</v>
      </c>
      <c r="S38" s="7" t="s">
        <v>141</v>
      </c>
      <c r="T38" s="7" t="s">
        <v>117</v>
      </c>
      <c r="U38" s="7" t="s">
        <v>291</v>
      </c>
      <c r="V38" s="7" t="s">
        <v>109</v>
      </c>
      <c r="W38" s="7" t="s">
        <v>117</v>
      </c>
    </row>
    <row r="39" spans="1:23" customFormat="1" x14ac:dyDescent="0.3">
      <c r="A39" s="7">
        <v>38</v>
      </c>
      <c r="B39" s="6" t="s">
        <v>23</v>
      </c>
      <c r="C39" s="6" t="s">
        <v>227</v>
      </c>
      <c r="D39" s="6">
        <v>50825130</v>
      </c>
      <c r="E39" s="6">
        <v>60</v>
      </c>
      <c r="F39" s="6">
        <v>83</v>
      </c>
      <c r="G39" s="6">
        <v>68</v>
      </c>
      <c r="H39" s="7" t="s">
        <v>71</v>
      </c>
      <c r="I39" s="6" t="s">
        <v>87</v>
      </c>
      <c r="J39" s="6" t="s">
        <v>130</v>
      </c>
      <c r="K39" s="15">
        <v>0.94652777777777775</v>
      </c>
      <c r="L39" s="15">
        <v>0.98750000000000004</v>
      </c>
      <c r="M39" s="16">
        <f t="shared" si="1"/>
        <v>4.0972222222222299E-2</v>
      </c>
      <c r="N39" s="6" t="s">
        <v>225</v>
      </c>
      <c r="O39" s="6" t="s">
        <v>226</v>
      </c>
      <c r="P39" s="7" t="s">
        <v>131</v>
      </c>
      <c r="Q39" s="7" t="s">
        <v>87</v>
      </c>
      <c r="R39" s="7" t="s">
        <v>62</v>
      </c>
      <c r="S39" s="7" t="s">
        <v>141</v>
      </c>
      <c r="T39" s="7" t="s">
        <v>117</v>
      </c>
      <c r="U39" s="7" t="s">
        <v>290</v>
      </c>
      <c r="V39" s="7" t="s">
        <v>109</v>
      </c>
      <c r="W39" s="7" t="s">
        <v>117</v>
      </c>
    </row>
    <row r="40" spans="1:23" customFormat="1" x14ac:dyDescent="0.3">
      <c r="A40" s="7">
        <v>39</v>
      </c>
      <c r="B40" s="6" t="s">
        <v>23</v>
      </c>
      <c r="C40" s="6" t="s">
        <v>228</v>
      </c>
      <c r="D40" s="6">
        <v>51225097</v>
      </c>
      <c r="E40" s="6">
        <v>225</v>
      </c>
      <c r="F40" s="6">
        <v>446</v>
      </c>
      <c r="G40" s="6">
        <v>178</v>
      </c>
      <c r="H40" s="7" t="s">
        <v>229</v>
      </c>
      <c r="I40" s="6" t="s">
        <v>230</v>
      </c>
      <c r="J40" s="6" t="s">
        <v>130</v>
      </c>
      <c r="K40" s="15">
        <v>0.8208333333333333</v>
      </c>
      <c r="L40" s="15">
        <v>0.85</v>
      </c>
      <c r="M40" s="16">
        <f t="shared" si="1"/>
        <v>2.9166666666666674E-2</v>
      </c>
      <c r="N40" s="6" t="s">
        <v>61</v>
      </c>
      <c r="O40" s="6" t="s">
        <v>61</v>
      </c>
      <c r="P40" s="7" t="s">
        <v>131</v>
      </c>
      <c r="Q40" s="7" t="s">
        <v>86</v>
      </c>
      <c r="R40" s="7" t="s">
        <v>62</v>
      </c>
      <c r="S40" s="7" t="s">
        <v>141</v>
      </c>
      <c r="T40" s="7" t="s">
        <v>117</v>
      </c>
      <c r="U40" s="7" t="s">
        <v>291</v>
      </c>
      <c r="V40" s="7" t="s">
        <v>109</v>
      </c>
      <c r="W40" s="7" t="s">
        <v>117</v>
      </c>
    </row>
    <row r="41" spans="1:23" x14ac:dyDescent="0.3">
      <c r="A41" s="28">
        <v>40</v>
      </c>
      <c r="B41" s="29" t="s">
        <v>23</v>
      </c>
      <c r="C41" s="29" t="s">
        <v>231</v>
      </c>
      <c r="D41" s="29">
        <v>51125019</v>
      </c>
      <c r="E41" s="29">
        <v>130</v>
      </c>
      <c r="F41" s="29">
        <v>249</v>
      </c>
      <c r="G41" s="29">
        <v>76</v>
      </c>
      <c r="H41" s="28" t="s">
        <v>232</v>
      </c>
      <c r="I41" s="29" t="s">
        <v>285</v>
      </c>
      <c r="J41" s="29" t="s">
        <v>130</v>
      </c>
      <c r="K41" s="30">
        <v>0.88680555555555551</v>
      </c>
      <c r="L41" s="30">
        <v>1.0125</v>
      </c>
      <c r="M41" s="16">
        <f t="shared" si="1"/>
        <v>0.12569444444444444</v>
      </c>
      <c r="N41" s="29" t="s">
        <v>61</v>
      </c>
      <c r="O41" s="29" t="s">
        <v>61</v>
      </c>
      <c r="P41" s="28" t="s">
        <v>109</v>
      </c>
      <c r="Q41" s="28" t="s">
        <v>109</v>
      </c>
      <c r="R41" s="28" t="s">
        <v>62</v>
      </c>
      <c r="S41" s="28" t="s">
        <v>141</v>
      </c>
      <c r="T41" s="28" t="s">
        <v>117</v>
      </c>
      <c r="U41" s="7" t="s">
        <v>291</v>
      </c>
      <c r="V41" s="28" t="s">
        <v>109</v>
      </c>
      <c r="W41" s="28" t="s">
        <v>117</v>
      </c>
    </row>
    <row r="42" spans="1:23" customFormat="1" x14ac:dyDescent="0.3">
      <c r="A42" s="7">
        <v>41</v>
      </c>
      <c r="B42" s="6" t="s">
        <v>23</v>
      </c>
      <c r="C42" s="6" t="s">
        <v>233</v>
      </c>
      <c r="D42" s="6">
        <v>51125020</v>
      </c>
      <c r="E42" s="6">
        <v>35</v>
      </c>
      <c r="F42" s="6">
        <v>52</v>
      </c>
      <c r="G42" s="6">
        <v>41</v>
      </c>
      <c r="H42" s="7" t="s">
        <v>69</v>
      </c>
      <c r="I42" s="6" t="s">
        <v>94</v>
      </c>
      <c r="J42" s="6" t="s">
        <v>130</v>
      </c>
      <c r="K42" s="15">
        <v>0.7104166666666667</v>
      </c>
      <c r="L42" s="15">
        <v>0.76597222222222228</v>
      </c>
      <c r="M42" s="16">
        <f t="shared" si="1"/>
        <v>5.555555555555558E-2</v>
      </c>
      <c r="N42" s="6" t="s">
        <v>225</v>
      </c>
      <c r="O42" s="6" t="s">
        <v>226</v>
      </c>
      <c r="P42" s="7" t="s">
        <v>131</v>
      </c>
      <c r="Q42" s="7" t="s">
        <v>94</v>
      </c>
      <c r="R42" s="7" t="s">
        <v>62</v>
      </c>
      <c r="S42" s="7" t="s">
        <v>146</v>
      </c>
      <c r="T42" s="7" t="s">
        <v>117</v>
      </c>
      <c r="U42" s="7" t="s">
        <v>290</v>
      </c>
      <c r="V42" s="7" t="s">
        <v>109</v>
      </c>
      <c r="W42" s="7" t="s">
        <v>117</v>
      </c>
    </row>
    <row r="43" spans="1:23" customFormat="1" x14ac:dyDescent="0.3">
      <c r="A43" s="7">
        <v>42</v>
      </c>
      <c r="B43" s="6" t="s">
        <v>23</v>
      </c>
      <c r="C43" s="6" t="s">
        <v>234</v>
      </c>
      <c r="D43" s="6">
        <v>51125021</v>
      </c>
      <c r="E43" s="6">
        <v>95</v>
      </c>
      <c r="F43" s="6">
        <v>109</v>
      </c>
      <c r="G43" s="6">
        <v>94</v>
      </c>
      <c r="H43" s="7" t="s">
        <v>66</v>
      </c>
      <c r="I43" s="6" t="s">
        <v>88</v>
      </c>
      <c r="J43" s="6" t="s">
        <v>130</v>
      </c>
      <c r="K43" s="15">
        <v>0.7895833333333333</v>
      </c>
      <c r="L43" s="15">
        <v>0.81666666666666665</v>
      </c>
      <c r="M43" s="16">
        <f t="shared" si="1"/>
        <v>2.7083333333333348E-2</v>
      </c>
      <c r="N43" s="6" t="s">
        <v>225</v>
      </c>
      <c r="O43" s="6" t="s">
        <v>226</v>
      </c>
      <c r="P43" s="7" t="s">
        <v>131</v>
      </c>
      <c r="Q43" s="7" t="s">
        <v>88</v>
      </c>
      <c r="R43" s="7" t="s">
        <v>62</v>
      </c>
      <c r="S43" s="7" t="s">
        <v>123</v>
      </c>
      <c r="T43" s="7" t="s">
        <v>117</v>
      </c>
      <c r="U43" s="7" t="s">
        <v>290</v>
      </c>
      <c r="V43" s="7" t="s">
        <v>109</v>
      </c>
      <c r="W43" s="7" t="s">
        <v>117</v>
      </c>
    </row>
    <row r="44" spans="1:23" customFormat="1" x14ac:dyDescent="0.3">
      <c r="A44" s="7">
        <v>43</v>
      </c>
      <c r="B44" s="6" t="s">
        <v>23</v>
      </c>
      <c r="C44" s="6" t="s">
        <v>235</v>
      </c>
      <c r="D44" s="6">
        <v>51125022</v>
      </c>
      <c r="E44" s="6">
        <v>80</v>
      </c>
      <c r="F44" s="6">
        <v>136</v>
      </c>
      <c r="G44" s="6">
        <v>78</v>
      </c>
      <c r="H44" s="7" t="s">
        <v>70</v>
      </c>
      <c r="I44" s="6" t="s">
        <v>179</v>
      </c>
      <c r="J44" s="6" t="s">
        <v>130</v>
      </c>
      <c r="K44" s="15">
        <v>0.81874999999999998</v>
      </c>
      <c r="L44" s="15">
        <v>0.96944444444444444</v>
      </c>
      <c r="M44" s="16">
        <f t="shared" si="1"/>
        <v>0.15069444444444446</v>
      </c>
      <c r="N44" s="6" t="s">
        <v>225</v>
      </c>
      <c r="O44" s="6" t="s">
        <v>226</v>
      </c>
      <c r="P44" s="7" t="s">
        <v>131</v>
      </c>
      <c r="Q44" s="7" t="s">
        <v>179</v>
      </c>
      <c r="R44" s="7" t="s">
        <v>62</v>
      </c>
      <c r="S44" s="7" t="s">
        <v>123</v>
      </c>
      <c r="T44" s="7" t="s">
        <v>117</v>
      </c>
      <c r="U44" s="7" t="s">
        <v>290</v>
      </c>
      <c r="V44" s="7" t="s">
        <v>109</v>
      </c>
      <c r="W44" s="7" t="s">
        <v>117</v>
      </c>
    </row>
    <row r="45" spans="1:23" customFormat="1" x14ac:dyDescent="0.3">
      <c r="A45" s="7">
        <v>44</v>
      </c>
      <c r="B45" s="6" t="s">
        <v>23</v>
      </c>
      <c r="C45" s="6" t="s">
        <v>236</v>
      </c>
      <c r="D45" s="6">
        <v>51125018</v>
      </c>
      <c r="E45" s="6">
        <v>160</v>
      </c>
      <c r="F45" s="6">
        <v>227</v>
      </c>
      <c r="G45" s="6">
        <v>179</v>
      </c>
      <c r="H45" s="7" t="s">
        <v>237</v>
      </c>
      <c r="I45" s="6" t="s">
        <v>98</v>
      </c>
      <c r="J45" s="6" t="s">
        <v>130</v>
      </c>
      <c r="K45" s="15">
        <v>0.78611111111111109</v>
      </c>
      <c r="L45" s="15">
        <v>0.7944444444444444</v>
      </c>
      <c r="M45" s="16">
        <f t="shared" si="1"/>
        <v>8.3333333333333037E-3</v>
      </c>
      <c r="N45" s="6" t="s">
        <v>238</v>
      </c>
      <c r="O45" s="6" t="s">
        <v>61</v>
      </c>
      <c r="P45" s="7" t="s">
        <v>131</v>
      </c>
      <c r="Q45" s="7" t="s">
        <v>95</v>
      </c>
      <c r="R45" s="7" t="s">
        <v>62</v>
      </c>
      <c r="S45" s="7" t="s">
        <v>123</v>
      </c>
      <c r="T45" s="7" t="s">
        <v>117</v>
      </c>
      <c r="U45" s="7" t="s">
        <v>290</v>
      </c>
      <c r="V45" s="7" t="s">
        <v>109</v>
      </c>
      <c r="W45" s="7" t="s">
        <v>117</v>
      </c>
    </row>
    <row r="46" spans="1:23" customFormat="1" x14ac:dyDescent="0.3">
      <c r="A46" s="7">
        <v>45</v>
      </c>
      <c r="B46" s="6" t="s">
        <v>23</v>
      </c>
      <c r="C46" s="6" t="s">
        <v>239</v>
      </c>
      <c r="D46" s="6">
        <v>51225101</v>
      </c>
      <c r="E46" s="6">
        <v>100</v>
      </c>
      <c r="F46" s="6">
        <v>148</v>
      </c>
      <c r="G46" s="6">
        <v>72</v>
      </c>
      <c r="H46" s="7" t="s">
        <v>67</v>
      </c>
      <c r="I46" s="6" t="s">
        <v>95</v>
      </c>
      <c r="J46" s="6" t="s">
        <v>130</v>
      </c>
      <c r="K46" s="15">
        <v>0.99027777777777781</v>
      </c>
      <c r="L46" s="15">
        <v>1.0034722222222221</v>
      </c>
      <c r="M46" s="16">
        <f t="shared" si="1"/>
        <v>1.3194444444444287E-2</v>
      </c>
      <c r="N46" s="6" t="s">
        <v>225</v>
      </c>
      <c r="O46" s="6" t="s">
        <v>226</v>
      </c>
      <c r="P46" s="7" t="s">
        <v>131</v>
      </c>
      <c r="Q46" s="7" t="s">
        <v>95</v>
      </c>
      <c r="R46" s="7" t="s">
        <v>62</v>
      </c>
      <c r="S46" s="7" t="s">
        <v>123</v>
      </c>
      <c r="T46" s="7" t="s">
        <v>121</v>
      </c>
      <c r="U46" s="7" t="s">
        <v>291</v>
      </c>
      <c r="V46" s="7" t="s">
        <v>109</v>
      </c>
      <c r="W46" s="7" t="s">
        <v>121</v>
      </c>
    </row>
    <row r="47" spans="1:23" x14ac:dyDescent="0.3">
      <c r="A47" s="28">
        <v>46</v>
      </c>
      <c r="B47" s="29" t="s">
        <v>23</v>
      </c>
      <c r="C47" s="29" t="s">
        <v>240</v>
      </c>
      <c r="D47" s="29">
        <v>51225102</v>
      </c>
      <c r="E47" s="29">
        <v>90</v>
      </c>
      <c r="F47" s="29">
        <v>173</v>
      </c>
      <c r="G47" s="29">
        <v>53</v>
      </c>
      <c r="H47" s="28" t="s">
        <v>241</v>
      </c>
      <c r="I47" s="29" t="s">
        <v>93</v>
      </c>
      <c r="J47" s="29" t="s">
        <v>130</v>
      </c>
      <c r="K47" s="30">
        <v>1.6666666666666666E-2</v>
      </c>
      <c r="L47" s="30">
        <v>3.3333333333333333E-2</v>
      </c>
      <c r="M47" s="16">
        <f t="shared" si="1"/>
        <v>1.6666666666666666E-2</v>
      </c>
      <c r="N47" s="29" t="s">
        <v>225</v>
      </c>
      <c r="O47" s="29" t="s">
        <v>226</v>
      </c>
      <c r="P47" s="28" t="s">
        <v>109</v>
      </c>
      <c r="Q47" s="28" t="s">
        <v>109</v>
      </c>
      <c r="R47" s="28" t="s">
        <v>62</v>
      </c>
      <c r="S47" s="28" t="s">
        <v>123</v>
      </c>
      <c r="T47" s="28" t="s">
        <v>121</v>
      </c>
      <c r="U47" s="7" t="s">
        <v>291</v>
      </c>
      <c r="V47" s="28" t="s">
        <v>109</v>
      </c>
      <c r="W47" s="28" t="s">
        <v>121</v>
      </c>
    </row>
    <row r="48" spans="1:23" customFormat="1" x14ac:dyDescent="0.3">
      <c r="A48" s="7">
        <v>47</v>
      </c>
      <c r="B48" s="6" t="s">
        <v>23</v>
      </c>
      <c r="C48" s="6" t="s">
        <v>242</v>
      </c>
      <c r="D48" s="6">
        <v>51025001</v>
      </c>
      <c r="E48" s="6">
        <v>25</v>
      </c>
      <c r="F48" s="6">
        <v>50</v>
      </c>
      <c r="G48" s="6">
        <v>1</v>
      </c>
      <c r="H48" s="7" t="s">
        <v>241</v>
      </c>
      <c r="I48" s="6" t="s">
        <v>93</v>
      </c>
      <c r="J48" s="6" t="s">
        <v>130</v>
      </c>
      <c r="K48" s="15">
        <v>0.96458333333333335</v>
      </c>
      <c r="L48" s="15">
        <v>0.98055555555555551</v>
      </c>
      <c r="M48" s="16">
        <f t="shared" si="1"/>
        <v>1.5972222222222165E-2</v>
      </c>
      <c r="N48" s="6" t="s">
        <v>225</v>
      </c>
      <c r="O48" s="6" t="s">
        <v>226</v>
      </c>
      <c r="P48" s="7" t="s">
        <v>131</v>
      </c>
      <c r="Q48" s="7" t="s">
        <v>93</v>
      </c>
      <c r="R48" s="7" t="s">
        <v>62</v>
      </c>
      <c r="S48" s="7" t="s">
        <v>123</v>
      </c>
      <c r="T48" s="7" t="s">
        <v>243</v>
      </c>
      <c r="U48" s="7" t="s">
        <v>291</v>
      </c>
      <c r="V48" s="7" t="s">
        <v>109</v>
      </c>
      <c r="W48" s="7" t="s">
        <v>243</v>
      </c>
    </row>
    <row r="49" spans="1:23" customFormat="1" x14ac:dyDescent="0.3">
      <c r="A49" s="7">
        <v>48</v>
      </c>
      <c r="B49" s="6" t="s">
        <v>23</v>
      </c>
      <c r="C49" s="6" t="s">
        <v>244</v>
      </c>
      <c r="D49" s="6">
        <v>51025002</v>
      </c>
      <c r="E49" s="6">
        <v>100</v>
      </c>
      <c r="F49" s="6">
        <v>15</v>
      </c>
      <c r="G49" s="6">
        <v>1</v>
      </c>
      <c r="H49" s="7" t="s">
        <v>72</v>
      </c>
      <c r="I49" s="6" t="s">
        <v>89</v>
      </c>
      <c r="J49" s="6" t="s">
        <v>130</v>
      </c>
      <c r="K49" s="15">
        <v>0.95138888888888884</v>
      </c>
      <c r="L49" s="15">
        <v>0.95902777777777781</v>
      </c>
      <c r="M49" s="16">
        <f t="shared" si="1"/>
        <v>7.6388888888889728E-3</v>
      </c>
      <c r="N49" s="6" t="s">
        <v>61</v>
      </c>
      <c r="O49" s="6" t="s">
        <v>61</v>
      </c>
      <c r="P49" s="7" t="s">
        <v>131</v>
      </c>
      <c r="Q49" s="7" t="s">
        <v>89</v>
      </c>
      <c r="R49" s="7" t="s">
        <v>62</v>
      </c>
      <c r="S49" s="7" t="s">
        <v>123</v>
      </c>
      <c r="T49" s="7" t="s">
        <v>243</v>
      </c>
      <c r="U49" s="7" t="s">
        <v>291</v>
      </c>
      <c r="V49" s="7" t="s">
        <v>109</v>
      </c>
      <c r="W49" s="7" t="s">
        <v>243</v>
      </c>
    </row>
    <row r="50" spans="1:23" customFormat="1" x14ac:dyDescent="0.3">
      <c r="A50" s="7">
        <v>49</v>
      </c>
      <c r="B50" s="6" t="s">
        <v>23</v>
      </c>
      <c r="C50" s="6" t="s">
        <v>52</v>
      </c>
      <c r="D50" s="6">
        <v>51125133</v>
      </c>
      <c r="E50" s="6">
        <v>250</v>
      </c>
      <c r="F50" s="6">
        <v>458</v>
      </c>
      <c r="G50" s="6">
        <v>230</v>
      </c>
      <c r="H50" s="7" t="s">
        <v>245</v>
      </c>
      <c r="I50" s="6" t="s">
        <v>246</v>
      </c>
      <c r="J50" s="6" t="s">
        <v>130</v>
      </c>
      <c r="K50" s="15">
        <v>0.96250000000000002</v>
      </c>
      <c r="L50" s="15">
        <v>0.98124999999999996</v>
      </c>
      <c r="M50" s="16">
        <f t="shared" si="1"/>
        <v>1.8749999999999933E-2</v>
      </c>
      <c r="N50" s="6" t="s">
        <v>109</v>
      </c>
      <c r="O50" s="6" t="s">
        <v>61</v>
      </c>
      <c r="P50" s="7" t="s">
        <v>131</v>
      </c>
      <c r="Q50" s="7" t="s">
        <v>86</v>
      </c>
      <c r="R50" s="7" t="s">
        <v>62</v>
      </c>
      <c r="S50" s="7" t="s">
        <v>123</v>
      </c>
      <c r="T50" s="7" t="s">
        <v>116</v>
      </c>
      <c r="U50" s="7" t="s">
        <v>290</v>
      </c>
      <c r="V50" s="7" t="s">
        <v>109</v>
      </c>
      <c r="W50" s="7" t="s">
        <v>116</v>
      </c>
    </row>
    <row r="51" spans="1:23" x14ac:dyDescent="0.3">
      <c r="A51" s="28">
        <v>50</v>
      </c>
      <c r="B51" s="29" t="s">
        <v>23</v>
      </c>
      <c r="C51" s="29" t="s">
        <v>53</v>
      </c>
      <c r="D51" s="29">
        <v>51125142</v>
      </c>
      <c r="E51" s="29">
        <v>400</v>
      </c>
      <c r="F51" s="29">
        <v>616</v>
      </c>
      <c r="G51" s="29">
        <v>134</v>
      </c>
      <c r="H51" s="28" t="s">
        <v>247</v>
      </c>
      <c r="I51" s="29" t="s">
        <v>248</v>
      </c>
      <c r="J51" s="29" t="s">
        <v>130</v>
      </c>
      <c r="K51" s="30">
        <v>0.98402777777777772</v>
      </c>
      <c r="L51" s="30">
        <v>1.0125</v>
      </c>
      <c r="M51" s="16">
        <f t="shared" si="1"/>
        <v>2.8472222222222232E-2</v>
      </c>
      <c r="N51" s="29" t="s">
        <v>109</v>
      </c>
      <c r="O51" s="29" t="s">
        <v>61</v>
      </c>
      <c r="P51" s="28" t="s">
        <v>131</v>
      </c>
      <c r="Q51" s="28" t="s">
        <v>89</v>
      </c>
      <c r="R51" s="28" t="s">
        <v>62</v>
      </c>
      <c r="S51" s="28" t="s">
        <v>123</v>
      </c>
      <c r="T51" s="28" t="s">
        <v>116</v>
      </c>
      <c r="U51" s="7" t="s">
        <v>291</v>
      </c>
      <c r="V51" s="28" t="s">
        <v>109</v>
      </c>
      <c r="W51" s="28" t="s">
        <v>116</v>
      </c>
    </row>
    <row r="52" spans="1:23" customFormat="1" x14ac:dyDescent="0.3">
      <c r="A52" s="7">
        <v>51</v>
      </c>
      <c r="B52" s="6" t="s">
        <v>23</v>
      </c>
      <c r="C52" s="6" t="s">
        <v>249</v>
      </c>
      <c r="D52" s="6">
        <v>51025415</v>
      </c>
      <c r="E52" s="6">
        <v>50</v>
      </c>
      <c r="F52" s="6">
        <v>103</v>
      </c>
      <c r="G52" s="6">
        <v>51</v>
      </c>
      <c r="H52" s="7" t="s">
        <v>241</v>
      </c>
      <c r="I52" s="6" t="s">
        <v>93</v>
      </c>
      <c r="J52" s="6" t="s">
        <v>130</v>
      </c>
      <c r="K52" s="15">
        <v>0.73333333333333328</v>
      </c>
      <c r="L52" s="15">
        <v>0.75694444444444442</v>
      </c>
      <c r="M52" s="16">
        <f t="shared" si="1"/>
        <v>2.3611111111111138E-2</v>
      </c>
      <c r="N52" s="6" t="s">
        <v>109</v>
      </c>
      <c r="O52" s="6" t="s">
        <v>61</v>
      </c>
      <c r="P52" s="7" t="s">
        <v>131</v>
      </c>
      <c r="Q52" s="7" t="s">
        <v>93</v>
      </c>
      <c r="R52" s="7" t="s">
        <v>62</v>
      </c>
      <c r="S52" s="7" t="s">
        <v>123</v>
      </c>
      <c r="T52" s="7" t="s">
        <v>250</v>
      </c>
      <c r="U52" s="7" t="s">
        <v>290</v>
      </c>
      <c r="V52" s="7" t="s">
        <v>109</v>
      </c>
      <c r="W52" s="7" t="s">
        <v>250</v>
      </c>
    </row>
    <row r="53" spans="1:23" x14ac:dyDescent="0.3">
      <c r="A53" s="28">
        <v>52</v>
      </c>
      <c r="B53" s="29" t="s">
        <v>23</v>
      </c>
      <c r="C53" s="29" t="s">
        <v>251</v>
      </c>
      <c r="D53" s="29">
        <v>51225039</v>
      </c>
      <c r="E53" s="29">
        <v>100</v>
      </c>
      <c r="F53" s="29">
        <v>101</v>
      </c>
      <c r="G53" s="29">
        <v>55</v>
      </c>
      <c r="H53" s="28" t="s">
        <v>84</v>
      </c>
      <c r="I53" s="29" t="s">
        <v>179</v>
      </c>
      <c r="J53" s="29" t="s">
        <v>130</v>
      </c>
      <c r="K53" s="30">
        <v>6.9444444444444441E-3</v>
      </c>
      <c r="L53" s="30">
        <v>2.2916666666666665E-2</v>
      </c>
      <c r="M53" s="16">
        <f t="shared" si="1"/>
        <v>1.5972222222222221E-2</v>
      </c>
      <c r="N53" s="29" t="s">
        <v>109</v>
      </c>
      <c r="O53" s="29" t="s">
        <v>61</v>
      </c>
      <c r="P53" s="28" t="s">
        <v>109</v>
      </c>
      <c r="Q53" s="28" t="s">
        <v>109</v>
      </c>
      <c r="R53" s="28" t="s">
        <v>62</v>
      </c>
      <c r="S53" s="28" t="s">
        <v>123</v>
      </c>
      <c r="T53" s="28" t="s">
        <v>252</v>
      </c>
      <c r="U53" s="7" t="s">
        <v>291</v>
      </c>
      <c r="V53" s="28" t="s">
        <v>109</v>
      </c>
      <c r="W53" s="28" t="s">
        <v>252</v>
      </c>
    </row>
    <row r="54" spans="1:23" x14ac:dyDescent="0.3">
      <c r="A54" s="28">
        <v>53</v>
      </c>
      <c r="B54" s="29" t="s">
        <v>23</v>
      </c>
      <c r="C54" s="29" t="s">
        <v>253</v>
      </c>
      <c r="D54" s="29">
        <v>51225084</v>
      </c>
      <c r="E54" s="29">
        <v>250</v>
      </c>
      <c r="F54" s="29">
        <v>234</v>
      </c>
      <c r="G54" s="29">
        <v>77</v>
      </c>
      <c r="H54" s="28" t="s">
        <v>254</v>
      </c>
      <c r="I54" s="29" t="s">
        <v>255</v>
      </c>
      <c r="J54" s="29" t="s">
        <v>130</v>
      </c>
      <c r="K54" s="30">
        <v>0.97361111111111109</v>
      </c>
      <c r="L54" s="30">
        <v>1.0125</v>
      </c>
      <c r="M54" s="16">
        <f t="shared" si="1"/>
        <v>3.8888888888888862E-2</v>
      </c>
      <c r="N54" s="29" t="s">
        <v>109</v>
      </c>
      <c r="O54" s="29" t="s">
        <v>61</v>
      </c>
      <c r="P54" s="28" t="s">
        <v>109</v>
      </c>
      <c r="Q54" s="28" t="s">
        <v>109</v>
      </c>
      <c r="R54" s="28" t="s">
        <v>62</v>
      </c>
      <c r="S54" s="28" t="s">
        <v>123</v>
      </c>
      <c r="T54" s="28" t="s">
        <v>252</v>
      </c>
      <c r="U54" s="7" t="s">
        <v>291</v>
      </c>
      <c r="V54" s="28" t="s">
        <v>109</v>
      </c>
      <c r="W54" s="28" t="s">
        <v>252</v>
      </c>
    </row>
    <row r="55" spans="1:23" customFormat="1" x14ac:dyDescent="0.3">
      <c r="A55" s="7">
        <v>54</v>
      </c>
      <c r="B55" s="6" t="s">
        <v>23</v>
      </c>
      <c r="C55" s="6" t="s">
        <v>256</v>
      </c>
      <c r="D55" s="6">
        <v>51225038</v>
      </c>
      <c r="E55" s="6">
        <v>200</v>
      </c>
      <c r="F55" s="6">
        <v>371</v>
      </c>
      <c r="G55" s="6">
        <v>135</v>
      </c>
      <c r="H55" s="7" t="s">
        <v>257</v>
      </c>
      <c r="I55" s="6" t="s">
        <v>99</v>
      </c>
      <c r="J55" s="6" t="s">
        <v>130</v>
      </c>
      <c r="K55" s="15">
        <v>0.85763888888888884</v>
      </c>
      <c r="L55" s="15">
        <v>0.88749999999999996</v>
      </c>
      <c r="M55" s="16">
        <f t="shared" si="1"/>
        <v>2.9861111111111116E-2</v>
      </c>
      <c r="N55" s="6" t="s">
        <v>109</v>
      </c>
      <c r="O55" s="6" t="s">
        <v>61</v>
      </c>
      <c r="P55" s="7" t="s">
        <v>131</v>
      </c>
      <c r="Q55" s="7" t="s">
        <v>87</v>
      </c>
      <c r="R55" s="7" t="s">
        <v>62</v>
      </c>
      <c r="S55" s="7" t="s">
        <v>123</v>
      </c>
      <c r="T55" s="7" t="s">
        <v>252</v>
      </c>
      <c r="U55" s="7" t="s">
        <v>291</v>
      </c>
      <c r="V55" s="7" t="s">
        <v>109</v>
      </c>
      <c r="W55" s="7" t="s">
        <v>252</v>
      </c>
    </row>
    <row r="56" spans="1:23" customFormat="1" x14ac:dyDescent="0.3">
      <c r="A56" s="7">
        <v>55</v>
      </c>
      <c r="B56" s="6" t="s">
        <v>23</v>
      </c>
      <c r="C56" s="6" t="s">
        <v>258</v>
      </c>
      <c r="D56" s="6">
        <v>51225083</v>
      </c>
      <c r="E56" s="6">
        <v>220</v>
      </c>
      <c r="F56" s="6">
        <v>312</v>
      </c>
      <c r="G56" s="6">
        <v>193</v>
      </c>
      <c r="H56" s="7" t="s">
        <v>259</v>
      </c>
      <c r="I56" s="6" t="s">
        <v>260</v>
      </c>
      <c r="J56" s="6" t="s">
        <v>130</v>
      </c>
      <c r="K56" s="15">
        <v>0.86458333333333337</v>
      </c>
      <c r="L56" s="15">
        <v>0.89722222222222225</v>
      </c>
      <c r="M56" s="16">
        <f t="shared" si="1"/>
        <v>3.2638888888888884E-2</v>
      </c>
      <c r="N56" s="6" t="s">
        <v>109</v>
      </c>
      <c r="O56" s="6" t="s">
        <v>61</v>
      </c>
      <c r="P56" s="7" t="s">
        <v>131</v>
      </c>
      <c r="Q56" s="7" t="s">
        <v>93</v>
      </c>
      <c r="R56" s="7" t="s">
        <v>62</v>
      </c>
      <c r="S56" s="7" t="s">
        <v>123</v>
      </c>
      <c r="T56" s="7" t="s">
        <v>252</v>
      </c>
      <c r="U56" s="7" t="s">
        <v>290</v>
      </c>
      <c r="V56" s="7" t="s">
        <v>109</v>
      </c>
      <c r="W56" s="7" t="s">
        <v>252</v>
      </c>
    </row>
    <row r="57" spans="1:23" customFormat="1" x14ac:dyDescent="0.3">
      <c r="A57" s="7">
        <v>56</v>
      </c>
      <c r="B57" s="6" t="s">
        <v>23</v>
      </c>
      <c r="C57" s="6" t="s">
        <v>261</v>
      </c>
      <c r="D57" s="6">
        <v>51225040</v>
      </c>
      <c r="E57" s="6">
        <v>150</v>
      </c>
      <c r="F57" s="6">
        <v>242</v>
      </c>
      <c r="G57" s="6">
        <v>108</v>
      </c>
      <c r="H57" s="7" t="s">
        <v>262</v>
      </c>
      <c r="I57" s="6" t="s">
        <v>263</v>
      </c>
      <c r="J57" s="6" t="s">
        <v>130</v>
      </c>
      <c r="K57" s="15">
        <v>0.79791666666666672</v>
      </c>
      <c r="L57" s="15">
        <v>0.82152777777777775</v>
      </c>
      <c r="M57" s="16">
        <f t="shared" si="1"/>
        <v>2.3611111111111027E-2</v>
      </c>
      <c r="N57" s="6" t="s">
        <v>109</v>
      </c>
      <c r="O57" s="6" t="s">
        <v>61</v>
      </c>
      <c r="P57" s="7" t="s">
        <v>131</v>
      </c>
      <c r="Q57" s="7" t="s">
        <v>89</v>
      </c>
      <c r="R57" s="7" t="s">
        <v>62</v>
      </c>
      <c r="S57" s="7" t="s">
        <v>123</v>
      </c>
      <c r="T57" s="7" t="s">
        <v>252</v>
      </c>
      <c r="U57" s="7" t="s">
        <v>291</v>
      </c>
      <c r="V57" s="7" t="s">
        <v>109</v>
      </c>
      <c r="W57" s="7" t="s">
        <v>252</v>
      </c>
    </row>
    <row r="58" spans="1:23" customFormat="1" x14ac:dyDescent="0.3">
      <c r="A58" s="7">
        <v>57</v>
      </c>
      <c r="B58" s="6" t="s">
        <v>23</v>
      </c>
      <c r="C58" s="6" t="s">
        <v>264</v>
      </c>
      <c r="D58" s="6">
        <v>51225086</v>
      </c>
      <c r="E58" s="6">
        <v>100</v>
      </c>
      <c r="F58" s="6">
        <v>213</v>
      </c>
      <c r="G58" s="6">
        <v>65</v>
      </c>
      <c r="H58" s="7" t="s">
        <v>184</v>
      </c>
      <c r="I58" s="6" t="s">
        <v>94</v>
      </c>
      <c r="J58" s="6" t="s">
        <v>130</v>
      </c>
      <c r="K58" s="15">
        <v>0.82222222222222219</v>
      </c>
      <c r="L58" s="15">
        <v>0.85347222222222219</v>
      </c>
      <c r="M58" s="16">
        <f t="shared" si="1"/>
        <v>3.125E-2</v>
      </c>
      <c r="N58" s="6" t="s">
        <v>109</v>
      </c>
      <c r="O58" s="6" t="s">
        <v>61</v>
      </c>
      <c r="P58" s="7" t="s">
        <v>131</v>
      </c>
      <c r="Q58" s="7" t="s">
        <v>94</v>
      </c>
      <c r="R58" s="7" t="s">
        <v>62</v>
      </c>
      <c r="S58" s="7" t="s">
        <v>123</v>
      </c>
      <c r="T58" s="7" t="s">
        <v>252</v>
      </c>
      <c r="U58" s="7" t="s">
        <v>291</v>
      </c>
      <c r="V58" s="7" t="s">
        <v>109</v>
      </c>
      <c r="W58" s="7" t="s">
        <v>252</v>
      </c>
    </row>
    <row r="59" spans="1:23" customFormat="1" x14ac:dyDescent="0.3">
      <c r="A59" s="7">
        <v>58</v>
      </c>
      <c r="B59" s="6" t="s">
        <v>23</v>
      </c>
      <c r="C59" s="6" t="s">
        <v>265</v>
      </c>
      <c r="D59" s="6">
        <v>50126006</v>
      </c>
      <c r="E59" s="6">
        <v>60</v>
      </c>
      <c r="F59" s="6">
        <v>84</v>
      </c>
      <c r="G59" s="6">
        <v>73</v>
      </c>
      <c r="H59" s="7" t="s">
        <v>200</v>
      </c>
      <c r="I59" s="6" t="s">
        <v>91</v>
      </c>
      <c r="J59" s="6" t="s">
        <v>130</v>
      </c>
      <c r="K59" s="15">
        <v>0.87430555555555556</v>
      </c>
      <c r="L59" s="15">
        <v>0.91597222222222219</v>
      </c>
      <c r="M59" s="16">
        <f t="shared" si="1"/>
        <v>4.166666666666663E-2</v>
      </c>
      <c r="N59" s="6" t="s">
        <v>109</v>
      </c>
      <c r="O59" s="6" t="s">
        <v>61</v>
      </c>
      <c r="P59" s="7" t="s">
        <v>131</v>
      </c>
      <c r="Q59" s="7" t="s">
        <v>91</v>
      </c>
      <c r="R59" s="7" t="s">
        <v>62</v>
      </c>
      <c r="S59" s="7" t="s">
        <v>123</v>
      </c>
      <c r="T59" s="7" t="s">
        <v>266</v>
      </c>
      <c r="U59" s="7" t="s">
        <v>290</v>
      </c>
      <c r="V59" s="7" t="s">
        <v>109</v>
      </c>
      <c r="W59" s="7" t="s">
        <v>266</v>
      </c>
    </row>
    <row r="60" spans="1:23" customFormat="1" x14ac:dyDescent="0.3">
      <c r="A60" s="7">
        <v>59</v>
      </c>
      <c r="B60" s="6" t="s">
        <v>23</v>
      </c>
      <c r="C60" s="6" t="s">
        <v>267</v>
      </c>
      <c r="D60" s="6">
        <v>50126005</v>
      </c>
      <c r="E60" s="6">
        <v>50</v>
      </c>
      <c r="F60" s="6">
        <v>100</v>
      </c>
      <c r="G60" s="6">
        <v>31</v>
      </c>
      <c r="H60" s="7" t="s">
        <v>153</v>
      </c>
      <c r="I60" s="6" t="s">
        <v>154</v>
      </c>
      <c r="J60" s="6" t="s">
        <v>130</v>
      </c>
      <c r="K60" s="15">
        <v>0.82222222222222219</v>
      </c>
      <c r="L60" s="15">
        <v>0.9604166666666667</v>
      </c>
      <c r="M60" s="16">
        <f t="shared" si="1"/>
        <v>0.13819444444444451</v>
      </c>
      <c r="N60" s="6" t="s">
        <v>109</v>
      </c>
      <c r="O60" s="6" t="s">
        <v>61</v>
      </c>
      <c r="P60" s="7" t="s">
        <v>131</v>
      </c>
      <c r="Q60" s="7" t="s">
        <v>154</v>
      </c>
      <c r="R60" s="7" t="s">
        <v>62</v>
      </c>
      <c r="S60" s="7" t="s">
        <v>123</v>
      </c>
      <c r="T60" s="7" t="s">
        <v>266</v>
      </c>
      <c r="U60" s="7" t="s">
        <v>291</v>
      </c>
      <c r="V60" s="7" t="s">
        <v>109</v>
      </c>
      <c r="W60" s="7" t="s">
        <v>266</v>
      </c>
    </row>
    <row r="61" spans="1:23" customFormat="1" x14ac:dyDescent="0.3">
      <c r="A61" s="7">
        <v>60</v>
      </c>
      <c r="B61" s="6" t="s">
        <v>23</v>
      </c>
      <c r="C61" s="6" t="s">
        <v>268</v>
      </c>
      <c r="D61" s="6">
        <v>50126004</v>
      </c>
      <c r="E61" s="6">
        <v>70</v>
      </c>
      <c r="F61" s="6">
        <v>143</v>
      </c>
      <c r="G61" s="6">
        <v>35</v>
      </c>
      <c r="H61" s="7" t="s">
        <v>64</v>
      </c>
      <c r="I61" s="6" t="s">
        <v>86</v>
      </c>
      <c r="J61" s="6" t="s">
        <v>130</v>
      </c>
      <c r="K61" s="15">
        <v>0.86597222222222225</v>
      </c>
      <c r="L61" s="15">
        <v>0.93819444444444444</v>
      </c>
      <c r="M61" s="16">
        <f t="shared" si="1"/>
        <v>7.2222222222222188E-2</v>
      </c>
      <c r="N61" s="6" t="s">
        <v>109</v>
      </c>
      <c r="O61" s="6" t="s">
        <v>61</v>
      </c>
      <c r="P61" s="7" t="s">
        <v>131</v>
      </c>
      <c r="Q61" s="7" t="s">
        <v>86</v>
      </c>
      <c r="R61" s="7" t="s">
        <v>62</v>
      </c>
      <c r="S61" s="7" t="s">
        <v>123</v>
      </c>
      <c r="T61" s="7" t="s">
        <v>266</v>
      </c>
      <c r="U61" s="7" t="s">
        <v>291</v>
      </c>
      <c r="V61" s="7" t="s">
        <v>109</v>
      </c>
      <c r="W61" s="7" t="s">
        <v>266</v>
      </c>
    </row>
    <row r="62" spans="1:23" customFormat="1" x14ac:dyDescent="0.3">
      <c r="A62" s="7">
        <v>61</v>
      </c>
      <c r="B62" s="6" t="s">
        <v>23</v>
      </c>
      <c r="C62" s="6" t="s">
        <v>269</v>
      </c>
      <c r="D62" s="6">
        <v>51125123</v>
      </c>
      <c r="E62" s="6">
        <v>50</v>
      </c>
      <c r="F62" s="6">
        <v>31</v>
      </c>
      <c r="G62" s="6">
        <v>3</v>
      </c>
      <c r="H62" s="7" t="s">
        <v>66</v>
      </c>
      <c r="I62" s="6" t="s">
        <v>88</v>
      </c>
      <c r="J62" s="6" t="s">
        <v>130</v>
      </c>
      <c r="K62" s="15">
        <v>0.93888888888888888</v>
      </c>
      <c r="L62" s="15">
        <v>0.94652777777777775</v>
      </c>
      <c r="M62" s="16">
        <f t="shared" si="1"/>
        <v>7.6388888888888618E-3</v>
      </c>
      <c r="N62" s="6" t="s">
        <v>109</v>
      </c>
      <c r="O62" s="6" t="s">
        <v>61</v>
      </c>
      <c r="P62" s="7" t="s">
        <v>131</v>
      </c>
      <c r="Q62" s="7" t="s">
        <v>88</v>
      </c>
      <c r="R62" s="7" t="s">
        <v>62</v>
      </c>
      <c r="S62" s="7" t="s">
        <v>123</v>
      </c>
      <c r="T62" s="7" t="s">
        <v>270</v>
      </c>
      <c r="U62" s="7" t="s">
        <v>291</v>
      </c>
      <c r="V62" s="7" t="s">
        <v>109</v>
      </c>
      <c r="W62" s="7" t="s">
        <v>270</v>
      </c>
    </row>
    <row r="63" spans="1:23" customFormat="1" x14ac:dyDescent="0.3">
      <c r="A63" s="18">
        <v>62</v>
      </c>
      <c r="B63" s="19" t="s">
        <v>23</v>
      </c>
      <c r="C63" s="19" t="s">
        <v>271</v>
      </c>
      <c r="D63" s="19">
        <v>51125117</v>
      </c>
      <c r="E63" s="19">
        <v>50</v>
      </c>
      <c r="F63" s="19" t="s">
        <v>109</v>
      </c>
      <c r="G63" s="19" t="s">
        <v>109</v>
      </c>
      <c r="H63" s="18" t="s">
        <v>214</v>
      </c>
      <c r="I63" s="19" t="s">
        <v>209</v>
      </c>
      <c r="J63" s="19" t="s">
        <v>284</v>
      </c>
      <c r="K63" s="19" t="s">
        <v>109</v>
      </c>
      <c r="L63" s="19" t="s">
        <v>109</v>
      </c>
      <c r="M63" s="20" t="e">
        <f t="shared" si="1"/>
        <v>#VALUE!</v>
      </c>
      <c r="N63" s="19" t="s">
        <v>109</v>
      </c>
      <c r="O63" s="19" t="s">
        <v>61</v>
      </c>
      <c r="P63" s="18" t="s">
        <v>109</v>
      </c>
      <c r="Q63" s="18" t="s">
        <v>109</v>
      </c>
      <c r="R63" s="18" t="s">
        <v>62</v>
      </c>
      <c r="S63" s="18" t="s">
        <v>123</v>
      </c>
      <c r="T63" s="18" t="s">
        <v>270</v>
      </c>
      <c r="U63" s="18" t="s">
        <v>109</v>
      </c>
      <c r="V63" s="18" t="s">
        <v>109</v>
      </c>
      <c r="W63" s="18" t="s">
        <v>270</v>
      </c>
    </row>
    <row r="64" spans="1:23" customFormat="1" x14ac:dyDescent="0.3">
      <c r="A64" s="18">
        <v>63</v>
      </c>
      <c r="B64" s="19" t="s">
        <v>23</v>
      </c>
      <c r="C64" s="19" t="s">
        <v>272</v>
      </c>
      <c r="D64" s="19">
        <v>51125118</v>
      </c>
      <c r="E64" s="19">
        <v>50</v>
      </c>
      <c r="F64" s="19" t="s">
        <v>109</v>
      </c>
      <c r="G64" s="19" t="s">
        <v>109</v>
      </c>
      <c r="H64" s="18" t="s">
        <v>65</v>
      </c>
      <c r="I64" s="19" t="s">
        <v>88</v>
      </c>
      <c r="J64" s="19" t="s">
        <v>284</v>
      </c>
      <c r="K64" s="19" t="s">
        <v>109</v>
      </c>
      <c r="L64" s="19" t="s">
        <v>109</v>
      </c>
      <c r="M64" s="20" t="e">
        <f t="shared" si="1"/>
        <v>#VALUE!</v>
      </c>
      <c r="N64" s="19" t="s">
        <v>109</v>
      </c>
      <c r="O64" s="19" t="s">
        <v>61</v>
      </c>
      <c r="P64" s="18" t="s">
        <v>109</v>
      </c>
      <c r="Q64" s="18" t="s">
        <v>109</v>
      </c>
      <c r="R64" s="18" t="s">
        <v>62</v>
      </c>
      <c r="S64" s="18" t="s">
        <v>123</v>
      </c>
      <c r="T64" s="18" t="s">
        <v>270</v>
      </c>
      <c r="U64" s="18" t="s">
        <v>109</v>
      </c>
      <c r="V64" s="18" t="s">
        <v>109</v>
      </c>
      <c r="W64" s="18" t="s">
        <v>270</v>
      </c>
    </row>
    <row r="65" spans="1:23" customFormat="1" x14ac:dyDescent="0.3">
      <c r="A65" s="7">
        <v>64</v>
      </c>
      <c r="B65" s="6" t="s">
        <v>23</v>
      </c>
      <c r="C65" s="6" t="s">
        <v>273</v>
      </c>
      <c r="D65" s="6">
        <v>51225012</v>
      </c>
      <c r="E65" s="6">
        <v>30</v>
      </c>
      <c r="F65" s="6">
        <v>96</v>
      </c>
      <c r="G65" s="6">
        <v>33</v>
      </c>
      <c r="H65" s="7" t="s">
        <v>274</v>
      </c>
      <c r="I65" s="6" t="s">
        <v>87</v>
      </c>
      <c r="J65" s="6" t="s">
        <v>130</v>
      </c>
      <c r="K65" s="15">
        <v>0.7006944444444444</v>
      </c>
      <c r="L65" s="15">
        <v>0.72083333333333333</v>
      </c>
      <c r="M65" s="16">
        <f t="shared" si="1"/>
        <v>2.0138888888888928E-2</v>
      </c>
      <c r="N65" s="6" t="s">
        <v>109</v>
      </c>
      <c r="O65" s="6" t="s">
        <v>61</v>
      </c>
      <c r="P65" s="7" t="s">
        <v>131</v>
      </c>
      <c r="Q65" s="7" t="s">
        <v>87</v>
      </c>
      <c r="R65" s="7" t="s">
        <v>62</v>
      </c>
      <c r="S65" s="7" t="s">
        <v>123</v>
      </c>
      <c r="T65" s="7" t="s">
        <v>275</v>
      </c>
      <c r="U65" s="7" t="s">
        <v>290</v>
      </c>
      <c r="V65" s="7" t="s">
        <v>109</v>
      </c>
      <c r="W65" s="7" t="s">
        <v>275</v>
      </c>
    </row>
    <row r="66" spans="1:23" customFormat="1" x14ac:dyDescent="0.3">
      <c r="A66" s="7">
        <v>65</v>
      </c>
      <c r="B66" s="6" t="s">
        <v>23</v>
      </c>
      <c r="C66" s="6" t="s">
        <v>276</v>
      </c>
      <c r="D66" s="6">
        <v>51225008</v>
      </c>
      <c r="E66" s="6">
        <v>30</v>
      </c>
      <c r="F66" s="6">
        <v>64</v>
      </c>
      <c r="G66" s="6">
        <v>22</v>
      </c>
      <c r="H66" s="7" t="s">
        <v>196</v>
      </c>
      <c r="I66" s="6" t="s">
        <v>91</v>
      </c>
      <c r="J66" s="6" t="s">
        <v>130</v>
      </c>
      <c r="K66" s="15">
        <v>0.73402777777777772</v>
      </c>
      <c r="L66" s="15">
        <v>0.76527777777777772</v>
      </c>
      <c r="M66" s="16">
        <f t="shared" ref="M66:M72" si="2">L66-K66</f>
        <v>3.125E-2</v>
      </c>
      <c r="N66" s="6" t="s">
        <v>109</v>
      </c>
      <c r="O66" s="6" t="s">
        <v>61</v>
      </c>
      <c r="P66" s="7" t="s">
        <v>131</v>
      </c>
      <c r="Q66" s="7" t="s">
        <v>91</v>
      </c>
      <c r="R66" s="7" t="s">
        <v>62</v>
      </c>
      <c r="S66" s="7" t="s">
        <v>123</v>
      </c>
      <c r="T66" s="7" t="s">
        <v>275</v>
      </c>
      <c r="U66" s="7" t="s">
        <v>291</v>
      </c>
      <c r="V66" s="7" t="s">
        <v>109</v>
      </c>
      <c r="W66" s="7" t="s">
        <v>275</v>
      </c>
    </row>
    <row r="67" spans="1:23" customFormat="1" x14ac:dyDescent="0.3">
      <c r="A67" s="18">
        <v>66</v>
      </c>
      <c r="B67" s="19" t="s">
        <v>23</v>
      </c>
      <c r="C67" s="19" t="s">
        <v>277</v>
      </c>
      <c r="D67" s="19">
        <v>51125164</v>
      </c>
      <c r="E67" s="19">
        <v>50</v>
      </c>
      <c r="F67" s="19" t="s">
        <v>109</v>
      </c>
      <c r="G67" s="19" t="s">
        <v>109</v>
      </c>
      <c r="H67" s="18" t="s">
        <v>222</v>
      </c>
      <c r="I67" s="19" t="s">
        <v>209</v>
      </c>
      <c r="J67" s="19" t="s">
        <v>284</v>
      </c>
      <c r="K67" s="19" t="s">
        <v>109</v>
      </c>
      <c r="L67" s="19" t="s">
        <v>109</v>
      </c>
      <c r="M67" s="20" t="e">
        <f t="shared" si="2"/>
        <v>#VALUE!</v>
      </c>
      <c r="N67" s="19" t="s">
        <v>109</v>
      </c>
      <c r="O67" s="19" t="s">
        <v>61</v>
      </c>
      <c r="P67" s="18" t="s">
        <v>109</v>
      </c>
      <c r="Q67" s="18" t="s">
        <v>109</v>
      </c>
      <c r="R67" s="18" t="s">
        <v>62</v>
      </c>
      <c r="S67" s="18" t="s">
        <v>123</v>
      </c>
      <c r="T67" s="18" t="s">
        <v>278</v>
      </c>
      <c r="U67" s="18" t="s">
        <v>109</v>
      </c>
      <c r="V67" s="18" t="s">
        <v>109</v>
      </c>
      <c r="W67" s="18" t="s">
        <v>278</v>
      </c>
    </row>
    <row r="68" spans="1:23" s="21" customFormat="1" x14ac:dyDescent="0.3">
      <c r="A68" s="18">
        <v>67</v>
      </c>
      <c r="B68" s="19" t="s">
        <v>23</v>
      </c>
      <c r="C68" s="19" t="s">
        <v>279</v>
      </c>
      <c r="D68" s="19">
        <v>51125228</v>
      </c>
      <c r="E68" s="19">
        <v>50</v>
      </c>
      <c r="F68" s="19" t="s">
        <v>109</v>
      </c>
      <c r="G68" s="19" t="s">
        <v>109</v>
      </c>
      <c r="H68" s="18" t="s">
        <v>274</v>
      </c>
      <c r="I68" s="19" t="s">
        <v>87</v>
      </c>
      <c r="J68" s="19" t="s">
        <v>284</v>
      </c>
      <c r="K68" s="19" t="s">
        <v>109</v>
      </c>
      <c r="L68" s="19" t="s">
        <v>109</v>
      </c>
      <c r="M68" s="20" t="e">
        <f t="shared" si="2"/>
        <v>#VALUE!</v>
      </c>
      <c r="N68" s="19" t="s">
        <v>109</v>
      </c>
      <c r="O68" s="19" t="s">
        <v>61</v>
      </c>
      <c r="P68" s="18" t="s">
        <v>109</v>
      </c>
      <c r="Q68" s="18" t="s">
        <v>109</v>
      </c>
      <c r="R68" s="18" t="s">
        <v>62</v>
      </c>
      <c r="S68" s="18" t="s">
        <v>123</v>
      </c>
      <c r="T68" s="18" t="s">
        <v>278</v>
      </c>
      <c r="U68" s="18" t="s">
        <v>109</v>
      </c>
      <c r="V68" s="18" t="s">
        <v>109</v>
      </c>
      <c r="W68" s="18" t="s">
        <v>278</v>
      </c>
    </row>
    <row r="69" spans="1:23" customFormat="1" x14ac:dyDescent="0.3">
      <c r="A69" s="7">
        <v>68</v>
      </c>
      <c r="B69" s="6" t="s">
        <v>23</v>
      </c>
      <c r="C69" s="6" t="s">
        <v>280</v>
      </c>
      <c r="D69" s="6">
        <v>51125192</v>
      </c>
      <c r="E69" s="6">
        <v>50</v>
      </c>
      <c r="F69" s="6">
        <v>132</v>
      </c>
      <c r="G69" s="6">
        <v>53</v>
      </c>
      <c r="H69" s="7" t="s">
        <v>196</v>
      </c>
      <c r="I69" s="6" t="s">
        <v>91</v>
      </c>
      <c r="J69" s="6" t="s">
        <v>130</v>
      </c>
      <c r="K69" s="15">
        <v>0.70277777777777772</v>
      </c>
      <c r="L69" s="15">
        <v>0.74652777777777779</v>
      </c>
      <c r="M69" s="16">
        <f t="shared" si="2"/>
        <v>4.3750000000000067E-2</v>
      </c>
      <c r="N69" s="6" t="s">
        <v>109</v>
      </c>
      <c r="O69" s="6" t="s">
        <v>61</v>
      </c>
      <c r="P69" s="7" t="s">
        <v>131</v>
      </c>
      <c r="Q69" s="7" t="s">
        <v>91</v>
      </c>
      <c r="R69" s="7" t="s">
        <v>62</v>
      </c>
      <c r="S69" s="7" t="s">
        <v>123</v>
      </c>
      <c r="T69" s="7" t="s">
        <v>278</v>
      </c>
      <c r="U69" s="7" t="s">
        <v>290</v>
      </c>
      <c r="V69" s="7" t="s">
        <v>109</v>
      </c>
      <c r="W69" s="7" t="s">
        <v>278</v>
      </c>
    </row>
    <row r="70" spans="1:23" s="21" customFormat="1" x14ac:dyDescent="0.3">
      <c r="A70" s="18">
        <v>69</v>
      </c>
      <c r="B70" s="19" t="s">
        <v>23</v>
      </c>
      <c r="C70" s="19" t="s">
        <v>281</v>
      </c>
      <c r="D70" s="19">
        <v>51125145</v>
      </c>
      <c r="E70" s="19">
        <v>30</v>
      </c>
      <c r="F70" s="19" t="s">
        <v>109</v>
      </c>
      <c r="G70" s="19" t="s">
        <v>109</v>
      </c>
      <c r="H70" s="18" t="s">
        <v>71</v>
      </c>
      <c r="I70" s="19" t="s">
        <v>87</v>
      </c>
      <c r="J70" s="19" t="s">
        <v>284</v>
      </c>
      <c r="K70" s="19" t="s">
        <v>109</v>
      </c>
      <c r="L70" s="19" t="s">
        <v>109</v>
      </c>
      <c r="M70" s="20" t="e">
        <f t="shared" si="2"/>
        <v>#VALUE!</v>
      </c>
      <c r="N70" s="19" t="s">
        <v>109</v>
      </c>
      <c r="O70" s="19" t="s">
        <v>61</v>
      </c>
      <c r="P70" s="18" t="s">
        <v>109</v>
      </c>
      <c r="Q70" s="18" t="s">
        <v>109</v>
      </c>
      <c r="R70" s="18" t="s">
        <v>62</v>
      </c>
      <c r="S70" s="18" t="s">
        <v>123</v>
      </c>
      <c r="T70" s="18" t="s">
        <v>270</v>
      </c>
      <c r="U70" s="18" t="s">
        <v>109</v>
      </c>
      <c r="V70" s="18" t="s">
        <v>109</v>
      </c>
      <c r="W70" s="18" t="s">
        <v>270</v>
      </c>
    </row>
    <row r="71" spans="1:23" x14ac:dyDescent="0.3">
      <c r="A71" s="28">
        <v>70</v>
      </c>
      <c r="B71" s="29" t="s">
        <v>23</v>
      </c>
      <c r="C71" s="29" t="s">
        <v>282</v>
      </c>
      <c r="D71" s="29">
        <v>51125115</v>
      </c>
      <c r="E71" s="29">
        <v>30</v>
      </c>
      <c r="F71" s="29">
        <v>88</v>
      </c>
      <c r="G71" s="29">
        <v>8</v>
      </c>
      <c r="H71" s="28" t="s">
        <v>200</v>
      </c>
      <c r="I71" s="29" t="s">
        <v>91</v>
      </c>
      <c r="J71" s="29" t="s">
        <v>130</v>
      </c>
      <c r="K71" s="30">
        <v>0.98402777777777772</v>
      </c>
      <c r="L71" s="30">
        <v>1.0354166666666667</v>
      </c>
      <c r="M71" s="16">
        <f t="shared" si="2"/>
        <v>5.1388888888888928E-2</v>
      </c>
      <c r="N71" s="29" t="s">
        <v>109</v>
      </c>
      <c r="O71" s="29" t="s">
        <v>61</v>
      </c>
      <c r="P71" s="28" t="s">
        <v>131</v>
      </c>
      <c r="Q71" s="28" t="s">
        <v>91</v>
      </c>
      <c r="R71" s="28" t="s">
        <v>62</v>
      </c>
      <c r="S71" s="28" t="s">
        <v>123</v>
      </c>
      <c r="T71" s="28" t="s">
        <v>270</v>
      </c>
      <c r="U71" s="7" t="s">
        <v>291</v>
      </c>
      <c r="V71" s="28" t="s">
        <v>109</v>
      </c>
      <c r="W71" s="28" t="s">
        <v>270</v>
      </c>
    </row>
    <row r="72" spans="1:23" customFormat="1" x14ac:dyDescent="0.3">
      <c r="A72" s="7">
        <v>71</v>
      </c>
      <c r="B72" s="6" t="s">
        <v>23</v>
      </c>
      <c r="C72" s="6" t="s">
        <v>283</v>
      </c>
      <c r="D72" s="6">
        <v>51125112</v>
      </c>
      <c r="E72" s="6">
        <v>30</v>
      </c>
      <c r="F72" s="6">
        <v>65</v>
      </c>
      <c r="G72" s="6">
        <v>37</v>
      </c>
      <c r="H72" s="7" t="s">
        <v>68</v>
      </c>
      <c r="I72" s="6" t="s">
        <v>86</v>
      </c>
      <c r="J72" s="6" t="s">
        <v>130</v>
      </c>
      <c r="K72" s="15">
        <v>0.68055555555555558</v>
      </c>
      <c r="L72" s="15">
        <v>0.70972222222222225</v>
      </c>
      <c r="M72" s="16">
        <f t="shared" si="2"/>
        <v>2.9166666666666674E-2</v>
      </c>
      <c r="N72" s="6" t="s">
        <v>109</v>
      </c>
      <c r="O72" s="6" t="s">
        <v>61</v>
      </c>
      <c r="P72" s="7" t="s">
        <v>131</v>
      </c>
      <c r="Q72" s="7" t="s">
        <v>86</v>
      </c>
      <c r="R72" s="7" t="s">
        <v>62</v>
      </c>
      <c r="S72" s="7" t="s">
        <v>123</v>
      </c>
      <c r="T72" s="7" t="s">
        <v>270</v>
      </c>
      <c r="U72" s="7" t="s">
        <v>290</v>
      </c>
      <c r="V72" s="7" t="s">
        <v>109</v>
      </c>
      <c r="W72" s="7" t="s">
        <v>270</v>
      </c>
    </row>
  </sheetData>
  <conditionalFormatting sqref="D1">
    <cfRule type="duplicateValues" dxfId="115"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A6FE7-3F48-419E-A9FB-460630FCE135}">
  <sheetPr codeName="Sheet3"/>
  <dimension ref="A1:W42"/>
  <sheetViews>
    <sheetView showGridLines="0" workbookViewId="0">
      <pane ySplit="1" topLeftCell="A2" activePane="bottomLeft" state="frozen"/>
      <selection pane="bottomLeft" activeCell="J55" sqref="J55"/>
    </sheetView>
  </sheetViews>
  <sheetFormatPr defaultColWidth="12.5546875" defaultRowHeight="14.4" x14ac:dyDescent="0.3"/>
  <cols>
    <col min="1" max="23" width="12.5546875" style="31"/>
  </cols>
  <sheetData>
    <row r="1" spans="1:23"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c r="W1" s="5" t="s">
        <v>22</v>
      </c>
    </row>
    <row r="2" spans="1:23" x14ac:dyDescent="0.3">
      <c r="A2" s="7">
        <v>1</v>
      </c>
      <c r="B2" s="29" t="s">
        <v>292</v>
      </c>
      <c r="C2" s="29" t="s">
        <v>293</v>
      </c>
      <c r="D2" s="29">
        <v>41125001</v>
      </c>
      <c r="E2" s="29">
        <v>136</v>
      </c>
      <c r="F2" s="7">
        <v>320</v>
      </c>
      <c r="G2" s="7">
        <v>48</v>
      </c>
      <c r="H2" s="7" t="s">
        <v>204</v>
      </c>
      <c r="I2" s="7" t="s">
        <v>294</v>
      </c>
      <c r="J2" s="7" t="s">
        <v>130</v>
      </c>
      <c r="K2" s="11">
        <v>0.80347222222222225</v>
      </c>
      <c r="L2" s="11">
        <v>0.87430555555555556</v>
      </c>
      <c r="M2" s="7" t="s">
        <v>109</v>
      </c>
      <c r="N2" s="32" t="s">
        <v>165</v>
      </c>
      <c r="O2" s="29" t="s">
        <v>61</v>
      </c>
      <c r="P2" s="7" t="s">
        <v>131</v>
      </c>
      <c r="Q2" s="7" t="s">
        <v>209</v>
      </c>
      <c r="R2" s="7" t="s">
        <v>63</v>
      </c>
      <c r="S2" s="7" t="s">
        <v>109</v>
      </c>
      <c r="T2" s="7" t="s">
        <v>109</v>
      </c>
      <c r="U2" s="7" t="s">
        <v>109</v>
      </c>
      <c r="V2" s="7" t="s">
        <v>109</v>
      </c>
      <c r="W2" s="29" t="s">
        <v>295</v>
      </c>
    </row>
    <row r="3" spans="1:23" x14ac:dyDescent="0.3">
      <c r="A3" s="7">
        <v>2</v>
      </c>
      <c r="B3" s="29" t="s">
        <v>24</v>
      </c>
      <c r="C3" s="29" t="s">
        <v>41</v>
      </c>
      <c r="D3" s="29">
        <v>61125005</v>
      </c>
      <c r="E3" s="29">
        <v>154</v>
      </c>
      <c r="F3" s="7">
        <v>328</v>
      </c>
      <c r="G3" s="7">
        <v>73</v>
      </c>
      <c r="H3" s="7" t="s">
        <v>296</v>
      </c>
      <c r="I3" s="7" t="s">
        <v>297</v>
      </c>
      <c r="J3" s="7" t="s">
        <v>130</v>
      </c>
      <c r="K3" s="11">
        <v>0.72152777777777777</v>
      </c>
      <c r="L3" s="11">
        <v>0.75347222222222221</v>
      </c>
      <c r="M3" s="7" t="s">
        <v>109</v>
      </c>
      <c r="N3" s="32" t="s">
        <v>298</v>
      </c>
      <c r="O3" s="29" t="s">
        <v>61</v>
      </c>
      <c r="P3" s="7" t="s">
        <v>131</v>
      </c>
      <c r="Q3" s="7" t="s">
        <v>90</v>
      </c>
      <c r="R3" s="7" t="s">
        <v>63</v>
      </c>
      <c r="S3" s="7" t="s">
        <v>109</v>
      </c>
      <c r="T3" s="7" t="s">
        <v>109</v>
      </c>
      <c r="U3" s="7" t="s">
        <v>109</v>
      </c>
      <c r="V3" s="7" t="s">
        <v>109</v>
      </c>
      <c r="W3" s="29" t="s">
        <v>117</v>
      </c>
    </row>
    <row r="4" spans="1:23" x14ac:dyDescent="0.3">
      <c r="A4" s="7">
        <v>3</v>
      </c>
      <c r="B4" s="29" t="s">
        <v>24</v>
      </c>
      <c r="C4" s="29" t="s">
        <v>45</v>
      </c>
      <c r="D4" s="29">
        <v>61125004</v>
      </c>
      <c r="E4" s="29">
        <v>179</v>
      </c>
      <c r="F4" s="7">
        <v>434</v>
      </c>
      <c r="G4" s="7">
        <v>135</v>
      </c>
      <c r="H4" s="7" t="s">
        <v>299</v>
      </c>
      <c r="I4" s="7" t="s">
        <v>300</v>
      </c>
      <c r="J4" s="7" t="s">
        <v>130</v>
      </c>
      <c r="K4" s="11">
        <v>0.7319444444444444</v>
      </c>
      <c r="L4" s="11">
        <v>0.75416666666666676</v>
      </c>
      <c r="M4" s="7" t="s">
        <v>109</v>
      </c>
      <c r="N4" s="32" t="s">
        <v>298</v>
      </c>
      <c r="O4" s="29" t="s">
        <v>61</v>
      </c>
      <c r="P4" s="7" t="s">
        <v>131</v>
      </c>
      <c r="Q4" s="7" t="s">
        <v>88</v>
      </c>
      <c r="R4" s="7" t="s">
        <v>63</v>
      </c>
      <c r="S4" s="7" t="s">
        <v>109</v>
      </c>
      <c r="T4" s="7" t="s">
        <v>109</v>
      </c>
      <c r="U4" s="7" t="s">
        <v>109</v>
      </c>
      <c r="V4" s="7" t="s">
        <v>109</v>
      </c>
      <c r="W4" s="29" t="s">
        <v>117</v>
      </c>
    </row>
    <row r="5" spans="1:23" x14ac:dyDescent="0.3">
      <c r="A5" s="7">
        <v>4</v>
      </c>
      <c r="B5" s="29" t="s">
        <v>23</v>
      </c>
      <c r="C5" s="29" t="s">
        <v>301</v>
      </c>
      <c r="D5" s="29">
        <v>51225036</v>
      </c>
      <c r="E5" s="29">
        <v>100</v>
      </c>
      <c r="F5" s="7">
        <v>202</v>
      </c>
      <c r="G5" s="7">
        <v>75</v>
      </c>
      <c r="H5" s="7" t="s">
        <v>302</v>
      </c>
      <c r="I5" s="7" t="s">
        <v>297</v>
      </c>
      <c r="J5" s="7" t="s">
        <v>130</v>
      </c>
      <c r="K5" s="11">
        <v>0.95972222222222225</v>
      </c>
      <c r="L5" s="11">
        <v>0.98055555555555562</v>
      </c>
      <c r="M5" s="7" t="s">
        <v>109</v>
      </c>
      <c r="N5" s="32" t="s">
        <v>303</v>
      </c>
      <c r="O5" s="29" t="s">
        <v>61</v>
      </c>
      <c r="P5" s="7" t="s">
        <v>131</v>
      </c>
      <c r="Q5" s="7" t="s">
        <v>94</v>
      </c>
      <c r="R5" s="7" t="s">
        <v>62</v>
      </c>
      <c r="S5" s="7" t="s">
        <v>109</v>
      </c>
      <c r="T5" s="7" t="s">
        <v>109</v>
      </c>
      <c r="U5" s="7" t="s">
        <v>109</v>
      </c>
      <c r="V5" s="7" t="s">
        <v>109</v>
      </c>
      <c r="W5" s="29" t="s">
        <v>304</v>
      </c>
    </row>
    <row r="6" spans="1:23" x14ac:dyDescent="0.3">
      <c r="A6" s="7">
        <v>5</v>
      </c>
      <c r="B6" s="29" t="s">
        <v>23</v>
      </c>
      <c r="C6" s="29" t="s">
        <v>52</v>
      </c>
      <c r="D6" s="29">
        <v>51125133</v>
      </c>
      <c r="E6" s="29">
        <v>150</v>
      </c>
      <c r="F6" s="7">
        <v>281</v>
      </c>
      <c r="G6" s="7">
        <v>155</v>
      </c>
      <c r="H6" s="7" t="s">
        <v>237</v>
      </c>
      <c r="I6" s="7" t="s">
        <v>294</v>
      </c>
      <c r="J6" s="7" t="s">
        <v>130</v>
      </c>
      <c r="K6" s="11">
        <v>0.79236111111111107</v>
      </c>
      <c r="L6" s="11">
        <v>0.80486111111111114</v>
      </c>
      <c r="M6" s="7" t="s">
        <v>109</v>
      </c>
      <c r="N6" s="29" t="s">
        <v>109</v>
      </c>
      <c r="O6" s="29" t="s">
        <v>61</v>
      </c>
      <c r="P6" s="7" t="s">
        <v>131</v>
      </c>
      <c r="Q6" s="7" t="s">
        <v>209</v>
      </c>
      <c r="R6" s="7" t="s">
        <v>62</v>
      </c>
      <c r="S6" s="7" t="s">
        <v>109</v>
      </c>
      <c r="T6" s="7" t="s">
        <v>109</v>
      </c>
      <c r="U6" s="7" t="s">
        <v>109</v>
      </c>
      <c r="V6" s="7" t="s">
        <v>109</v>
      </c>
      <c r="W6" s="29" t="s">
        <v>116</v>
      </c>
    </row>
    <row r="7" spans="1:23" x14ac:dyDescent="0.3">
      <c r="A7" s="7">
        <v>6</v>
      </c>
      <c r="B7" s="29" t="s">
        <v>23</v>
      </c>
      <c r="C7" s="29" t="s">
        <v>53</v>
      </c>
      <c r="D7" s="29">
        <v>51125142</v>
      </c>
      <c r="E7" s="29">
        <v>400</v>
      </c>
      <c r="F7" s="7">
        <v>580</v>
      </c>
      <c r="G7" s="7">
        <v>168</v>
      </c>
      <c r="H7" s="7" t="s">
        <v>305</v>
      </c>
      <c r="I7" s="7" t="s">
        <v>306</v>
      </c>
      <c r="J7" s="7" t="s">
        <v>130</v>
      </c>
      <c r="K7" s="11">
        <v>0.88124999999999998</v>
      </c>
      <c r="L7" s="11">
        <v>0.95624999999999993</v>
      </c>
      <c r="M7" s="7" t="s">
        <v>109</v>
      </c>
      <c r="N7" s="29" t="s">
        <v>109</v>
      </c>
      <c r="O7" s="29" t="s">
        <v>61</v>
      </c>
      <c r="P7" s="7" t="s">
        <v>131</v>
      </c>
      <c r="Q7" s="7" t="s">
        <v>91</v>
      </c>
      <c r="R7" s="7" t="s">
        <v>62</v>
      </c>
      <c r="S7" s="7" t="s">
        <v>109</v>
      </c>
      <c r="T7" s="7" t="s">
        <v>109</v>
      </c>
      <c r="U7" s="7" t="s">
        <v>109</v>
      </c>
      <c r="V7" s="7" t="s">
        <v>109</v>
      </c>
      <c r="W7" s="29" t="s">
        <v>116</v>
      </c>
    </row>
    <row r="8" spans="1:23" s="34" customFormat="1" x14ac:dyDescent="0.3">
      <c r="A8" s="14">
        <v>7</v>
      </c>
      <c r="B8" s="35" t="s">
        <v>23</v>
      </c>
      <c r="C8" s="35" t="s">
        <v>307</v>
      </c>
      <c r="D8" s="35">
        <v>51125004</v>
      </c>
      <c r="E8" s="35">
        <v>150</v>
      </c>
      <c r="F8" s="14" t="s">
        <v>109</v>
      </c>
      <c r="G8" s="14" t="s">
        <v>109</v>
      </c>
      <c r="H8" s="14" t="s">
        <v>308</v>
      </c>
      <c r="I8" s="14" t="s">
        <v>99</v>
      </c>
      <c r="J8" s="14" t="s">
        <v>284</v>
      </c>
      <c r="K8" s="14" t="s">
        <v>109</v>
      </c>
      <c r="L8" s="14" t="s">
        <v>109</v>
      </c>
      <c r="M8" s="14" t="s">
        <v>109</v>
      </c>
      <c r="N8" s="36" t="s">
        <v>309</v>
      </c>
      <c r="O8" s="35" t="s">
        <v>61</v>
      </c>
      <c r="P8" s="14" t="s">
        <v>109</v>
      </c>
      <c r="Q8" s="14" t="s">
        <v>109</v>
      </c>
      <c r="R8" s="14" t="s">
        <v>62</v>
      </c>
      <c r="S8" s="14" t="s">
        <v>109</v>
      </c>
      <c r="T8" s="14" t="s">
        <v>109</v>
      </c>
      <c r="U8" s="14" t="s">
        <v>109</v>
      </c>
      <c r="V8" s="14" t="s">
        <v>109</v>
      </c>
      <c r="W8" s="35" t="s">
        <v>310</v>
      </c>
    </row>
    <row r="9" spans="1:23" s="37" customFormat="1" x14ac:dyDescent="0.3">
      <c r="A9" s="14">
        <v>8</v>
      </c>
      <c r="B9" s="35" t="s">
        <v>23</v>
      </c>
      <c r="C9" s="35" t="s">
        <v>311</v>
      </c>
      <c r="D9" s="35">
        <v>51125005</v>
      </c>
      <c r="E9" s="35">
        <v>20</v>
      </c>
      <c r="F9" s="14" t="s">
        <v>109</v>
      </c>
      <c r="G9" s="14" t="s">
        <v>109</v>
      </c>
      <c r="H9" s="14" t="s">
        <v>64</v>
      </c>
      <c r="I9" s="14" t="s">
        <v>89</v>
      </c>
      <c r="J9" s="14" t="s">
        <v>284</v>
      </c>
      <c r="K9" s="14" t="s">
        <v>109</v>
      </c>
      <c r="L9" s="14" t="s">
        <v>109</v>
      </c>
      <c r="M9" s="14" t="s">
        <v>109</v>
      </c>
      <c r="N9" s="36" t="s">
        <v>309</v>
      </c>
      <c r="O9" s="35" t="s">
        <v>61</v>
      </c>
      <c r="P9" s="14" t="s">
        <v>109</v>
      </c>
      <c r="Q9" s="14" t="s">
        <v>109</v>
      </c>
      <c r="R9" s="14" t="s">
        <v>62</v>
      </c>
      <c r="S9" s="14" t="s">
        <v>109</v>
      </c>
      <c r="T9" s="14" t="s">
        <v>109</v>
      </c>
      <c r="U9" s="14" t="s">
        <v>109</v>
      </c>
      <c r="V9" s="14" t="s">
        <v>109</v>
      </c>
      <c r="W9" s="35" t="s">
        <v>310</v>
      </c>
    </row>
    <row r="10" spans="1:23" x14ac:dyDescent="0.3">
      <c r="A10" s="7">
        <v>9</v>
      </c>
      <c r="B10" s="29" t="s">
        <v>23</v>
      </c>
      <c r="C10" s="29" t="s">
        <v>312</v>
      </c>
      <c r="D10" s="29">
        <v>51125006</v>
      </c>
      <c r="E10" s="29">
        <v>100</v>
      </c>
      <c r="F10" s="7">
        <v>225</v>
      </c>
      <c r="G10" s="7">
        <v>90</v>
      </c>
      <c r="H10" s="7" t="s">
        <v>313</v>
      </c>
      <c r="I10" s="7" t="s">
        <v>314</v>
      </c>
      <c r="J10" s="7" t="s">
        <v>130</v>
      </c>
      <c r="K10" s="11">
        <v>0.78263888888888899</v>
      </c>
      <c r="L10" s="11">
        <v>0.8305555555555556</v>
      </c>
      <c r="M10" s="7" t="s">
        <v>109</v>
      </c>
      <c r="N10" s="32" t="s">
        <v>309</v>
      </c>
      <c r="O10" s="29" t="s">
        <v>61</v>
      </c>
      <c r="P10" s="7" t="s">
        <v>131</v>
      </c>
      <c r="Q10" s="7" t="s">
        <v>91</v>
      </c>
      <c r="R10" s="7" t="s">
        <v>62</v>
      </c>
      <c r="S10" s="7" t="s">
        <v>109</v>
      </c>
      <c r="T10" s="7" t="s">
        <v>109</v>
      </c>
      <c r="U10" s="7" t="s">
        <v>109</v>
      </c>
      <c r="V10" s="7" t="s">
        <v>109</v>
      </c>
      <c r="W10" s="29" t="s">
        <v>310</v>
      </c>
    </row>
    <row r="11" spans="1:23" x14ac:dyDescent="0.3">
      <c r="A11" s="7">
        <v>10</v>
      </c>
      <c r="B11" s="29" t="s">
        <v>23</v>
      </c>
      <c r="C11" s="29" t="s">
        <v>315</v>
      </c>
      <c r="D11" s="29">
        <v>51125007</v>
      </c>
      <c r="E11" s="29">
        <v>70</v>
      </c>
      <c r="F11" s="7">
        <v>27</v>
      </c>
      <c r="G11" s="7">
        <v>10</v>
      </c>
      <c r="H11" s="7" t="s">
        <v>72</v>
      </c>
      <c r="I11" s="7" t="s">
        <v>95</v>
      </c>
      <c r="J11" s="7" t="s">
        <v>130</v>
      </c>
      <c r="K11" s="11">
        <v>0.66597222222222219</v>
      </c>
      <c r="L11" s="11">
        <v>0.68194444444444446</v>
      </c>
      <c r="M11" s="7" t="s">
        <v>109</v>
      </c>
      <c r="N11" s="32" t="s">
        <v>309</v>
      </c>
      <c r="O11" s="29" t="s">
        <v>61</v>
      </c>
      <c r="P11" s="7" t="s">
        <v>131</v>
      </c>
      <c r="Q11" s="7" t="s">
        <v>95</v>
      </c>
      <c r="R11" s="7" t="s">
        <v>62</v>
      </c>
      <c r="S11" s="7" t="s">
        <v>109</v>
      </c>
      <c r="T11" s="7" t="s">
        <v>109</v>
      </c>
      <c r="U11" s="7" t="s">
        <v>109</v>
      </c>
      <c r="V11" s="7" t="s">
        <v>109</v>
      </c>
      <c r="W11" s="29" t="s">
        <v>310</v>
      </c>
    </row>
    <row r="12" spans="1:23" s="37" customFormat="1" x14ac:dyDescent="0.3">
      <c r="A12" s="14">
        <v>11</v>
      </c>
      <c r="B12" s="35" t="s">
        <v>23</v>
      </c>
      <c r="C12" s="35" t="s">
        <v>316</v>
      </c>
      <c r="D12" s="35">
        <v>51125008</v>
      </c>
      <c r="E12" s="35">
        <v>100</v>
      </c>
      <c r="F12" s="14" t="s">
        <v>109</v>
      </c>
      <c r="G12" s="14" t="s">
        <v>109</v>
      </c>
      <c r="H12" s="14" t="s">
        <v>74</v>
      </c>
      <c r="I12" s="14" t="s">
        <v>97</v>
      </c>
      <c r="J12" s="14" t="s">
        <v>284</v>
      </c>
      <c r="K12" s="14" t="s">
        <v>109</v>
      </c>
      <c r="L12" s="14" t="s">
        <v>109</v>
      </c>
      <c r="M12" s="14" t="s">
        <v>109</v>
      </c>
      <c r="N12" s="36" t="s">
        <v>309</v>
      </c>
      <c r="O12" s="35" t="s">
        <v>61</v>
      </c>
      <c r="P12" s="14" t="s">
        <v>109</v>
      </c>
      <c r="Q12" s="14" t="s">
        <v>109</v>
      </c>
      <c r="R12" s="14" t="s">
        <v>62</v>
      </c>
      <c r="S12" s="14" t="s">
        <v>109</v>
      </c>
      <c r="T12" s="14" t="s">
        <v>109</v>
      </c>
      <c r="U12" s="14" t="s">
        <v>109</v>
      </c>
      <c r="V12" s="14" t="s">
        <v>109</v>
      </c>
      <c r="W12" s="35" t="s">
        <v>310</v>
      </c>
    </row>
    <row r="13" spans="1:23" x14ac:dyDescent="0.3">
      <c r="A13" s="7">
        <v>12</v>
      </c>
      <c r="B13" s="29" t="s">
        <v>23</v>
      </c>
      <c r="C13" s="29" t="s">
        <v>317</v>
      </c>
      <c r="D13" s="29">
        <v>51125010</v>
      </c>
      <c r="E13" s="29">
        <v>80</v>
      </c>
      <c r="F13" s="7">
        <v>0</v>
      </c>
      <c r="G13" s="7">
        <v>0</v>
      </c>
      <c r="H13" s="7" t="s">
        <v>153</v>
      </c>
      <c r="I13" s="7" t="s">
        <v>154</v>
      </c>
      <c r="J13" s="7" t="s">
        <v>130</v>
      </c>
      <c r="K13" s="11">
        <v>0.7055555555555556</v>
      </c>
      <c r="L13" s="11">
        <v>0.9555555555555556</v>
      </c>
      <c r="M13" s="7" t="s">
        <v>109</v>
      </c>
      <c r="N13" s="32" t="s">
        <v>309</v>
      </c>
      <c r="O13" s="29" t="s">
        <v>61</v>
      </c>
      <c r="P13" s="7" t="s">
        <v>131</v>
      </c>
      <c r="Q13" s="7" t="s">
        <v>154</v>
      </c>
      <c r="R13" s="7" t="s">
        <v>62</v>
      </c>
      <c r="S13" s="7" t="s">
        <v>109</v>
      </c>
      <c r="T13" s="7" t="s">
        <v>109</v>
      </c>
      <c r="U13" s="7" t="s">
        <v>109</v>
      </c>
      <c r="V13" s="7" t="s">
        <v>109</v>
      </c>
      <c r="W13" s="29" t="s">
        <v>310</v>
      </c>
    </row>
    <row r="14" spans="1:23" x14ac:dyDescent="0.3">
      <c r="A14" s="7">
        <v>13</v>
      </c>
      <c r="B14" s="29" t="s">
        <v>23</v>
      </c>
      <c r="C14" s="29" t="s">
        <v>318</v>
      </c>
      <c r="D14" s="29">
        <v>51125011</v>
      </c>
      <c r="E14" s="29">
        <v>100</v>
      </c>
      <c r="F14" s="7">
        <v>159</v>
      </c>
      <c r="G14" s="7">
        <v>8</v>
      </c>
      <c r="H14" s="7" t="s">
        <v>232</v>
      </c>
      <c r="I14" s="7" t="s">
        <v>157</v>
      </c>
      <c r="J14" s="7" t="s">
        <v>130</v>
      </c>
      <c r="K14" s="11">
        <v>0.81527777777777777</v>
      </c>
      <c r="L14" s="11">
        <v>0.83333333333333337</v>
      </c>
      <c r="M14" s="7" t="s">
        <v>109</v>
      </c>
      <c r="N14" s="32" t="s">
        <v>309</v>
      </c>
      <c r="O14" s="29" t="s">
        <v>61</v>
      </c>
      <c r="P14" s="7" t="s">
        <v>131</v>
      </c>
      <c r="Q14" s="7" t="s">
        <v>154</v>
      </c>
      <c r="R14" s="7" t="s">
        <v>62</v>
      </c>
      <c r="S14" s="7" t="s">
        <v>109</v>
      </c>
      <c r="T14" s="7" t="s">
        <v>109</v>
      </c>
      <c r="U14" s="7" t="s">
        <v>109</v>
      </c>
      <c r="V14" s="7" t="s">
        <v>109</v>
      </c>
      <c r="W14" s="29" t="s">
        <v>310</v>
      </c>
    </row>
    <row r="15" spans="1:23" x14ac:dyDescent="0.3">
      <c r="A15" s="7">
        <v>14</v>
      </c>
      <c r="B15" s="29" t="s">
        <v>23</v>
      </c>
      <c r="C15" s="29" t="s">
        <v>40</v>
      </c>
      <c r="D15" s="29">
        <v>51125138</v>
      </c>
      <c r="E15" s="29">
        <v>100</v>
      </c>
      <c r="F15" s="7">
        <v>172</v>
      </c>
      <c r="G15" s="7">
        <v>102</v>
      </c>
      <c r="H15" s="7" t="s">
        <v>319</v>
      </c>
      <c r="I15" s="7" t="s">
        <v>230</v>
      </c>
      <c r="J15" s="7" t="s">
        <v>130</v>
      </c>
      <c r="K15" s="11">
        <v>0.70416666666666661</v>
      </c>
      <c r="L15" s="11">
        <v>0.7402777777777777</v>
      </c>
      <c r="M15" s="7" t="s">
        <v>109</v>
      </c>
      <c r="N15" s="29" t="s">
        <v>109</v>
      </c>
      <c r="O15" s="29" t="s">
        <v>61</v>
      </c>
      <c r="P15" s="7" t="s">
        <v>131</v>
      </c>
      <c r="Q15" s="7" t="s">
        <v>154</v>
      </c>
      <c r="R15" s="7" t="s">
        <v>62</v>
      </c>
      <c r="S15" s="7" t="s">
        <v>109</v>
      </c>
      <c r="T15" s="7" t="s">
        <v>109</v>
      </c>
      <c r="U15" s="7" t="s">
        <v>109</v>
      </c>
      <c r="V15" s="7" t="s">
        <v>109</v>
      </c>
      <c r="W15" s="29" t="s">
        <v>116</v>
      </c>
    </row>
    <row r="16" spans="1:23" x14ac:dyDescent="0.3">
      <c r="A16" s="7">
        <v>15</v>
      </c>
      <c r="B16" s="29" t="s">
        <v>23</v>
      </c>
      <c r="C16" s="29" t="s">
        <v>47</v>
      </c>
      <c r="D16" s="29">
        <v>51125139</v>
      </c>
      <c r="E16" s="29">
        <v>200</v>
      </c>
      <c r="F16" s="7">
        <v>311</v>
      </c>
      <c r="G16" s="7">
        <v>224</v>
      </c>
      <c r="H16" s="7" t="s">
        <v>320</v>
      </c>
      <c r="I16" s="7" t="s">
        <v>321</v>
      </c>
      <c r="J16" s="7" t="s">
        <v>130</v>
      </c>
      <c r="K16" s="11">
        <v>0.85277777777777775</v>
      </c>
      <c r="L16" s="11">
        <v>0.88888888888888884</v>
      </c>
      <c r="M16" s="7" t="s">
        <v>109</v>
      </c>
      <c r="N16" s="29" t="s">
        <v>109</v>
      </c>
      <c r="O16" s="29" t="s">
        <v>61</v>
      </c>
      <c r="P16" s="7" t="s">
        <v>131</v>
      </c>
      <c r="Q16" s="7" t="s">
        <v>90</v>
      </c>
      <c r="R16" s="7" t="s">
        <v>62</v>
      </c>
      <c r="S16" s="7" t="s">
        <v>109</v>
      </c>
      <c r="T16" s="7" t="s">
        <v>109</v>
      </c>
      <c r="U16" s="7" t="s">
        <v>109</v>
      </c>
      <c r="V16" s="7" t="s">
        <v>109</v>
      </c>
      <c r="W16" s="29" t="s">
        <v>116</v>
      </c>
    </row>
    <row r="17" spans="1:23" x14ac:dyDescent="0.3">
      <c r="A17" s="7">
        <v>16</v>
      </c>
      <c r="B17" s="29" t="s">
        <v>23</v>
      </c>
      <c r="C17" s="29" t="s">
        <v>43</v>
      </c>
      <c r="D17" s="29">
        <v>51125143</v>
      </c>
      <c r="E17" s="29">
        <v>50</v>
      </c>
      <c r="F17" s="7">
        <v>61</v>
      </c>
      <c r="G17" s="7">
        <v>48</v>
      </c>
      <c r="H17" s="7" t="s">
        <v>70</v>
      </c>
      <c r="I17" s="7" t="s">
        <v>90</v>
      </c>
      <c r="J17" s="7" t="s">
        <v>130</v>
      </c>
      <c r="K17" s="11">
        <v>0.88541666666666663</v>
      </c>
      <c r="L17" s="11">
        <v>0.89930555555555547</v>
      </c>
      <c r="M17" s="7" t="s">
        <v>109</v>
      </c>
      <c r="N17" s="29" t="s">
        <v>109</v>
      </c>
      <c r="O17" s="29" t="s">
        <v>61</v>
      </c>
      <c r="P17" s="7" t="s">
        <v>131</v>
      </c>
      <c r="Q17" s="7" t="s">
        <v>90</v>
      </c>
      <c r="R17" s="7" t="s">
        <v>62</v>
      </c>
      <c r="S17" s="7" t="s">
        <v>109</v>
      </c>
      <c r="T17" s="7" t="s">
        <v>109</v>
      </c>
      <c r="U17" s="7" t="s">
        <v>109</v>
      </c>
      <c r="V17" s="7" t="s">
        <v>109</v>
      </c>
      <c r="W17" s="29" t="s">
        <v>116</v>
      </c>
    </row>
    <row r="18" spans="1:23" x14ac:dyDescent="0.3">
      <c r="A18" s="7">
        <v>17</v>
      </c>
      <c r="B18" s="29" t="s">
        <v>23</v>
      </c>
      <c r="C18" s="29" t="s">
        <v>322</v>
      </c>
      <c r="D18" s="29">
        <v>50126008</v>
      </c>
      <c r="E18" s="29">
        <v>250</v>
      </c>
      <c r="F18" s="7">
        <v>280</v>
      </c>
      <c r="G18" s="7">
        <v>147</v>
      </c>
      <c r="H18" s="7" t="s">
        <v>323</v>
      </c>
      <c r="I18" s="7" t="s">
        <v>324</v>
      </c>
      <c r="J18" s="7" t="s">
        <v>130</v>
      </c>
      <c r="K18" s="11">
        <v>0.83333333333333337</v>
      </c>
      <c r="L18" s="11">
        <v>0.90416666666666667</v>
      </c>
      <c r="M18" s="7" t="s">
        <v>109</v>
      </c>
      <c r="N18" s="29" t="s">
        <v>109</v>
      </c>
      <c r="O18" s="29" t="s">
        <v>61</v>
      </c>
      <c r="P18" s="7" t="s">
        <v>131</v>
      </c>
      <c r="Q18" s="7" t="s">
        <v>94</v>
      </c>
      <c r="R18" s="7" t="s">
        <v>62</v>
      </c>
      <c r="S18" s="7" t="s">
        <v>109</v>
      </c>
      <c r="T18" s="7" t="s">
        <v>109</v>
      </c>
      <c r="U18" s="7" t="s">
        <v>109</v>
      </c>
      <c r="V18" s="7" t="s">
        <v>109</v>
      </c>
      <c r="W18" s="29" t="s">
        <v>325</v>
      </c>
    </row>
    <row r="19" spans="1:23" x14ac:dyDescent="0.3">
      <c r="A19" s="7">
        <v>18</v>
      </c>
      <c r="B19" s="29" t="s">
        <v>170</v>
      </c>
      <c r="C19" s="29" t="s">
        <v>171</v>
      </c>
      <c r="D19" s="29">
        <v>41125019</v>
      </c>
      <c r="E19" s="29">
        <v>210</v>
      </c>
      <c r="F19" s="7">
        <v>413</v>
      </c>
      <c r="G19" s="7">
        <v>138</v>
      </c>
      <c r="H19" s="7" t="s">
        <v>326</v>
      </c>
      <c r="I19" s="7" t="s">
        <v>327</v>
      </c>
      <c r="J19" s="7" t="s">
        <v>130</v>
      </c>
      <c r="K19" s="11">
        <v>0.93819444444444444</v>
      </c>
      <c r="L19" s="11">
        <v>0.97222222222222221</v>
      </c>
      <c r="M19" s="7" t="s">
        <v>109</v>
      </c>
      <c r="N19" s="32" t="s">
        <v>328</v>
      </c>
      <c r="O19" s="29" t="s">
        <v>61</v>
      </c>
      <c r="P19" s="7" t="s">
        <v>131</v>
      </c>
      <c r="Q19" s="7" t="s">
        <v>154</v>
      </c>
      <c r="R19" s="7" t="s">
        <v>62</v>
      </c>
      <c r="S19" s="7" t="s">
        <v>109</v>
      </c>
      <c r="T19" s="7" t="s">
        <v>109</v>
      </c>
      <c r="U19" s="7" t="s">
        <v>109</v>
      </c>
      <c r="V19" s="7" t="s">
        <v>109</v>
      </c>
      <c r="W19" s="29" t="s">
        <v>175</v>
      </c>
    </row>
    <row r="20" spans="1:23" x14ac:dyDescent="0.3">
      <c r="A20" s="7">
        <v>19</v>
      </c>
      <c r="B20" s="29" t="s">
        <v>135</v>
      </c>
      <c r="C20" s="29" t="s">
        <v>329</v>
      </c>
      <c r="D20" s="29">
        <v>20126003</v>
      </c>
      <c r="E20" s="29">
        <v>15</v>
      </c>
      <c r="F20" s="7">
        <v>15</v>
      </c>
      <c r="G20" s="7">
        <v>5</v>
      </c>
      <c r="H20" s="7" t="s">
        <v>184</v>
      </c>
      <c r="I20" s="7" t="s">
        <v>94</v>
      </c>
      <c r="J20" s="7" t="s">
        <v>130</v>
      </c>
      <c r="K20" s="11">
        <v>0.78888888888888886</v>
      </c>
      <c r="L20" s="11">
        <v>0.82708333333333339</v>
      </c>
      <c r="M20" s="7" t="s">
        <v>109</v>
      </c>
      <c r="N20" s="29" t="s">
        <v>109</v>
      </c>
      <c r="O20" s="29" t="s">
        <v>61</v>
      </c>
      <c r="P20" s="7" t="s">
        <v>131</v>
      </c>
      <c r="Q20" s="7" t="s">
        <v>94</v>
      </c>
      <c r="R20" s="7" t="s">
        <v>62</v>
      </c>
      <c r="S20" s="7" t="s">
        <v>109</v>
      </c>
      <c r="T20" s="7" t="s">
        <v>109</v>
      </c>
      <c r="U20" s="7" t="s">
        <v>109</v>
      </c>
      <c r="V20" s="7" t="s">
        <v>109</v>
      </c>
      <c r="W20" s="29" t="s">
        <v>112</v>
      </c>
    </row>
    <row r="21" spans="1:23" x14ac:dyDescent="0.3">
      <c r="A21" s="7">
        <v>20</v>
      </c>
      <c r="B21" s="29" t="s">
        <v>23</v>
      </c>
      <c r="C21" s="29" t="s">
        <v>224</v>
      </c>
      <c r="D21" s="29">
        <v>51225106</v>
      </c>
      <c r="E21" s="29">
        <v>100</v>
      </c>
      <c r="F21" s="7">
        <v>210</v>
      </c>
      <c r="G21" s="7">
        <v>96</v>
      </c>
      <c r="H21" s="7" t="s">
        <v>330</v>
      </c>
      <c r="I21" s="7" t="s">
        <v>99</v>
      </c>
      <c r="J21" s="7" t="s">
        <v>130</v>
      </c>
      <c r="K21" s="11">
        <v>0.75555555555555554</v>
      </c>
      <c r="L21" s="11">
        <v>0.80347222222222225</v>
      </c>
      <c r="M21" s="7" t="s">
        <v>109</v>
      </c>
      <c r="N21" s="32" t="s">
        <v>61</v>
      </c>
      <c r="O21" s="29" t="s">
        <v>61</v>
      </c>
      <c r="P21" s="7" t="s">
        <v>131</v>
      </c>
      <c r="Q21" s="7" t="s">
        <v>91</v>
      </c>
      <c r="R21" s="7" t="s">
        <v>62</v>
      </c>
      <c r="S21" s="7" t="s">
        <v>109</v>
      </c>
      <c r="T21" s="7" t="s">
        <v>109</v>
      </c>
      <c r="U21" s="7" t="s">
        <v>109</v>
      </c>
      <c r="V21" s="7" t="s">
        <v>109</v>
      </c>
      <c r="W21" s="29" t="s">
        <v>117</v>
      </c>
    </row>
    <row r="22" spans="1:23" x14ac:dyDescent="0.3">
      <c r="A22" s="7">
        <v>21</v>
      </c>
      <c r="B22" s="29" t="s">
        <v>23</v>
      </c>
      <c r="C22" s="29" t="s">
        <v>331</v>
      </c>
      <c r="D22" s="29">
        <v>51025094</v>
      </c>
      <c r="E22" s="29">
        <v>274</v>
      </c>
      <c r="F22" s="7">
        <v>353</v>
      </c>
      <c r="G22" s="7">
        <v>264</v>
      </c>
      <c r="H22" s="7" t="s">
        <v>332</v>
      </c>
      <c r="I22" s="7" t="s">
        <v>333</v>
      </c>
      <c r="J22" s="7" t="s">
        <v>130</v>
      </c>
      <c r="K22" s="11">
        <v>0.75277777777777777</v>
      </c>
      <c r="L22" s="11">
        <v>0.79861111111111116</v>
      </c>
      <c r="M22" s="7" t="s">
        <v>109</v>
      </c>
      <c r="N22" s="32" t="s">
        <v>238</v>
      </c>
      <c r="O22" s="29" t="s">
        <v>288</v>
      </c>
      <c r="P22" s="7" t="s">
        <v>131</v>
      </c>
      <c r="Q22" s="7" t="s">
        <v>93</v>
      </c>
      <c r="R22" s="7" t="s">
        <v>62</v>
      </c>
      <c r="S22" s="7" t="s">
        <v>109</v>
      </c>
      <c r="T22" s="7" t="s">
        <v>109</v>
      </c>
      <c r="U22" s="7" t="s">
        <v>109</v>
      </c>
      <c r="V22" s="7" t="s">
        <v>109</v>
      </c>
      <c r="W22" s="29" t="s">
        <v>334</v>
      </c>
    </row>
    <row r="23" spans="1:23" x14ac:dyDescent="0.3">
      <c r="A23" s="7">
        <v>22</v>
      </c>
      <c r="B23" s="29" t="s">
        <v>23</v>
      </c>
      <c r="C23" s="29" t="s">
        <v>335</v>
      </c>
      <c r="D23" s="29">
        <v>51025098</v>
      </c>
      <c r="E23" s="29">
        <v>155</v>
      </c>
      <c r="F23" s="7">
        <v>224</v>
      </c>
      <c r="G23" s="7">
        <v>163</v>
      </c>
      <c r="H23" s="7" t="s">
        <v>319</v>
      </c>
      <c r="I23" s="7" t="s">
        <v>336</v>
      </c>
      <c r="J23" s="7" t="s">
        <v>130</v>
      </c>
      <c r="K23" s="11">
        <v>0.85763888888888884</v>
      </c>
      <c r="L23" s="11">
        <v>0.89930555555555547</v>
      </c>
      <c r="M23" s="7" t="s">
        <v>109</v>
      </c>
      <c r="N23" s="32" t="s">
        <v>225</v>
      </c>
      <c r="O23" s="29" t="s">
        <v>226</v>
      </c>
      <c r="P23" s="7" t="s">
        <v>131</v>
      </c>
      <c r="Q23" s="7" t="s">
        <v>154</v>
      </c>
      <c r="R23" s="7" t="s">
        <v>62</v>
      </c>
      <c r="S23" s="7" t="s">
        <v>109</v>
      </c>
      <c r="T23" s="7" t="s">
        <v>109</v>
      </c>
      <c r="U23" s="7" t="s">
        <v>109</v>
      </c>
      <c r="V23" s="7" t="s">
        <v>109</v>
      </c>
      <c r="W23" s="29" t="s">
        <v>334</v>
      </c>
    </row>
    <row r="24" spans="1:23" x14ac:dyDescent="0.3">
      <c r="A24" s="7">
        <v>23</v>
      </c>
      <c r="B24" s="29" t="s">
        <v>23</v>
      </c>
      <c r="C24" s="29" t="s">
        <v>337</v>
      </c>
      <c r="D24" s="29">
        <v>51025095</v>
      </c>
      <c r="E24" s="29">
        <v>87</v>
      </c>
      <c r="F24" s="7">
        <v>135</v>
      </c>
      <c r="G24" s="7">
        <v>91</v>
      </c>
      <c r="H24" s="7" t="s">
        <v>237</v>
      </c>
      <c r="I24" s="7" t="s">
        <v>294</v>
      </c>
      <c r="J24" s="7" t="s">
        <v>130</v>
      </c>
      <c r="K24" s="11">
        <v>0.81527777777777777</v>
      </c>
      <c r="L24" s="11">
        <v>0.86875000000000002</v>
      </c>
      <c r="M24" s="7" t="s">
        <v>109</v>
      </c>
      <c r="N24" s="32" t="s">
        <v>225</v>
      </c>
      <c r="O24" s="29" t="s">
        <v>226</v>
      </c>
      <c r="P24" s="7" t="s">
        <v>131</v>
      </c>
      <c r="Q24" s="7" t="s">
        <v>88</v>
      </c>
      <c r="R24" s="7" t="s">
        <v>62</v>
      </c>
      <c r="S24" s="7" t="s">
        <v>109</v>
      </c>
      <c r="T24" s="7" t="s">
        <v>109</v>
      </c>
      <c r="U24" s="7" t="s">
        <v>109</v>
      </c>
      <c r="V24" s="7" t="s">
        <v>109</v>
      </c>
      <c r="W24" s="29" t="s">
        <v>334</v>
      </c>
    </row>
    <row r="25" spans="1:23" x14ac:dyDescent="0.3">
      <c r="A25" s="7">
        <v>24</v>
      </c>
      <c r="B25" s="29" t="s">
        <v>23</v>
      </c>
      <c r="C25" s="29" t="s">
        <v>338</v>
      </c>
      <c r="D25" s="29">
        <v>50126001</v>
      </c>
      <c r="E25" s="29">
        <v>200</v>
      </c>
      <c r="F25" s="7">
        <v>212</v>
      </c>
      <c r="G25" s="7">
        <v>140</v>
      </c>
      <c r="H25" s="7" t="s">
        <v>339</v>
      </c>
      <c r="I25" s="7" t="s">
        <v>340</v>
      </c>
      <c r="J25" s="7" t="s">
        <v>130</v>
      </c>
      <c r="K25" s="11">
        <v>0.83888888888888891</v>
      </c>
      <c r="L25" s="11">
        <v>0.85763888888888884</v>
      </c>
      <c r="M25" s="7" t="s">
        <v>109</v>
      </c>
      <c r="N25" s="32" t="s">
        <v>61</v>
      </c>
      <c r="O25" s="29" t="s">
        <v>61</v>
      </c>
      <c r="P25" s="7" t="s">
        <v>131</v>
      </c>
      <c r="Q25" s="7" t="s">
        <v>86</v>
      </c>
      <c r="R25" s="7" t="s">
        <v>62</v>
      </c>
      <c r="S25" s="7" t="s">
        <v>109</v>
      </c>
      <c r="T25" s="7" t="s">
        <v>109</v>
      </c>
      <c r="U25" s="7" t="s">
        <v>109</v>
      </c>
      <c r="V25" s="7" t="s">
        <v>109</v>
      </c>
      <c r="W25" s="29" t="s">
        <v>341</v>
      </c>
    </row>
    <row r="26" spans="1:23" x14ac:dyDescent="0.3">
      <c r="A26" s="7">
        <v>25</v>
      </c>
      <c r="B26" s="29" t="s">
        <v>23</v>
      </c>
      <c r="C26" s="29" t="s">
        <v>342</v>
      </c>
      <c r="D26" s="29">
        <v>50126002</v>
      </c>
      <c r="E26" s="29">
        <v>190</v>
      </c>
      <c r="F26" s="7">
        <v>289</v>
      </c>
      <c r="G26" s="7">
        <v>208</v>
      </c>
      <c r="H26" s="7" t="s">
        <v>343</v>
      </c>
      <c r="I26" s="7" t="s">
        <v>344</v>
      </c>
      <c r="J26" s="7" t="s">
        <v>130</v>
      </c>
      <c r="K26" s="11">
        <v>0.81458333333333333</v>
      </c>
      <c r="L26" s="11">
        <v>0.8666666666666667</v>
      </c>
      <c r="M26" s="7" t="s">
        <v>109</v>
      </c>
      <c r="N26" s="32" t="s">
        <v>61</v>
      </c>
      <c r="O26" s="29" t="s">
        <v>61</v>
      </c>
      <c r="P26" s="7" t="s">
        <v>131</v>
      </c>
      <c r="Q26" s="7" t="s">
        <v>91</v>
      </c>
      <c r="R26" s="7" t="s">
        <v>62</v>
      </c>
      <c r="S26" s="7" t="s">
        <v>109</v>
      </c>
      <c r="T26" s="7" t="s">
        <v>109</v>
      </c>
      <c r="U26" s="7" t="s">
        <v>109</v>
      </c>
      <c r="V26" s="7" t="s">
        <v>109</v>
      </c>
      <c r="W26" s="29" t="s">
        <v>341</v>
      </c>
    </row>
    <row r="27" spans="1:23" x14ac:dyDescent="0.3">
      <c r="A27" s="7">
        <v>26</v>
      </c>
      <c r="B27" s="29" t="s">
        <v>23</v>
      </c>
      <c r="C27" s="29" t="s">
        <v>345</v>
      </c>
      <c r="D27" s="29">
        <v>50126003</v>
      </c>
      <c r="E27" s="29">
        <v>220</v>
      </c>
      <c r="F27" s="7">
        <v>341</v>
      </c>
      <c r="G27" s="7">
        <v>223</v>
      </c>
      <c r="H27" s="7" t="s">
        <v>343</v>
      </c>
      <c r="I27" s="7" t="s">
        <v>346</v>
      </c>
      <c r="J27" s="7" t="s">
        <v>130</v>
      </c>
      <c r="K27" s="11">
        <v>0.6875</v>
      </c>
      <c r="L27" s="11">
        <v>0.71111111111111114</v>
      </c>
      <c r="M27" s="7" t="s">
        <v>109</v>
      </c>
      <c r="N27" s="32" t="s">
        <v>61</v>
      </c>
      <c r="O27" s="29" t="s">
        <v>61</v>
      </c>
      <c r="P27" s="7" t="s">
        <v>131</v>
      </c>
      <c r="Q27" s="7" t="s">
        <v>88</v>
      </c>
      <c r="R27" s="7" t="s">
        <v>62</v>
      </c>
      <c r="S27" s="7" t="s">
        <v>109</v>
      </c>
      <c r="T27" s="7" t="s">
        <v>109</v>
      </c>
      <c r="U27" s="7" t="s">
        <v>109</v>
      </c>
      <c r="V27" s="7" t="s">
        <v>109</v>
      </c>
      <c r="W27" s="29" t="s">
        <v>341</v>
      </c>
    </row>
    <row r="28" spans="1:23" x14ac:dyDescent="0.3">
      <c r="A28" s="7">
        <v>27</v>
      </c>
      <c r="B28" s="29" t="s">
        <v>143</v>
      </c>
      <c r="C28" s="29" t="s">
        <v>347</v>
      </c>
      <c r="D28" s="29">
        <v>11225025</v>
      </c>
      <c r="E28" s="29">
        <v>100</v>
      </c>
      <c r="F28" s="7">
        <v>168</v>
      </c>
      <c r="G28" s="7">
        <v>106</v>
      </c>
      <c r="H28" s="7" t="s">
        <v>296</v>
      </c>
      <c r="I28" s="7" t="s">
        <v>103</v>
      </c>
      <c r="J28" s="7" t="s">
        <v>130</v>
      </c>
      <c r="K28" s="11">
        <v>0.79791666666666661</v>
      </c>
      <c r="L28" s="11">
        <v>0.88888888888888884</v>
      </c>
      <c r="M28" s="7" t="s">
        <v>109</v>
      </c>
      <c r="N28" s="29" t="s">
        <v>109</v>
      </c>
      <c r="O28" s="29" t="s">
        <v>61</v>
      </c>
      <c r="P28" s="7" t="s">
        <v>131</v>
      </c>
      <c r="Q28" s="7" t="s">
        <v>94</v>
      </c>
      <c r="R28" s="7" t="s">
        <v>62</v>
      </c>
      <c r="S28" s="7" t="s">
        <v>109</v>
      </c>
      <c r="T28" s="7" t="s">
        <v>109</v>
      </c>
      <c r="U28" s="7" t="s">
        <v>109</v>
      </c>
      <c r="V28" s="7" t="s">
        <v>109</v>
      </c>
      <c r="W28" s="29" t="s">
        <v>116</v>
      </c>
    </row>
    <row r="29" spans="1:23" x14ac:dyDescent="0.3">
      <c r="A29" s="14">
        <v>28</v>
      </c>
      <c r="B29" s="35" t="s">
        <v>143</v>
      </c>
      <c r="C29" s="35" t="s">
        <v>348</v>
      </c>
      <c r="D29" s="35">
        <v>11125084</v>
      </c>
      <c r="E29" s="35">
        <v>35</v>
      </c>
      <c r="F29" s="14" t="s">
        <v>109</v>
      </c>
      <c r="G29" s="14" t="s">
        <v>109</v>
      </c>
      <c r="H29" s="14" t="s">
        <v>241</v>
      </c>
      <c r="I29" s="14" t="s">
        <v>93</v>
      </c>
      <c r="J29" s="14" t="s">
        <v>284</v>
      </c>
      <c r="K29" s="14" t="s">
        <v>109</v>
      </c>
      <c r="L29" s="14" t="s">
        <v>109</v>
      </c>
      <c r="M29" s="14" t="s">
        <v>109</v>
      </c>
      <c r="N29" s="35" t="s">
        <v>109</v>
      </c>
      <c r="O29" s="35" t="s">
        <v>61</v>
      </c>
      <c r="P29" s="14" t="s">
        <v>109</v>
      </c>
      <c r="Q29" s="14" t="s">
        <v>109</v>
      </c>
      <c r="R29" s="14" t="s">
        <v>62</v>
      </c>
      <c r="S29" s="14" t="s">
        <v>109</v>
      </c>
      <c r="T29" s="14" t="s">
        <v>109</v>
      </c>
      <c r="U29" s="14" t="s">
        <v>109</v>
      </c>
      <c r="V29" s="14" t="s">
        <v>109</v>
      </c>
      <c r="W29" s="35" t="s">
        <v>349</v>
      </c>
    </row>
    <row r="30" spans="1:23" x14ac:dyDescent="0.3">
      <c r="A30" s="7">
        <v>29</v>
      </c>
      <c r="B30" s="29" t="s">
        <v>143</v>
      </c>
      <c r="C30" s="29" t="s">
        <v>350</v>
      </c>
      <c r="D30" s="29">
        <v>11125037</v>
      </c>
      <c r="E30" s="29">
        <v>83</v>
      </c>
      <c r="F30" s="7">
        <v>118</v>
      </c>
      <c r="G30" s="7">
        <v>85</v>
      </c>
      <c r="H30" s="7" t="s">
        <v>204</v>
      </c>
      <c r="I30" s="7" t="s">
        <v>294</v>
      </c>
      <c r="J30" s="7" t="s">
        <v>130</v>
      </c>
      <c r="K30" s="11">
        <v>0.86111111111111116</v>
      </c>
      <c r="L30" s="11">
        <v>0.88958333333333339</v>
      </c>
      <c r="M30" s="7" t="s">
        <v>109</v>
      </c>
      <c r="N30" s="29" t="s">
        <v>109</v>
      </c>
      <c r="O30" s="29" t="s">
        <v>61</v>
      </c>
      <c r="P30" s="7" t="s">
        <v>131</v>
      </c>
      <c r="Q30" s="7" t="s">
        <v>209</v>
      </c>
      <c r="R30" s="7" t="s">
        <v>62</v>
      </c>
      <c r="S30" s="7" t="s">
        <v>109</v>
      </c>
      <c r="T30" s="7" t="s">
        <v>109</v>
      </c>
      <c r="U30" s="7" t="s">
        <v>109</v>
      </c>
      <c r="V30" s="7" t="s">
        <v>109</v>
      </c>
      <c r="W30" s="29" t="s">
        <v>351</v>
      </c>
    </row>
    <row r="31" spans="1:23" x14ac:dyDescent="0.3">
      <c r="A31" s="7">
        <v>30</v>
      </c>
      <c r="B31" s="29" t="s">
        <v>143</v>
      </c>
      <c r="C31" s="29" t="s">
        <v>352</v>
      </c>
      <c r="D31" s="29">
        <v>10126004</v>
      </c>
      <c r="E31" s="29">
        <v>50</v>
      </c>
      <c r="F31" s="7">
        <v>108</v>
      </c>
      <c r="G31" s="7">
        <v>22</v>
      </c>
      <c r="H31" s="7" t="s">
        <v>68</v>
      </c>
      <c r="I31" s="7" t="s">
        <v>86</v>
      </c>
      <c r="J31" s="7" t="s">
        <v>130</v>
      </c>
      <c r="K31" s="11">
        <v>0.79166666666666663</v>
      </c>
      <c r="L31" s="11">
        <v>0.97222222222222221</v>
      </c>
      <c r="M31" s="7" t="s">
        <v>109</v>
      </c>
      <c r="N31" s="29" t="s">
        <v>109</v>
      </c>
      <c r="O31" s="29" t="s">
        <v>61</v>
      </c>
      <c r="P31" s="7" t="s">
        <v>131</v>
      </c>
      <c r="Q31" s="7" t="s">
        <v>86</v>
      </c>
      <c r="R31" s="7" t="s">
        <v>62</v>
      </c>
      <c r="S31" s="7" t="s">
        <v>109</v>
      </c>
      <c r="T31" s="7" t="s">
        <v>109</v>
      </c>
      <c r="U31" s="7" t="s">
        <v>109</v>
      </c>
      <c r="V31" s="7" t="s">
        <v>109</v>
      </c>
      <c r="W31" s="29" t="s">
        <v>182</v>
      </c>
    </row>
    <row r="32" spans="1:23" x14ac:dyDescent="0.3">
      <c r="A32" s="7">
        <v>31</v>
      </c>
      <c r="B32" s="29" t="s">
        <v>143</v>
      </c>
      <c r="C32" s="29" t="s">
        <v>353</v>
      </c>
      <c r="D32" s="29">
        <v>11125083</v>
      </c>
      <c r="E32" s="29">
        <v>50</v>
      </c>
      <c r="F32" s="7">
        <v>135</v>
      </c>
      <c r="G32" s="7">
        <v>47</v>
      </c>
      <c r="H32" s="7" t="s">
        <v>84</v>
      </c>
      <c r="I32" s="7" t="s">
        <v>94</v>
      </c>
      <c r="J32" s="7" t="s">
        <v>130</v>
      </c>
      <c r="K32" s="11">
        <v>0.7416666666666667</v>
      </c>
      <c r="L32" s="11">
        <v>0.84513888888888899</v>
      </c>
      <c r="M32" s="7" t="s">
        <v>109</v>
      </c>
      <c r="N32" s="29" t="s">
        <v>109</v>
      </c>
      <c r="O32" s="29" t="s">
        <v>61</v>
      </c>
      <c r="P32" s="7" t="s">
        <v>131</v>
      </c>
      <c r="Q32" s="7" t="s">
        <v>94</v>
      </c>
      <c r="R32" s="7" t="s">
        <v>62</v>
      </c>
      <c r="S32" s="7" t="s">
        <v>109</v>
      </c>
      <c r="T32" s="7" t="s">
        <v>109</v>
      </c>
      <c r="U32" s="7" t="s">
        <v>109</v>
      </c>
      <c r="V32" s="7" t="s">
        <v>109</v>
      </c>
      <c r="W32" s="29" t="s">
        <v>349</v>
      </c>
    </row>
    <row r="33" spans="1:23" x14ac:dyDescent="0.3">
      <c r="A33" s="7">
        <v>32</v>
      </c>
      <c r="B33" s="29" t="s">
        <v>143</v>
      </c>
      <c r="C33" s="29" t="s">
        <v>354</v>
      </c>
      <c r="D33" s="29">
        <v>11225017</v>
      </c>
      <c r="E33" s="29" t="s">
        <v>287</v>
      </c>
      <c r="F33" s="7">
        <v>218</v>
      </c>
      <c r="G33" s="7">
        <v>38</v>
      </c>
      <c r="H33" s="7" t="s">
        <v>368</v>
      </c>
      <c r="I33" s="7" t="s">
        <v>192</v>
      </c>
      <c r="J33" s="7" t="s">
        <v>130</v>
      </c>
      <c r="K33" s="11">
        <v>0.89861111111111114</v>
      </c>
      <c r="L33" s="11">
        <v>0.92499999999999993</v>
      </c>
      <c r="M33" s="7" t="s">
        <v>109</v>
      </c>
      <c r="N33" s="29" t="s">
        <v>109</v>
      </c>
      <c r="O33" s="29" t="s">
        <v>61</v>
      </c>
      <c r="P33" s="7" t="s">
        <v>131</v>
      </c>
      <c r="Q33" s="7" t="s">
        <v>88</v>
      </c>
      <c r="R33" s="7" t="s">
        <v>62</v>
      </c>
      <c r="S33" s="7" t="s">
        <v>109</v>
      </c>
      <c r="T33" s="7" t="s">
        <v>109</v>
      </c>
      <c r="U33" s="7" t="s">
        <v>109</v>
      </c>
      <c r="V33" s="7" t="s">
        <v>109</v>
      </c>
      <c r="W33" s="29" t="s">
        <v>351</v>
      </c>
    </row>
    <row r="34" spans="1:23" x14ac:dyDescent="0.3">
      <c r="A34" s="7">
        <v>33</v>
      </c>
      <c r="B34" s="29" t="s">
        <v>23</v>
      </c>
      <c r="C34" s="29" t="s">
        <v>355</v>
      </c>
      <c r="D34" s="29">
        <v>51125135</v>
      </c>
      <c r="E34" s="29">
        <v>200</v>
      </c>
      <c r="F34" s="7">
        <v>407</v>
      </c>
      <c r="G34" s="7">
        <v>182</v>
      </c>
      <c r="H34" s="7" t="s">
        <v>339</v>
      </c>
      <c r="I34" s="7" t="s">
        <v>356</v>
      </c>
      <c r="J34" s="7" t="s">
        <v>130</v>
      </c>
      <c r="K34" s="11">
        <v>0.80138888888888893</v>
      </c>
      <c r="L34" s="11">
        <v>0.86805555555555547</v>
      </c>
      <c r="M34" s="7" t="s">
        <v>109</v>
      </c>
      <c r="N34" s="29" t="s">
        <v>109</v>
      </c>
      <c r="O34" s="29" t="s">
        <v>61</v>
      </c>
      <c r="P34" s="7" t="s">
        <v>131</v>
      </c>
      <c r="Q34" s="7" t="s">
        <v>89</v>
      </c>
      <c r="R34" s="7" t="s">
        <v>62</v>
      </c>
      <c r="S34" s="7" t="s">
        <v>109</v>
      </c>
      <c r="T34" s="7" t="s">
        <v>109</v>
      </c>
      <c r="U34" s="7" t="s">
        <v>109</v>
      </c>
      <c r="V34" s="7" t="s">
        <v>109</v>
      </c>
      <c r="W34" s="29" t="s">
        <v>289</v>
      </c>
    </row>
    <row r="35" spans="1:23" x14ac:dyDescent="0.3">
      <c r="A35" s="7">
        <v>34</v>
      </c>
      <c r="B35" s="29" t="s">
        <v>23</v>
      </c>
      <c r="C35" s="29" t="s">
        <v>357</v>
      </c>
      <c r="D35" s="29">
        <v>51125131</v>
      </c>
      <c r="E35" s="29">
        <v>35</v>
      </c>
      <c r="F35" s="7">
        <v>9</v>
      </c>
      <c r="G35" s="7">
        <v>1</v>
      </c>
      <c r="H35" s="7" t="s">
        <v>82</v>
      </c>
      <c r="I35" s="7" t="s">
        <v>95</v>
      </c>
      <c r="J35" s="7" t="s">
        <v>130</v>
      </c>
      <c r="K35" s="11">
        <v>0.96666666666666667</v>
      </c>
      <c r="L35" s="11">
        <v>0.99513888888888891</v>
      </c>
      <c r="M35" s="7" t="s">
        <v>109</v>
      </c>
      <c r="N35" s="29" t="s">
        <v>109</v>
      </c>
      <c r="O35" s="29" t="s">
        <v>61</v>
      </c>
      <c r="P35" s="7" t="s">
        <v>131</v>
      </c>
      <c r="Q35" s="7" t="s">
        <v>95</v>
      </c>
      <c r="R35" s="7" t="s">
        <v>62</v>
      </c>
      <c r="S35" s="7" t="s">
        <v>109</v>
      </c>
      <c r="T35" s="7" t="s">
        <v>109</v>
      </c>
      <c r="U35" s="7" t="s">
        <v>109</v>
      </c>
      <c r="V35" s="7" t="s">
        <v>109</v>
      </c>
      <c r="W35" s="29" t="s">
        <v>289</v>
      </c>
    </row>
    <row r="36" spans="1:23" x14ac:dyDescent="0.3">
      <c r="A36" s="7">
        <v>35</v>
      </c>
      <c r="B36" s="29" t="s">
        <v>23</v>
      </c>
      <c r="C36" s="29" t="s">
        <v>286</v>
      </c>
      <c r="D36" s="29">
        <v>51125166</v>
      </c>
      <c r="E36" s="29">
        <v>150</v>
      </c>
      <c r="F36" s="7">
        <v>306</v>
      </c>
      <c r="G36" s="7">
        <v>96</v>
      </c>
      <c r="H36" s="7" t="s">
        <v>302</v>
      </c>
      <c r="I36" s="7" t="s">
        <v>103</v>
      </c>
      <c r="J36" s="7" t="s">
        <v>130</v>
      </c>
      <c r="K36" s="11">
        <v>0.85555555555555562</v>
      </c>
      <c r="L36" s="11">
        <v>0.92708333333333337</v>
      </c>
      <c r="M36" s="7" t="s">
        <v>109</v>
      </c>
      <c r="N36" s="32" t="s">
        <v>358</v>
      </c>
      <c r="O36" s="29" t="s">
        <v>61</v>
      </c>
      <c r="P36" s="7" t="s">
        <v>131</v>
      </c>
      <c r="Q36" s="7" t="s">
        <v>94</v>
      </c>
      <c r="R36" s="7" t="s">
        <v>62</v>
      </c>
      <c r="S36" s="7" t="s">
        <v>109</v>
      </c>
      <c r="T36" s="7" t="s">
        <v>109</v>
      </c>
      <c r="U36" s="7" t="s">
        <v>109</v>
      </c>
      <c r="V36" s="7" t="s">
        <v>109</v>
      </c>
      <c r="W36" s="29" t="s">
        <v>289</v>
      </c>
    </row>
    <row r="37" spans="1:23" x14ac:dyDescent="0.3">
      <c r="A37" s="7">
        <v>36</v>
      </c>
      <c r="B37" s="29" t="s">
        <v>23</v>
      </c>
      <c r="C37" s="29" t="s">
        <v>359</v>
      </c>
      <c r="D37" s="29">
        <v>50126007</v>
      </c>
      <c r="E37" s="29">
        <v>200</v>
      </c>
      <c r="F37" s="7">
        <v>398</v>
      </c>
      <c r="G37" s="7">
        <v>85</v>
      </c>
      <c r="H37" s="7" t="s">
        <v>360</v>
      </c>
      <c r="I37" s="7" t="s">
        <v>361</v>
      </c>
      <c r="J37" s="7" t="s">
        <v>130</v>
      </c>
      <c r="K37" s="11">
        <v>0.71944444444444444</v>
      </c>
      <c r="L37" s="11">
        <v>0.72361111111111109</v>
      </c>
      <c r="M37" s="7" t="s">
        <v>109</v>
      </c>
      <c r="N37" s="29" t="s">
        <v>109</v>
      </c>
      <c r="O37" s="29" t="s">
        <v>61</v>
      </c>
      <c r="P37" s="7" t="s">
        <v>131</v>
      </c>
      <c r="Q37" s="7" t="s">
        <v>95</v>
      </c>
      <c r="R37" s="7" t="s">
        <v>62</v>
      </c>
      <c r="S37" s="7" t="s">
        <v>109</v>
      </c>
      <c r="T37" s="7" t="s">
        <v>109</v>
      </c>
      <c r="U37" s="7" t="s">
        <v>109</v>
      </c>
      <c r="V37" s="7" t="s">
        <v>109</v>
      </c>
      <c r="W37" s="29" t="s">
        <v>362</v>
      </c>
    </row>
    <row r="38" spans="1:23" x14ac:dyDescent="0.3">
      <c r="A38" s="7">
        <v>37</v>
      </c>
      <c r="B38" s="29" t="s">
        <v>23</v>
      </c>
      <c r="C38" s="29" t="s">
        <v>363</v>
      </c>
      <c r="D38" s="29">
        <v>51225030</v>
      </c>
      <c r="E38" s="29">
        <v>10</v>
      </c>
      <c r="F38" s="7">
        <v>1</v>
      </c>
      <c r="G38" s="7">
        <v>0</v>
      </c>
      <c r="H38" s="7" t="s">
        <v>274</v>
      </c>
      <c r="I38" s="7" t="s">
        <v>87</v>
      </c>
      <c r="J38" s="7" t="s">
        <v>130</v>
      </c>
      <c r="K38" s="11">
        <v>0.91388888888888886</v>
      </c>
      <c r="L38" s="11">
        <v>0.92222222222222217</v>
      </c>
      <c r="M38" s="7" t="s">
        <v>109</v>
      </c>
      <c r="N38" s="29" t="s">
        <v>109</v>
      </c>
      <c r="O38" s="29" t="s">
        <v>61</v>
      </c>
      <c r="P38" s="7" t="s">
        <v>131</v>
      </c>
      <c r="Q38" s="7" t="s">
        <v>87</v>
      </c>
      <c r="R38" s="7" t="s">
        <v>62</v>
      </c>
      <c r="S38" s="7" t="s">
        <v>109</v>
      </c>
      <c r="T38" s="7" t="s">
        <v>109</v>
      </c>
      <c r="U38" s="7" t="s">
        <v>109</v>
      </c>
      <c r="V38" s="7" t="s">
        <v>109</v>
      </c>
      <c r="W38" s="29" t="s">
        <v>351</v>
      </c>
    </row>
    <row r="39" spans="1:23" x14ac:dyDescent="0.3">
      <c r="A39" s="7">
        <v>38</v>
      </c>
      <c r="B39" s="29" t="s">
        <v>23</v>
      </c>
      <c r="C39" s="29" t="s">
        <v>38</v>
      </c>
      <c r="D39" s="29">
        <v>50725096</v>
      </c>
      <c r="E39" s="29">
        <v>50</v>
      </c>
      <c r="F39" s="7">
        <v>90</v>
      </c>
      <c r="G39" s="7">
        <v>52</v>
      </c>
      <c r="H39" s="7" t="s">
        <v>364</v>
      </c>
      <c r="I39" s="7" t="s">
        <v>86</v>
      </c>
      <c r="J39" s="7" t="s">
        <v>130</v>
      </c>
      <c r="K39" s="11">
        <v>0.71666666666666667</v>
      </c>
      <c r="L39" s="11">
        <v>0.73125000000000007</v>
      </c>
      <c r="M39" s="7" t="s">
        <v>109</v>
      </c>
      <c r="N39" s="29" t="s">
        <v>109</v>
      </c>
      <c r="O39" s="29" t="s">
        <v>61</v>
      </c>
      <c r="P39" s="7" t="s">
        <v>131</v>
      </c>
      <c r="Q39" s="7" t="s">
        <v>86</v>
      </c>
      <c r="R39" s="7" t="s">
        <v>62</v>
      </c>
      <c r="S39" s="7" t="s">
        <v>109</v>
      </c>
      <c r="T39" s="7" t="s">
        <v>109</v>
      </c>
      <c r="U39" s="7" t="s">
        <v>109</v>
      </c>
      <c r="V39" s="7" t="s">
        <v>109</v>
      </c>
      <c r="W39" s="29" t="s">
        <v>115</v>
      </c>
    </row>
    <row r="40" spans="1:23" x14ac:dyDescent="0.3">
      <c r="A40" s="7">
        <v>39</v>
      </c>
      <c r="B40" s="29" t="s">
        <v>143</v>
      </c>
      <c r="C40" s="29" t="s">
        <v>365</v>
      </c>
      <c r="D40" s="7">
        <v>11225031</v>
      </c>
      <c r="E40" s="29">
        <v>150</v>
      </c>
      <c r="F40" s="7">
        <f>107+124</f>
        <v>231</v>
      </c>
      <c r="G40" s="7">
        <v>40</v>
      </c>
      <c r="H40" s="7" t="s">
        <v>366</v>
      </c>
      <c r="I40" s="7" t="s">
        <v>157</v>
      </c>
      <c r="J40" s="7" t="s">
        <v>130</v>
      </c>
      <c r="K40" s="11">
        <v>0.96319444444444446</v>
      </c>
      <c r="L40" s="11">
        <v>6.9444444444444447E-4</v>
      </c>
      <c r="M40" s="7" t="s">
        <v>109</v>
      </c>
      <c r="N40" s="7" t="s">
        <v>109</v>
      </c>
      <c r="O40" s="29" t="s">
        <v>61</v>
      </c>
      <c r="P40" s="7" t="s">
        <v>131</v>
      </c>
      <c r="Q40" s="7" t="s">
        <v>154</v>
      </c>
      <c r="R40" s="7" t="s">
        <v>62</v>
      </c>
      <c r="S40" s="7" t="s">
        <v>109</v>
      </c>
      <c r="T40" s="7" t="s">
        <v>109</v>
      </c>
      <c r="U40" s="7" t="s">
        <v>109</v>
      </c>
      <c r="V40" s="7" t="s">
        <v>109</v>
      </c>
      <c r="W40" s="7" t="s">
        <v>367</v>
      </c>
    </row>
    <row r="41" spans="1:23" x14ac:dyDescent="0.3">
      <c r="A41" s="7">
        <v>40</v>
      </c>
      <c r="B41" s="29" t="s">
        <v>143</v>
      </c>
      <c r="C41" s="29" t="s">
        <v>190</v>
      </c>
      <c r="D41" s="7">
        <v>10126003</v>
      </c>
      <c r="E41" s="29">
        <v>40</v>
      </c>
      <c r="F41" s="7">
        <v>81</v>
      </c>
      <c r="G41" s="7">
        <v>8</v>
      </c>
      <c r="H41" s="7" t="s">
        <v>84</v>
      </c>
      <c r="I41" s="7" t="s">
        <v>93</v>
      </c>
      <c r="J41" s="7" t="s">
        <v>130</v>
      </c>
      <c r="K41" s="11">
        <v>0.97916666666666663</v>
      </c>
      <c r="L41" s="11">
        <v>2.361111111111111E-2</v>
      </c>
      <c r="M41" s="7" t="s">
        <v>109</v>
      </c>
      <c r="N41" s="7" t="s">
        <v>109</v>
      </c>
      <c r="O41" s="29" t="s">
        <v>61</v>
      </c>
      <c r="P41" s="7" t="s">
        <v>131</v>
      </c>
      <c r="Q41" s="7" t="s">
        <v>370</v>
      </c>
      <c r="R41" s="7" t="s">
        <v>109</v>
      </c>
      <c r="S41" s="7" t="s">
        <v>109</v>
      </c>
      <c r="T41" s="7" t="s">
        <v>109</v>
      </c>
      <c r="U41" s="7" t="s">
        <v>109</v>
      </c>
      <c r="V41" s="7" t="s">
        <v>109</v>
      </c>
      <c r="W41" s="7" t="s">
        <v>109</v>
      </c>
    </row>
    <row r="42" spans="1:23" x14ac:dyDescent="0.3">
      <c r="A42" s="7">
        <v>41</v>
      </c>
      <c r="B42" s="29" t="s">
        <v>143</v>
      </c>
      <c r="C42" s="29" t="s">
        <v>369</v>
      </c>
      <c r="D42" s="7">
        <v>11225037</v>
      </c>
      <c r="E42" s="29">
        <v>50</v>
      </c>
      <c r="F42" s="7">
        <v>41</v>
      </c>
      <c r="G42" s="7">
        <v>16</v>
      </c>
      <c r="H42" s="7" t="s">
        <v>68</v>
      </c>
      <c r="I42" s="7" t="s">
        <v>86</v>
      </c>
      <c r="J42" s="7" t="s">
        <v>130</v>
      </c>
      <c r="K42" s="11">
        <v>0.94027777777777777</v>
      </c>
      <c r="L42" s="11">
        <v>0.95138888888888884</v>
      </c>
      <c r="M42" s="7" t="s">
        <v>109</v>
      </c>
      <c r="N42" s="33" t="s">
        <v>110</v>
      </c>
      <c r="O42" s="29" t="s">
        <v>61</v>
      </c>
      <c r="P42" s="7" t="s">
        <v>131</v>
      </c>
      <c r="Q42" s="7" t="s">
        <v>86</v>
      </c>
      <c r="R42" s="7" t="s">
        <v>109</v>
      </c>
      <c r="S42" s="7" t="s">
        <v>109</v>
      </c>
      <c r="T42" s="7" t="s">
        <v>109</v>
      </c>
      <c r="U42" s="7" t="s">
        <v>109</v>
      </c>
      <c r="V42" s="7" t="s">
        <v>109</v>
      </c>
      <c r="W42" s="7" t="s">
        <v>109</v>
      </c>
    </row>
  </sheetData>
  <conditionalFormatting sqref="D1">
    <cfRule type="duplicateValues" dxfId="114" priority="4"/>
  </conditionalFormatting>
  <conditionalFormatting sqref="D1:D40 D43:D1048576">
    <cfRule type="duplicateValues" dxfId="113" priority="3"/>
  </conditionalFormatting>
  <conditionalFormatting sqref="D41">
    <cfRule type="duplicateValues" dxfId="112" priority="2"/>
  </conditionalFormatting>
  <conditionalFormatting sqref="D42">
    <cfRule type="duplicateValues" dxfId="111"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07366-3390-4DDE-BDAD-29040AB858A4}">
  <sheetPr codeName="Sheet4"/>
  <dimension ref="A1:W97"/>
  <sheetViews>
    <sheetView showGridLines="0" workbookViewId="0">
      <pane ySplit="1" topLeftCell="A2" activePane="bottomLeft" state="frozen"/>
      <selection pane="bottomLeft"/>
    </sheetView>
  </sheetViews>
  <sheetFormatPr defaultRowHeight="14.4" x14ac:dyDescent="0.3"/>
  <cols>
    <col min="1" max="1" width="3.109375" style="42" bestFit="1" customWidth="1"/>
    <col min="2" max="2" width="8.6640625" style="42" bestFit="1" customWidth="1"/>
    <col min="3" max="3" width="14.5546875" style="42" bestFit="1" customWidth="1"/>
    <col min="4" max="4" width="10.44140625" style="42" bestFit="1" customWidth="1"/>
    <col min="5" max="5" width="13.88671875" style="42" bestFit="1" customWidth="1"/>
    <col min="6" max="6" width="15.109375" style="42" bestFit="1" customWidth="1"/>
    <col min="7" max="7" width="8.5546875" style="42" bestFit="1" customWidth="1"/>
    <col min="8" max="8" width="7.33203125" style="42" bestFit="1" customWidth="1"/>
    <col min="9" max="9" width="15.88671875" style="42" bestFit="1" customWidth="1"/>
    <col min="10" max="10" width="6.21875" style="42" bestFit="1" customWidth="1"/>
    <col min="11" max="12" width="15.88671875" style="42" bestFit="1" customWidth="1"/>
    <col min="13" max="13" width="3.88671875" style="42" bestFit="1" customWidth="1"/>
    <col min="14" max="14" width="8.21875" style="42" bestFit="1" customWidth="1"/>
    <col min="15" max="15" width="6.77734375" style="42" bestFit="1" customWidth="1"/>
    <col min="16" max="16" width="14.33203125" style="42" bestFit="1" customWidth="1"/>
    <col min="17" max="17" width="11.77734375" style="42" bestFit="1" customWidth="1"/>
    <col min="18" max="18" width="14.33203125" style="42" bestFit="1" customWidth="1"/>
    <col min="19" max="19" width="15.88671875" style="42" bestFit="1" customWidth="1"/>
    <col min="20" max="20" width="5.77734375" style="42" bestFit="1" customWidth="1"/>
    <col min="21" max="21" width="37.44140625" style="42" bestFit="1" customWidth="1"/>
    <col min="22" max="22" width="10.109375" style="42" bestFit="1" customWidth="1"/>
    <col min="23" max="16384" width="8.88671875" style="42"/>
  </cols>
  <sheetData>
    <row r="1" spans="1:23" x14ac:dyDescent="0.3">
      <c r="A1" s="22" t="s">
        <v>0</v>
      </c>
      <c r="B1" s="22" t="s">
        <v>1</v>
      </c>
      <c r="C1" s="22" t="s">
        <v>2</v>
      </c>
      <c r="D1" s="22" t="s">
        <v>3</v>
      </c>
      <c r="E1" s="22" t="s">
        <v>4</v>
      </c>
      <c r="F1" s="22" t="s">
        <v>5</v>
      </c>
      <c r="G1" s="22" t="s">
        <v>6</v>
      </c>
      <c r="H1" s="22" t="s">
        <v>7</v>
      </c>
      <c r="I1" s="22" t="s">
        <v>8</v>
      </c>
      <c r="J1" s="22" t="s">
        <v>9</v>
      </c>
      <c r="K1" s="23" t="s">
        <v>10</v>
      </c>
      <c r="L1" s="23" t="s">
        <v>11</v>
      </c>
      <c r="M1" s="24" t="s">
        <v>12</v>
      </c>
      <c r="N1" s="25" t="s">
        <v>13</v>
      </c>
      <c r="O1" s="22" t="s">
        <v>14</v>
      </c>
      <c r="P1" s="22" t="s">
        <v>15</v>
      </c>
      <c r="Q1" s="22" t="s">
        <v>16</v>
      </c>
      <c r="R1" s="22" t="s">
        <v>17</v>
      </c>
      <c r="S1" s="22" t="s">
        <v>18</v>
      </c>
      <c r="T1" s="22" t="s">
        <v>19</v>
      </c>
      <c r="U1" s="22" t="s">
        <v>20</v>
      </c>
      <c r="V1" s="22" t="s">
        <v>21</v>
      </c>
      <c r="W1" s="26" t="s">
        <v>22</v>
      </c>
    </row>
    <row r="2" spans="1:23" customFormat="1" x14ac:dyDescent="0.3">
      <c r="A2" s="7">
        <v>1</v>
      </c>
      <c r="B2" s="29" t="s">
        <v>23</v>
      </c>
      <c r="C2" s="29" t="s">
        <v>301</v>
      </c>
      <c r="D2" s="29">
        <v>51225036</v>
      </c>
      <c r="E2" s="38">
        <v>40</v>
      </c>
      <c r="F2" s="7">
        <v>44</v>
      </c>
      <c r="G2" s="7">
        <v>6</v>
      </c>
      <c r="H2" s="7" t="s">
        <v>71</v>
      </c>
      <c r="I2" s="7" t="s">
        <v>91</v>
      </c>
      <c r="J2" s="7" t="s">
        <v>130</v>
      </c>
      <c r="K2" s="11">
        <v>0.68402777777777779</v>
      </c>
      <c r="L2" s="11">
        <v>0.72430555555555554</v>
      </c>
      <c r="M2" s="11">
        <v>4.0277777777777746E-2</v>
      </c>
      <c r="N2" s="43" t="s">
        <v>371</v>
      </c>
      <c r="O2" s="29" t="s">
        <v>61</v>
      </c>
      <c r="P2" s="7" t="s">
        <v>131</v>
      </c>
      <c r="Q2" s="7" t="s">
        <v>91</v>
      </c>
      <c r="R2" s="7" t="s">
        <v>109</v>
      </c>
      <c r="S2" s="7" t="s">
        <v>372</v>
      </c>
      <c r="T2" s="7" t="s">
        <v>109</v>
      </c>
      <c r="U2" s="7" t="s">
        <v>109</v>
      </c>
      <c r="V2" s="7" t="s">
        <v>109</v>
      </c>
      <c r="W2" s="29" t="s">
        <v>304</v>
      </c>
    </row>
    <row r="3" spans="1:23" s="21" customFormat="1" x14ac:dyDescent="0.3">
      <c r="A3" s="18">
        <v>2</v>
      </c>
      <c r="B3" s="39" t="s">
        <v>23</v>
      </c>
      <c r="C3" s="39" t="s">
        <v>322</v>
      </c>
      <c r="D3" s="39">
        <v>50126008</v>
      </c>
      <c r="E3" s="40">
        <v>100</v>
      </c>
      <c r="F3" s="18" t="s">
        <v>109</v>
      </c>
      <c r="G3" s="18" t="s">
        <v>109</v>
      </c>
      <c r="H3" s="18" t="s">
        <v>71</v>
      </c>
      <c r="I3" s="18" t="s">
        <v>87</v>
      </c>
      <c r="J3" s="18" t="s">
        <v>85</v>
      </c>
      <c r="K3" s="18" t="s">
        <v>109</v>
      </c>
      <c r="L3" s="18" t="s">
        <v>109</v>
      </c>
      <c r="M3" s="11" t="e">
        <v>#VALUE!</v>
      </c>
      <c r="N3" s="40" t="s">
        <v>109</v>
      </c>
      <c r="O3" s="39" t="s">
        <v>61</v>
      </c>
      <c r="P3" s="18" t="s">
        <v>109</v>
      </c>
      <c r="Q3" s="18" t="s">
        <v>109</v>
      </c>
      <c r="R3" s="18" t="s">
        <v>109</v>
      </c>
      <c r="S3" s="18" t="s">
        <v>372</v>
      </c>
      <c r="T3" s="18" t="s">
        <v>109</v>
      </c>
      <c r="U3" s="18" t="s">
        <v>109</v>
      </c>
      <c r="V3" s="18" t="s">
        <v>109</v>
      </c>
      <c r="W3" s="39" t="s">
        <v>325</v>
      </c>
    </row>
    <row r="4" spans="1:23" x14ac:dyDescent="0.3">
      <c r="A4" s="28">
        <v>3</v>
      </c>
      <c r="B4" s="29" t="s">
        <v>23</v>
      </c>
      <c r="C4" s="29" t="s">
        <v>53</v>
      </c>
      <c r="D4" s="29">
        <v>51125142</v>
      </c>
      <c r="E4" s="38">
        <v>500</v>
      </c>
      <c r="F4" s="28">
        <v>453</v>
      </c>
      <c r="G4" s="28">
        <v>194</v>
      </c>
      <c r="H4" s="28" t="s">
        <v>373</v>
      </c>
      <c r="I4" s="28" t="s">
        <v>374</v>
      </c>
      <c r="J4" s="28" t="s">
        <v>130</v>
      </c>
      <c r="K4" s="41">
        <v>2.8472222222222222E-2</v>
      </c>
      <c r="L4" s="28" t="s">
        <v>109</v>
      </c>
      <c r="M4" s="11" t="e">
        <v>#VALUE!</v>
      </c>
      <c r="N4" s="38" t="s">
        <v>109</v>
      </c>
      <c r="O4" s="29" t="s">
        <v>61</v>
      </c>
      <c r="P4" s="28" t="s">
        <v>131</v>
      </c>
      <c r="Q4" s="28" t="s">
        <v>87</v>
      </c>
      <c r="R4" s="28" t="s">
        <v>109</v>
      </c>
      <c r="S4" s="28" t="s">
        <v>372</v>
      </c>
      <c r="T4" s="28" t="s">
        <v>109</v>
      </c>
      <c r="U4" s="28" t="s">
        <v>109</v>
      </c>
      <c r="V4" s="28" t="s">
        <v>109</v>
      </c>
      <c r="W4" s="29" t="s">
        <v>116</v>
      </c>
    </row>
    <row r="5" spans="1:23" x14ac:dyDescent="0.3">
      <c r="A5" s="28">
        <v>4</v>
      </c>
      <c r="B5" s="29" t="s">
        <v>23</v>
      </c>
      <c r="C5" s="29" t="s">
        <v>253</v>
      </c>
      <c r="D5" s="29">
        <v>51225084</v>
      </c>
      <c r="E5" s="38">
        <v>10</v>
      </c>
      <c r="F5" s="28" t="s">
        <v>109</v>
      </c>
      <c r="G5" s="28" t="s">
        <v>109</v>
      </c>
      <c r="H5" s="28" t="s">
        <v>184</v>
      </c>
      <c r="I5" s="28" t="s">
        <v>89</v>
      </c>
      <c r="J5" s="28" t="s">
        <v>85</v>
      </c>
      <c r="K5" s="41">
        <v>0.95763888888888893</v>
      </c>
      <c r="L5" s="28" t="s">
        <v>109</v>
      </c>
      <c r="M5" s="11" t="e">
        <v>#VALUE!</v>
      </c>
      <c r="N5" s="38" t="s">
        <v>109</v>
      </c>
      <c r="O5" s="29" t="s">
        <v>61</v>
      </c>
      <c r="P5" s="28" t="s">
        <v>109</v>
      </c>
      <c r="Q5" s="28" t="s">
        <v>109</v>
      </c>
      <c r="R5" s="28" t="s">
        <v>109</v>
      </c>
      <c r="S5" s="28" t="s">
        <v>372</v>
      </c>
      <c r="T5" s="28" t="s">
        <v>109</v>
      </c>
      <c r="U5" s="28" t="s">
        <v>109</v>
      </c>
      <c r="V5" s="28" t="s">
        <v>109</v>
      </c>
      <c r="W5" s="29" t="s">
        <v>252</v>
      </c>
    </row>
    <row r="6" spans="1:23" customFormat="1" x14ac:dyDescent="0.3">
      <c r="A6" s="7">
        <v>5</v>
      </c>
      <c r="B6" s="29" t="s">
        <v>23</v>
      </c>
      <c r="C6" s="29" t="s">
        <v>256</v>
      </c>
      <c r="D6" s="29">
        <v>51225038</v>
      </c>
      <c r="E6" s="38">
        <v>50</v>
      </c>
      <c r="F6" s="7">
        <v>151</v>
      </c>
      <c r="G6" s="7">
        <v>50</v>
      </c>
      <c r="H6" s="7" t="s">
        <v>214</v>
      </c>
      <c r="I6" s="7" t="s">
        <v>209</v>
      </c>
      <c r="J6" s="7" t="s">
        <v>130</v>
      </c>
      <c r="K6" s="11">
        <v>0.77777777777777779</v>
      </c>
      <c r="L6" s="7" t="s">
        <v>494</v>
      </c>
      <c r="M6" s="11" t="e">
        <v>#VALUE!</v>
      </c>
      <c r="N6" s="38" t="s">
        <v>109</v>
      </c>
      <c r="O6" s="29" t="s">
        <v>61</v>
      </c>
      <c r="P6" s="7" t="s">
        <v>131</v>
      </c>
      <c r="Q6" s="7" t="s">
        <v>209</v>
      </c>
      <c r="R6" s="7" t="s">
        <v>109</v>
      </c>
      <c r="S6" s="7" t="s">
        <v>372</v>
      </c>
      <c r="T6" s="7" t="s">
        <v>109</v>
      </c>
      <c r="U6" s="7" t="s">
        <v>109</v>
      </c>
      <c r="V6" s="7" t="s">
        <v>109</v>
      </c>
      <c r="W6" s="29" t="s">
        <v>252</v>
      </c>
    </row>
    <row r="7" spans="1:23" customFormat="1" x14ac:dyDescent="0.3">
      <c r="A7" s="7">
        <v>6</v>
      </c>
      <c r="B7" s="29" t="s">
        <v>23</v>
      </c>
      <c r="C7" s="29" t="s">
        <v>258</v>
      </c>
      <c r="D7" s="29">
        <v>51225083</v>
      </c>
      <c r="E7" s="38">
        <v>70</v>
      </c>
      <c r="F7" s="7">
        <v>91</v>
      </c>
      <c r="G7" s="7">
        <v>49</v>
      </c>
      <c r="H7" s="7" t="s">
        <v>222</v>
      </c>
      <c r="I7" s="7" t="s">
        <v>88</v>
      </c>
      <c r="J7" s="7" t="s">
        <v>130</v>
      </c>
      <c r="K7" s="11">
        <v>0.77083333333333337</v>
      </c>
      <c r="L7" s="11">
        <v>0.8305555555555556</v>
      </c>
      <c r="M7" s="11">
        <v>5.9722222222222232E-2</v>
      </c>
      <c r="N7" s="38" t="s">
        <v>109</v>
      </c>
      <c r="O7" s="29" t="s">
        <v>61</v>
      </c>
      <c r="P7" s="7" t="s">
        <v>131</v>
      </c>
      <c r="Q7" s="7" t="s">
        <v>88</v>
      </c>
      <c r="R7" s="7" t="s">
        <v>109</v>
      </c>
      <c r="S7" s="7" t="s">
        <v>372</v>
      </c>
      <c r="T7" s="7" t="s">
        <v>109</v>
      </c>
      <c r="U7" s="7" t="s">
        <v>109</v>
      </c>
      <c r="V7" s="7" t="s">
        <v>109</v>
      </c>
      <c r="W7" s="29" t="s">
        <v>252</v>
      </c>
    </row>
    <row r="8" spans="1:23" x14ac:dyDescent="0.3">
      <c r="A8" s="28">
        <v>7</v>
      </c>
      <c r="B8" s="29" t="s">
        <v>23</v>
      </c>
      <c r="C8" s="29" t="s">
        <v>261</v>
      </c>
      <c r="D8" s="29">
        <v>51225040</v>
      </c>
      <c r="E8" s="38">
        <v>150</v>
      </c>
      <c r="F8" s="28">
        <v>168</v>
      </c>
      <c r="G8" s="28">
        <v>54</v>
      </c>
      <c r="H8" s="28" t="s">
        <v>375</v>
      </c>
      <c r="I8" s="28" t="s">
        <v>376</v>
      </c>
      <c r="J8" s="28" t="s">
        <v>130</v>
      </c>
      <c r="K8" s="41">
        <v>1.3888888888888889E-3</v>
      </c>
      <c r="L8" s="41">
        <v>2.361111111111111E-2</v>
      </c>
      <c r="M8" s="11" t="e">
        <v>#VALUE!</v>
      </c>
      <c r="N8" s="38" t="s">
        <v>109</v>
      </c>
      <c r="O8" s="29" t="s">
        <v>61</v>
      </c>
      <c r="P8" s="28" t="s">
        <v>109</v>
      </c>
      <c r="Q8" s="28" t="s">
        <v>109</v>
      </c>
      <c r="R8" s="28" t="s">
        <v>109</v>
      </c>
      <c r="S8" s="28" t="s">
        <v>372</v>
      </c>
      <c r="T8" s="28" t="s">
        <v>109</v>
      </c>
      <c r="U8" s="28" t="s">
        <v>109</v>
      </c>
      <c r="V8" s="28" t="s">
        <v>109</v>
      </c>
      <c r="W8" s="29" t="s">
        <v>252</v>
      </c>
    </row>
    <row r="9" spans="1:23" customFormat="1" x14ac:dyDescent="0.3">
      <c r="A9" s="7">
        <v>8</v>
      </c>
      <c r="B9" s="29" t="s">
        <v>23</v>
      </c>
      <c r="C9" s="29" t="s">
        <v>264</v>
      </c>
      <c r="D9" s="29">
        <v>51225086</v>
      </c>
      <c r="E9" s="38">
        <v>50</v>
      </c>
      <c r="F9" s="7">
        <v>13</v>
      </c>
      <c r="G9" s="7">
        <v>5</v>
      </c>
      <c r="H9" s="7" t="s">
        <v>65</v>
      </c>
      <c r="I9" s="7" t="s">
        <v>209</v>
      </c>
      <c r="J9" s="7" t="s">
        <v>130</v>
      </c>
      <c r="K9" s="7" t="s">
        <v>506</v>
      </c>
      <c r="L9" s="11">
        <v>0.96666666666666667</v>
      </c>
      <c r="M9" s="11" t="e">
        <v>#VALUE!</v>
      </c>
      <c r="N9" s="38" t="s">
        <v>109</v>
      </c>
      <c r="O9" s="29" t="s">
        <v>61</v>
      </c>
      <c r="P9" s="7" t="s">
        <v>131</v>
      </c>
      <c r="Q9" s="7" t="s">
        <v>209</v>
      </c>
      <c r="R9" s="7" t="s">
        <v>109</v>
      </c>
      <c r="S9" s="7" t="s">
        <v>372</v>
      </c>
      <c r="T9" s="7" t="s">
        <v>109</v>
      </c>
      <c r="U9" s="7" t="s">
        <v>109</v>
      </c>
      <c r="V9" s="7" t="s">
        <v>109</v>
      </c>
      <c r="W9" s="29" t="s">
        <v>252</v>
      </c>
    </row>
    <row r="10" spans="1:23" x14ac:dyDescent="0.3">
      <c r="A10" s="28">
        <v>9</v>
      </c>
      <c r="B10" s="29" t="s">
        <v>23</v>
      </c>
      <c r="C10" s="29" t="s">
        <v>377</v>
      </c>
      <c r="D10" s="29">
        <v>50425243</v>
      </c>
      <c r="E10" s="38">
        <v>70</v>
      </c>
      <c r="F10" s="28">
        <v>94</v>
      </c>
      <c r="G10" s="28">
        <v>10</v>
      </c>
      <c r="H10" s="28" t="s">
        <v>274</v>
      </c>
      <c r="I10" s="28" t="s">
        <v>93</v>
      </c>
      <c r="J10" s="28" t="s">
        <v>130</v>
      </c>
      <c r="K10" s="41">
        <v>0.9868055555555556</v>
      </c>
      <c r="L10" s="41">
        <v>2.2916666666666665E-2</v>
      </c>
      <c r="M10" s="11" t="e">
        <v>#VALUE!</v>
      </c>
      <c r="N10" s="43" t="s">
        <v>378</v>
      </c>
      <c r="O10" s="29" t="s">
        <v>288</v>
      </c>
      <c r="P10" s="28" t="s">
        <v>109</v>
      </c>
      <c r="Q10" s="28" t="s">
        <v>109</v>
      </c>
      <c r="R10" s="28" t="s">
        <v>109</v>
      </c>
      <c r="S10" s="28" t="s">
        <v>372</v>
      </c>
      <c r="T10" s="28" t="s">
        <v>109</v>
      </c>
      <c r="U10" s="28" t="s">
        <v>109</v>
      </c>
      <c r="V10" s="28" t="s">
        <v>109</v>
      </c>
      <c r="W10" s="29" t="s">
        <v>379</v>
      </c>
    </row>
    <row r="11" spans="1:23" x14ac:dyDescent="0.3">
      <c r="A11" s="28">
        <v>10</v>
      </c>
      <c r="B11" s="29" t="s">
        <v>23</v>
      </c>
      <c r="C11" s="29" t="s">
        <v>380</v>
      </c>
      <c r="D11" s="29">
        <v>50425241</v>
      </c>
      <c r="E11" s="38">
        <v>70</v>
      </c>
      <c r="F11" s="28">
        <v>27</v>
      </c>
      <c r="G11" s="28">
        <v>20</v>
      </c>
      <c r="H11" s="28" t="s">
        <v>82</v>
      </c>
      <c r="I11" s="28" t="s">
        <v>89</v>
      </c>
      <c r="J11" s="28" t="s">
        <v>130</v>
      </c>
      <c r="K11" s="41">
        <v>9.7222222222222224E-3</v>
      </c>
      <c r="L11" s="41">
        <v>2.8472222222222222E-2</v>
      </c>
      <c r="M11" s="11" t="e">
        <v>#VALUE!</v>
      </c>
      <c r="N11" s="43" t="s">
        <v>378</v>
      </c>
      <c r="O11" s="29" t="s">
        <v>288</v>
      </c>
      <c r="P11" s="28" t="s">
        <v>109</v>
      </c>
      <c r="Q11" s="28" t="s">
        <v>109</v>
      </c>
      <c r="R11" s="28" t="s">
        <v>109</v>
      </c>
      <c r="S11" s="28" t="s">
        <v>372</v>
      </c>
      <c r="T11" s="28" t="s">
        <v>109</v>
      </c>
      <c r="U11" s="28" t="s">
        <v>109</v>
      </c>
      <c r="V11" s="28" t="s">
        <v>109</v>
      </c>
      <c r="W11" s="29" t="s">
        <v>379</v>
      </c>
    </row>
    <row r="12" spans="1:23" customFormat="1" x14ac:dyDescent="0.3">
      <c r="A12" s="7">
        <v>11</v>
      </c>
      <c r="B12" s="29" t="s">
        <v>23</v>
      </c>
      <c r="C12" s="29" t="s">
        <v>381</v>
      </c>
      <c r="D12" s="29">
        <v>50126018</v>
      </c>
      <c r="E12" s="38">
        <v>140</v>
      </c>
      <c r="F12" s="7">
        <v>256</v>
      </c>
      <c r="G12" s="7">
        <v>120</v>
      </c>
      <c r="H12" s="7" t="s">
        <v>159</v>
      </c>
      <c r="I12" s="7" t="s">
        <v>99</v>
      </c>
      <c r="J12" s="7" t="s">
        <v>130</v>
      </c>
      <c r="K12" s="11">
        <v>0.78541666666666665</v>
      </c>
      <c r="L12" s="11">
        <v>0.86875000000000002</v>
      </c>
      <c r="M12" s="11">
        <v>8.333333333333337E-2</v>
      </c>
      <c r="N12" s="38" t="s">
        <v>109</v>
      </c>
      <c r="O12" s="29" t="s">
        <v>61</v>
      </c>
      <c r="P12" s="7" t="s">
        <v>131</v>
      </c>
      <c r="Q12" s="7" t="s">
        <v>91</v>
      </c>
      <c r="R12" s="7" t="s">
        <v>109</v>
      </c>
      <c r="S12" s="7" t="s">
        <v>372</v>
      </c>
      <c r="T12" s="7" t="s">
        <v>109</v>
      </c>
      <c r="U12" s="7" t="s">
        <v>109</v>
      </c>
      <c r="V12" s="7" t="s">
        <v>109</v>
      </c>
      <c r="W12" s="29" t="s">
        <v>334</v>
      </c>
    </row>
    <row r="13" spans="1:23" customFormat="1" x14ac:dyDescent="0.3">
      <c r="A13" s="7">
        <v>12</v>
      </c>
      <c r="B13" s="29" t="s">
        <v>23</v>
      </c>
      <c r="C13" s="29" t="s">
        <v>382</v>
      </c>
      <c r="D13" s="29">
        <v>50126017</v>
      </c>
      <c r="E13" s="38">
        <v>140</v>
      </c>
      <c r="F13" s="7">
        <v>224</v>
      </c>
      <c r="G13" s="7">
        <v>151</v>
      </c>
      <c r="H13" s="7" t="s">
        <v>172</v>
      </c>
      <c r="I13" s="7" t="s">
        <v>99</v>
      </c>
      <c r="J13" s="7" t="s">
        <v>130</v>
      </c>
      <c r="K13" s="11">
        <v>0.76458333333333328</v>
      </c>
      <c r="L13" s="11">
        <v>0.85347222222222219</v>
      </c>
      <c r="M13" s="11">
        <v>8.8888888888888906E-2</v>
      </c>
      <c r="N13" s="38" t="s">
        <v>109</v>
      </c>
      <c r="O13" s="29" t="s">
        <v>61</v>
      </c>
      <c r="P13" s="7" t="s">
        <v>131</v>
      </c>
      <c r="Q13" s="7" t="s">
        <v>91</v>
      </c>
      <c r="R13" s="7" t="s">
        <v>109</v>
      </c>
      <c r="S13" s="7" t="s">
        <v>372</v>
      </c>
      <c r="T13" s="7" t="s">
        <v>109</v>
      </c>
      <c r="U13" s="7" t="s">
        <v>109</v>
      </c>
      <c r="V13" s="7" t="s">
        <v>109</v>
      </c>
      <c r="W13" s="29" t="s">
        <v>334</v>
      </c>
    </row>
    <row r="14" spans="1:23" customFormat="1" x14ac:dyDescent="0.3">
      <c r="A14" s="7">
        <v>13</v>
      </c>
      <c r="B14" s="29" t="s">
        <v>23</v>
      </c>
      <c r="C14" s="29" t="s">
        <v>383</v>
      </c>
      <c r="D14" s="29">
        <v>50126016</v>
      </c>
      <c r="E14" s="38">
        <v>140</v>
      </c>
      <c r="F14" s="7">
        <v>236</v>
      </c>
      <c r="G14" s="7">
        <v>11</v>
      </c>
      <c r="H14" s="7" t="s">
        <v>229</v>
      </c>
      <c r="I14" s="7" t="s">
        <v>384</v>
      </c>
      <c r="J14" s="7" t="s">
        <v>130</v>
      </c>
      <c r="K14" s="11">
        <v>0.74444444444444446</v>
      </c>
      <c r="L14" s="11">
        <v>0.83194444444444449</v>
      </c>
      <c r="M14" s="11">
        <v>8.7500000000000022E-2</v>
      </c>
      <c r="N14" s="38" t="s">
        <v>109</v>
      </c>
      <c r="O14" s="29" t="s">
        <v>61</v>
      </c>
      <c r="P14" s="7" t="s">
        <v>131</v>
      </c>
      <c r="Q14" s="7" t="s">
        <v>86</v>
      </c>
      <c r="R14" s="7" t="s">
        <v>109</v>
      </c>
      <c r="S14" s="7" t="s">
        <v>372</v>
      </c>
      <c r="T14" s="7" t="s">
        <v>109</v>
      </c>
      <c r="U14" s="7" t="s">
        <v>109</v>
      </c>
      <c r="V14" s="7" t="s">
        <v>109</v>
      </c>
      <c r="W14" s="29" t="s">
        <v>334</v>
      </c>
    </row>
    <row r="15" spans="1:23" customFormat="1" x14ac:dyDescent="0.3">
      <c r="A15" s="7">
        <v>14</v>
      </c>
      <c r="B15" s="29" t="s">
        <v>23</v>
      </c>
      <c r="C15" s="29" t="s">
        <v>385</v>
      </c>
      <c r="D15" s="29">
        <v>50126015</v>
      </c>
      <c r="E15" s="38">
        <v>140</v>
      </c>
      <c r="F15" s="7">
        <v>150</v>
      </c>
      <c r="G15" s="7">
        <v>26</v>
      </c>
      <c r="H15" s="7" t="s">
        <v>386</v>
      </c>
      <c r="I15" s="7" t="s">
        <v>102</v>
      </c>
      <c r="J15" s="7" t="s">
        <v>130</v>
      </c>
      <c r="K15" s="11">
        <v>0.86944444444444446</v>
      </c>
      <c r="L15" s="11">
        <v>0.91527777777777775</v>
      </c>
      <c r="M15" s="11">
        <v>4.5833333333333282E-2</v>
      </c>
      <c r="N15" s="38" t="s">
        <v>109</v>
      </c>
      <c r="O15" s="29" t="s">
        <v>61</v>
      </c>
      <c r="P15" s="7" t="s">
        <v>131</v>
      </c>
      <c r="Q15" s="7" t="s">
        <v>95</v>
      </c>
      <c r="R15" s="7" t="s">
        <v>109</v>
      </c>
      <c r="S15" s="7" t="s">
        <v>372</v>
      </c>
      <c r="T15" s="7" t="s">
        <v>109</v>
      </c>
      <c r="U15" s="7" t="s">
        <v>109</v>
      </c>
      <c r="V15" s="7" t="s">
        <v>109</v>
      </c>
      <c r="W15" s="29" t="s">
        <v>334</v>
      </c>
    </row>
    <row r="16" spans="1:23" customFormat="1" x14ac:dyDescent="0.3">
      <c r="A16" s="7">
        <v>15</v>
      </c>
      <c r="B16" s="29" t="s">
        <v>23</v>
      </c>
      <c r="C16" s="29" t="s">
        <v>387</v>
      </c>
      <c r="D16" s="29">
        <v>50126014</v>
      </c>
      <c r="E16" s="38">
        <v>140</v>
      </c>
      <c r="F16" s="7">
        <v>190</v>
      </c>
      <c r="G16" s="7">
        <v>155</v>
      </c>
      <c r="H16" s="7" t="s">
        <v>388</v>
      </c>
      <c r="I16" s="7" t="s">
        <v>389</v>
      </c>
      <c r="J16" s="7" t="s">
        <v>130</v>
      </c>
      <c r="K16" s="11">
        <v>0.78402777777777777</v>
      </c>
      <c r="L16" s="11">
        <v>0.86458333333333337</v>
      </c>
      <c r="M16" s="11">
        <v>8.0555555555555602E-2</v>
      </c>
      <c r="N16" s="38" t="s">
        <v>109</v>
      </c>
      <c r="O16" s="29" t="s">
        <v>61</v>
      </c>
      <c r="P16" s="7" t="s">
        <v>131</v>
      </c>
      <c r="Q16" s="7" t="s">
        <v>89</v>
      </c>
      <c r="R16" s="7" t="s">
        <v>109</v>
      </c>
      <c r="S16" s="7" t="s">
        <v>372</v>
      </c>
      <c r="T16" s="7" t="s">
        <v>109</v>
      </c>
      <c r="U16" s="7" t="s">
        <v>109</v>
      </c>
      <c r="V16" s="7" t="s">
        <v>109</v>
      </c>
      <c r="W16" s="29" t="s">
        <v>334</v>
      </c>
    </row>
    <row r="17" spans="1:23" customFormat="1" x14ac:dyDescent="0.3">
      <c r="A17" s="7">
        <v>16</v>
      </c>
      <c r="B17" s="29" t="s">
        <v>23</v>
      </c>
      <c r="C17" s="29" t="s">
        <v>390</v>
      </c>
      <c r="D17" s="29">
        <v>50126020</v>
      </c>
      <c r="E17" s="38">
        <v>300</v>
      </c>
      <c r="F17" s="7">
        <v>444</v>
      </c>
      <c r="G17" s="7">
        <v>319</v>
      </c>
      <c r="H17" s="7" t="s">
        <v>391</v>
      </c>
      <c r="I17" s="7" t="s">
        <v>392</v>
      </c>
      <c r="J17" s="7" t="s">
        <v>130</v>
      </c>
      <c r="K17" s="7" t="s">
        <v>492</v>
      </c>
      <c r="L17" s="11">
        <v>0.98888888888888893</v>
      </c>
      <c r="M17" s="11" t="e">
        <v>#VALUE!</v>
      </c>
      <c r="N17" s="38" t="s">
        <v>109</v>
      </c>
      <c r="O17" s="29" t="s">
        <v>61</v>
      </c>
      <c r="P17" s="7" t="s">
        <v>131</v>
      </c>
      <c r="Q17" s="7" t="s">
        <v>87</v>
      </c>
      <c r="R17" s="7" t="s">
        <v>109</v>
      </c>
      <c r="S17" s="7" t="s">
        <v>372</v>
      </c>
      <c r="T17" s="7" t="s">
        <v>109</v>
      </c>
      <c r="U17" s="7" t="s">
        <v>109</v>
      </c>
      <c r="V17" s="7" t="s">
        <v>109</v>
      </c>
      <c r="W17" s="29" t="s">
        <v>334</v>
      </c>
    </row>
    <row r="18" spans="1:23" customFormat="1" x14ac:dyDescent="0.3">
      <c r="A18" s="7">
        <v>17</v>
      </c>
      <c r="B18" s="29" t="s">
        <v>23</v>
      </c>
      <c r="C18" s="29" t="s">
        <v>393</v>
      </c>
      <c r="D18" s="29">
        <v>50126019</v>
      </c>
      <c r="E18" s="38">
        <v>300</v>
      </c>
      <c r="F18" s="7">
        <v>466</v>
      </c>
      <c r="G18" s="7">
        <v>314</v>
      </c>
      <c r="H18" s="7" t="s">
        <v>394</v>
      </c>
      <c r="I18" s="7" t="s">
        <v>395</v>
      </c>
      <c r="J18" s="7" t="s">
        <v>130</v>
      </c>
      <c r="K18" s="11">
        <v>0.97430555555555554</v>
      </c>
      <c r="L18" s="11">
        <v>6.2500000000000003E-3</v>
      </c>
      <c r="M18" s="11">
        <v>-0.96805555555555556</v>
      </c>
      <c r="N18" s="38" t="s">
        <v>109</v>
      </c>
      <c r="O18" s="29" t="s">
        <v>61</v>
      </c>
      <c r="P18" s="7" t="s">
        <v>131</v>
      </c>
      <c r="Q18" s="7" t="s">
        <v>89</v>
      </c>
      <c r="R18" s="7" t="s">
        <v>109</v>
      </c>
      <c r="S18" s="7" t="s">
        <v>372</v>
      </c>
      <c r="T18" s="7" t="s">
        <v>109</v>
      </c>
      <c r="U18" s="7" t="s">
        <v>109</v>
      </c>
      <c r="V18" s="7" t="s">
        <v>109</v>
      </c>
      <c r="W18" s="29" t="s">
        <v>334</v>
      </c>
    </row>
    <row r="19" spans="1:23" customFormat="1" x14ac:dyDescent="0.3">
      <c r="A19" s="7">
        <v>18</v>
      </c>
      <c r="B19" s="29" t="s">
        <v>143</v>
      </c>
      <c r="C19" s="29" t="s">
        <v>185</v>
      </c>
      <c r="D19" s="29">
        <v>11125002</v>
      </c>
      <c r="E19" s="38">
        <v>100</v>
      </c>
      <c r="F19" s="7">
        <v>193</v>
      </c>
      <c r="G19" s="7">
        <v>97</v>
      </c>
      <c r="H19" s="7" t="s">
        <v>67</v>
      </c>
      <c r="I19" s="7" t="s">
        <v>89</v>
      </c>
      <c r="J19" s="7" t="s">
        <v>130</v>
      </c>
      <c r="K19" s="11">
        <v>0.74375000000000002</v>
      </c>
      <c r="L19" s="11">
        <v>0.81111111111111112</v>
      </c>
      <c r="M19" s="11">
        <v>6.7361111111111094E-2</v>
      </c>
      <c r="N19" s="38" t="s">
        <v>109</v>
      </c>
      <c r="O19" s="29" t="s">
        <v>61</v>
      </c>
      <c r="P19" s="7" t="s">
        <v>131</v>
      </c>
      <c r="Q19" s="7" t="s">
        <v>89</v>
      </c>
      <c r="R19" s="7" t="s">
        <v>109</v>
      </c>
      <c r="S19" s="7" t="s">
        <v>372</v>
      </c>
      <c r="T19" s="7" t="s">
        <v>109</v>
      </c>
      <c r="U19" s="7" t="s">
        <v>109</v>
      </c>
      <c r="V19" s="7" t="s">
        <v>109</v>
      </c>
      <c r="W19" s="29" t="s">
        <v>116</v>
      </c>
    </row>
    <row r="20" spans="1:23" customFormat="1" x14ac:dyDescent="0.3">
      <c r="A20" s="7">
        <v>19</v>
      </c>
      <c r="B20" s="29" t="s">
        <v>143</v>
      </c>
      <c r="C20" s="29" t="s">
        <v>347</v>
      </c>
      <c r="D20" s="29">
        <v>11225025</v>
      </c>
      <c r="E20" s="38">
        <v>100</v>
      </c>
      <c r="F20" s="7">
        <v>157</v>
      </c>
      <c r="G20" s="7">
        <v>102</v>
      </c>
      <c r="H20" s="7" t="s">
        <v>196</v>
      </c>
      <c r="I20" s="7" t="s">
        <v>91</v>
      </c>
      <c r="J20" s="7" t="s">
        <v>130</v>
      </c>
      <c r="K20" s="7" t="s">
        <v>396</v>
      </c>
      <c r="L20" s="11">
        <v>0.81666666666666665</v>
      </c>
      <c r="M20" s="11" t="e">
        <v>#VALUE!</v>
      </c>
      <c r="N20" s="38" t="s">
        <v>109</v>
      </c>
      <c r="O20" s="29" t="s">
        <v>61</v>
      </c>
      <c r="P20" s="7" t="s">
        <v>131</v>
      </c>
      <c r="Q20" s="7" t="s">
        <v>91</v>
      </c>
      <c r="R20" s="7" t="s">
        <v>109</v>
      </c>
      <c r="S20" s="7" t="s">
        <v>372</v>
      </c>
      <c r="T20" s="7" t="s">
        <v>109</v>
      </c>
      <c r="U20" s="7" t="s">
        <v>109</v>
      </c>
      <c r="V20" s="7" t="s">
        <v>109</v>
      </c>
      <c r="W20" s="29" t="s">
        <v>116</v>
      </c>
    </row>
    <row r="21" spans="1:23" customFormat="1" x14ac:dyDescent="0.3">
      <c r="A21" s="7">
        <v>20</v>
      </c>
      <c r="B21" s="29" t="s">
        <v>143</v>
      </c>
      <c r="C21" s="29" t="s">
        <v>353</v>
      </c>
      <c r="D21" s="29">
        <v>11125083</v>
      </c>
      <c r="E21" s="38">
        <v>50</v>
      </c>
      <c r="F21" s="7">
        <v>33</v>
      </c>
      <c r="G21" s="7">
        <v>6</v>
      </c>
      <c r="H21" s="7" t="s">
        <v>222</v>
      </c>
      <c r="I21" s="7" t="s">
        <v>88</v>
      </c>
      <c r="J21" s="7" t="s">
        <v>130</v>
      </c>
      <c r="K21" s="11">
        <v>0.72013888888888888</v>
      </c>
      <c r="L21" s="11">
        <v>0.7631944444444444</v>
      </c>
      <c r="M21" s="11">
        <v>4.3055555555555514E-2</v>
      </c>
      <c r="N21" s="38" t="s">
        <v>109</v>
      </c>
      <c r="O21" s="29" t="s">
        <v>61</v>
      </c>
      <c r="P21" s="7" t="s">
        <v>131</v>
      </c>
      <c r="Q21" s="7" t="s">
        <v>88</v>
      </c>
      <c r="R21" s="7" t="s">
        <v>109</v>
      </c>
      <c r="S21" s="7" t="s">
        <v>372</v>
      </c>
      <c r="T21" s="7" t="s">
        <v>109</v>
      </c>
      <c r="U21" s="7" t="s">
        <v>109</v>
      </c>
      <c r="V21" s="7" t="s">
        <v>109</v>
      </c>
      <c r="W21" s="29" t="s">
        <v>349</v>
      </c>
    </row>
    <row r="22" spans="1:23" x14ac:dyDescent="0.3">
      <c r="A22" s="28">
        <v>21</v>
      </c>
      <c r="B22" s="29" t="s">
        <v>143</v>
      </c>
      <c r="C22" s="29" t="s">
        <v>365</v>
      </c>
      <c r="D22" s="29">
        <v>11225031</v>
      </c>
      <c r="E22" s="38">
        <v>165</v>
      </c>
      <c r="F22" s="28">
        <v>247</v>
      </c>
      <c r="G22" s="28">
        <v>16</v>
      </c>
      <c r="H22" s="28" t="s">
        <v>397</v>
      </c>
      <c r="I22" s="28" t="s">
        <v>384</v>
      </c>
      <c r="J22" s="28" t="s">
        <v>130</v>
      </c>
      <c r="K22" s="41">
        <v>0.78888888888888886</v>
      </c>
      <c r="L22" s="41">
        <v>1.9444444444444445E-2</v>
      </c>
      <c r="M22" s="11" t="e">
        <v>#VALUE!</v>
      </c>
      <c r="N22" s="38" t="s">
        <v>109</v>
      </c>
      <c r="O22" s="29" t="s">
        <v>61</v>
      </c>
      <c r="P22" s="28" t="s">
        <v>109</v>
      </c>
      <c r="Q22" s="28" t="s">
        <v>109</v>
      </c>
      <c r="R22" s="28" t="s">
        <v>109</v>
      </c>
      <c r="S22" s="28" t="s">
        <v>372</v>
      </c>
      <c r="T22" s="28" t="s">
        <v>109</v>
      </c>
      <c r="U22" s="28" t="s">
        <v>109</v>
      </c>
      <c r="V22" s="28" t="s">
        <v>109</v>
      </c>
      <c r="W22" s="29" t="s">
        <v>398</v>
      </c>
    </row>
    <row r="23" spans="1:23" customFormat="1" x14ac:dyDescent="0.3">
      <c r="A23" s="7">
        <v>22</v>
      </c>
      <c r="B23" s="29" t="s">
        <v>143</v>
      </c>
      <c r="C23" s="29" t="s">
        <v>399</v>
      </c>
      <c r="D23" s="29">
        <v>11225013</v>
      </c>
      <c r="E23" s="38">
        <v>120</v>
      </c>
      <c r="F23" s="7">
        <v>292</v>
      </c>
      <c r="G23" s="7">
        <v>27</v>
      </c>
      <c r="H23" s="7" t="s">
        <v>400</v>
      </c>
      <c r="I23" s="7" t="s">
        <v>294</v>
      </c>
      <c r="J23" s="7" t="s">
        <v>130</v>
      </c>
      <c r="K23" s="11">
        <v>0.82361111111111107</v>
      </c>
      <c r="L23" s="7" t="s">
        <v>505</v>
      </c>
      <c r="M23" s="11" t="e">
        <v>#VALUE!</v>
      </c>
      <c r="N23" s="43" t="s">
        <v>401</v>
      </c>
      <c r="O23" s="29" t="s">
        <v>61</v>
      </c>
      <c r="P23" s="7" t="s">
        <v>131</v>
      </c>
      <c r="Q23" s="7" t="s">
        <v>209</v>
      </c>
      <c r="R23" s="7" t="s">
        <v>109</v>
      </c>
      <c r="S23" s="7" t="s">
        <v>372</v>
      </c>
      <c r="T23" s="7" t="s">
        <v>109</v>
      </c>
      <c r="U23" s="7" t="s">
        <v>109</v>
      </c>
      <c r="V23" s="7" t="s">
        <v>109</v>
      </c>
      <c r="W23" s="29" t="s">
        <v>402</v>
      </c>
    </row>
    <row r="24" spans="1:23" customFormat="1" x14ac:dyDescent="0.3">
      <c r="A24" s="7">
        <v>23</v>
      </c>
      <c r="B24" s="29" t="s">
        <v>143</v>
      </c>
      <c r="C24" s="29" t="s">
        <v>354</v>
      </c>
      <c r="D24" s="29">
        <v>11225017</v>
      </c>
      <c r="E24" s="38" t="s">
        <v>287</v>
      </c>
      <c r="F24" s="7">
        <v>314</v>
      </c>
      <c r="G24" s="7">
        <v>92</v>
      </c>
      <c r="H24" s="7" t="s">
        <v>332</v>
      </c>
      <c r="I24" s="7" t="s">
        <v>403</v>
      </c>
      <c r="J24" s="7" t="s">
        <v>130</v>
      </c>
      <c r="K24" s="11">
        <v>0.71527777777777779</v>
      </c>
      <c r="L24" s="11">
        <v>0.83750000000000002</v>
      </c>
      <c r="M24" s="11">
        <v>0.12222222222222223</v>
      </c>
      <c r="N24" s="38" t="s">
        <v>109</v>
      </c>
      <c r="O24" s="29" t="s">
        <v>61</v>
      </c>
      <c r="P24" s="7" t="s">
        <v>131</v>
      </c>
      <c r="Q24" s="7" t="s">
        <v>94</v>
      </c>
      <c r="R24" s="7" t="s">
        <v>109</v>
      </c>
      <c r="S24" s="7" t="s">
        <v>372</v>
      </c>
      <c r="T24" s="7" t="s">
        <v>109</v>
      </c>
      <c r="U24" s="7" t="s">
        <v>109</v>
      </c>
      <c r="V24" s="7" t="s">
        <v>109</v>
      </c>
      <c r="W24" s="29" t="s">
        <v>351</v>
      </c>
    </row>
    <row r="25" spans="1:23" x14ac:dyDescent="0.3">
      <c r="A25" s="28">
        <v>24</v>
      </c>
      <c r="B25" s="29" t="s">
        <v>23</v>
      </c>
      <c r="C25" s="29" t="s">
        <v>271</v>
      </c>
      <c r="D25" s="29">
        <v>51125117</v>
      </c>
      <c r="E25" s="38">
        <v>100</v>
      </c>
      <c r="F25" s="28">
        <v>93</v>
      </c>
      <c r="G25" s="28">
        <v>26</v>
      </c>
      <c r="H25" s="28" t="s">
        <v>68</v>
      </c>
      <c r="I25" s="28" t="s">
        <v>86</v>
      </c>
      <c r="J25" s="28" t="s">
        <v>130</v>
      </c>
      <c r="K25" s="41">
        <v>2.5000000000000001E-2</v>
      </c>
      <c r="L25" s="41">
        <v>3.3333333333333333E-2</v>
      </c>
      <c r="M25" s="11" t="e">
        <v>#VALUE!</v>
      </c>
      <c r="N25" s="43" t="s">
        <v>404</v>
      </c>
      <c r="O25" s="29" t="s">
        <v>61</v>
      </c>
      <c r="P25" s="28" t="s">
        <v>109</v>
      </c>
      <c r="Q25" s="28" t="s">
        <v>109</v>
      </c>
      <c r="R25" s="28" t="s">
        <v>109</v>
      </c>
      <c r="S25" s="28" t="s">
        <v>372</v>
      </c>
      <c r="T25" s="28" t="s">
        <v>109</v>
      </c>
      <c r="U25" s="28" t="s">
        <v>109</v>
      </c>
      <c r="V25" s="28" t="s">
        <v>109</v>
      </c>
      <c r="W25" s="29" t="s">
        <v>270</v>
      </c>
    </row>
    <row r="26" spans="1:23" customFormat="1" x14ac:dyDescent="0.3">
      <c r="A26" s="7">
        <v>25</v>
      </c>
      <c r="B26" s="29" t="s">
        <v>23</v>
      </c>
      <c r="C26" s="29" t="s">
        <v>272</v>
      </c>
      <c r="D26" s="29">
        <v>51125118</v>
      </c>
      <c r="E26" s="38">
        <v>25</v>
      </c>
      <c r="F26" s="7">
        <v>12</v>
      </c>
      <c r="G26" s="7">
        <v>5</v>
      </c>
      <c r="H26" s="7" t="s">
        <v>64</v>
      </c>
      <c r="I26" s="7" t="s">
        <v>86</v>
      </c>
      <c r="J26" s="7" t="s">
        <v>130</v>
      </c>
      <c r="K26" s="11">
        <v>0.94374999999999998</v>
      </c>
      <c r="L26" s="11">
        <v>0.97013888888888888</v>
      </c>
      <c r="M26" s="11">
        <v>2.6388888888888906E-2</v>
      </c>
      <c r="N26" s="38" t="s">
        <v>109</v>
      </c>
      <c r="O26" s="29" t="s">
        <v>61</v>
      </c>
      <c r="P26" s="7" t="s">
        <v>131</v>
      </c>
      <c r="Q26" s="7" t="s">
        <v>86</v>
      </c>
      <c r="R26" s="7" t="s">
        <v>109</v>
      </c>
      <c r="S26" s="7" t="s">
        <v>372</v>
      </c>
      <c r="T26" s="7" t="s">
        <v>109</v>
      </c>
      <c r="U26" s="7" t="s">
        <v>109</v>
      </c>
      <c r="V26" s="7" t="s">
        <v>109</v>
      </c>
      <c r="W26" s="29" t="s">
        <v>270</v>
      </c>
    </row>
    <row r="27" spans="1:23" customFormat="1" x14ac:dyDescent="0.3">
      <c r="A27" s="7">
        <v>26</v>
      </c>
      <c r="B27" s="29" t="s">
        <v>23</v>
      </c>
      <c r="C27" s="29" t="s">
        <v>281</v>
      </c>
      <c r="D27" s="29">
        <v>51125145</v>
      </c>
      <c r="E27" s="38">
        <v>25</v>
      </c>
      <c r="F27" s="7">
        <v>19</v>
      </c>
      <c r="G27" s="7">
        <v>2</v>
      </c>
      <c r="H27" s="7" t="s">
        <v>153</v>
      </c>
      <c r="I27" s="7" t="s">
        <v>93</v>
      </c>
      <c r="J27" s="7" t="s">
        <v>130</v>
      </c>
      <c r="K27" s="11">
        <v>0.81527777777777777</v>
      </c>
      <c r="L27" s="7" t="s">
        <v>492</v>
      </c>
      <c r="M27" s="11" t="e">
        <v>#VALUE!</v>
      </c>
      <c r="N27" s="38" t="s">
        <v>109</v>
      </c>
      <c r="O27" s="29" t="s">
        <v>61</v>
      </c>
      <c r="P27" s="7" t="s">
        <v>131</v>
      </c>
      <c r="Q27" s="7" t="s">
        <v>93</v>
      </c>
      <c r="R27" s="7" t="s">
        <v>109</v>
      </c>
      <c r="S27" s="7" t="s">
        <v>372</v>
      </c>
      <c r="T27" s="7" t="s">
        <v>109</v>
      </c>
      <c r="U27" s="7" t="s">
        <v>109</v>
      </c>
      <c r="V27" s="7" t="s">
        <v>109</v>
      </c>
      <c r="W27" s="29" t="s">
        <v>270</v>
      </c>
    </row>
    <row r="28" spans="1:23" customFormat="1" x14ac:dyDescent="0.3">
      <c r="A28" s="7">
        <v>27</v>
      </c>
      <c r="B28" s="29" t="s">
        <v>23</v>
      </c>
      <c r="C28" s="29" t="s">
        <v>405</v>
      </c>
      <c r="D28" s="29">
        <v>51125121</v>
      </c>
      <c r="E28" s="38">
        <v>100</v>
      </c>
      <c r="F28" s="7">
        <v>114</v>
      </c>
      <c r="G28" s="7">
        <v>12</v>
      </c>
      <c r="H28" s="7" t="s">
        <v>66</v>
      </c>
      <c r="I28" s="7" t="s">
        <v>209</v>
      </c>
      <c r="J28" s="7" t="s">
        <v>130</v>
      </c>
      <c r="K28" s="11">
        <v>0.82708333333333328</v>
      </c>
      <c r="L28" s="11">
        <v>0.91597222222222219</v>
      </c>
      <c r="M28" s="11">
        <v>8.8888888888888906E-2</v>
      </c>
      <c r="N28" s="38" t="s">
        <v>109</v>
      </c>
      <c r="O28" s="29" t="s">
        <v>61</v>
      </c>
      <c r="P28" s="7" t="s">
        <v>131</v>
      </c>
      <c r="Q28" s="7" t="s">
        <v>209</v>
      </c>
      <c r="R28" s="7" t="s">
        <v>109</v>
      </c>
      <c r="S28" s="7" t="s">
        <v>372</v>
      </c>
      <c r="T28" s="7" t="s">
        <v>109</v>
      </c>
      <c r="U28" s="7" t="s">
        <v>109</v>
      </c>
      <c r="V28" s="7" t="s">
        <v>109</v>
      </c>
      <c r="W28" s="29" t="s">
        <v>270</v>
      </c>
    </row>
    <row r="29" spans="1:23" x14ac:dyDescent="0.3">
      <c r="A29" s="28">
        <v>28</v>
      </c>
      <c r="B29" s="29" t="s">
        <v>23</v>
      </c>
      <c r="C29" s="29" t="s">
        <v>137</v>
      </c>
      <c r="D29" s="29">
        <v>51225033</v>
      </c>
      <c r="E29" s="38">
        <v>100</v>
      </c>
      <c r="F29" s="28">
        <v>209</v>
      </c>
      <c r="G29" s="28">
        <v>35</v>
      </c>
      <c r="H29" s="28" t="s">
        <v>214</v>
      </c>
      <c r="I29" s="28" t="s">
        <v>154</v>
      </c>
      <c r="J29" s="28" t="s">
        <v>130</v>
      </c>
      <c r="K29" s="41">
        <v>1.2500000000000001E-2</v>
      </c>
      <c r="L29" s="41">
        <v>3.888888888888889E-2</v>
      </c>
      <c r="M29" s="11" t="e">
        <v>#VALUE!</v>
      </c>
      <c r="N29" s="38" t="s">
        <v>109</v>
      </c>
      <c r="O29" s="29" t="s">
        <v>61</v>
      </c>
      <c r="P29" s="28" t="s">
        <v>131</v>
      </c>
      <c r="Q29" s="28" t="s">
        <v>154</v>
      </c>
      <c r="R29" s="28" t="s">
        <v>109</v>
      </c>
      <c r="S29" s="28" t="s">
        <v>372</v>
      </c>
      <c r="T29" s="28" t="s">
        <v>109</v>
      </c>
      <c r="U29" s="28" t="s">
        <v>109</v>
      </c>
      <c r="V29" s="28" t="s">
        <v>109</v>
      </c>
      <c r="W29" s="29" t="s">
        <v>142</v>
      </c>
    </row>
    <row r="30" spans="1:23" x14ac:dyDescent="0.3">
      <c r="A30" s="28">
        <v>29</v>
      </c>
      <c r="B30" s="29" t="s">
        <v>23</v>
      </c>
      <c r="C30" s="29" t="s">
        <v>138</v>
      </c>
      <c r="D30" s="29">
        <v>51225034</v>
      </c>
      <c r="E30" s="38">
        <v>40</v>
      </c>
      <c r="F30" s="28">
        <v>84</v>
      </c>
      <c r="G30" s="28">
        <v>14</v>
      </c>
      <c r="H30" s="28" t="s">
        <v>67</v>
      </c>
      <c r="I30" s="28" t="s">
        <v>89</v>
      </c>
      <c r="J30" s="28" t="s">
        <v>130</v>
      </c>
      <c r="K30" s="41">
        <v>0.97222222222222221</v>
      </c>
      <c r="L30" s="41">
        <v>1.8055555555555554E-2</v>
      </c>
      <c r="M30" s="11">
        <v>-0.95416666666666661</v>
      </c>
      <c r="N30" s="38" t="s">
        <v>109</v>
      </c>
      <c r="O30" s="29" t="s">
        <v>61</v>
      </c>
      <c r="P30" s="28" t="s">
        <v>109</v>
      </c>
      <c r="Q30" s="28" t="s">
        <v>109</v>
      </c>
      <c r="R30" s="28" t="s">
        <v>109</v>
      </c>
      <c r="S30" s="28" t="s">
        <v>372</v>
      </c>
      <c r="T30" s="28" t="s">
        <v>109</v>
      </c>
      <c r="U30" s="28" t="s">
        <v>109</v>
      </c>
      <c r="V30" s="28" t="s">
        <v>109</v>
      </c>
      <c r="W30" s="29" t="s">
        <v>142</v>
      </c>
    </row>
    <row r="31" spans="1:23" s="21" customFormat="1" x14ac:dyDescent="0.3">
      <c r="A31" s="18">
        <v>30</v>
      </c>
      <c r="B31" s="39" t="s">
        <v>23</v>
      </c>
      <c r="C31" s="39" t="s">
        <v>140</v>
      </c>
      <c r="D31" s="39">
        <v>51225035</v>
      </c>
      <c r="E31" s="40">
        <v>60</v>
      </c>
      <c r="F31" s="18" t="s">
        <v>109</v>
      </c>
      <c r="G31" s="18" t="s">
        <v>109</v>
      </c>
      <c r="H31" s="18" t="s">
        <v>66</v>
      </c>
      <c r="I31" s="18" t="s">
        <v>209</v>
      </c>
      <c r="J31" s="18" t="s">
        <v>85</v>
      </c>
      <c r="K31" s="18" t="s">
        <v>109</v>
      </c>
      <c r="L31" s="18" t="s">
        <v>109</v>
      </c>
      <c r="M31" s="11" t="e">
        <v>#VALUE!</v>
      </c>
      <c r="N31" s="40" t="s">
        <v>109</v>
      </c>
      <c r="O31" s="39" t="s">
        <v>61</v>
      </c>
      <c r="P31" s="18" t="s">
        <v>109</v>
      </c>
      <c r="Q31" s="18" t="s">
        <v>109</v>
      </c>
      <c r="R31" s="18" t="s">
        <v>109</v>
      </c>
      <c r="S31" s="18" t="s">
        <v>372</v>
      </c>
      <c r="T31" s="18" t="s">
        <v>109</v>
      </c>
      <c r="U31" s="18" t="s">
        <v>109</v>
      </c>
      <c r="V31" s="18" t="s">
        <v>109</v>
      </c>
      <c r="W31" s="39" t="s">
        <v>142</v>
      </c>
    </row>
    <row r="32" spans="1:23" customFormat="1" x14ac:dyDescent="0.3">
      <c r="A32" s="7">
        <v>31</v>
      </c>
      <c r="B32" s="29" t="s">
        <v>23</v>
      </c>
      <c r="C32" s="29" t="s">
        <v>406</v>
      </c>
      <c r="D32" s="29">
        <v>51125120</v>
      </c>
      <c r="E32" s="38">
        <v>50</v>
      </c>
      <c r="F32" s="7">
        <v>120</v>
      </c>
      <c r="G32" s="7">
        <v>42</v>
      </c>
      <c r="H32" s="7" t="s">
        <v>274</v>
      </c>
      <c r="I32" s="7" t="s">
        <v>154</v>
      </c>
      <c r="J32" s="7" t="s">
        <v>130</v>
      </c>
      <c r="K32" s="11">
        <v>0.83194444444444449</v>
      </c>
      <c r="L32" s="7" t="s">
        <v>497</v>
      </c>
      <c r="M32" s="11" t="e">
        <v>#VALUE!</v>
      </c>
      <c r="N32" s="38" t="s">
        <v>109</v>
      </c>
      <c r="O32" s="29" t="s">
        <v>61</v>
      </c>
      <c r="P32" s="7" t="s">
        <v>131</v>
      </c>
      <c r="Q32" s="7" t="s">
        <v>154</v>
      </c>
      <c r="R32" s="7" t="s">
        <v>109</v>
      </c>
      <c r="S32" s="7" t="s">
        <v>372</v>
      </c>
      <c r="T32" s="7" t="s">
        <v>109</v>
      </c>
      <c r="U32" s="7" t="s">
        <v>109</v>
      </c>
      <c r="V32" s="7" t="s">
        <v>109</v>
      </c>
      <c r="W32" s="29" t="s">
        <v>270</v>
      </c>
    </row>
    <row r="33" spans="1:23" customFormat="1" x14ac:dyDescent="0.3">
      <c r="A33" s="7">
        <v>32</v>
      </c>
      <c r="B33" s="29" t="s">
        <v>23</v>
      </c>
      <c r="C33" s="29" t="s">
        <v>282</v>
      </c>
      <c r="D33" s="29">
        <v>51125115</v>
      </c>
      <c r="E33" s="38">
        <v>50</v>
      </c>
      <c r="F33" s="7">
        <v>112</v>
      </c>
      <c r="G33" s="7">
        <v>40</v>
      </c>
      <c r="H33" s="7" t="s">
        <v>82</v>
      </c>
      <c r="I33" s="7" t="s">
        <v>95</v>
      </c>
      <c r="J33" s="7" t="s">
        <v>130</v>
      </c>
      <c r="K33" s="11">
        <v>0.82152777777777775</v>
      </c>
      <c r="L33" s="11">
        <v>0.82986111111111116</v>
      </c>
      <c r="M33" s="11">
        <v>8.3333333333334147E-3</v>
      </c>
      <c r="N33" s="38" t="s">
        <v>109</v>
      </c>
      <c r="O33" s="29" t="s">
        <v>61</v>
      </c>
      <c r="P33" s="7" t="s">
        <v>131</v>
      </c>
      <c r="Q33" s="7" t="s">
        <v>95</v>
      </c>
      <c r="R33" s="7" t="s">
        <v>109</v>
      </c>
      <c r="S33" s="7" t="s">
        <v>372</v>
      </c>
      <c r="T33" s="7" t="s">
        <v>109</v>
      </c>
      <c r="U33" s="7" t="s">
        <v>109</v>
      </c>
      <c r="V33" s="7" t="s">
        <v>109</v>
      </c>
      <c r="W33" s="29" t="s">
        <v>270</v>
      </c>
    </row>
    <row r="34" spans="1:23" customFormat="1" x14ac:dyDescent="0.3">
      <c r="A34" s="7">
        <v>33</v>
      </c>
      <c r="B34" s="29" t="s">
        <v>23</v>
      </c>
      <c r="C34" s="29" t="s">
        <v>283</v>
      </c>
      <c r="D34" s="29">
        <v>51125112</v>
      </c>
      <c r="E34" s="38">
        <v>30</v>
      </c>
      <c r="F34" s="7">
        <v>60</v>
      </c>
      <c r="G34" s="7">
        <v>34</v>
      </c>
      <c r="H34" s="7" t="s">
        <v>84</v>
      </c>
      <c r="I34" s="7" t="s">
        <v>90</v>
      </c>
      <c r="J34" s="7" t="s">
        <v>130</v>
      </c>
      <c r="K34" s="11">
        <v>0.69861111111111107</v>
      </c>
      <c r="L34" s="11">
        <v>0.77152777777777781</v>
      </c>
      <c r="M34" s="11">
        <v>7.2916666666666741E-2</v>
      </c>
      <c r="N34" s="38" t="s">
        <v>109</v>
      </c>
      <c r="O34" s="29" t="s">
        <v>61</v>
      </c>
      <c r="P34" s="7" t="s">
        <v>131</v>
      </c>
      <c r="Q34" s="7" t="s">
        <v>90</v>
      </c>
      <c r="R34" s="7" t="s">
        <v>109</v>
      </c>
      <c r="S34" s="7" t="s">
        <v>372</v>
      </c>
      <c r="T34" s="7" t="s">
        <v>109</v>
      </c>
      <c r="U34" s="7" t="s">
        <v>109</v>
      </c>
      <c r="V34" s="7" t="s">
        <v>109</v>
      </c>
      <c r="W34" s="29" t="s">
        <v>270</v>
      </c>
    </row>
    <row r="35" spans="1:23" x14ac:dyDescent="0.3">
      <c r="A35" s="28">
        <v>34</v>
      </c>
      <c r="B35" s="29" t="s">
        <v>23</v>
      </c>
      <c r="C35" s="29" t="s">
        <v>407</v>
      </c>
      <c r="D35" s="29">
        <v>51125119</v>
      </c>
      <c r="E35" s="38">
        <v>50</v>
      </c>
      <c r="F35" s="28">
        <v>90</v>
      </c>
      <c r="G35" s="28">
        <v>16</v>
      </c>
      <c r="H35" s="28" t="s">
        <v>184</v>
      </c>
      <c r="I35" s="28" t="s">
        <v>94</v>
      </c>
      <c r="J35" s="28" t="s">
        <v>130</v>
      </c>
      <c r="K35" s="28" t="s">
        <v>109</v>
      </c>
      <c r="L35" s="28" t="s">
        <v>109</v>
      </c>
      <c r="M35" s="11" t="e">
        <v>#VALUE!</v>
      </c>
      <c r="N35" s="38" t="s">
        <v>109</v>
      </c>
      <c r="O35" s="29" t="s">
        <v>61</v>
      </c>
      <c r="P35" s="28" t="s">
        <v>131</v>
      </c>
      <c r="Q35" s="7" t="s">
        <v>94</v>
      </c>
      <c r="R35" s="28" t="s">
        <v>109</v>
      </c>
      <c r="S35" s="28" t="s">
        <v>372</v>
      </c>
      <c r="T35" s="28" t="s">
        <v>109</v>
      </c>
      <c r="U35" s="28" t="s">
        <v>109</v>
      </c>
      <c r="V35" s="28" t="s">
        <v>109</v>
      </c>
      <c r="W35" s="29" t="s">
        <v>270</v>
      </c>
    </row>
    <row r="36" spans="1:23" x14ac:dyDescent="0.3">
      <c r="A36" s="28">
        <v>35</v>
      </c>
      <c r="B36" s="29" t="s">
        <v>170</v>
      </c>
      <c r="C36" s="29" t="s">
        <v>408</v>
      </c>
      <c r="D36" s="29">
        <v>41025030</v>
      </c>
      <c r="E36" s="38">
        <v>88</v>
      </c>
      <c r="F36" s="28">
        <v>63</v>
      </c>
      <c r="G36" s="28">
        <v>48</v>
      </c>
      <c r="H36" s="28" t="s">
        <v>69</v>
      </c>
      <c r="I36" s="28" t="s">
        <v>94</v>
      </c>
      <c r="J36" s="28" t="s">
        <v>130</v>
      </c>
      <c r="K36" s="28" t="s">
        <v>509</v>
      </c>
      <c r="L36" s="28" t="s">
        <v>109</v>
      </c>
      <c r="M36" s="11" t="e">
        <v>#VALUE!</v>
      </c>
      <c r="N36" s="43" t="s">
        <v>409</v>
      </c>
      <c r="O36" s="29" t="s">
        <v>61</v>
      </c>
      <c r="P36" s="28" t="s">
        <v>131</v>
      </c>
      <c r="Q36" s="7" t="s">
        <v>510</v>
      </c>
      <c r="R36" s="28" t="s">
        <v>109</v>
      </c>
      <c r="S36" s="28" t="s">
        <v>372</v>
      </c>
      <c r="T36" s="28" t="s">
        <v>109</v>
      </c>
      <c r="U36" s="28" t="s">
        <v>109</v>
      </c>
      <c r="V36" s="28" t="s">
        <v>109</v>
      </c>
      <c r="W36" s="29" t="s">
        <v>410</v>
      </c>
    </row>
    <row r="37" spans="1:23" customFormat="1" x14ac:dyDescent="0.3">
      <c r="A37" s="7">
        <v>36</v>
      </c>
      <c r="B37" s="29" t="s">
        <v>411</v>
      </c>
      <c r="C37" s="29" t="s">
        <v>412</v>
      </c>
      <c r="D37" s="29">
        <v>30126001</v>
      </c>
      <c r="E37" s="38">
        <v>185</v>
      </c>
      <c r="F37" s="7">
        <v>290</v>
      </c>
      <c r="G37" s="7">
        <v>184</v>
      </c>
      <c r="H37" s="7" t="s">
        <v>388</v>
      </c>
      <c r="I37" s="7" t="s">
        <v>102</v>
      </c>
      <c r="J37" s="7" t="s">
        <v>130</v>
      </c>
      <c r="K37" s="11">
        <v>0.9506944444444444</v>
      </c>
      <c r="L37" s="11">
        <v>0.99444444444444446</v>
      </c>
      <c r="M37" s="11">
        <v>4.3750000000000067E-2</v>
      </c>
      <c r="N37" s="38" t="s">
        <v>109</v>
      </c>
      <c r="O37" s="29" t="s">
        <v>61</v>
      </c>
      <c r="P37" s="7" t="s">
        <v>131</v>
      </c>
      <c r="Q37" s="7" t="s">
        <v>95</v>
      </c>
      <c r="R37" s="7" t="s">
        <v>109</v>
      </c>
      <c r="S37" s="7" t="s">
        <v>372</v>
      </c>
      <c r="T37" s="7" t="s">
        <v>109</v>
      </c>
      <c r="U37" s="7" t="s">
        <v>109</v>
      </c>
      <c r="V37" s="7" t="s">
        <v>109</v>
      </c>
      <c r="W37" s="29" t="s">
        <v>413</v>
      </c>
    </row>
    <row r="38" spans="1:23" customFormat="1" x14ac:dyDescent="0.3">
      <c r="A38" s="7">
        <v>37</v>
      </c>
      <c r="B38" s="29" t="s">
        <v>414</v>
      </c>
      <c r="C38" s="29" t="s">
        <v>415</v>
      </c>
      <c r="D38" s="29">
        <v>40126009</v>
      </c>
      <c r="E38" s="38">
        <v>155</v>
      </c>
      <c r="F38" s="7">
        <v>290</v>
      </c>
      <c r="G38" s="7">
        <v>158</v>
      </c>
      <c r="H38" s="7" t="s">
        <v>172</v>
      </c>
      <c r="I38" s="7" t="s">
        <v>99</v>
      </c>
      <c r="J38" s="7" t="s">
        <v>130</v>
      </c>
      <c r="K38" s="7" t="s">
        <v>501</v>
      </c>
      <c r="L38" s="11">
        <v>0.96736111111111112</v>
      </c>
      <c r="M38" s="11" t="e">
        <v>#VALUE!</v>
      </c>
      <c r="N38" s="38" t="s">
        <v>109</v>
      </c>
      <c r="O38" s="29" t="s">
        <v>61</v>
      </c>
      <c r="P38" s="7" t="s">
        <v>131</v>
      </c>
      <c r="Q38" s="7" t="s">
        <v>91</v>
      </c>
      <c r="R38" s="7" t="s">
        <v>109</v>
      </c>
      <c r="S38" s="7" t="s">
        <v>372</v>
      </c>
      <c r="T38" s="7" t="s">
        <v>109</v>
      </c>
      <c r="U38" s="7" t="s">
        <v>109</v>
      </c>
      <c r="V38" s="7" t="s">
        <v>109</v>
      </c>
      <c r="W38" s="29" t="s">
        <v>416</v>
      </c>
    </row>
    <row r="39" spans="1:23" customFormat="1" x14ac:dyDescent="0.3">
      <c r="A39" s="7">
        <v>38</v>
      </c>
      <c r="B39" s="29" t="s">
        <v>414</v>
      </c>
      <c r="C39" s="29" t="s">
        <v>417</v>
      </c>
      <c r="D39" s="29">
        <v>40126010</v>
      </c>
      <c r="E39" s="38">
        <v>85</v>
      </c>
      <c r="F39" s="7">
        <v>151</v>
      </c>
      <c r="G39" s="7">
        <v>40</v>
      </c>
      <c r="H39" s="7" t="s">
        <v>153</v>
      </c>
      <c r="I39" s="7" t="s">
        <v>154</v>
      </c>
      <c r="J39" s="7" t="s">
        <v>130</v>
      </c>
      <c r="K39" s="11">
        <v>0.94513888888888886</v>
      </c>
      <c r="L39" s="11">
        <v>0.97499999999999998</v>
      </c>
      <c r="M39" s="11">
        <v>2.9861111111111116E-2</v>
      </c>
      <c r="N39" s="38" t="s">
        <v>109</v>
      </c>
      <c r="O39" s="29" t="s">
        <v>61</v>
      </c>
      <c r="P39" s="7" t="s">
        <v>131</v>
      </c>
      <c r="Q39" s="7" t="s">
        <v>154</v>
      </c>
      <c r="R39" s="7" t="s">
        <v>109</v>
      </c>
      <c r="S39" s="7" t="s">
        <v>372</v>
      </c>
      <c r="T39" s="7" t="s">
        <v>109</v>
      </c>
      <c r="U39" s="7" t="s">
        <v>109</v>
      </c>
      <c r="V39" s="7" t="s">
        <v>109</v>
      </c>
      <c r="W39" s="29" t="s">
        <v>416</v>
      </c>
    </row>
    <row r="40" spans="1:23" x14ac:dyDescent="0.3">
      <c r="A40" s="28">
        <v>39</v>
      </c>
      <c r="B40" s="29" t="s">
        <v>414</v>
      </c>
      <c r="C40" s="29" t="s">
        <v>418</v>
      </c>
      <c r="D40" s="29">
        <v>40126011</v>
      </c>
      <c r="E40" s="38">
        <v>126</v>
      </c>
      <c r="F40" s="28">
        <v>254</v>
      </c>
      <c r="G40" s="28">
        <v>84</v>
      </c>
      <c r="H40" s="28" t="s">
        <v>262</v>
      </c>
      <c r="I40" s="28" t="s">
        <v>294</v>
      </c>
      <c r="J40" s="28" t="s">
        <v>130</v>
      </c>
      <c r="K40" s="41">
        <v>0.96805555555555556</v>
      </c>
      <c r="L40" s="41">
        <v>9.7222222222222224E-3</v>
      </c>
      <c r="M40" s="11">
        <v>-0.95833333333333337</v>
      </c>
      <c r="N40" s="38" t="s">
        <v>109</v>
      </c>
      <c r="O40" s="29" t="s">
        <v>61</v>
      </c>
      <c r="P40" s="28" t="s">
        <v>109</v>
      </c>
      <c r="Q40" s="28" t="s">
        <v>109</v>
      </c>
      <c r="R40" s="28" t="s">
        <v>109</v>
      </c>
      <c r="S40" s="28" t="s">
        <v>372</v>
      </c>
      <c r="T40" s="28" t="s">
        <v>109</v>
      </c>
      <c r="U40" s="28" t="s">
        <v>109</v>
      </c>
      <c r="V40" s="28" t="s">
        <v>109</v>
      </c>
      <c r="W40" s="29" t="s">
        <v>416</v>
      </c>
    </row>
    <row r="41" spans="1:23" customFormat="1" x14ac:dyDescent="0.3">
      <c r="A41" s="7">
        <v>40</v>
      </c>
      <c r="B41" s="29" t="s">
        <v>414</v>
      </c>
      <c r="C41" s="29" t="s">
        <v>419</v>
      </c>
      <c r="D41" s="29">
        <v>40126012</v>
      </c>
      <c r="E41" s="38">
        <v>185</v>
      </c>
      <c r="F41" s="7">
        <v>340</v>
      </c>
      <c r="G41" s="7">
        <v>89</v>
      </c>
      <c r="H41" s="7" t="s">
        <v>420</v>
      </c>
      <c r="I41" s="7" t="s">
        <v>103</v>
      </c>
      <c r="J41" s="7" t="s">
        <v>130</v>
      </c>
      <c r="K41" s="11">
        <v>0.91041666666666665</v>
      </c>
      <c r="L41" s="11">
        <v>0.98402777777777772</v>
      </c>
      <c r="M41" s="11">
        <v>7.3611111111111072E-2</v>
      </c>
      <c r="N41" s="38" t="s">
        <v>109</v>
      </c>
      <c r="O41" s="29" t="s">
        <v>61</v>
      </c>
      <c r="P41" s="7" t="s">
        <v>131</v>
      </c>
      <c r="Q41" s="7" t="s">
        <v>90</v>
      </c>
      <c r="R41" s="7" t="s">
        <v>109</v>
      </c>
      <c r="S41" s="7" t="s">
        <v>372</v>
      </c>
      <c r="T41" s="7" t="s">
        <v>109</v>
      </c>
      <c r="U41" s="7" t="s">
        <v>109</v>
      </c>
      <c r="V41" s="7" t="s">
        <v>109</v>
      </c>
      <c r="W41" s="29" t="s">
        <v>416</v>
      </c>
    </row>
    <row r="42" spans="1:23" x14ac:dyDescent="0.3">
      <c r="A42" s="28">
        <v>41</v>
      </c>
      <c r="B42" s="29" t="s">
        <v>414</v>
      </c>
      <c r="C42" s="29" t="s">
        <v>421</v>
      </c>
      <c r="D42" s="29">
        <v>40126013</v>
      </c>
      <c r="E42" s="38">
        <v>92</v>
      </c>
      <c r="F42" s="28">
        <v>164</v>
      </c>
      <c r="G42" s="28">
        <v>40</v>
      </c>
      <c r="H42" s="28" t="s">
        <v>84</v>
      </c>
      <c r="I42" s="28" t="s">
        <v>90</v>
      </c>
      <c r="J42" s="28" t="s">
        <v>130</v>
      </c>
      <c r="K42" s="41">
        <v>0.99652777777777779</v>
      </c>
      <c r="L42" s="41">
        <v>2.4305555555555556E-2</v>
      </c>
      <c r="M42" s="11" t="e">
        <v>#VALUE!</v>
      </c>
      <c r="N42" s="38" t="s">
        <v>109</v>
      </c>
      <c r="O42" s="29" t="s">
        <v>61</v>
      </c>
      <c r="P42" s="28" t="s">
        <v>109</v>
      </c>
      <c r="Q42" s="28" t="s">
        <v>109</v>
      </c>
      <c r="R42" s="28" t="s">
        <v>109</v>
      </c>
      <c r="S42" s="28" t="s">
        <v>372</v>
      </c>
      <c r="T42" s="28" t="s">
        <v>109</v>
      </c>
      <c r="U42" s="28" t="s">
        <v>109</v>
      </c>
      <c r="V42" s="28" t="s">
        <v>109</v>
      </c>
      <c r="W42" s="29" t="s">
        <v>416</v>
      </c>
    </row>
    <row r="43" spans="1:23" customFormat="1" x14ac:dyDescent="0.3">
      <c r="A43" s="7">
        <v>42</v>
      </c>
      <c r="B43" s="29" t="s">
        <v>414</v>
      </c>
      <c r="C43" s="29" t="s">
        <v>422</v>
      </c>
      <c r="D43" s="29">
        <v>40126014</v>
      </c>
      <c r="E43" s="38">
        <v>98</v>
      </c>
      <c r="F43" s="7">
        <v>200</v>
      </c>
      <c r="G43" s="7">
        <v>88</v>
      </c>
      <c r="H43" s="7" t="s">
        <v>72</v>
      </c>
      <c r="I43" s="7" t="s">
        <v>95</v>
      </c>
      <c r="J43" s="7" t="s">
        <v>130</v>
      </c>
      <c r="K43" s="11">
        <v>0.93472222222222223</v>
      </c>
      <c r="L43" s="11">
        <v>0.97222222222222221</v>
      </c>
      <c r="M43" s="11">
        <v>3.7499999999999978E-2</v>
      </c>
      <c r="N43" s="38" t="s">
        <v>109</v>
      </c>
      <c r="O43" s="29" t="s">
        <v>61</v>
      </c>
      <c r="P43" s="7" t="s">
        <v>131</v>
      </c>
      <c r="Q43" s="7" t="s">
        <v>95</v>
      </c>
      <c r="R43" s="7" t="s">
        <v>109</v>
      </c>
      <c r="S43" s="7" t="s">
        <v>372</v>
      </c>
      <c r="T43" s="7" t="s">
        <v>109</v>
      </c>
      <c r="U43" s="7" t="s">
        <v>109</v>
      </c>
      <c r="V43" s="7" t="s">
        <v>109</v>
      </c>
      <c r="W43" s="29" t="s">
        <v>416</v>
      </c>
    </row>
    <row r="44" spans="1:23" customFormat="1" x14ac:dyDescent="0.3">
      <c r="A44" s="7">
        <v>43</v>
      </c>
      <c r="B44" s="29" t="s">
        <v>23</v>
      </c>
      <c r="C44" s="29" t="s">
        <v>423</v>
      </c>
      <c r="D44" s="29">
        <v>50126026</v>
      </c>
      <c r="E44" s="38">
        <v>50</v>
      </c>
      <c r="F44" s="7">
        <v>101</v>
      </c>
      <c r="G44" s="7">
        <v>62</v>
      </c>
      <c r="H44" s="7" t="s">
        <v>70</v>
      </c>
      <c r="I44" s="7" t="s">
        <v>90</v>
      </c>
      <c r="J44" s="7" t="s">
        <v>130</v>
      </c>
      <c r="K44" s="11">
        <v>0.66527777777777775</v>
      </c>
      <c r="L44" s="11">
        <v>0.71805555555555556</v>
      </c>
      <c r="M44" s="11">
        <v>5.2777777777777812E-2</v>
      </c>
      <c r="N44" s="38" t="s">
        <v>109</v>
      </c>
      <c r="O44" s="29" t="s">
        <v>61</v>
      </c>
      <c r="P44" s="7" t="s">
        <v>131</v>
      </c>
      <c r="Q44" s="7" t="s">
        <v>90</v>
      </c>
      <c r="R44" s="7" t="s">
        <v>109</v>
      </c>
      <c r="S44" s="7" t="s">
        <v>372</v>
      </c>
      <c r="T44" s="7" t="s">
        <v>109</v>
      </c>
      <c r="U44" s="7" t="s">
        <v>109</v>
      </c>
      <c r="V44" s="7" t="s">
        <v>109</v>
      </c>
      <c r="W44" s="29" t="s">
        <v>424</v>
      </c>
    </row>
    <row r="45" spans="1:23" customFormat="1" x14ac:dyDescent="0.3">
      <c r="A45" s="7">
        <v>44</v>
      </c>
      <c r="B45" s="29" t="s">
        <v>23</v>
      </c>
      <c r="C45" s="29" t="s">
        <v>425</v>
      </c>
      <c r="D45" s="29">
        <v>50126025</v>
      </c>
      <c r="E45" s="38">
        <v>50</v>
      </c>
      <c r="F45" s="7">
        <v>100</v>
      </c>
      <c r="G45" s="7">
        <v>43</v>
      </c>
      <c r="H45" s="7" t="s">
        <v>64</v>
      </c>
      <c r="I45" s="7" t="s">
        <v>86</v>
      </c>
      <c r="J45" s="7" t="s">
        <v>130</v>
      </c>
      <c r="K45" s="11">
        <v>0.70694444444444449</v>
      </c>
      <c r="L45" s="11">
        <v>0.7993055555555556</v>
      </c>
      <c r="M45" s="11">
        <v>9.2361111111111116E-2</v>
      </c>
      <c r="N45" s="38" t="s">
        <v>109</v>
      </c>
      <c r="O45" s="29" t="s">
        <v>61</v>
      </c>
      <c r="P45" s="7" t="s">
        <v>131</v>
      </c>
      <c r="Q45" s="7" t="s">
        <v>86</v>
      </c>
      <c r="R45" s="7" t="s">
        <v>109</v>
      </c>
      <c r="S45" s="7" t="s">
        <v>372</v>
      </c>
      <c r="T45" s="7" t="s">
        <v>109</v>
      </c>
      <c r="U45" s="7" t="s">
        <v>109</v>
      </c>
      <c r="V45" s="7" t="s">
        <v>109</v>
      </c>
      <c r="W45" s="29" t="s">
        <v>424</v>
      </c>
    </row>
    <row r="46" spans="1:23" customFormat="1" x14ac:dyDescent="0.3">
      <c r="A46" s="7">
        <v>45</v>
      </c>
      <c r="B46" s="29" t="s">
        <v>23</v>
      </c>
      <c r="C46" s="29" t="s">
        <v>426</v>
      </c>
      <c r="D46" s="29">
        <v>50126023</v>
      </c>
      <c r="E46" s="38">
        <v>50</v>
      </c>
      <c r="F46" s="7">
        <v>80</v>
      </c>
      <c r="G46" s="7">
        <v>45</v>
      </c>
      <c r="H46" s="7" t="s">
        <v>153</v>
      </c>
      <c r="I46" s="7" t="s">
        <v>154</v>
      </c>
      <c r="J46" s="7" t="s">
        <v>130</v>
      </c>
      <c r="K46" s="11">
        <v>0.65902777777777777</v>
      </c>
      <c r="L46" s="11">
        <v>0.69027777777777777</v>
      </c>
      <c r="M46" s="11">
        <v>3.125E-2</v>
      </c>
      <c r="N46" s="38" t="s">
        <v>109</v>
      </c>
      <c r="O46" s="29" t="s">
        <v>61</v>
      </c>
      <c r="P46" s="7" t="s">
        <v>131</v>
      </c>
      <c r="Q46" s="7" t="s">
        <v>154</v>
      </c>
      <c r="R46" s="7" t="s">
        <v>109</v>
      </c>
      <c r="S46" s="7" t="s">
        <v>372</v>
      </c>
      <c r="T46" s="7" t="s">
        <v>109</v>
      </c>
      <c r="U46" s="7" t="s">
        <v>109</v>
      </c>
      <c r="V46" s="7" t="s">
        <v>109</v>
      </c>
      <c r="W46" s="29" t="s">
        <v>424</v>
      </c>
    </row>
    <row r="47" spans="1:23" customFormat="1" x14ac:dyDescent="0.3">
      <c r="A47" s="7">
        <v>46</v>
      </c>
      <c r="B47" s="29" t="s">
        <v>23</v>
      </c>
      <c r="C47" s="29" t="s">
        <v>427</v>
      </c>
      <c r="D47" s="29">
        <v>50126022</v>
      </c>
      <c r="E47" s="38">
        <v>50</v>
      </c>
      <c r="F47" s="7">
        <v>88</v>
      </c>
      <c r="G47" s="7">
        <v>60</v>
      </c>
      <c r="H47" s="7" t="s">
        <v>200</v>
      </c>
      <c r="I47" s="7" t="s">
        <v>91</v>
      </c>
      <c r="J47" s="7" t="s">
        <v>130</v>
      </c>
      <c r="K47" s="11">
        <v>0.91666666666666663</v>
      </c>
      <c r="L47" s="7" t="s">
        <v>507</v>
      </c>
      <c r="M47" s="11" t="e">
        <v>#VALUE!</v>
      </c>
      <c r="N47" s="38" t="s">
        <v>109</v>
      </c>
      <c r="O47" s="29" t="s">
        <v>61</v>
      </c>
      <c r="P47" s="7" t="s">
        <v>131</v>
      </c>
      <c r="Q47" s="7" t="s">
        <v>91</v>
      </c>
      <c r="R47" s="7" t="s">
        <v>109</v>
      </c>
      <c r="S47" s="7" t="s">
        <v>372</v>
      </c>
      <c r="T47" s="7" t="s">
        <v>109</v>
      </c>
      <c r="U47" s="7" t="s">
        <v>109</v>
      </c>
      <c r="V47" s="7" t="s">
        <v>109</v>
      </c>
      <c r="W47" s="29" t="s">
        <v>424</v>
      </c>
    </row>
    <row r="48" spans="1:23" customFormat="1" x14ac:dyDescent="0.3">
      <c r="A48" s="7">
        <v>47</v>
      </c>
      <c r="B48" s="29" t="s">
        <v>23</v>
      </c>
      <c r="C48" s="29" t="s">
        <v>428</v>
      </c>
      <c r="D48" s="29">
        <v>50126024</v>
      </c>
      <c r="E48" s="38">
        <v>100</v>
      </c>
      <c r="F48" s="7">
        <v>128</v>
      </c>
      <c r="G48" s="7">
        <v>106</v>
      </c>
      <c r="H48" s="7" t="s">
        <v>65</v>
      </c>
      <c r="I48" s="7" t="s">
        <v>93</v>
      </c>
      <c r="J48" s="7" t="s">
        <v>130</v>
      </c>
      <c r="K48" s="11">
        <v>0.7631944444444444</v>
      </c>
      <c r="L48" s="11">
        <v>0.82430555555555551</v>
      </c>
      <c r="M48" s="11">
        <v>6.1111111111111116E-2</v>
      </c>
      <c r="N48" s="38" t="s">
        <v>109</v>
      </c>
      <c r="O48" s="29" t="s">
        <v>61</v>
      </c>
      <c r="P48" s="7" t="s">
        <v>131</v>
      </c>
      <c r="Q48" s="7" t="s">
        <v>93</v>
      </c>
      <c r="R48" s="7" t="s">
        <v>109</v>
      </c>
      <c r="S48" s="7" t="s">
        <v>372</v>
      </c>
      <c r="T48" s="7" t="s">
        <v>109</v>
      </c>
      <c r="U48" s="7" t="s">
        <v>109</v>
      </c>
      <c r="V48" s="7" t="s">
        <v>109</v>
      </c>
      <c r="W48" s="29" t="s">
        <v>424</v>
      </c>
    </row>
    <row r="49" spans="1:23" customFormat="1" x14ac:dyDescent="0.3">
      <c r="A49" s="7">
        <v>48</v>
      </c>
      <c r="B49" s="29" t="s">
        <v>23</v>
      </c>
      <c r="C49" s="29" t="s">
        <v>429</v>
      </c>
      <c r="D49" s="29">
        <v>50126043</v>
      </c>
      <c r="E49" s="38">
        <v>50</v>
      </c>
      <c r="F49" s="7">
        <v>81</v>
      </c>
      <c r="G49" s="7">
        <v>53</v>
      </c>
      <c r="H49" s="7" t="s">
        <v>69</v>
      </c>
      <c r="I49" s="7" t="s">
        <v>90</v>
      </c>
      <c r="J49" s="7" t="s">
        <v>130</v>
      </c>
      <c r="K49" s="11">
        <v>0.65972222222222221</v>
      </c>
      <c r="L49" s="11">
        <v>0.70902777777777781</v>
      </c>
      <c r="M49" s="11">
        <v>4.9305555555555602E-2</v>
      </c>
      <c r="N49" s="38" t="s">
        <v>109</v>
      </c>
      <c r="O49" s="29" t="s">
        <v>61</v>
      </c>
      <c r="P49" s="7" t="s">
        <v>131</v>
      </c>
      <c r="Q49" s="7" t="s">
        <v>90</v>
      </c>
      <c r="R49" s="7" t="s">
        <v>109</v>
      </c>
      <c r="S49" s="7" t="s">
        <v>372</v>
      </c>
      <c r="T49" s="7" t="s">
        <v>109</v>
      </c>
      <c r="U49" s="7" t="s">
        <v>109</v>
      </c>
      <c r="V49" s="7" t="s">
        <v>109</v>
      </c>
      <c r="W49" s="29" t="s">
        <v>424</v>
      </c>
    </row>
    <row r="50" spans="1:23" x14ac:dyDescent="0.3">
      <c r="A50" s="28">
        <v>49</v>
      </c>
      <c r="B50" s="29" t="s">
        <v>23</v>
      </c>
      <c r="C50" s="29" t="s">
        <v>430</v>
      </c>
      <c r="D50" s="29">
        <v>50126042</v>
      </c>
      <c r="E50" s="38">
        <v>50</v>
      </c>
      <c r="F50" s="28">
        <v>100</v>
      </c>
      <c r="G50" s="28">
        <v>53</v>
      </c>
      <c r="H50" s="28" t="s">
        <v>84</v>
      </c>
      <c r="I50" s="28" t="s">
        <v>94</v>
      </c>
      <c r="J50" s="28" t="s">
        <v>130</v>
      </c>
      <c r="K50" s="41">
        <v>1.4583333333333334E-2</v>
      </c>
      <c r="L50" s="28" t="s">
        <v>109</v>
      </c>
      <c r="M50" s="11" t="e">
        <v>#VALUE!</v>
      </c>
      <c r="N50" s="38" t="s">
        <v>109</v>
      </c>
      <c r="O50" s="29" t="s">
        <v>61</v>
      </c>
      <c r="P50" s="28" t="s">
        <v>131</v>
      </c>
      <c r="Q50" s="7" t="s">
        <v>94</v>
      </c>
      <c r="R50" s="28" t="s">
        <v>109</v>
      </c>
      <c r="S50" s="28" t="s">
        <v>372</v>
      </c>
      <c r="T50" s="28" t="s">
        <v>109</v>
      </c>
      <c r="U50" s="28" t="s">
        <v>109</v>
      </c>
      <c r="V50" s="28" t="s">
        <v>109</v>
      </c>
      <c r="W50" s="29" t="s">
        <v>424</v>
      </c>
    </row>
    <row r="51" spans="1:23" customFormat="1" x14ac:dyDescent="0.3">
      <c r="A51" s="7">
        <v>50</v>
      </c>
      <c r="B51" s="29" t="s">
        <v>23</v>
      </c>
      <c r="C51" s="29" t="s">
        <v>431</v>
      </c>
      <c r="D51" s="29">
        <v>50126041</v>
      </c>
      <c r="E51" s="38">
        <v>75</v>
      </c>
      <c r="F51" s="7">
        <v>84</v>
      </c>
      <c r="G51" s="7">
        <v>67</v>
      </c>
      <c r="H51" s="7" t="s">
        <v>184</v>
      </c>
      <c r="I51" s="7" t="s">
        <v>90</v>
      </c>
      <c r="J51" s="7" t="s">
        <v>130</v>
      </c>
      <c r="K51" s="11">
        <v>0.93333333333333335</v>
      </c>
      <c r="L51" s="11">
        <v>0.95</v>
      </c>
      <c r="M51" s="11">
        <v>1.6666666666666607E-2</v>
      </c>
      <c r="N51" s="38" t="s">
        <v>109</v>
      </c>
      <c r="O51" s="29" t="s">
        <v>61</v>
      </c>
      <c r="P51" s="7" t="s">
        <v>131</v>
      </c>
      <c r="Q51" s="7" t="s">
        <v>90</v>
      </c>
      <c r="R51" s="7" t="s">
        <v>109</v>
      </c>
      <c r="S51" s="7" t="s">
        <v>372</v>
      </c>
      <c r="T51" s="7" t="s">
        <v>109</v>
      </c>
      <c r="U51" s="7" t="s">
        <v>109</v>
      </c>
      <c r="V51" s="7" t="s">
        <v>109</v>
      </c>
      <c r="W51" s="29" t="s">
        <v>424</v>
      </c>
    </row>
    <row r="52" spans="1:23" customFormat="1" x14ac:dyDescent="0.3">
      <c r="A52" s="7">
        <v>51</v>
      </c>
      <c r="B52" s="29" t="s">
        <v>23</v>
      </c>
      <c r="C52" s="29" t="s">
        <v>432</v>
      </c>
      <c r="D52" s="29">
        <v>50126040</v>
      </c>
      <c r="E52" s="38">
        <v>75</v>
      </c>
      <c r="F52" s="7">
        <v>90</v>
      </c>
      <c r="G52" s="7">
        <v>85</v>
      </c>
      <c r="H52" s="7" t="s">
        <v>153</v>
      </c>
      <c r="I52" s="7" t="s">
        <v>93</v>
      </c>
      <c r="J52" s="7" t="s">
        <v>130</v>
      </c>
      <c r="K52" s="11">
        <v>0.71666666666666667</v>
      </c>
      <c r="L52" s="7" t="s">
        <v>433</v>
      </c>
      <c r="M52" s="11" t="e">
        <v>#VALUE!</v>
      </c>
      <c r="N52" s="38" t="s">
        <v>109</v>
      </c>
      <c r="O52" s="29" t="s">
        <v>61</v>
      </c>
      <c r="P52" s="7" t="s">
        <v>131</v>
      </c>
      <c r="Q52" s="7" t="s">
        <v>93</v>
      </c>
      <c r="R52" s="7" t="s">
        <v>109</v>
      </c>
      <c r="S52" s="7" t="s">
        <v>372</v>
      </c>
      <c r="T52" s="7" t="s">
        <v>109</v>
      </c>
      <c r="U52" s="7" t="s">
        <v>109</v>
      </c>
      <c r="V52" s="7" t="s">
        <v>109</v>
      </c>
      <c r="W52" s="29" t="s">
        <v>424</v>
      </c>
    </row>
    <row r="53" spans="1:23" customFormat="1" x14ac:dyDescent="0.3">
      <c r="A53" s="7">
        <v>52</v>
      </c>
      <c r="B53" s="29" t="s">
        <v>25</v>
      </c>
      <c r="C53" s="29" t="s">
        <v>33</v>
      </c>
      <c r="D53" s="29">
        <v>41225016</v>
      </c>
      <c r="E53" s="38">
        <v>63</v>
      </c>
      <c r="F53" s="7">
        <v>42</v>
      </c>
      <c r="G53" s="7">
        <v>10</v>
      </c>
      <c r="H53" s="7" t="s">
        <v>65</v>
      </c>
      <c r="I53" s="7" t="s">
        <v>209</v>
      </c>
      <c r="J53" s="7" t="s">
        <v>130</v>
      </c>
      <c r="K53" s="11">
        <v>0.73472222222222228</v>
      </c>
      <c r="L53" s="11">
        <v>0.76111111111111107</v>
      </c>
      <c r="M53" s="11">
        <v>2.6388888888888795E-2</v>
      </c>
      <c r="N53" s="38" t="s">
        <v>109</v>
      </c>
      <c r="O53" s="29" t="s">
        <v>61</v>
      </c>
      <c r="P53" s="7" t="s">
        <v>131</v>
      </c>
      <c r="Q53" s="7" t="s">
        <v>209</v>
      </c>
      <c r="R53" s="7" t="s">
        <v>109</v>
      </c>
      <c r="S53" s="7" t="s">
        <v>372</v>
      </c>
      <c r="T53" s="7" t="s">
        <v>109</v>
      </c>
      <c r="U53" s="7" t="s">
        <v>109</v>
      </c>
      <c r="V53" s="7" t="s">
        <v>109</v>
      </c>
      <c r="W53" s="29" t="s">
        <v>114</v>
      </c>
    </row>
    <row r="54" spans="1:23" customFormat="1" x14ac:dyDescent="0.3">
      <c r="A54" s="7">
        <v>53</v>
      </c>
      <c r="B54" s="29" t="s">
        <v>292</v>
      </c>
      <c r="C54" s="29" t="s">
        <v>293</v>
      </c>
      <c r="D54" s="29">
        <v>41125001</v>
      </c>
      <c r="E54" s="38">
        <v>180</v>
      </c>
      <c r="F54" s="7">
        <v>409</v>
      </c>
      <c r="G54" s="7">
        <v>69</v>
      </c>
      <c r="H54" s="7" t="s">
        <v>386</v>
      </c>
      <c r="I54" s="7" t="s">
        <v>102</v>
      </c>
      <c r="J54" s="7" t="s">
        <v>130</v>
      </c>
      <c r="K54" s="11">
        <v>0.76597222222222228</v>
      </c>
      <c r="L54" s="7" t="s">
        <v>490</v>
      </c>
      <c r="M54" s="11" t="e">
        <v>#VALUE!</v>
      </c>
      <c r="N54" s="43" t="s">
        <v>434</v>
      </c>
      <c r="O54" s="29" t="s">
        <v>61</v>
      </c>
      <c r="P54" s="7" t="s">
        <v>131</v>
      </c>
      <c r="Q54" s="7" t="s">
        <v>89</v>
      </c>
      <c r="R54" s="7" t="s">
        <v>109</v>
      </c>
      <c r="S54" s="7" t="s">
        <v>372</v>
      </c>
      <c r="T54" s="7" t="s">
        <v>109</v>
      </c>
      <c r="U54" s="7" t="s">
        <v>109</v>
      </c>
      <c r="V54" s="7" t="s">
        <v>109</v>
      </c>
      <c r="W54" s="29" t="s">
        <v>295</v>
      </c>
    </row>
    <row r="55" spans="1:23" customFormat="1" x14ac:dyDescent="0.3">
      <c r="A55" s="7">
        <v>54</v>
      </c>
      <c r="B55" s="29" t="s">
        <v>24</v>
      </c>
      <c r="C55" s="29" t="s">
        <v>46</v>
      </c>
      <c r="D55" s="29">
        <v>61225009</v>
      </c>
      <c r="E55" s="38">
        <v>98</v>
      </c>
      <c r="F55" s="7">
        <v>193</v>
      </c>
      <c r="G55" s="7">
        <v>60</v>
      </c>
      <c r="H55" s="7" t="s">
        <v>241</v>
      </c>
      <c r="I55" s="7" t="s">
        <v>154</v>
      </c>
      <c r="J55" s="7" t="s">
        <v>130</v>
      </c>
      <c r="K55" s="7" t="s">
        <v>495</v>
      </c>
      <c r="L55" s="11">
        <v>0.9194444444444444</v>
      </c>
      <c r="M55" s="11" t="e">
        <v>#VALUE!</v>
      </c>
      <c r="N55" s="38" t="s">
        <v>109</v>
      </c>
      <c r="O55" s="29" t="s">
        <v>61</v>
      </c>
      <c r="P55" s="7" t="s">
        <v>131</v>
      </c>
      <c r="Q55" s="7" t="s">
        <v>154</v>
      </c>
      <c r="R55" s="7" t="s">
        <v>109</v>
      </c>
      <c r="S55" s="7" t="s">
        <v>372</v>
      </c>
      <c r="T55" s="7" t="s">
        <v>109</v>
      </c>
      <c r="U55" s="7" t="s">
        <v>109</v>
      </c>
      <c r="V55" s="7" t="s">
        <v>109</v>
      </c>
      <c r="W55" s="29" t="s">
        <v>119</v>
      </c>
    </row>
    <row r="56" spans="1:23" customFormat="1" x14ac:dyDescent="0.3">
      <c r="A56" s="7">
        <v>55</v>
      </c>
      <c r="B56" s="29" t="s">
        <v>24</v>
      </c>
      <c r="C56" s="29" t="s">
        <v>435</v>
      </c>
      <c r="D56" s="29">
        <v>60126001</v>
      </c>
      <c r="E56" s="38">
        <v>400</v>
      </c>
      <c r="F56" s="7">
        <v>381</v>
      </c>
      <c r="G56" s="7">
        <v>100</v>
      </c>
      <c r="H56" s="7" t="s">
        <v>436</v>
      </c>
      <c r="I56" s="7" t="s">
        <v>437</v>
      </c>
      <c r="J56" s="7" t="s">
        <v>130</v>
      </c>
      <c r="K56" s="11">
        <v>0.67291666666666672</v>
      </c>
      <c r="L56" s="11">
        <v>0.73750000000000004</v>
      </c>
      <c r="M56" s="11">
        <v>6.4583333333333326E-2</v>
      </c>
      <c r="N56" s="43" t="s">
        <v>434</v>
      </c>
      <c r="O56" s="29" t="s">
        <v>61</v>
      </c>
      <c r="P56" s="7" t="s">
        <v>131</v>
      </c>
      <c r="Q56" s="7" t="s">
        <v>209</v>
      </c>
      <c r="R56" s="7" t="s">
        <v>109</v>
      </c>
      <c r="S56" s="7" t="s">
        <v>372</v>
      </c>
      <c r="T56" s="7" t="s">
        <v>109</v>
      </c>
      <c r="U56" s="7" t="s">
        <v>109</v>
      </c>
      <c r="V56" s="7" t="s">
        <v>109</v>
      </c>
      <c r="W56" s="29" t="s">
        <v>116</v>
      </c>
    </row>
    <row r="57" spans="1:23" x14ac:dyDescent="0.3">
      <c r="A57" s="28">
        <v>56</v>
      </c>
      <c r="B57" s="29" t="s">
        <v>26</v>
      </c>
      <c r="C57" s="29" t="s">
        <v>160</v>
      </c>
      <c r="D57" s="29">
        <v>41025026</v>
      </c>
      <c r="E57" s="38">
        <v>190</v>
      </c>
      <c r="F57" s="28">
        <v>287</v>
      </c>
      <c r="G57" s="28">
        <v>156</v>
      </c>
      <c r="H57" s="28" t="s">
        <v>375</v>
      </c>
      <c r="I57" s="28" t="s">
        <v>157</v>
      </c>
      <c r="J57" s="28" t="s">
        <v>130</v>
      </c>
      <c r="K57" s="41">
        <v>0.97013888888888888</v>
      </c>
      <c r="L57" s="41">
        <v>1.0416666666666666E-2</v>
      </c>
      <c r="M57" s="11">
        <v>-0.95972222222222225</v>
      </c>
      <c r="N57" s="38" t="s">
        <v>109</v>
      </c>
      <c r="O57" s="29" t="s">
        <v>61</v>
      </c>
      <c r="P57" s="28" t="s">
        <v>109</v>
      </c>
      <c r="Q57" s="28" t="s">
        <v>109</v>
      </c>
      <c r="R57" s="28" t="s">
        <v>109</v>
      </c>
      <c r="S57" s="28" t="s">
        <v>372</v>
      </c>
      <c r="T57" s="28" t="s">
        <v>109</v>
      </c>
      <c r="U57" s="28" t="s">
        <v>109</v>
      </c>
      <c r="V57" s="28" t="s">
        <v>109</v>
      </c>
      <c r="W57" s="29" t="s">
        <v>121</v>
      </c>
    </row>
    <row r="58" spans="1:23" customFormat="1" x14ac:dyDescent="0.3">
      <c r="A58" s="7">
        <v>57</v>
      </c>
      <c r="B58" s="29" t="s">
        <v>26</v>
      </c>
      <c r="C58" s="29" t="s">
        <v>438</v>
      </c>
      <c r="D58" s="29">
        <v>41025024</v>
      </c>
      <c r="E58" s="38">
        <v>144</v>
      </c>
      <c r="F58" s="7">
        <v>244</v>
      </c>
      <c r="G58" s="7">
        <v>144</v>
      </c>
      <c r="H58" s="7" t="s">
        <v>420</v>
      </c>
      <c r="I58" s="7" t="s">
        <v>297</v>
      </c>
      <c r="J58" s="7" t="s">
        <v>130</v>
      </c>
      <c r="K58" s="7" t="s">
        <v>493</v>
      </c>
      <c r="L58" s="11">
        <v>0.94791666666666663</v>
      </c>
      <c r="M58" s="11" t="e">
        <v>#VALUE!</v>
      </c>
      <c r="N58" s="38" t="s">
        <v>109</v>
      </c>
      <c r="O58" s="29" t="s">
        <v>61</v>
      </c>
      <c r="P58" s="7" t="s">
        <v>131</v>
      </c>
      <c r="Q58" s="7" t="s">
        <v>94</v>
      </c>
      <c r="R58" s="7" t="s">
        <v>109</v>
      </c>
      <c r="S58" s="7" t="s">
        <v>372</v>
      </c>
      <c r="T58" s="7" t="s">
        <v>109</v>
      </c>
      <c r="U58" s="7" t="s">
        <v>109</v>
      </c>
      <c r="V58" s="7" t="s">
        <v>109</v>
      </c>
      <c r="W58" s="29" t="s">
        <v>121</v>
      </c>
    </row>
    <row r="59" spans="1:23" customFormat="1" x14ac:dyDescent="0.3">
      <c r="A59" s="7">
        <v>58</v>
      </c>
      <c r="B59" s="29" t="s">
        <v>26</v>
      </c>
      <c r="C59" s="29" t="s">
        <v>50</v>
      </c>
      <c r="D59" s="29">
        <v>41225020</v>
      </c>
      <c r="E59" s="38">
        <v>349</v>
      </c>
      <c r="F59" s="7">
        <v>651</v>
      </c>
      <c r="G59" s="7">
        <v>161</v>
      </c>
      <c r="H59" s="7" t="s">
        <v>439</v>
      </c>
      <c r="I59" s="7" t="s">
        <v>440</v>
      </c>
      <c r="J59" s="7" t="s">
        <v>130</v>
      </c>
      <c r="K59" s="11">
        <v>0.87083333333333335</v>
      </c>
      <c r="L59" s="11">
        <v>4.1666666666666666E-3</v>
      </c>
      <c r="M59" s="11">
        <v>-0.8666666666666667</v>
      </c>
      <c r="N59" s="38" t="s">
        <v>109</v>
      </c>
      <c r="O59" s="29" t="s">
        <v>61</v>
      </c>
      <c r="P59" s="7" t="s">
        <v>131</v>
      </c>
      <c r="Q59" s="7" t="s">
        <v>86</v>
      </c>
      <c r="R59" s="7" t="s">
        <v>109</v>
      </c>
      <c r="S59" s="7" t="s">
        <v>372</v>
      </c>
      <c r="T59" s="7" t="s">
        <v>109</v>
      </c>
      <c r="U59" s="7" t="s">
        <v>109</v>
      </c>
      <c r="V59" s="7" t="s">
        <v>109</v>
      </c>
      <c r="W59" s="29" t="s">
        <v>121</v>
      </c>
    </row>
    <row r="60" spans="1:23" customFormat="1" x14ac:dyDescent="0.3">
      <c r="A60" s="7">
        <v>59</v>
      </c>
      <c r="B60" s="29" t="s">
        <v>26</v>
      </c>
      <c r="C60" s="29" t="s">
        <v>441</v>
      </c>
      <c r="D60" s="29">
        <v>41125005</v>
      </c>
      <c r="E60" s="38">
        <v>85</v>
      </c>
      <c r="F60" s="7">
        <v>116</v>
      </c>
      <c r="G60" s="7">
        <v>87</v>
      </c>
      <c r="H60" s="7" t="s">
        <v>200</v>
      </c>
      <c r="I60" s="7" t="s">
        <v>154</v>
      </c>
      <c r="J60" s="7" t="s">
        <v>130</v>
      </c>
      <c r="K60" s="11">
        <v>0.68611111111111112</v>
      </c>
      <c r="L60" s="11">
        <v>0.76527777777777772</v>
      </c>
      <c r="M60" s="11">
        <v>7.9166666666666607E-2</v>
      </c>
      <c r="N60" s="38" t="s">
        <v>109</v>
      </c>
      <c r="O60" s="29" t="s">
        <v>61</v>
      </c>
      <c r="P60" s="7" t="s">
        <v>131</v>
      </c>
      <c r="Q60" s="7" t="s">
        <v>154</v>
      </c>
      <c r="R60" s="7" t="s">
        <v>109</v>
      </c>
      <c r="S60" s="7" t="s">
        <v>372</v>
      </c>
      <c r="T60" s="7" t="s">
        <v>109</v>
      </c>
      <c r="U60" s="7" t="s">
        <v>109</v>
      </c>
      <c r="V60" s="7" t="s">
        <v>109</v>
      </c>
      <c r="W60" s="29" t="s">
        <v>121</v>
      </c>
    </row>
    <row r="61" spans="1:23" customFormat="1" x14ac:dyDescent="0.3">
      <c r="A61" s="7">
        <v>60</v>
      </c>
      <c r="B61" s="29" t="s">
        <v>26</v>
      </c>
      <c r="C61" s="29" t="s">
        <v>442</v>
      </c>
      <c r="D61" s="29">
        <v>41125009</v>
      </c>
      <c r="E61" s="38">
        <v>544</v>
      </c>
      <c r="F61" s="7">
        <v>492</v>
      </c>
      <c r="G61" s="7">
        <v>89</v>
      </c>
      <c r="H61" s="7" t="s">
        <v>443</v>
      </c>
      <c r="I61" s="7" t="s">
        <v>444</v>
      </c>
      <c r="J61" s="7" t="s">
        <v>130</v>
      </c>
      <c r="K61" s="11">
        <v>0.67013888888888884</v>
      </c>
      <c r="L61" s="11">
        <v>0.74097222222222225</v>
      </c>
      <c r="M61" s="11">
        <v>7.0833333333333415E-2</v>
      </c>
      <c r="N61" s="43" t="s">
        <v>445</v>
      </c>
      <c r="O61" s="29" t="s">
        <v>61</v>
      </c>
      <c r="P61" s="7" t="s">
        <v>131</v>
      </c>
      <c r="Q61" s="7" t="s">
        <v>88</v>
      </c>
      <c r="R61" s="7" t="s">
        <v>109</v>
      </c>
      <c r="S61" s="7" t="s">
        <v>372</v>
      </c>
      <c r="T61" s="7" t="s">
        <v>109</v>
      </c>
      <c r="U61" s="7" t="s">
        <v>109</v>
      </c>
      <c r="V61" s="7" t="s">
        <v>109</v>
      </c>
      <c r="W61" s="29" t="s">
        <v>122</v>
      </c>
    </row>
    <row r="62" spans="1:23" customFormat="1" x14ac:dyDescent="0.3">
      <c r="A62" s="7">
        <v>61</v>
      </c>
      <c r="B62" s="29" t="s">
        <v>26</v>
      </c>
      <c r="C62" s="29" t="s">
        <v>446</v>
      </c>
      <c r="D62" s="29">
        <v>41225005</v>
      </c>
      <c r="E62" s="38">
        <v>36</v>
      </c>
      <c r="F62" s="7">
        <v>21</v>
      </c>
      <c r="G62" s="7">
        <v>2</v>
      </c>
      <c r="H62" s="7" t="s">
        <v>241</v>
      </c>
      <c r="I62" s="7" t="s">
        <v>93</v>
      </c>
      <c r="J62" s="7" t="s">
        <v>130</v>
      </c>
      <c r="K62" s="11">
        <v>0.72152777777777777</v>
      </c>
      <c r="L62" s="11">
        <v>0.72430555555555554</v>
      </c>
      <c r="M62" s="11">
        <v>2.7777777777777679E-3</v>
      </c>
      <c r="N62" s="43" t="s">
        <v>445</v>
      </c>
      <c r="O62" s="29" t="s">
        <v>61</v>
      </c>
      <c r="P62" s="7" t="s">
        <v>131</v>
      </c>
      <c r="Q62" s="7" t="s">
        <v>93</v>
      </c>
      <c r="R62" s="7" t="s">
        <v>109</v>
      </c>
      <c r="S62" s="7" t="s">
        <v>372</v>
      </c>
      <c r="T62" s="7" t="s">
        <v>109</v>
      </c>
      <c r="U62" s="7" t="s">
        <v>109</v>
      </c>
      <c r="V62" s="7" t="s">
        <v>109</v>
      </c>
      <c r="W62" s="29" t="s">
        <v>122</v>
      </c>
    </row>
    <row r="63" spans="1:23" customFormat="1" x14ac:dyDescent="0.3">
      <c r="A63" s="7">
        <v>62</v>
      </c>
      <c r="B63" s="29" t="s">
        <v>26</v>
      </c>
      <c r="C63" s="29" t="s">
        <v>447</v>
      </c>
      <c r="D63" s="29">
        <v>41225006</v>
      </c>
      <c r="E63" s="38">
        <v>33</v>
      </c>
      <c r="F63" s="7">
        <v>32</v>
      </c>
      <c r="G63" s="7">
        <v>12</v>
      </c>
      <c r="H63" s="7" t="s">
        <v>72</v>
      </c>
      <c r="I63" s="7" t="s">
        <v>95</v>
      </c>
      <c r="J63" s="7" t="s">
        <v>130</v>
      </c>
      <c r="K63" s="11">
        <v>0.65625</v>
      </c>
      <c r="L63" s="11">
        <v>0.67013888888888884</v>
      </c>
      <c r="M63" s="11">
        <v>1.388888888888884E-2</v>
      </c>
      <c r="N63" s="43" t="s">
        <v>445</v>
      </c>
      <c r="O63" s="29" t="s">
        <v>61</v>
      </c>
      <c r="P63" s="7" t="s">
        <v>131</v>
      </c>
      <c r="Q63" s="7" t="s">
        <v>95</v>
      </c>
      <c r="R63" s="7" t="s">
        <v>109</v>
      </c>
      <c r="S63" s="7" t="s">
        <v>372</v>
      </c>
      <c r="T63" s="7" t="s">
        <v>109</v>
      </c>
      <c r="U63" s="7" t="s">
        <v>109</v>
      </c>
      <c r="V63" s="7" t="s">
        <v>109</v>
      </c>
      <c r="W63" s="29" t="s">
        <v>122</v>
      </c>
    </row>
    <row r="64" spans="1:23" customFormat="1" x14ac:dyDescent="0.3">
      <c r="A64" s="7">
        <v>63</v>
      </c>
      <c r="B64" s="29" t="s">
        <v>26</v>
      </c>
      <c r="C64" s="29" t="s">
        <v>448</v>
      </c>
      <c r="D64" s="29">
        <v>41125008</v>
      </c>
      <c r="E64" s="38">
        <v>252</v>
      </c>
      <c r="F64" s="7">
        <v>464</v>
      </c>
      <c r="G64" s="7">
        <v>62</v>
      </c>
      <c r="H64" s="7" t="s">
        <v>449</v>
      </c>
      <c r="I64" s="7" t="s">
        <v>450</v>
      </c>
      <c r="J64" s="7" t="s">
        <v>130</v>
      </c>
      <c r="K64" s="11">
        <v>0.74791666666666667</v>
      </c>
      <c r="L64" s="11">
        <v>0.84930555555555554</v>
      </c>
      <c r="M64" s="11">
        <v>0.10138888888888886</v>
      </c>
      <c r="N64" s="43" t="s">
        <v>445</v>
      </c>
      <c r="O64" s="29" t="s">
        <v>61</v>
      </c>
      <c r="P64" s="7" t="s">
        <v>131</v>
      </c>
      <c r="Q64" s="7" t="s">
        <v>209</v>
      </c>
      <c r="R64" s="7" t="s">
        <v>109</v>
      </c>
      <c r="S64" s="7" t="s">
        <v>372</v>
      </c>
      <c r="T64" s="7" t="s">
        <v>109</v>
      </c>
      <c r="U64" s="7" t="s">
        <v>109</v>
      </c>
      <c r="V64" s="7" t="s">
        <v>109</v>
      </c>
      <c r="W64" s="29" t="s">
        <v>122</v>
      </c>
    </row>
    <row r="65" spans="1:23" customFormat="1" x14ac:dyDescent="0.3">
      <c r="A65" s="7">
        <v>64</v>
      </c>
      <c r="B65" s="29" t="s">
        <v>26</v>
      </c>
      <c r="C65" s="29" t="s">
        <v>451</v>
      </c>
      <c r="D65" s="29">
        <v>41225007</v>
      </c>
      <c r="E65" s="38">
        <v>267</v>
      </c>
      <c r="F65" s="7">
        <v>155</v>
      </c>
      <c r="G65" s="7">
        <v>21</v>
      </c>
      <c r="H65" s="7" t="s">
        <v>452</v>
      </c>
      <c r="I65" s="7" t="s">
        <v>453</v>
      </c>
      <c r="J65" s="7" t="s">
        <v>130</v>
      </c>
      <c r="K65" s="11">
        <v>0.70277777777777772</v>
      </c>
      <c r="L65" s="11">
        <v>0.77430555555555558</v>
      </c>
      <c r="M65" s="11">
        <v>7.1527777777777857E-2</v>
      </c>
      <c r="N65" s="43" t="s">
        <v>445</v>
      </c>
      <c r="O65" s="29" t="s">
        <v>61</v>
      </c>
      <c r="P65" s="7" t="s">
        <v>131</v>
      </c>
      <c r="Q65" s="7" t="s">
        <v>88</v>
      </c>
      <c r="R65" s="7" t="s">
        <v>109</v>
      </c>
      <c r="S65" s="7" t="s">
        <v>372</v>
      </c>
      <c r="T65" s="7" t="s">
        <v>109</v>
      </c>
      <c r="U65" s="7" t="s">
        <v>109</v>
      </c>
      <c r="V65" s="7" t="s">
        <v>109</v>
      </c>
      <c r="W65" s="29" t="s">
        <v>122</v>
      </c>
    </row>
    <row r="66" spans="1:23" customFormat="1" x14ac:dyDescent="0.3">
      <c r="A66" s="7">
        <v>65</v>
      </c>
      <c r="B66" s="29" t="s">
        <v>23</v>
      </c>
      <c r="C66" s="29" t="s">
        <v>27</v>
      </c>
      <c r="D66" s="29">
        <v>51225107</v>
      </c>
      <c r="E66" s="29">
        <v>100</v>
      </c>
      <c r="F66" s="7">
        <v>198</v>
      </c>
      <c r="G66" s="7">
        <v>91</v>
      </c>
      <c r="H66" s="7" t="s">
        <v>222</v>
      </c>
      <c r="I66" s="7" t="s">
        <v>95</v>
      </c>
      <c r="J66" s="7" t="s">
        <v>130</v>
      </c>
      <c r="K66" s="11">
        <v>0.84305555555555556</v>
      </c>
      <c r="L66" s="7" t="s">
        <v>499</v>
      </c>
      <c r="M66" s="11" t="e">
        <v>#VALUE!</v>
      </c>
      <c r="N66" s="29" t="s">
        <v>109</v>
      </c>
      <c r="O66" s="29" t="s">
        <v>61</v>
      </c>
      <c r="P66" s="7" t="s">
        <v>131</v>
      </c>
      <c r="Q66" s="7" t="s">
        <v>95</v>
      </c>
      <c r="R66" s="7" t="s">
        <v>109</v>
      </c>
      <c r="S66" s="7" t="s">
        <v>372</v>
      </c>
      <c r="T66" s="7" t="s">
        <v>109</v>
      </c>
      <c r="U66" s="7" t="s">
        <v>109</v>
      </c>
      <c r="V66" s="7" t="s">
        <v>109</v>
      </c>
      <c r="W66" s="29" t="s">
        <v>112</v>
      </c>
    </row>
    <row r="67" spans="1:23" customFormat="1" x14ac:dyDescent="0.3">
      <c r="A67" s="7">
        <v>66</v>
      </c>
      <c r="B67" s="29" t="s">
        <v>23</v>
      </c>
      <c r="C67" s="29" t="s">
        <v>355</v>
      </c>
      <c r="D67" s="29">
        <v>51125135</v>
      </c>
      <c r="E67" s="29">
        <v>300</v>
      </c>
      <c r="F67" s="7">
        <v>768</v>
      </c>
      <c r="G67" s="7">
        <v>266</v>
      </c>
      <c r="H67" s="7" t="s">
        <v>332</v>
      </c>
      <c r="I67" s="7" t="s">
        <v>454</v>
      </c>
      <c r="J67" s="7" t="s">
        <v>130</v>
      </c>
      <c r="K67" s="11">
        <v>3.2638888888888891E-2</v>
      </c>
      <c r="L67" s="11" t="s">
        <v>109</v>
      </c>
      <c r="M67" s="11" t="e">
        <v>#VALUE!</v>
      </c>
      <c r="N67" s="29" t="s">
        <v>109</v>
      </c>
      <c r="O67" s="29" t="s">
        <v>61</v>
      </c>
      <c r="P67" s="7" t="s">
        <v>131</v>
      </c>
      <c r="Q67" s="7" t="s">
        <v>90</v>
      </c>
      <c r="R67" s="7" t="s">
        <v>109</v>
      </c>
      <c r="S67" s="7" t="s">
        <v>372</v>
      </c>
      <c r="T67" s="7" t="s">
        <v>109</v>
      </c>
      <c r="U67" s="7" t="s">
        <v>109</v>
      </c>
      <c r="V67" s="7" t="s">
        <v>109</v>
      </c>
      <c r="W67" s="29" t="s">
        <v>289</v>
      </c>
    </row>
    <row r="68" spans="1:23" customFormat="1" x14ac:dyDescent="0.3">
      <c r="A68" s="7">
        <v>67</v>
      </c>
      <c r="B68" s="29" t="s">
        <v>23</v>
      </c>
      <c r="C68" s="29" t="s">
        <v>39</v>
      </c>
      <c r="D68" s="29">
        <v>51225109</v>
      </c>
      <c r="E68" s="29">
        <v>150</v>
      </c>
      <c r="F68" s="7">
        <v>197</v>
      </c>
      <c r="G68" s="7">
        <v>9</v>
      </c>
      <c r="H68" s="7" t="s">
        <v>186</v>
      </c>
      <c r="I68" s="7" t="s">
        <v>294</v>
      </c>
      <c r="J68" s="7" t="s">
        <v>130</v>
      </c>
      <c r="K68" s="11">
        <v>0.87847222222222221</v>
      </c>
      <c r="L68" s="11">
        <v>0.97986111111111107</v>
      </c>
      <c r="M68" s="11">
        <v>0.10138888888888886</v>
      </c>
      <c r="N68" s="29" t="s">
        <v>109</v>
      </c>
      <c r="O68" s="29" t="s">
        <v>61</v>
      </c>
      <c r="P68" s="7" t="s">
        <v>131</v>
      </c>
      <c r="Q68" s="7" t="s">
        <v>209</v>
      </c>
      <c r="R68" s="7" t="s">
        <v>109</v>
      </c>
      <c r="S68" s="7" t="s">
        <v>372</v>
      </c>
      <c r="T68" s="7" t="s">
        <v>109</v>
      </c>
      <c r="U68" s="7" t="s">
        <v>109</v>
      </c>
      <c r="V68" s="7" t="s">
        <v>109</v>
      </c>
      <c r="W68" s="29" t="s">
        <v>112</v>
      </c>
    </row>
    <row r="69" spans="1:23" customFormat="1" x14ac:dyDescent="0.3">
      <c r="A69" s="7">
        <v>68</v>
      </c>
      <c r="B69" s="29" t="s">
        <v>23</v>
      </c>
      <c r="C69" s="29" t="s">
        <v>455</v>
      </c>
      <c r="D69" s="29">
        <v>51125208</v>
      </c>
      <c r="E69" s="29">
        <v>50</v>
      </c>
      <c r="F69" s="7">
        <v>69</v>
      </c>
      <c r="G69" s="7">
        <v>46</v>
      </c>
      <c r="H69" s="7" t="s">
        <v>72</v>
      </c>
      <c r="I69" s="7" t="s">
        <v>95</v>
      </c>
      <c r="J69" s="7" t="s">
        <v>130</v>
      </c>
      <c r="K69" s="11">
        <v>0.8305555555555556</v>
      </c>
      <c r="L69" s="11">
        <v>0.84513888888888888</v>
      </c>
      <c r="M69" s="11">
        <v>1.4583333333333282E-2</v>
      </c>
      <c r="N69" s="29" t="s">
        <v>109</v>
      </c>
      <c r="O69" s="29" t="s">
        <v>61</v>
      </c>
      <c r="P69" s="7" t="s">
        <v>131</v>
      </c>
      <c r="Q69" s="7" t="s">
        <v>95</v>
      </c>
      <c r="R69" s="7" t="s">
        <v>109</v>
      </c>
      <c r="S69" s="7" t="s">
        <v>372</v>
      </c>
      <c r="T69" s="7" t="s">
        <v>109</v>
      </c>
      <c r="U69" s="7" t="s">
        <v>109</v>
      </c>
      <c r="V69" s="7" t="s">
        <v>109</v>
      </c>
      <c r="W69" s="29" t="s">
        <v>114</v>
      </c>
    </row>
    <row r="70" spans="1:23" customFormat="1" x14ac:dyDescent="0.3">
      <c r="A70" s="7">
        <v>69</v>
      </c>
      <c r="B70" s="29" t="s">
        <v>23</v>
      </c>
      <c r="C70" s="29" t="s">
        <v>456</v>
      </c>
      <c r="D70" s="29">
        <v>51125137</v>
      </c>
      <c r="E70" s="29">
        <v>10</v>
      </c>
      <c r="F70" s="7">
        <v>18</v>
      </c>
      <c r="G70" s="7">
        <v>0</v>
      </c>
      <c r="H70" s="7" t="s">
        <v>70</v>
      </c>
      <c r="I70" s="7" t="s">
        <v>90</v>
      </c>
      <c r="J70" s="7" t="s">
        <v>130</v>
      </c>
      <c r="K70" s="11">
        <v>2.7777777777777776E-2</v>
      </c>
      <c r="L70" s="7" t="s">
        <v>109</v>
      </c>
      <c r="M70" s="11" t="e">
        <v>#VALUE!</v>
      </c>
      <c r="N70" s="29" t="s">
        <v>109</v>
      </c>
      <c r="O70" s="29" t="s">
        <v>61</v>
      </c>
      <c r="P70" s="7" t="s">
        <v>131</v>
      </c>
      <c r="Q70" s="7" t="s">
        <v>90</v>
      </c>
      <c r="R70" s="7" t="s">
        <v>109</v>
      </c>
      <c r="S70" s="7" t="s">
        <v>372</v>
      </c>
      <c r="T70" s="7" t="s">
        <v>109</v>
      </c>
      <c r="U70" s="7" t="s">
        <v>109</v>
      </c>
      <c r="V70" s="7" t="s">
        <v>109</v>
      </c>
      <c r="W70" s="29" t="s">
        <v>289</v>
      </c>
    </row>
    <row r="71" spans="1:23" customFormat="1" x14ac:dyDescent="0.3">
      <c r="A71" s="7">
        <v>70</v>
      </c>
      <c r="B71" s="29" t="s">
        <v>23</v>
      </c>
      <c r="C71" s="29" t="s">
        <v>457</v>
      </c>
      <c r="D71" s="29">
        <v>51225065</v>
      </c>
      <c r="E71" s="29">
        <v>100</v>
      </c>
      <c r="F71" s="7">
        <v>204</v>
      </c>
      <c r="G71" s="7">
        <v>107</v>
      </c>
      <c r="H71" s="7" t="s">
        <v>274</v>
      </c>
      <c r="I71" s="7" t="s">
        <v>91</v>
      </c>
      <c r="J71" s="7" t="s">
        <v>130</v>
      </c>
      <c r="K71" s="11">
        <v>0.95763888888888893</v>
      </c>
      <c r="L71" s="7" t="s">
        <v>509</v>
      </c>
      <c r="M71" s="11" t="e">
        <v>#VALUE!</v>
      </c>
      <c r="N71" s="29" t="s">
        <v>109</v>
      </c>
      <c r="O71" s="29" t="s">
        <v>61</v>
      </c>
      <c r="P71" s="7" t="s">
        <v>131</v>
      </c>
      <c r="Q71" s="7" t="s">
        <v>91</v>
      </c>
      <c r="R71" s="7" t="s">
        <v>109</v>
      </c>
      <c r="S71" s="7" t="s">
        <v>372</v>
      </c>
      <c r="T71" s="7" t="s">
        <v>109</v>
      </c>
      <c r="U71" s="7" t="s">
        <v>109</v>
      </c>
      <c r="V71" s="7" t="s">
        <v>109</v>
      </c>
      <c r="W71" s="29" t="s">
        <v>197</v>
      </c>
    </row>
    <row r="72" spans="1:23" customFormat="1" x14ac:dyDescent="0.3">
      <c r="A72" s="7">
        <v>71</v>
      </c>
      <c r="B72" s="29" t="s">
        <v>23</v>
      </c>
      <c r="C72" s="29" t="s">
        <v>458</v>
      </c>
      <c r="D72" s="29">
        <v>51225059</v>
      </c>
      <c r="E72" s="29">
        <v>100</v>
      </c>
      <c r="F72" s="7">
        <v>142</v>
      </c>
      <c r="G72" s="7">
        <v>61</v>
      </c>
      <c r="H72" s="7" t="s">
        <v>82</v>
      </c>
      <c r="I72" s="7" t="s">
        <v>95</v>
      </c>
      <c r="J72" s="7" t="s">
        <v>130</v>
      </c>
      <c r="K72" s="7" t="s">
        <v>504</v>
      </c>
      <c r="L72" s="11">
        <v>0.99097222222222225</v>
      </c>
      <c r="M72" s="11" t="e">
        <v>#VALUE!</v>
      </c>
      <c r="N72" s="29" t="s">
        <v>109</v>
      </c>
      <c r="O72" s="29" t="s">
        <v>61</v>
      </c>
      <c r="P72" s="7" t="s">
        <v>131</v>
      </c>
      <c r="Q72" s="7" t="s">
        <v>95</v>
      </c>
      <c r="R72" s="7" t="s">
        <v>109</v>
      </c>
      <c r="S72" s="7" t="s">
        <v>372</v>
      </c>
      <c r="T72" s="7" t="s">
        <v>109</v>
      </c>
      <c r="U72" s="7" t="s">
        <v>109</v>
      </c>
      <c r="V72" s="7" t="s">
        <v>109</v>
      </c>
      <c r="W72" s="29" t="s">
        <v>197</v>
      </c>
    </row>
    <row r="73" spans="1:23" customFormat="1" x14ac:dyDescent="0.3">
      <c r="A73" s="7">
        <v>72</v>
      </c>
      <c r="B73" s="29" t="s">
        <v>23</v>
      </c>
      <c r="C73" s="29" t="s">
        <v>459</v>
      </c>
      <c r="D73" s="29">
        <v>51225051</v>
      </c>
      <c r="E73" s="29">
        <v>60</v>
      </c>
      <c r="F73" s="7">
        <v>98</v>
      </c>
      <c r="G73" s="7">
        <v>38</v>
      </c>
      <c r="H73" s="7" t="s">
        <v>214</v>
      </c>
      <c r="I73" s="7" t="s">
        <v>88</v>
      </c>
      <c r="J73" s="7" t="s">
        <v>130</v>
      </c>
      <c r="K73" s="11">
        <v>0.86805555555555558</v>
      </c>
      <c r="L73" s="11">
        <v>0.91180555555555554</v>
      </c>
      <c r="M73" s="11">
        <v>4.3749999999999956E-2</v>
      </c>
      <c r="N73" s="29" t="s">
        <v>109</v>
      </c>
      <c r="O73" s="29" t="s">
        <v>61</v>
      </c>
      <c r="P73" s="7" t="s">
        <v>131</v>
      </c>
      <c r="Q73" s="7" t="s">
        <v>88</v>
      </c>
      <c r="R73" s="7" t="s">
        <v>109</v>
      </c>
      <c r="S73" s="7" t="s">
        <v>372</v>
      </c>
      <c r="T73" s="7" t="s">
        <v>109</v>
      </c>
      <c r="U73" s="7" t="s">
        <v>109</v>
      </c>
      <c r="V73" s="7" t="s">
        <v>109</v>
      </c>
      <c r="W73" s="29" t="s">
        <v>197</v>
      </c>
    </row>
    <row r="74" spans="1:23" customFormat="1" x14ac:dyDescent="0.3">
      <c r="A74" s="7">
        <v>73</v>
      </c>
      <c r="B74" s="29" t="s">
        <v>23</v>
      </c>
      <c r="C74" s="29" t="s">
        <v>460</v>
      </c>
      <c r="D74" s="29">
        <v>51225054</v>
      </c>
      <c r="E74" s="29">
        <v>50</v>
      </c>
      <c r="F74" s="7">
        <v>100</v>
      </c>
      <c r="G74" s="7">
        <v>23</v>
      </c>
      <c r="H74" s="7" t="s">
        <v>241</v>
      </c>
      <c r="I74" s="7" t="s">
        <v>154</v>
      </c>
      <c r="J74" s="7" t="s">
        <v>130</v>
      </c>
      <c r="K74" s="11">
        <v>0.95</v>
      </c>
      <c r="L74" s="7" t="s">
        <v>508</v>
      </c>
      <c r="M74" s="11" t="e">
        <v>#VALUE!</v>
      </c>
      <c r="N74" s="29" t="s">
        <v>109</v>
      </c>
      <c r="O74" s="29" t="s">
        <v>61</v>
      </c>
      <c r="P74" s="7" t="s">
        <v>131</v>
      </c>
      <c r="Q74" s="7" t="s">
        <v>154</v>
      </c>
      <c r="R74" s="7" t="s">
        <v>109</v>
      </c>
      <c r="S74" s="7" t="s">
        <v>372</v>
      </c>
      <c r="T74" s="7" t="s">
        <v>109</v>
      </c>
      <c r="U74" s="7" t="s">
        <v>109</v>
      </c>
      <c r="V74" s="7" t="s">
        <v>109</v>
      </c>
      <c r="W74" s="29" t="s">
        <v>197</v>
      </c>
    </row>
    <row r="75" spans="1:23" customFormat="1" x14ac:dyDescent="0.3">
      <c r="A75" s="7">
        <v>74</v>
      </c>
      <c r="B75" s="29" t="s">
        <v>23</v>
      </c>
      <c r="C75" s="29" t="s">
        <v>461</v>
      </c>
      <c r="D75" s="29">
        <v>51225062</v>
      </c>
      <c r="E75" s="29">
        <v>75</v>
      </c>
      <c r="F75" s="7">
        <v>84</v>
      </c>
      <c r="G75" s="7">
        <v>23</v>
      </c>
      <c r="H75" s="7" t="s">
        <v>64</v>
      </c>
      <c r="I75" s="7" t="s">
        <v>86</v>
      </c>
      <c r="J75" s="7" t="s">
        <v>130</v>
      </c>
      <c r="K75" s="11">
        <v>0.68472222222222223</v>
      </c>
      <c r="L75" s="11">
        <v>0.73124999999999996</v>
      </c>
      <c r="M75" s="11">
        <v>4.6527777777777724E-2</v>
      </c>
      <c r="N75" s="29" t="s">
        <v>109</v>
      </c>
      <c r="O75" s="29" t="s">
        <v>61</v>
      </c>
      <c r="P75" s="7" t="s">
        <v>131</v>
      </c>
      <c r="Q75" s="7" t="s">
        <v>86</v>
      </c>
      <c r="R75" s="7" t="s">
        <v>109</v>
      </c>
      <c r="S75" s="7" t="s">
        <v>372</v>
      </c>
      <c r="T75" s="7" t="s">
        <v>109</v>
      </c>
      <c r="U75" s="7" t="s">
        <v>109</v>
      </c>
      <c r="V75" s="7" t="s">
        <v>109</v>
      </c>
      <c r="W75" s="29" t="s">
        <v>197</v>
      </c>
    </row>
    <row r="76" spans="1:23" customFormat="1" x14ac:dyDescent="0.3">
      <c r="A76" s="7">
        <v>75</v>
      </c>
      <c r="B76" s="29" t="s">
        <v>23</v>
      </c>
      <c r="C76" s="29" t="s">
        <v>462</v>
      </c>
      <c r="D76" s="29">
        <v>51125209</v>
      </c>
      <c r="E76" s="29">
        <v>25</v>
      </c>
      <c r="F76" s="7">
        <v>35</v>
      </c>
      <c r="G76" s="7">
        <v>6</v>
      </c>
      <c r="H76" s="7" t="s">
        <v>200</v>
      </c>
      <c r="I76" s="7" t="s">
        <v>87</v>
      </c>
      <c r="J76" s="7" t="s">
        <v>130</v>
      </c>
      <c r="K76" s="11">
        <v>0.70277777777777772</v>
      </c>
      <c r="L76" s="7" t="s">
        <v>463</v>
      </c>
      <c r="M76" s="11" t="e">
        <v>#VALUE!</v>
      </c>
      <c r="N76" s="29" t="s">
        <v>109</v>
      </c>
      <c r="O76" s="29" t="s">
        <v>61</v>
      </c>
      <c r="P76" s="7" t="s">
        <v>131</v>
      </c>
      <c r="Q76" s="7" t="s">
        <v>87</v>
      </c>
      <c r="R76" s="7" t="s">
        <v>109</v>
      </c>
      <c r="S76" s="7" t="s">
        <v>372</v>
      </c>
      <c r="T76" s="7" t="s">
        <v>109</v>
      </c>
      <c r="U76" s="7" t="s">
        <v>109</v>
      </c>
      <c r="V76" s="7" t="s">
        <v>109</v>
      </c>
      <c r="W76" s="29" t="s">
        <v>464</v>
      </c>
    </row>
    <row r="77" spans="1:23" x14ac:dyDescent="0.3">
      <c r="A77" s="28">
        <v>76</v>
      </c>
      <c r="B77" s="29" t="s">
        <v>23</v>
      </c>
      <c r="C77" s="29" t="s">
        <v>465</v>
      </c>
      <c r="D77" s="29">
        <v>51125210</v>
      </c>
      <c r="E77" s="29">
        <v>5</v>
      </c>
      <c r="F77" s="28">
        <v>7</v>
      </c>
      <c r="G77" s="28">
        <v>0</v>
      </c>
      <c r="H77" s="28" t="s">
        <v>82</v>
      </c>
      <c r="I77" s="28" t="s">
        <v>95</v>
      </c>
      <c r="J77" s="28" t="s">
        <v>130</v>
      </c>
      <c r="K77" s="41">
        <v>1.5972222222222221E-2</v>
      </c>
      <c r="L77" s="41">
        <v>1.8055555555555554E-2</v>
      </c>
      <c r="M77" s="11">
        <v>2.0833333333333329E-3</v>
      </c>
      <c r="N77" s="29" t="s">
        <v>109</v>
      </c>
      <c r="O77" s="29" t="s">
        <v>61</v>
      </c>
      <c r="P77" s="28" t="s">
        <v>109</v>
      </c>
      <c r="Q77" s="28" t="s">
        <v>109</v>
      </c>
      <c r="R77" s="28" t="s">
        <v>109</v>
      </c>
      <c r="S77" s="28" t="s">
        <v>372</v>
      </c>
      <c r="T77" s="28" t="s">
        <v>109</v>
      </c>
      <c r="U77" s="28" t="s">
        <v>109</v>
      </c>
      <c r="V77" s="28" t="s">
        <v>109</v>
      </c>
      <c r="W77" s="29" t="s">
        <v>464</v>
      </c>
    </row>
    <row r="78" spans="1:23" customFormat="1" x14ac:dyDescent="0.3">
      <c r="A78" s="7">
        <v>77</v>
      </c>
      <c r="B78" s="29" t="s">
        <v>23</v>
      </c>
      <c r="C78" s="29" t="s">
        <v>466</v>
      </c>
      <c r="D78" s="29">
        <v>51225058</v>
      </c>
      <c r="E78" s="29">
        <v>50</v>
      </c>
      <c r="F78" s="7">
        <v>76</v>
      </c>
      <c r="G78" s="7">
        <v>36</v>
      </c>
      <c r="H78" s="7" t="s">
        <v>71</v>
      </c>
      <c r="I78" s="7" t="s">
        <v>91</v>
      </c>
      <c r="J78" s="7" t="s">
        <v>130</v>
      </c>
      <c r="K78" s="7" t="s">
        <v>467</v>
      </c>
      <c r="L78" s="11">
        <v>0.79236111111111107</v>
      </c>
      <c r="M78" s="11" t="e">
        <v>#VALUE!</v>
      </c>
      <c r="N78" s="29" t="s">
        <v>109</v>
      </c>
      <c r="O78" s="29" t="s">
        <v>61</v>
      </c>
      <c r="P78" s="7" t="s">
        <v>131</v>
      </c>
      <c r="Q78" s="7" t="s">
        <v>91</v>
      </c>
      <c r="R78" s="7" t="s">
        <v>109</v>
      </c>
      <c r="S78" s="7" t="s">
        <v>372</v>
      </c>
      <c r="T78" s="7" t="s">
        <v>109</v>
      </c>
      <c r="U78" s="7" t="s">
        <v>109</v>
      </c>
      <c r="V78" s="7" t="s">
        <v>109</v>
      </c>
      <c r="W78" s="29" t="s">
        <v>197</v>
      </c>
    </row>
    <row r="79" spans="1:23" customFormat="1" x14ac:dyDescent="0.3">
      <c r="A79" s="7">
        <v>78</v>
      </c>
      <c r="B79" s="29" t="s">
        <v>23</v>
      </c>
      <c r="C79" s="29" t="s">
        <v>468</v>
      </c>
      <c r="D79" s="29">
        <v>51225057</v>
      </c>
      <c r="E79" s="29">
        <v>50</v>
      </c>
      <c r="F79" s="7">
        <v>72</v>
      </c>
      <c r="G79" s="7">
        <v>54</v>
      </c>
      <c r="H79" s="7" t="s">
        <v>67</v>
      </c>
      <c r="I79" s="7" t="s">
        <v>89</v>
      </c>
      <c r="J79" s="7" t="s">
        <v>130</v>
      </c>
      <c r="K79" s="11">
        <v>0.78680555555555554</v>
      </c>
      <c r="L79" s="11">
        <v>0.82916666666666672</v>
      </c>
      <c r="M79" s="11">
        <v>4.2361111111111183E-2</v>
      </c>
      <c r="N79" s="29" t="s">
        <v>109</v>
      </c>
      <c r="O79" s="29" t="s">
        <v>61</v>
      </c>
      <c r="P79" s="7" t="s">
        <v>131</v>
      </c>
      <c r="Q79" s="7" t="s">
        <v>89</v>
      </c>
      <c r="R79" s="7" t="s">
        <v>109</v>
      </c>
      <c r="S79" s="7" t="s">
        <v>372</v>
      </c>
      <c r="T79" s="7" t="s">
        <v>109</v>
      </c>
      <c r="U79" s="7" t="s">
        <v>109</v>
      </c>
      <c r="V79" s="7" t="s">
        <v>109</v>
      </c>
      <c r="W79" s="29" t="s">
        <v>197</v>
      </c>
    </row>
    <row r="80" spans="1:23" customFormat="1" x14ac:dyDescent="0.3">
      <c r="A80" s="7">
        <v>79</v>
      </c>
      <c r="B80" s="29" t="s">
        <v>23</v>
      </c>
      <c r="C80" s="29" t="s">
        <v>469</v>
      </c>
      <c r="D80" s="29">
        <v>51225053</v>
      </c>
      <c r="E80" s="29">
        <v>50</v>
      </c>
      <c r="F80" s="7">
        <v>55</v>
      </c>
      <c r="G80" s="7">
        <v>4</v>
      </c>
      <c r="H80" s="7" t="s">
        <v>196</v>
      </c>
      <c r="I80" s="7" t="s">
        <v>87</v>
      </c>
      <c r="J80" s="7" t="s">
        <v>130</v>
      </c>
      <c r="K80" s="11">
        <v>0.81736111111111109</v>
      </c>
      <c r="L80" s="11">
        <v>0.84722222222222221</v>
      </c>
      <c r="M80" s="11">
        <v>2.9861111111111116E-2</v>
      </c>
      <c r="N80" s="29" t="s">
        <v>109</v>
      </c>
      <c r="O80" s="29" t="s">
        <v>61</v>
      </c>
      <c r="P80" s="7" t="s">
        <v>131</v>
      </c>
      <c r="Q80" s="7" t="s">
        <v>87</v>
      </c>
      <c r="R80" s="7" t="s">
        <v>109</v>
      </c>
      <c r="S80" s="7" t="s">
        <v>372</v>
      </c>
      <c r="T80" s="7" t="s">
        <v>109</v>
      </c>
      <c r="U80" s="7" t="s">
        <v>109</v>
      </c>
      <c r="V80" s="7" t="s">
        <v>109</v>
      </c>
      <c r="W80" s="29" t="s">
        <v>197</v>
      </c>
    </row>
    <row r="81" spans="1:23" customFormat="1" x14ac:dyDescent="0.3">
      <c r="A81" s="7">
        <v>80</v>
      </c>
      <c r="B81" s="29" t="s">
        <v>23</v>
      </c>
      <c r="C81" s="29" t="s">
        <v>470</v>
      </c>
      <c r="D81" s="29">
        <v>51225052</v>
      </c>
      <c r="E81" s="29">
        <v>40</v>
      </c>
      <c r="F81" s="7">
        <v>76</v>
      </c>
      <c r="G81" s="7">
        <v>42</v>
      </c>
      <c r="H81" s="7" t="s">
        <v>196</v>
      </c>
      <c r="I81" s="7" t="s">
        <v>87</v>
      </c>
      <c r="J81" s="7" t="s">
        <v>130</v>
      </c>
      <c r="K81" s="11">
        <v>0.69166666666666665</v>
      </c>
      <c r="L81" s="11">
        <v>0.72152777777777777</v>
      </c>
      <c r="M81" s="11">
        <v>2.9861111111111116E-2</v>
      </c>
      <c r="N81" s="29" t="s">
        <v>109</v>
      </c>
      <c r="O81" s="29" t="s">
        <v>61</v>
      </c>
      <c r="P81" s="7" t="s">
        <v>131</v>
      </c>
      <c r="Q81" s="7" t="s">
        <v>87</v>
      </c>
      <c r="R81" s="7" t="s">
        <v>109</v>
      </c>
      <c r="S81" s="7" t="s">
        <v>372</v>
      </c>
      <c r="T81" s="7" t="s">
        <v>109</v>
      </c>
      <c r="U81" s="7" t="s">
        <v>109</v>
      </c>
      <c r="V81" s="7" t="s">
        <v>109</v>
      </c>
      <c r="W81" s="29" t="s">
        <v>197</v>
      </c>
    </row>
    <row r="82" spans="1:23" customFormat="1" x14ac:dyDescent="0.3">
      <c r="A82" s="7">
        <v>81</v>
      </c>
      <c r="B82" s="29" t="s">
        <v>23</v>
      </c>
      <c r="C82" s="29" t="s">
        <v>471</v>
      </c>
      <c r="D82" s="29">
        <v>51225056</v>
      </c>
      <c r="E82" s="29">
        <v>40</v>
      </c>
      <c r="F82" s="7">
        <v>43</v>
      </c>
      <c r="G82" s="7">
        <v>10</v>
      </c>
      <c r="H82" s="7" t="s">
        <v>68</v>
      </c>
      <c r="I82" s="7" t="s">
        <v>86</v>
      </c>
      <c r="J82" s="7" t="s">
        <v>130</v>
      </c>
      <c r="K82" s="11">
        <v>0.73263888888888884</v>
      </c>
      <c r="L82" s="11">
        <v>0.82499999999999996</v>
      </c>
      <c r="M82" s="11">
        <v>9.2361111111111116E-2</v>
      </c>
      <c r="N82" s="29" t="s">
        <v>109</v>
      </c>
      <c r="O82" s="29" t="s">
        <v>61</v>
      </c>
      <c r="P82" s="7" t="s">
        <v>131</v>
      </c>
      <c r="Q82" s="7" t="s">
        <v>86</v>
      </c>
      <c r="R82" s="7" t="s">
        <v>109</v>
      </c>
      <c r="S82" s="7" t="s">
        <v>372</v>
      </c>
      <c r="T82" s="7" t="s">
        <v>109</v>
      </c>
      <c r="U82" s="7" t="s">
        <v>109</v>
      </c>
      <c r="V82" s="7" t="s">
        <v>109</v>
      </c>
      <c r="W82" s="29" t="s">
        <v>197</v>
      </c>
    </row>
    <row r="83" spans="1:23" customFormat="1" x14ac:dyDescent="0.3">
      <c r="A83" s="7">
        <v>82</v>
      </c>
      <c r="B83" s="29" t="s">
        <v>23</v>
      </c>
      <c r="C83" s="29" t="s">
        <v>472</v>
      </c>
      <c r="D83" s="29">
        <v>51225055</v>
      </c>
      <c r="E83" s="29">
        <v>40</v>
      </c>
      <c r="F83" s="7">
        <v>52</v>
      </c>
      <c r="G83" s="7">
        <v>19</v>
      </c>
      <c r="H83" s="7" t="s">
        <v>66</v>
      </c>
      <c r="I83" s="7" t="s">
        <v>88</v>
      </c>
      <c r="J83" s="7" t="s">
        <v>130</v>
      </c>
      <c r="K83" s="11">
        <v>0.69097222222222221</v>
      </c>
      <c r="L83" s="7" t="s">
        <v>496</v>
      </c>
      <c r="M83" s="11" t="e">
        <v>#VALUE!</v>
      </c>
      <c r="N83" s="29" t="s">
        <v>109</v>
      </c>
      <c r="O83" s="29" t="s">
        <v>61</v>
      </c>
      <c r="P83" s="7" t="s">
        <v>131</v>
      </c>
      <c r="Q83" s="7" t="s">
        <v>88</v>
      </c>
      <c r="R83" s="7" t="s">
        <v>109</v>
      </c>
      <c r="S83" s="7" t="s">
        <v>372</v>
      </c>
      <c r="T83" s="7" t="s">
        <v>109</v>
      </c>
      <c r="U83" s="7" t="s">
        <v>109</v>
      </c>
      <c r="V83" s="7" t="s">
        <v>109</v>
      </c>
      <c r="W83" s="29" t="s">
        <v>197</v>
      </c>
    </row>
    <row r="84" spans="1:23" customFormat="1" x14ac:dyDescent="0.3">
      <c r="A84" s="7">
        <v>83</v>
      </c>
      <c r="B84" s="29" t="s">
        <v>23</v>
      </c>
      <c r="C84" s="29" t="s">
        <v>473</v>
      </c>
      <c r="D84" s="29">
        <v>51225079</v>
      </c>
      <c r="E84" s="29">
        <v>50</v>
      </c>
      <c r="F84" s="7">
        <v>90</v>
      </c>
      <c r="G84" s="7">
        <v>51</v>
      </c>
      <c r="H84" s="7" t="s">
        <v>68</v>
      </c>
      <c r="I84" s="7" t="s">
        <v>86</v>
      </c>
      <c r="J84" s="7" t="s">
        <v>130</v>
      </c>
      <c r="K84" s="11">
        <v>0.70416666666666672</v>
      </c>
      <c r="L84" s="11">
        <v>0.77152777777777781</v>
      </c>
      <c r="M84" s="11">
        <v>6.7361111111111094E-2</v>
      </c>
      <c r="N84" s="32" t="s">
        <v>110</v>
      </c>
      <c r="O84" s="29" t="s">
        <v>61</v>
      </c>
      <c r="P84" s="7" t="s">
        <v>131</v>
      </c>
      <c r="Q84" s="7" t="s">
        <v>86</v>
      </c>
      <c r="R84" s="7" t="s">
        <v>109</v>
      </c>
      <c r="S84" s="7" t="s">
        <v>372</v>
      </c>
      <c r="T84" s="7" t="s">
        <v>109</v>
      </c>
      <c r="U84" s="7" t="s">
        <v>109</v>
      </c>
      <c r="V84" s="7" t="s">
        <v>109</v>
      </c>
      <c r="W84" s="29" t="s">
        <v>351</v>
      </c>
    </row>
    <row r="85" spans="1:23" customFormat="1" x14ac:dyDescent="0.3">
      <c r="A85" s="7">
        <v>84</v>
      </c>
      <c r="B85" s="29" t="s">
        <v>23</v>
      </c>
      <c r="C85" s="29" t="s">
        <v>216</v>
      </c>
      <c r="D85" s="29">
        <v>51225066</v>
      </c>
      <c r="E85" s="29">
        <v>25</v>
      </c>
      <c r="F85" s="7">
        <v>39</v>
      </c>
      <c r="G85" s="7">
        <v>29</v>
      </c>
      <c r="H85" s="7" t="s">
        <v>69</v>
      </c>
      <c r="I85" s="7" t="s">
        <v>94</v>
      </c>
      <c r="J85" s="7" t="s">
        <v>130</v>
      </c>
      <c r="K85" s="11">
        <v>0.75486111111111109</v>
      </c>
      <c r="L85" s="11">
        <v>0.77500000000000002</v>
      </c>
      <c r="M85" s="11">
        <v>2.0138888888888928E-2</v>
      </c>
      <c r="N85" s="29" t="s">
        <v>109</v>
      </c>
      <c r="O85" s="29" t="s">
        <v>61</v>
      </c>
      <c r="P85" s="7" t="s">
        <v>131</v>
      </c>
      <c r="Q85" s="7" t="s">
        <v>94</v>
      </c>
      <c r="R85" s="7" t="s">
        <v>109</v>
      </c>
      <c r="S85" s="7" t="s">
        <v>372</v>
      </c>
      <c r="T85" s="7" t="s">
        <v>109</v>
      </c>
      <c r="U85" s="7" t="s">
        <v>109</v>
      </c>
      <c r="V85" s="7" t="s">
        <v>109</v>
      </c>
      <c r="W85" s="29" t="s">
        <v>218</v>
      </c>
    </row>
    <row r="86" spans="1:23" customFormat="1" x14ac:dyDescent="0.3">
      <c r="A86" s="7">
        <v>85</v>
      </c>
      <c r="B86" s="29" t="s">
        <v>23</v>
      </c>
      <c r="C86" s="29" t="s">
        <v>219</v>
      </c>
      <c r="D86" s="29">
        <v>51225067</v>
      </c>
      <c r="E86" s="29">
        <v>150</v>
      </c>
      <c r="F86" s="7">
        <v>274</v>
      </c>
      <c r="G86" s="7">
        <v>116</v>
      </c>
      <c r="H86" s="7" t="s">
        <v>262</v>
      </c>
      <c r="I86" s="7" t="s">
        <v>294</v>
      </c>
      <c r="J86" s="7" t="s">
        <v>130</v>
      </c>
      <c r="K86" s="7" t="s">
        <v>503</v>
      </c>
      <c r="L86" s="11">
        <v>0.98888888888888893</v>
      </c>
      <c r="M86" s="11" t="e">
        <v>#VALUE!</v>
      </c>
      <c r="N86" s="29" t="s">
        <v>109</v>
      </c>
      <c r="O86" s="29" t="s">
        <v>61</v>
      </c>
      <c r="P86" s="7" t="s">
        <v>131</v>
      </c>
      <c r="Q86" s="7" t="s">
        <v>88</v>
      </c>
      <c r="R86" s="7" t="s">
        <v>109</v>
      </c>
      <c r="S86" s="7" t="s">
        <v>372</v>
      </c>
      <c r="T86" s="7" t="s">
        <v>109</v>
      </c>
      <c r="U86" s="7" t="s">
        <v>109</v>
      </c>
      <c r="V86" s="7" t="s">
        <v>109</v>
      </c>
      <c r="W86" s="29" t="s">
        <v>218</v>
      </c>
    </row>
    <row r="87" spans="1:23" x14ac:dyDescent="0.3">
      <c r="A87" s="28">
        <v>86</v>
      </c>
      <c r="B87" s="29" t="s">
        <v>23</v>
      </c>
      <c r="C87" s="29" t="s">
        <v>220</v>
      </c>
      <c r="D87" s="29">
        <v>51225068</v>
      </c>
      <c r="E87" s="29">
        <v>150</v>
      </c>
      <c r="F87" s="28">
        <v>289</v>
      </c>
      <c r="G87" s="28">
        <v>109</v>
      </c>
      <c r="H87" s="28" t="s">
        <v>159</v>
      </c>
      <c r="I87" s="28" t="s">
        <v>99</v>
      </c>
      <c r="J87" s="28" t="s">
        <v>130</v>
      </c>
      <c r="K87" s="41">
        <v>2.4305555555555556E-2</v>
      </c>
      <c r="L87" s="28" t="s">
        <v>109</v>
      </c>
      <c r="M87" s="11" t="e">
        <v>#VALUE!</v>
      </c>
      <c r="N87" s="29" t="s">
        <v>109</v>
      </c>
      <c r="O87" s="29" t="s">
        <v>61</v>
      </c>
      <c r="P87" s="7" t="s">
        <v>131</v>
      </c>
      <c r="Q87" s="28" t="s">
        <v>109</v>
      </c>
      <c r="R87" s="28" t="s">
        <v>109</v>
      </c>
      <c r="S87" s="28" t="s">
        <v>372</v>
      </c>
      <c r="T87" s="28" t="s">
        <v>109</v>
      </c>
      <c r="U87" s="28" t="s">
        <v>109</v>
      </c>
      <c r="V87" s="28" t="s">
        <v>109</v>
      </c>
      <c r="W87" s="29" t="s">
        <v>218</v>
      </c>
    </row>
    <row r="88" spans="1:23" customFormat="1" x14ac:dyDescent="0.3">
      <c r="A88" s="7">
        <v>87</v>
      </c>
      <c r="B88" s="38" t="s">
        <v>23</v>
      </c>
      <c r="C88" s="38" t="s">
        <v>474</v>
      </c>
      <c r="D88" s="38">
        <v>50126027</v>
      </c>
      <c r="E88" s="38">
        <v>20</v>
      </c>
      <c r="F88" s="7">
        <v>28</v>
      </c>
      <c r="G88" s="7">
        <v>24</v>
      </c>
      <c r="H88" s="7" t="s">
        <v>70</v>
      </c>
      <c r="I88" s="7" t="s">
        <v>89</v>
      </c>
      <c r="J88" s="7" t="s">
        <v>130</v>
      </c>
      <c r="K88" s="11">
        <v>0.71944444444444444</v>
      </c>
      <c r="L88" s="7" t="s">
        <v>475</v>
      </c>
      <c r="M88" s="11" t="e">
        <v>#VALUE!</v>
      </c>
      <c r="N88" s="7" t="s">
        <v>109</v>
      </c>
      <c r="O88" s="38" t="s">
        <v>61</v>
      </c>
      <c r="P88" s="7" t="s">
        <v>131</v>
      </c>
      <c r="Q88" s="7" t="s">
        <v>89</v>
      </c>
      <c r="R88" s="7" t="s">
        <v>109</v>
      </c>
      <c r="S88" s="7" t="s">
        <v>476</v>
      </c>
      <c r="T88" s="7" t="s">
        <v>109</v>
      </c>
      <c r="U88" s="7" t="s">
        <v>109</v>
      </c>
      <c r="V88" s="7" t="s">
        <v>109</v>
      </c>
      <c r="W88" s="38" t="s">
        <v>477</v>
      </c>
    </row>
    <row r="89" spans="1:23" customFormat="1" x14ac:dyDescent="0.3">
      <c r="A89" s="7">
        <v>88</v>
      </c>
      <c r="B89" s="38" t="s">
        <v>23</v>
      </c>
      <c r="C89" s="38" t="s">
        <v>478</v>
      </c>
      <c r="D89" s="38">
        <v>50126028</v>
      </c>
      <c r="E89" s="38">
        <v>20</v>
      </c>
      <c r="F89" s="7">
        <v>40</v>
      </c>
      <c r="G89" s="7">
        <v>18</v>
      </c>
      <c r="H89" s="7" t="s">
        <v>64</v>
      </c>
      <c r="I89" s="7" t="s">
        <v>86</v>
      </c>
      <c r="J89" s="7" t="s">
        <v>130</v>
      </c>
      <c r="K89" s="11">
        <v>0.91388888888888886</v>
      </c>
      <c r="L89" s="7" t="s">
        <v>502</v>
      </c>
      <c r="M89" s="11" t="e">
        <v>#VALUE!</v>
      </c>
      <c r="N89" s="7" t="s">
        <v>109</v>
      </c>
      <c r="O89" s="38" t="s">
        <v>61</v>
      </c>
      <c r="P89" s="7" t="s">
        <v>131</v>
      </c>
      <c r="Q89" s="7" t="s">
        <v>86</v>
      </c>
      <c r="R89" s="7" t="s">
        <v>109</v>
      </c>
      <c r="S89" s="7" t="s">
        <v>476</v>
      </c>
      <c r="T89" s="7" t="s">
        <v>109</v>
      </c>
      <c r="U89" s="7" t="s">
        <v>109</v>
      </c>
      <c r="V89" s="7" t="s">
        <v>109</v>
      </c>
      <c r="W89" s="38" t="s">
        <v>477</v>
      </c>
    </row>
    <row r="90" spans="1:23" customFormat="1" x14ac:dyDescent="0.3">
      <c r="A90" s="7">
        <v>89</v>
      </c>
      <c r="B90" s="38" t="s">
        <v>23</v>
      </c>
      <c r="C90" s="38" t="s">
        <v>479</v>
      </c>
      <c r="D90" s="38">
        <v>50126013</v>
      </c>
      <c r="E90" s="38">
        <v>20</v>
      </c>
      <c r="F90" s="7">
        <v>46</v>
      </c>
      <c r="G90" s="7">
        <v>20</v>
      </c>
      <c r="H90" s="7" t="s">
        <v>153</v>
      </c>
      <c r="I90" s="7" t="s">
        <v>154</v>
      </c>
      <c r="J90" s="7" t="s">
        <v>130</v>
      </c>
      <c r="K90" s="11">
        <v>0.76458333333333328</v>
      </c>
      <c r="L90" s="7" t="s">
        <v>491</v>
      </c>
      <c r="M90" s="11" t="e">
        <v>#VALUE!</v>
      </c>
      <c r="N90" s="7" t="s">
        <v>109</v>
      </c>
      <c r="O90" s="38" t="s">
        <v>61</v>
      </c>
      <c r="P90" s="7" t="s">
        <v>131</v>
      </c>
      <c r="Q90" s="7" t="s">
        <v>154</v>
      </c>
      <c r="R90" s="7" t="s">
        <v>109</v>
      </c>
      <c r="S90" s="7" t="s">
        <v>476</v>
      </c>
      <c r="T90" s="7" t="s">
        <v>109</v>
      </c>
      <c r="U90" s="7" t="s">
        <v>109</v>
      </c>
      <c r="V90" s="7" t="s">
        <v>109</v>
      </c>
      <c r="W90" s="38" t="s">
        <v>480</v>
      </c>
    </row>
    <row r="91" spans="1:23" customFormat="1" x14ac:dyDescent="0.3">
      <c r="A91" s="7">
        <v>90</v>
      </c>
      <c r="B91" s="38" t="s">
        <v>23</v>
      </c>
      <c r="C91" s="38" t="s">
        <v>481</v>
      </c>
      <c r="D91" s="38">
        <v>50126009</v>
      </c>
      <c r="E91" s="38">
        <v>20</v>
      </c>
      <c r="F91" s="7">
        <v>58</v>
      </c>
      <c r="G91" s="7">
        <v>24</v>
      </c>
      <c r="H91" s="7" t="s">
        <v>200</v>
      </c>
      <c r="I91" s="7" t="s">
        <v>91</v>
      </c>
      <c r="J91" s="7" t="s">
        <v>130</v>
      </c>
      <c r="K91" s="11">
        <v>0.7270833333333333</v>
      </c>
      <c r="L91" s="7" t="s">
        <v>489</v>
      </c>
      <c r="M91" s="11" t="e">
        <v>#VALUE!</v>
      </c>
      <c r="N91" s="7" t="s">
        <v>109</v>
      </c>
      <c r="O91" s="38" t="s">
        <v>61</v>
      </c>
      <c r="P91" s="7" t="s">
        <v>131</v>
      </c>
      <c r="Q91" s="7" t="s">
        <v>91</v>
      </c>
      <c r="R91" s="7" t="s">
        <v>109</v>
      </c>
      <c r="S91" s="7" t="s">
        <v>476</v>
      </c>
      <c r="T91" s="7" t="s">
        <v>109</v>
      </c>
      <c r="U91" s="7" t="s">
        <v>109</v>
      </c>
      <c r="V91" s="7" t="s">
        <v>109</v>
      </c>
      <c r="W91" s="38" t="s">
        <v>480</v>
      </c>
    </row>
    <row r="92" spans="1:23" customFormat="1" x14ac:dyDescent="0.3">
      <c r="A92" s="7">
        <v>91</v>
      </c>
      <c r="B92" s="38" t="s">
        <v>23</v>
      </c>
      <c r="C92" s="38" t="s">
        <v>482</v>
      </c>
      <c r="D92" s="38">
        <v>50126010</v>
      </c>
      <c r="E92" s="38">
        <v>20</v>
      </c>
      <c r="F92" s="7">
        <v>40</v>
      </c>
      <c r="G92" s="7">
        <v>25</v>
      </c>
      <c r="H92" s="7" t="s">
        <v>72</v>
      </c>
      <c r="I92" s="7" t="s">
        <v>95</v>
      </c>
      <c r="J92" s="7" t="s">
        <v>130</v>
      </c>
      <c r="K92" s="11">
        <v>0.68888888888888888</v>
      </c>
      <c r="L92" s="11">
        <v>0.72499999999999998</v>
      </c>
      <c r="M92" s="11">
        <v>3.6111111111111094E-2</v>
      </c>
      <c r="N92" s="7" t="s">
        <v>109</v>
      </c>
      <c r="O92" s="38" t="s">
        <v>61</v>
      </c>
      <c r="P92" s="7" t="s">
        <v>131</v>
      </c>
      <c r="Q92" s="7" t="s">
        <v>95</v>
      </c>
      <c r="R92" s="7" t="s">
        <v>109</v>
      </c>
      <c r="S92" s="7" t="s">
        <v>476</v>
      </c>
      <c r="T92" s="7" t="s">
        <v>109</v>
      </c>
      <c r="U92" s="7" t="s">
        <v>109</v>
      </c>
      <c r="V92" s="7" t="s">
        <v>109</v>
      </c>
      <c r="W92" s="38" t="s">
        <v>480</v>
      </c>
    </row>
    <row r="93" spans="1:23" customFormat="1" x14ac:dyDescent="0.3">
      <c r="A93" s="7">
        <v>92</v>
      </c>
      <c r="B93" s="38" t="s">
        <v>23</v>
      </c>
      <c r="C93" s="38" t="s">
        <v>483</v>
      </c>
      <c r="D93" s="38">
        <v>50126011</v>
      </c>
      <c r="E93" s="38">
        <v>20</v>
      </c>
      <c r="F93" s="7">
        <v>45</v>
      </c>
      <c r="G93" s="7">
        <v>22</v>
      </c>
      <c r="H93" s="7" t="s">
        <v>241</v>
      </c>
      <c r="I93" s="7" t="s">
        <v>93</v>
      </c>
      <c r="J93" s="7" t="s">
        <v>130</v>
      </c>
      <c r="K93" s="11">
        <v>0.77013888888888893</v>
      </c>
      <c r="L93" s="11">
        <v>0.78541666666666665</v>
      </c>
      <c r="M93" s="11">
        <v>1.5277777777777724E-2</v>
      </c>
      <c r="N93" s="7" t="s">
        <v>109</v>
      </c>
      <c r="O93" s="38" t="s">
        <v>61</v>
      </c>
      <c r="P93" s="7" t="s">
        <v>131</v>
      </c>
      <c r="Q93" s="7" t="s">
        <v>93</v>
      </c>
      <c r="R93" s="7" t="s">
        <v>109</v>
      </c>
      <c r="S93" s="7" t="s">
        <v>476</v>
      </c>
      <c r="T93" s="7" t="s">
        <v>109</v>
      </c>
      <c r="U93" s="7" t="s">
        <v>109</v>
      </c>
      <c r="V93" s="7" t="s">
        <v>109</v>
      </c>
      <c r="W93" s="38" t="s">
        <v>480</v>
      </c>
    </row>
    <row r="94" spans="1:23" customFormat="1" x14ac:dyDescent="0.3">
      <c r="A94" s="7">
        <v>93</v>
      </c>
      <c r="B94" s="38" t="s">
        <v>23</v>
      </c>
      <c r="C94" s="38" t="s">
        <v>484</v>
      </c>
      <c r="D94" s="38">
        <v>50126012</v>
      </c>
      <c r="E94" s="38">
        <v>20</v>
      </c>
      <c r="F94" s="7">
        <v>36</v>
      </c>
      <c r="G94" s="7">
        <v>25</v>
      </c>
      <c r="H94" s="7" t="s">
        <v>71</v>
      </c>
      <c r="I94" s="7" t="s">
        <v>87</v>
      </c>
      <c r="J94" s="7" t="s">
        <v>130</v>
      </c>
      <c r="K94" s="11">
        <v>0.69930555555555551</v>
      </c>
      <c r="L94" s="11">
        <v>0.74305555555555558</v>
      </c>
      <c r="M94" s="11">
        <v>4.3750000000000067E-2</v>
      </c>
      <c r="N94" s="7" t="s">
        <v>109</v>
      </c>
      <c r="O94" s="38" t="s">
        <v>61</v>
      </c>
      <c r="P94" s="7" t="s">
        <v>131</v>
      </c>
      <c r="Q94" s="7" t="s">
        <v>87</v>
      </c>
      <c r="R94" s="7" t="s">
        <v>109</v>
      </c>
      <c r="S94" s="7" t="s">
        <v>476</v>
      </c>
      <c r="T94" s="7" t="s">
        <v>109</v>
      </c>
      <c r="U94" s="7" t="s">
        <v>109</v>
      </c>
      <c r="V94" s="7" t="s">
        <v>109</v>
      </c>
      <c r="W94" s="38" t="s">
        <v>480</v>
      </c>
    </row>
    <row r="95" spans="1:23" customFormat="1" x14ac:dyDescent="0.3">
      <c r="A95" s="7">
        <v>94</v>
      </c>
      <c r="B95" s="38" t="s">
        <v>23</v>
      </c>
      <c r="C95" s="38" t="s">
        <v>485</v>
      </c>
      <c r="D95" s="38">
        <v>50126039</v>
      </c>
      <c r="E95" s="38">
        <v>20</v>
      </c>
      <c r="F95" s="7">
        <v>19</v>
      </c>
      <c r="G95" s="7">
        <v>11</v>
      </c>
      <c r="H95" s="7" t="s">
        <v>67</v>
      </c>
      <c r="I95" s="7" t="s">
        <v>89</v>
      </c>
      <c r="J95" s="7" t="s">
        <v>130</v>
      </c>
      <c r="K95" s="11">
        <v>0.7006944444444444</v>
      </c>
      <c r="L95" s="7" t="s">
        <v>486</v>
      </c>
      <c r="M95" s="11" t="e">
        <v>#VALUE!</v>
      </c>
      <c r="N95" s="7" t="s">
        <v>109</v>
      </c>
      <c r="O95" s="38" t="s">
        <v>61</v>
      </c>
      <c r="P95" s="7" t="s">
        <v>131</v>
      </c>
      <c r="Q95" s="7" t="s">
        <v>89</v>
      </c>
      <c r="R95" s="7" t="s">
        <v>109</v>
      </c>
      <c r="S95" s="7" t="s">
        <v>476</v>
      </c>
      <c r="T95" s="7" t="s">
        <v>109</v>
      </c>
      <c r="U95" s="7" t="s">
        <v>109</v>
      </c>
      <c r="V95" s="7" t="s">
        <v>109</v>
      </c>
      <c r="W95" s="38" t="s">
        <v>480</v>
      </c>
    </row>
    <row r="96" spans="1:23" customFormat="1" x14ac:dyDescent="0.3">
      <c r="A96" s="7">
        <v>95</v>
      </c>
      <c r="B96" s="38" t="s">
        <v>23</v>
      </c>
      <c r="C96" s="38" t="s">
        <v>487</v>
      </c>
      <c r="D96" s="38">
        <v>50126038</v>
      </c>
      <c r="E96" s="38">
        <v>20</v>
      </c>
      <c r="F96" s="7">
        <v>42</v>
      </c>
      <c r="G96" s="7">
        <v>13</v>
      </c>
      <c r="H96" s="7" t="s">
        <v>196</v>
      </c>
      <c r="I96" s="7" t="s">
        <v>88</v>
      </c>
      <c r="J96" s="7" t="s">
        <v>130</v>
      </c>
      <c r="K96" s="11">
        <v>0.75763888888888886</v>
      </c>
      <c r="L96" s="7" t="s">
        <v>498</v>
      </c>
      <c r="M96" s="11" t="e">
        <v>#VALUE!</v>
      </c>
      <c r="N96" s="7" t="s">
        <v>109</v>
      </c>
      <c r="O96" s="38" t="s">
        <v>61</v>
      </c>
      <c r="P96" s="7" t="s">
        <v>131</v>
      </c>
      <c r="Q96" s="7" t="s">
        <v>88</v>
      </c>
      <c r="R96" s="7" t="s">
        <v>109</v>
      </c>
      <c r="S96" s="7" t="s">
        <v>476</v>
      </c>
      <c r="T96" s="7" t="s">
        <v>109</v>
      </c>
      <c r="U96" s="7" t="s">
        <v>109</v>
      </c>
      <c r="V96" s="7" t="s">
        <v>109</v>
      </c>
      <c r="W96" s="38" t="s">
        <v>480</v>
      </c>
    </row>
    <row r="97" spans="1:23" customFormat="1" x14ac:dyDescent="0.3">
      <c r="A97" s="7">
        <v>96</v>
      </c>
      <c r="B97" s="38" t="s">
        <v>23</v>
      </c>
      <c r="C97" s="38" t="s">
        <v>488</v>
      </c>
      <c r="D97" s="38">
        <v>50126037</v>
      </c>
      <c r="E97" s="38">
        <v>20</v>
      </c>
      <c r="F97" s="7">
        <v>14</v>
      </c>
      <c r="G97" s="7">
        <v>4</v>
      </c>
      <c r="H97" s="7" t="s">
        <v>68</v>
      </c>
      <c r="I97" s="7" t="s">
        <v>86</v>
      </c>
      <c r="J97" s="7" t="s">
        <v>130</v>
      </c>
      <c r="K97" s="7" t="s">
        <v>500</v>
      </c>
      <c r="L97" s="11">
        <v>0.9194444444444444</v>
      </c>
      <c r="M97" s="11" t="e">
        <v>#VALUE!</v>
      </c>
      <c r="N97" s="7" t="s">
        <v>109</v>
      </c>
      <c r="O97" s="38" t="s">
        <v>61</v>
      </c>
      <c r="P97" s="7" t="s">
        <v>131</v>
      </c>
      <c r="Q97" s="7" t="s">
        <v>86</v>
      </c>
      <c r="R97" s="7" t="s">
        <v>109</v>
      </c>
      <c r="S97" s="7" t="s">
        <v>476</v>
      </c>
      <c r="T97" s="7" t="s">
        <v>109</v>
      </c>
      <c r="U97" s="7" t="s">
        <v>109</v>
      </c>
      <c r="V97" s="7" t="s">
        <v>109</v>
      </c>
      <c r="W97" s="38" t="s">
        <v>480</v>
      </c>
    </row>
  </sheetData>
  <conditionalFormatting sqref="D1">
    <cfRule type="duplicateValues" dxfId="110" priority="6"/>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CB4E3-2D30-43C3-804C-2BC30243393F}">
  <sheetPr codeName="Sheet5"/>
  <dimension ref="A1:V109"/>
  <sheetViews>
    <sheetView workbookViewId="0">
      <pane ySplit="1" topLeftCell="A95" activePane="bottomLeft" state="frozen"/>
      <selection pane="bottomLeft" activeCell="I109" sqref="I109"/>
    </sheetView>
  </sheetViews>
  <sheetFormatPr defaultRowHeight="14.4" x14ac:dyDescent="0.3"/>
  <cols>
    <col min="1" max="1" width="4" bestFit="1" customWidth="1"/>
    <col min="2" max="2" width="8.6640625" bestFit="1" customWidth="1"/>
    <col min="3" max="3" width="14.5546875" bestFit="1" customWidth="1"/>
    <col min="4" max="4" width="10.44140625" bestFit="1" customWidth="1"/>
    <col min="5" max="5" width="13.88671875" bestFit="1" customWidth="1"/>
    <col min="6" max="6" width="15.109375" bestFit="1" customWidth="1"/>
    <col min="7" max="7" width="8.5546875" bestFit="1" customWidth="1"/>
    <col min="8" max="8" width="7.33203125" bestFit="1" customWidth="1"/>
    <col min="9" max="9" width="15.88671875" bestFit="1" customWidth="1"/>
    <col min="10" max="10" width="6.21875" bestFit="1" customWidth="1"/>
    <col min="11" max="12" width="15.88671875" bestFit="1" customWidth="1"/>
    <col min="13" max="13" width="3.88671875" bestFit="1" customWidth="1"/>
    <col min="14" max="14" width="8.21875" bestFit="1" customWidth="1"/>
    <col min="15" max="15" width="8.6640625" bestFit="1" customWidth="1"/>
    <col min="16" max="16" width="14.33203125" bestFit="1" customWidth="1"/>
    <col min="17" max="17" width="11.77734375" bestFit="1" customWidth="1"/>
    <col min="18" max="18" width="14.33203125" bestFit="1" customWidth="1"/>
    <col min="19" max="19" width="15.88671875" bestFit="1" customWidth="1"/>
    <col min="20" max="20" width="5.77734375" bestFit="1" customWidth="1"/>
    <col min="21" max="21" width="37.44140625" bestFit="1" customWidth="1"/>
    <col min="22" max="22" width="10.109375" bestFit="1" customWidth="1"/>
  </cols>
  <sheetData>
    <row r="1" spans="1:22"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row>
    <row r="2" spans="1:22" x14ac:dyDescent="0.3">
      <c r="A2" s="7">
        <v>1</v>
      </c>
      <c r="B2" s="7" t="s">
        <v>23</v>
      </c>
      <c r="C2" s="7" t="s">
        <v>511</v>
      </c>
      <c r="D2" s="7">
        <v>50126044</v>
      </c>
      <c r="E2" s="7">
        <v>85</v>
      </c>
      <c r="F2" s="7">
        <v>134</v>
      </c>
      <c r="G2" s="7">
        <v>79</v>
      </c>
      <c r="H2" s="7" t="s">
        <v>82</v>
      </c>
      <c r="I2" s="7" t="s">
        <v>109</v>
      </c>
      <c r="J2" s="7" t="s">
        <v>130</v>
      </c>
      <c r="K2" s="46">
        <v>2.7777777777777779E-3</v>
      </c>
      <c r="L2" s="7" t="s">
        <v>109</v>
      </c>
      <c r="M2" s="7" t="s">
        <v>109</v>
      </c>
      <c r="N2" s="7" t="s">
        <v>109</v>
      </c>
      <c r="O2" s="7" t="s">
        <v>61</v>
      </c>
      <c r="P2" s="7" t="s">
        <v>131</v>
      </c>
      <c r="Q2" s="7" t="s">
        <v>82</v>
      </c>
      <c r="R2" s="7" t="s">
        <v>62</v>
      </c>
      <c r="S2" s="7" t="s">
        <v>512</v>
      </c>
      <c r="T2" s="7" t="s">
        <v>424</v>
      </c>
      <c r="U2" s="7" t="str">
        <f t="shared" ref="U2:U33" si="0" xml:space="preserve"> IF(G2 &gt;= E2, "Met", "Not Met")</f>
        <v>Not Met</v>
      </c>
      <c r="V2" s="7" t="s">
        <v>612</v>
      </c>
    </row>
    <row r="3" spans="1:22" x14ac:dyDescent="0.3">
      <c r="A3" s="7">
        <v>2</v>
      </c>
      <c r="B3" s="7" t="s">
        <v>23</v>
      </c>
      <c r="C3" s="7" t="s">
        <v>513</v>
      </c>
      <c r="D3" s="7">
        <v>50126045</v>
      </c>
      <c r="E3" s="7">
        <v>85</v>
      </c>
      <c r="F3" s="7">
        <v>109</v>
      </c>
      <c r="G3" s="7">
        <v>92</v>
      </c>
      <c r="H3" s="7" t="s">
        <v>67</v>
      </c>
      <c r="I3" s="7" t="s">
        <v>109</v>
      </c>
      <c r="J3" s="7" t="s">
        <v>130</v>
      </c>
      <c r="K3" s="46">
        <v>0.71250000000000002</v>
      </c>
      <c r="L3" s="7" t="s">
        <v>109</v>
      </c>
      <c r="M3" s="7" t="s">
        <v>109</v>
      </c>
      <c r="N3" s="7" t="s">
        <v>109</v>
      </c>
      <c r="O3" s="7" t="s">
        <v>61</v>
      </c>
      <c r="P3" s="7" t="s">
        <v>131</v>
      </c>
      <c r="Q3" s="7" t="s">
        <v>67</v>
      </c>
      <c r="R3" s="7" t="s">
        <v>62</v>
      </c>
      <c r="S3" s="7" t="s">
        <v>512</v>
      </c>
      <c r="T3" s="7" t="s">
        <v>424</v>
      </c>
      <c r="U3" s="7" t="str">
        <f t="shared" si="0"/>
        <v>Met</v>
      </c>
      <c r="V3" s="7" t="s">
        <v>109</v>
      </c>
    </row>
    <row r="4" spans="1:22" x14ac:dyDescent="0.3">
      <c r="A4" s="7">
        <v>3</v>
      </c>
      <c r="B4" s="7" t="s">
        <v>23</v>
      </c>
      <c r="C4" s="7" t="s">
        <v>514</v>
      </c>
      <c r="D4" s="7">
        <v>50126046</v>
      </c>
      <c r="E4" s="7">
        <v>85</v>
      </c>
      <c r="F4" s="7">
        <v>127</v>
      </c>
      <c r="G4" s="7">
        <v>84</v>
      </c>
      <c r="H4" s="7" t="s">
        <v>72</v>
      </c>
      <c r="I4" s="7" t="s">
        <v>109</v>
      </c>
      <c r="J4" s="7" t="s">
        <v>130</v>
      </c>
      <c r="K4" s="46">
        <v>0.98402777777777772</v>
      </c>
      <c r="L4" s="7" t="s">
        <v>109</v>
      </c>
      <c r="M4" s="7" t="s">
        <v>109</v>
      </c>
      <c r="N4" s="7" t="s">
        <v>109</v>
      </c>
      <c r="O4" s="7" t="s">
        <v>61</v>
      </c>
      <c r="P4" s="7" t="s">
        <v>131</v>
      </c>
      <c r="Q4" s="7" t="s">
        <v>72</v>
      </c>
      <c r="R4" s="7" t="s">
        <v>62</v>
      </c>
      <c r="S4" s="7" t="s">
        <v>512</v>
      </c>
      <c r="T4" s="7" t="s">
        <v>424</v>
      </c>
      <c r="U4" s="7" t="str">
        <f t="shared" si="0"/>
        <v>Not Met</v>
      </c>
      <c r="V4" s="7" t="s">
        <v>612</v>
      </c>
    </row>
    <row r="5" spans="1:22" x14ac:dyDescent="0.3">
      <c r="A5" s="7">
        <v>4</v>
      </c>
      <c r="B5" s="7" t="s">
        <v>23</v>
      </c>
      <c r="C5" s="7" t="s">
        <v>515</v>
      </c>
      <c r="D5" s="7">
        <v>50126047</v>
      </c>
      <c r="E5" s="7">
        <v>85</v>
      </c>
      <c r="F5" s="7">
        <v>112</v>
      </c>
      <c r="G5" s="7">
        <v>84</v>
      </c>
      <c r="H5" s="7" t="s">
        <v>89</v>
      </c>
      <c r="I5" s="7" t="s">
        <v>109</v>
      </c>
      <c r="J5" s="7" t="s">
        <v>130</v>
      </c>
      <c r="K5" s="46">
        <v>0.77361111111111114</v>
      </c>
      <c r="L5" s="7" t="s">
        <v>109</v>
      </c>
      <c r="M5" s="7" t="s">
        <v>109</v>
      </c>
      <c r="N5" s="7" t="s">
        <v>109</v>
      </c>
      <c r="O5" s="7" t="s">
        <v>61</v>
      </c>
      <c r="P5" s="7" t="s">
        <v>131</v>
      </c>
      <c r="Q5" s="7" t="s">
        <v>89</v>
      </c>
      <c r="R5" s="7" t="s">
        <v>62</v>
      </c>
      <c r="S5" s="7" t="s">
        <v>512</v>
      </c>
      <c r="T5" s="7" t="s">
        <v>424</v>
      </c>
      <c r="U5" s="7" t="str">
        <f t="shared" si="0"/>
        <v>Not Met</v>
      </c>
      <c r="V5" s="7" t="s">
        <v>612</v>
      </c>
    </row>
    <row r="6" spans="1:22" x14ac:dyDescent="0.3">
      <c r="A6" s="7">
        <v>5</v>
      </c>
      <c r="B6" s="7" t="s">
        <v>23</v>
      </c>
      <c r="C6" s="7" t="s">
        <v>516</v>
      </c>
      <c r="D6" s="7">
        <v>50126048</v>
      </c>
      <c r="E6" s="7">
        <v>85</v>
      </c>
      <c r="F6" s="7">
        <v>120</v>
      </c>
      <c r="G6" s="7">
        <v>85</v>
      </c>
      <c r="H6" s="7" t="s">
        <v>95</v>
      </c>
      <c r="I6" s="44" t="s">
        <v>109</v>
      </c>
      <c r="J6" s="7" t="s">
        <v>130</v>
      </c>
      <c r="K6" s="46">
        <v>0.73472222222222228</v>
      </c>
      <c r="L6" s="7" t="s">
        <v>109</v>
      </c>
      <c r="M6" s="7" t="s">
        <v>109</v>
      </c>
      <c r="N6" s="7" t="s">
        <v>109</v>
      </c>
      <c r="O6" s="7" t="s">
        <v>61</v>
      </c>
      <c r="P6" s="7" t="s">
        <v>131</v>
      </c>
      <c r="Q6" s="7" t="s">
        <v>95</v>
      </c>
      <c r="R6" s="7" t="s">
        <v>62</v>
      </c>
      <c r="S6" s="7" t="s">
        <v>512</v>
      </c>
      <c r="T6" s="7" t="s">
        <v>424</v>
      </c>
      <c r="U6" s="7" t="str">
        <f t="shared" si="0"/>
        <v>Met</v>
      </c>
      <c r="V6" s="7" t="s">
        <v>109</v>
      </c>
    </row>
    <row r="7" spans="1:22" x14ac:dyDescent="0.3">
      <c r="A7" s="7">
        <v>6</v>
      </c>
      <c r="B7" s="7" t="s">
        <v>23</v>
      </c>
      <c r="C7" s="7" t="s">
        <v>517</v>
      </c>
      <c r="D7" s="7">
        <v>50126049</v>
      </c>
      <c r="E7" s="7">
        <v>85</v>
      </c>
      <c r="F7" s="7">
        <v>162</v>
      </c>
      <c r="G7" s="7">
        <v>85</v>
      </c>
      <c r="H7" s="7" t="s">
        <v>69</v>
      </c>
      <c r="I7" s="45" t="s">
        <v>109</v>
      </c>
      <c r="J7" s="7" t="s">
        <v>130</v>
      </c>
      <c r="K7" s="7" t="s">
        <v>598</v>
      </c>
      <c r="L7" s="7" t="s">
        <v>109</v>
      </c>
      <c r="M7" s="7" t="s">
        <v>109</v>
      </c>
      <c r="N7" s="7" t="s">
        <v>109</v>
      </c>
      <c r="O7" s="7" t="s">
        <v>61</v>
      </c>
      <c r="P7" s="7" t="s">
        <v>131</v>
      </c>
      <c r="Q7" s="7" t="s">
        <v>69</v>
      </c>
      <c r="R7" s="7" t="s">
        <v>62</v>
      </c>
      <c r="S7" s="7" t="s">
        <v>512</v>
      </c>
      <c r="T7" s="7" t="s">
        <v>424</v>
      </c>
      <c r="U7" s="7" t="str">
        <f t="shared" si="0"/>
        <v>Met</v>
      </c>
      <c r="V7" s="7" t="s">
        <v>109</v>
      </c>
    </row>
    <row r="8" spans="1:22" x14ac:dyDescent="0.3">
      <c r="A8" s="7">
        <v>7</v>
      </c>
      <c r="B8" s="7" t="s">
        <v>23</v>
      </c>
      <c r="C8" s="7" t="s">
        <v>518</v>
      </c>
      <c r="D8" s="7">
        <v>50126050</v>
      </c>
      <c r="E8" s="7">
        <v>85</v>
      </c>
      <c r="F8" s="7">
        <v>110</v>
      </c>
      <c r="G8" s="7">
        <v>93</v>
      </c>
      <c r="H8" s="7" t="s">
        <v>84</v>
      </c>
      <c r="I8" s="7" t="s">
        <v>109</v>
      </c>
      <c r="J8" s="7" t="s">
        <v>130</v>
      </c>
      <c r="K8" s="46">
        <v>0.95763888888888893</v>
      </c>
      <c r="L8" s="7" t="s">
        <v>109</v>
      </c>
      <c r="M8" s="7" t="s">
        <v>109</v>
      </c>
      <c r="N8" s="7" t="s">
        <v>109</v>
      </c>
      <c r="O8" s="7" t="s">
        <v>61</v>
      </c>
      <c r="P8" s="7" t="s">
        <v>131</v>
      </c>
      <c r="Q8" s="7" t="s">
        <v>84</v>
      </c>
      <c r="R8" s="7" t="s">
        <v>62</v>
      </c>
      <c r="S8" s="7" t="s">
        <v>512</v>
      </c>
      <c r="T8" s="7" t="s">
        <v>424</v>
      </c>
      <c r="U8" s="7" t="str">
        <f t="shared" si="0"/>
        <v>Met</v>
      </c>
      <c r="V8" s="7" t="s">
        <v>109</v>
      </c>
    </row>
    <row r="9" spans="1:22" x14ac:dyDescent="0.3">
      <c r="A9" s="7">
        <v>8</v>
      </c>
      <c r="B9" s="7" t="s">
        <v>23</v>
      </c>
      <c r="C9" s="7" t="s">
        <v>519</v>
      </c>
      <c r="D9" s="7">
        <v>50126051</v>
      </c>
      <c r="E9" s="7">
        <v>85</v>
      </c>
      <c r="F9" s="7">
        <v>113</v>
      </c>
      <c r="G9" s="7">
        <v>89</v>
      </c>
      <c r="H9" s="7" t="s">
        <v>520</v>
      </c>
      <c r="I9" s="7" t="s">
        <v>109</v>
      </c>
      <c r="J9" s="7" t="s">
        <v>130</v>
      </c>
      <c r="K9" s="46">
        <v>0.78055555555555556</v>
      </c>
      <c r="L9" s="7" t="s">
        <v>109</v>
      </c>
      <c r="M9" s="7" t="s">
        <v>109</v>
      </c>
      <c r="N9" s="7" t="s">
        <v>109</v>
      </c>
      <c r="O9" s="7" t="s">
        <v>61</v>
      </c>
      <c r="P9" s="7" t="s">
        <v>131</v>
      </c>
      <c r="Q9" s="7" t="s">
        <v>520</v>
      </c>
      <c r="R9" s="7" t="s">
        <v>62</v>
      </c>
      <c r="S9" s="7" t="s">
        <v>512</v>
      </c>
      <c r="T9" s="7" t="s">
        <v>424</v>
      </c>
      <c r="U9" s="7" t="str">
        <f t="shared" si="0"/>
        <v>Met</v>
      </c>
      <c r="V9" s="7" t="s">
        <v>109</v>
      </c>
    </row>
    <row r="10" spans="1:22" x14ac:dyDescent="0.3">
      <c r="A10" s="7">
        <v>9</v>
      </c>
      <c r="B10" s="7" t="s">
        <v>23</v>
      </c>
      <c r="C10" s="7" t="s">
        <v>521</v>
      </c>
      <c r="D10" s="7">
        <v>50126052</v>
      </c>
      <c r="E10" s="7">
        <v>85</v>
      </c>
      <c r="F10" s="7">
        <v>163</v>
      </c>
      <c r="G10" s="7">
        <v>67</v>
      </c>
      <c r="H10" s="7" t="s">
        <v>70</v>
      </c>
      <c r="I10" s="7" t="s">
        <v>109</v>
      </c>
      <c r="J10" s="7" t="s">
        <v>130</v>
      </c>
      <c r="K10" s="46">
        <v>0.80347222222222225</v>
      </c>
      <c r="L10" s="7" t="s">
        <v>109</v>
      </c>
      <c r="M10" s="7" t="s">
        <v>109</v>
      </c>
      <c r="N10" s="7" t="s">
        <v>109</v>
      </c>
      <c r="O10" s="7" t="s">
        <v>61</v>
      </c>
      <c r="P10" s="7" t="s">
        <v>131</v>
      </c>
      <c r="Q10" s="7" t="s">
        <v>70</v>
      </c>
      <c r="R10" s="7" t="s">
        <v>62</v>
      </c>
      <c r="S10" s="7" t="s">
        <v>512</v>
      </c>
      <c r="T10" s="7" t="s">
        <v>424</v>
      </c>
      <c r="U10" s="7" t="str">
        <f t="shared" si="0"/>
        <v>Not Met</v>
      </c>
      <c r="V10" s="7" t="s">
        <v>612</v>
      </c>
    </row>
    <row r="11" spans="1:22" x14ac:dyDescent="0.3">
      <c r="A11" s="7">
        <v>10</v>
      </c>
      <c r="B11" s="7" t="s">
        <v>23</v>
      </c>
      <c r="C11" s="7" t="s">
        <v>522</v>
      </c>
      <c r="D11" s="7">
        <v>50126053</v>
      </c>
      <c r="E11" s="7">
        <v>85</v>
      </c>
      <c r="F11" s="7">
        <v>134</v>
      </c>
      <c r="G11" s="7">
        <v>94</v>
      </c>
      <c r="H11" s="7" t="s">
        <v>179</v>
      </c>
      <c r="I11" s="7" t="s">
        <v>109</v>
      </c>
      <c r="J11" s="7" t="s">
        <v>130</v>
      </c>
      <c r="K11" s="46">
        <v>0.85138888888888886</v>
      </c>
      <c r="L11" s="7" t="s">
        <v>109</v>
      </c>
      <c r="M11" s="7" t="s">
        <v>109</v>
      </c>
      <c r="N11" s="7" t="s">
        <v>109</v>
      </c>
      <c r="O11" s="7" t="s">
        <v>61</v>
      </c>
      <c r="P11" s="7" t="s">
        <v>131</v>
      </c>
      <c r="Q11" s="7" t="s">
        <v>179</v>
      </c>
      <c r="R11" s="7" t="s">
        <v>62</v>
      </c>
      <c r="S11" s="7" t="s">
        <v>512</v>
      </c>
      <c r="T11" s="7" t="s">
        <v>424</v>
      </c>
      <c r="U11" s="7" t="str">
        <f t="shared" si="0"/>
        <v>Met</v>
      </c>
      <c r="V11" s="7" t="s">
        <v>109</v>
      </c>
    </row>
    <row r="12" spans="1:22" x14ac:dyDescent="0.3">
      <c r="A12" s="7">
        <v>11</v>
      </c>
      <c r="B12" s="7" t="s">
        <v>23</v>
      </c>
      <c r="C12" s="7" t="s">
        <v>523</v>
      </c>
      <c r="D12" s="7">
        <v>50126054</v>
      </c>
      <c r="E12" s="7">
        <v>85</v>
      </c>
      <c r="F12" s="7">
        <v>120</v>
      </c>
      <c r="G12" s="7">
        <v>97</v>
      </c>
      <c r="H12" s="7" t="s">
        <v>94</v>
      </c>
      <c r="I12" s="7" t="s">
        <v>109</v>
      </c>
      <c r="J12" s="7" t="s">
        <v>130</v>
      </c>
      <c r="K12" s="46">
        <v>0.97361111111111109</v>
      </c>
      <c r="L12" s="7" t="s">
        <v>109</v>
      </c>
      <c r="M12" s="7" t="s">
        <v>109</v>
      </c>
      <c r="N12" s="7" t="s">
        <v>109</v>
      </c>
      <c r="O12" s="7" t="s">
        <v>61</v>
      </c>
      <c r="P12" s="7" t="s">
        <v>131</v>
      </c>
      <c r="Q12" s="7" t="s">
        <v>94</v>
      </c>
      <c r="R12" s="7" t="s">
        <v>62</v>
      </c>
      <c r="S12" s="7" t="s">
        <v>512</v>
      </c>
      <c r="T12" s="7" t="s">
        <v>424</v>
      </c>
      <c r="U12" s="7" t="str">
        <f t="shared" si="0"/>
        <v>Met</v>
      </c>
      <c r="V12" s="7" t="s">
        <v>109</v>
      </c>
    </row>
    <row r="13" spans="1:22" x14ac:dyDescent="0.3">
      <c r="A13" s="7">
        <v>12</v>
      </c>
      <c r="B13" s="7" t="s">
        <v>23</v>
      </c>
      <c r="C13" s="7" t="s">
        <v>524</v>
      </c>
      <c r="D13" s="7">
        <v>50126055</v>
      </c>
      <c r="E13" s="7">
        <v>85</v>
      </c>
      <c r="F13" s="7">
        <v>122</v>
      </c>
      <c r="G13" s="7">
        <v>91</v>
      </c>
      <c r="H13" s="7" t="s">
        <v>241</v>
      </c>
      <c r="I13" s="7" t="s">
        <v>109</v>
      </c>
      <c r="J13" s="7" t="s">
        <v>130</v>
      </c>
      <c r="K13" s="46">
        <v>0.70138888888888884</v>
      </c>
      <c r="L13" s="7" t="s">
        <v>109</v>
      </c>
      <c r="M13" s="7" t="s">
        <v>109</v>
      </c>
      <c r="N13" s="7" t="s">
        <v>109</v>
      </c>
      <c r="O13" s="7" t="s">
        <v>61</v>
      </c>
      <c r="P13" s="7" t="s">
        <v>131</v>
      </c>
      <c r="Q13" s="7" t="s">
        <v>241</v>
      </c>
      <c r="R13" s="7" t="s">
        <v>62</v>
      </c>
      <c r="S13" s="7" t="s">
        <v>512</v>
      </c>
      <c r="T13" s="7" t="s">
        <v>424</v>
      </c>
      <c r="U13" s="7" t="str">
        <f t="shared" si="0"/>
        <v>Met</v>
      </c>
      <c r="V13" s="7" t="s">
        <v>109</v>
      </c>
    </row>
    <row r="14" spans="1:22" x14ac:dyDescent="0.3">
      <c r="A14" s="7">
        <v>13</v>
      </c>
      <c r="B14" s="7" t="s">
        <v>23</v>
      </c>
      <c r="C14" s="7" t="s">
        <v>525</v>
      </c>
      <c r="D14" s="7">
        <v>50126081</v>
      </c>
      <c r="E14" s="7">
        <v>75</v>
      </c>
      <c r="F14" s="7">
        <v>93</v>
      </c>
      <c r="G14" s="7">
        <v>79</v>
      </c>
      <c r="H14" s="7" t="s">
        <v>200</v>
      </c>
      <c r="I14" s="7" t="s">
        <v>109</v>
      </c>
      <c r="J14" s="7" t="s">
        <v>130</v>
      </c>
      <c r="K14" s="46">
        <v>0.92777777777777781</v>
      </c>
      <c r="L14" s="7" t="s">
        <v>109</v>
      </c>
      <c r="M14" s="7" t="s">
        <v>109</v>
      </c>
      <c r="N14" s="7" t="s">
        <v>109</v>
      </c>
      <c r="O14" s="7" t="s">
        <v>61</v>
      </c>
      <c r="P14" s="7" t="s">
        <v>131</v>
      </c>
      <c r="Q14" s="7" t="s">
        <v>200</v>
      </c>
      <c r="R14" s="7" t="s">
        <v>62</v>
      </c>
      <c r="S14" s="7" t="s">
        <v>512</v>
      </c>
      <c r="T14" s="7" t="s">
        <v>424</v>
      </c>
      <c r="U14" s="7" t="str">
        <f t="shared" si="0"/>
        <v>Met</v>
      </c>
      <c r="V14" s="7" t="s">
        <v>109</v>
      </c>
    </row>
    <row r="15" spans="1:22" x14ac:dyDescent="0.3">
      <c r="A15" s="7">
        <v>14</v>
      </c>
      <c r="B15" s="7" t="s">
        <v>23</v>
      </c>
      <c r="C15" s="7" t="s">
        <v>526</v>
      </c>
      <c r="D15" s="7">
        <v>50126080</v>
      </c>
      <c r="E15" s="7">
        <v>85</v>
      </c>
      <c r="F15" s="7">
        <v>58</v>
      </c>
      <c r="G15" s="7">
        <v>52</v>
      </c>
      <c r="H15" s="7" t="s">
        <v>527</v>
      </c>
      <c r="I15" s="7" t="s">
        <v>109</v>
      </c>
      <c r="J15" s="7" t="s">
        <v>130</v>
      </c>
      <c r="K15" s="46">
        <v>0.78055555555555556</v>
      </c>
      <c r="L15" s="7" t="s">
        <v>109</v>
      </c>
      <c r="M15" s="7" t="s">
        <v>109</v>
      </c>
      <c r="N15" s="7" t="s">
        <v>109</v>
      </c>
      <c r="O15" s="7" t="s">
        <v>61</v>
      </c>
      <c r="P15" s="7" t="s">
        <v>131</v>
      </c>
      <c r="Q15" s="7" t="s">
        <v>527</v>
      </c>
      <c r="R15" s="7" t="s">
        <v>62</v>
      </c>
      <c r="S15" s="7" t="s">
        <v>512</v>
      </c>
      <c r="T15" s="7" t="s">
        <v>424</v>
      </c>
      <c r="U15" s="7" t="str">
        <f t="shared" si="0"/>
        <v>Not Met</v>
      </c>
      <c r="V15" s="7" t="s">
        <v>612</v>
      </c>
    </row>
    <row r="16" spans="1:22" x14ac:dyDescent="0.3">
      <c r="A16" s="7">
        <v>15</v>
      </c>
      <c r="B16" s="7" t="s">
        <v>23</v>
      </c>
      <c r="C16" s="7" t="s">
        <v>528</v>
      </c>
      <c r="D16" s="7">
        <v>50126058</v>
      </c>
      <c r="E16" s="7">
        <v>85</v>
      </c>
      <c r="F16" s="7">
        <v>102</v>
      </c>
      <c r="G16" s="7">
        <v>85</v>
      </c>
      <c r="H16" s="7" t="s">
        <v>154</v>
      </c>
      <c r="I16" s="7" t="s">
        <v>109</v>
      </c>
      <c r="J16" s="7" t="s">
        <v>130</v>
      </c>
      <c r="K16" s="46">
        <v>2.0833333333333333E-3</v>
      </c>
      <c r="L16" s="7" t="s">
        <v>109</v>
      </c>
      <c r="M16" s="7" t="s">
        <v>109</v>
      </c>
      <c r="N16" s="7" t="s">
        <v>109</v>
      </c>
      <c r="O16" s="7" t="s">
        <v>61</v>
      </c>
      <c r="P16" s="7" t="s">
        <v>131</v>
      </c>
      <c r="Q16" s="7" t="s">
        <v>154</v>
      </c>
      <c r="R16" s="7" t="s">
        <v>62</v>
      </c>
      <c r="S16" s="7" t="s">
        <v>512</v>
      </c>
      <c r="T16" s="7" t="s">
        <v>424</v>
      </c>
      <c r="U16" s="7" t="str">
        <f t="shared" si="0"/>
        <v>Met</v>
      </c>
      <c r="V16" s="7" t="s">
        <v>109</v>
      </c>
    </row>
    <row r="17" spans="1:22" x14ac:dyDescent="0.3">
      <c r="A17" s="7">
        <v>16</v>
      </c>
      <c r="B17" s="7" t="s">
        <v>23</v>
      </c>
      <c r="C17" s="7" t="s">
        <v>529</v>
      </c>
      <c r="D17" s="7">
        <v>50126059</v>
      </c>
      <c r="E17" s="7">
        <v>85</v>
      </c>
      <c r="F17" s="7">
        <v>72</v>
      </c>
      <c r="G17" s="7">
        <v>50</v>
      </c>
      <c r="H17" s="7" t="s">
        <v>93</v>
      </c>
      <c r="I17" s="7" t="s">
        <v>109</v>
      </c>
      <c r="J17" s="7" t="s">
        <v>130</v>
      </c>
      <c r="K17" s="46">
        <v>0.76875000000000004</v>
      </c>
      <c r="L17" s="7" t="s">
        <v>109</v>
      </c>
      <c r="M17" s="7" t="s">
        <v>109</v>
      </c>
      <c r="N17" s="7" t="s">
        <v>109</v>
      </c>
      <c r="O17" s="7" t="s">
        <v>61</v>
      </c>
      <c r="P17" s="7" t="s">
        <v>131</v>
      </c>
      <c r="Q17" s="7" t="s">
        <v>93</v>
      </c>
      <c r="R17" s="7" t="s">
        <v>62</v>
      </c>
      <c r="S17" s="7" t="s">
        <v>512</v>
      </c>
      <c r="T17" s="7" t="s">
        <v>424</v>
      </c>
      <c r="U17" s="7" t="str">
        <f t="shared" si="0"/>
        <v>Not Met</v>
      </c>
      <c r="V17" s="7" t="s">
        <v>612</v>
      </c>
    </row>
    <row r="18" spans="1:22" x14ac:dyDescent="0.3">
      <c r="A18" s="7">
        <v>17</v>
      </c>
      <c r="B18" s="7" t="s">
        <v>23</v>
      </c>
      <c r="C18" s="7" t="s">
        <v>530</v>
      </c>
      <c r="D18" s="7">
        <v>50126056</v>
      </c>
      <c r="E18" s="7">
        <v>85</v>
      </c>
      <c r="F18" s="7">
        <v>111</v>
      </c>
      <c r="G18" s="7">
        <v>90</v>
      </c>
      <c r="H18" s="7" t="s">
        <v>214</v>
      </c>
      <c r="I18" s="7" t="s">
        <v>109</v>
      </c>
      <c r="J18" s="7" t="s">
        <v>130</v>
      </c>
      <c r="K18" s="46">
        <v>0.71319444444444446</v>
      </c>
      <c r="L18" s="7" t="s">
        <v>109</v>
      </c>
      <c r="M18" s="7" t="s">
        <v>109</v>
      </c>
      <c r="N18" s="7" t="s">
        <v>109</v>
      </c>
      <c r="O18" s="7" t="s">
        <v>61</v>
      </c>
      <c r="P18" s="7" t="s">
        <v>131</v>
      </c>
      <c r="Q18" s="7" t="s">
        <v>214</v>
      </c>
      <c r="R18" s="7" t="s">
        <v>62</v>
      </c>
      <c r="S18" s="7" t="s">
        <v>512</v>
      </c>
      <c r="T18" s="7" t="s">
        <v>424</v>
      </c>
      <c r="U18" s="7" t="str">
        <f t="shared" si="0"/>
        <v>Met</v>
      </c>
      <c r="V18" s="7" t="s">
        <v>109</v>
      </c>
    </row>
    <row r="19" spans="1:22" x14ac:dyDescent="0.3">
      <c r="A19" s="7">
        <v>18</v>
      </c>
      <c r="B19" s="7" t="s">
        <v>23</v>
      </c>
      <c r="C19" s="7" t="s">
        <v>531</v>
      </c>
      <c r="D19" s="7">
        <v>50126060</v>
      </c>
      <c r="E19" s="7">
        <v>85</v>
      </c>
      <c r="F19" s="7">
        <v>102</v>
      </c>
      <c r="G19" s="7">
        <v>21</v>
      </c>
      <c r="H19" s="7" t="s">
        <v>66</v>
      </c>
      <c r="I19" s="7" t="s">
        <v>109</v>
      </c>
      <c r="J19" s="7" t="s">
        <v>130</v>
      </c>
      <c r="K19" s="46">
        <v>0.68472222222222223</v>
      </c>
      <c r="L19" s="7" t="s">
        <v>109</v>
      </c>
      <c r="M19" s="7" t="s">
        <v>109</v>
      </c>
      <c r="N19" s="7" t="s">
        <v>109</v>
      </c>
      <c r="O19" s="7" t="s">
        <v>61</v>
      </c>
      <c r="P19" s="7" t="s">
        <v>131</v>
      </c>
      <c r="Q19" s="7" t="s">
        <v>66</v>
      </c>
      <c r="R19" s="7" t="s">
        <v>62</v>
      </c>
      <c r="S19" s="7" t="s">
        <v>512</v>
      </c>
      <c r="T19" s="7" t="s">
        <v>424</v>
      </c>
      <c r="U19" s="7" t="str">
        <f t="shared" si="0"/>
        <v>Not Met</v>
      </c>
      <c r="V19" s="7" t="s">
        <v>612</v>
      </c>
    </row>
    <row r="20" spans="1:22" x14ac:dyDescent="0.3">
      <c r="A20" s="7">
        <v>19</v>
      </c>
      <c r="B20" s="7" t="s">
        <v>23</v>
      </c>
      <c r="C20" s="7" t="s">
        <v>532</v>
      </c>
      <c r="D20" s="7">
        <v>50126057</v>
      </c>
      <c r="E20" s="7">
        <v>85</v>
      </c>
      <c r="F20" s="7">
        <v>164</v>
      </c>
      <c r="G20" s="7">
        <v>87</v>
      </c>
      <c r="H20" s="7" t="s">
        <v>222</v>
      </c>
      <c r="I20" s="7" t="s">
        <v>109</v>
      </c>
      <c r="J20" s="7" t="s">
        <v>130</v>
      </c>
      <c r="K20" s="46">
        <v>0.72013888888888888</v>
      </c>
      <c r="L20" s="7" t="s">
        <v>109</v>
      </c>
      <c r="M20" s="7" t="s">
        <v>109</v>
      </c>
      <c r="N20" s="7" t="s">
        <v>109</v>
      </c>
      <c r="O20" s="7" t="s">
        <v>61</v>
      </c>
      <c r="P20" s="7" t="s">
        <v>131</v>
      </c>
      <c r="Q20" s="7" t="s">
        <v>222</v>
      </c>
      <c r="R20" s="7" t="s">
        <v>62</v>
      </c>
      <c r="S20" s="7" t="s">
        <v>512</v>
      </c>
      <c r="T20" s="7" t="s">
        <v>424</v>
      </c>
      <c r="U20" s="7" t="str">
        <f t="shared" si="0"/>
        <v>Met</v>
      </c>
      <c r="V20" s="7" t="s">
        <v>109</v>
      </c>
    </row>
    <row r="21" spans="1:22" x14ac:dyDescent="0.3">
      <c r="A21" s="7">
        <v>20</v>
      </c>
      <c r="B21" s="7" t="s">
        <v>23</v>
      </c>
      <c r="C21" s="7" t="s">
        <v>423</v>
      </c>
      <c r="D21" s="7">
        <v>50126026</v>
      </c>
      <c r="E21" s="7">
        <v>50</v>
      </c>
      <c r="F21" s="7">
        <v>113</v>
      </c>
      <c r="G21" s="7">
        <v>50</v>
      </c>
      <c r="H21" s="7" t="s">
        <v>214</v>
      </c>
      <c r="I21" s="7" t="s">
        <v>109</v>
      </c>
      <c r="J21" s="7" t="s">
        <v>130</v>
      </c>
      <c r="K21" s="46">
        <v>0.77222222222222225</v>
      </c>
      <c r="L21" s="7" t="s">
        <v>109</v>
      </c>
      <c r="M21" s="7" t="s">
        <v>109</v>
      </c>
      <c r="N21" s="7" t="s">
        <v>109</v>
      </c>
      <c r="O21" s="7" t="s">
        <v>61</v>
      </c>
      <c r="P21" s="7" t="s">
        <v>131</v>
      </c>
      <c r="Q21" s="7" t="s">
        <v>214</v>
      </c>
      <c r="R21" s="7" t="s">
        <v>62</v>
      </c>
      <c r="S21" s="7" t="s">
        <v>512</v>
      </c>
      <c r="T21" s="7" t="s">
        <v>424</v>
      </c>
      <c r="U21" s="7" t="str">
        <f t="shared" si="0"/>
        <v>Met</v>
      </c>
      <c r="V21" s="7" t="s">
        <v>109</v>
      </c>
    </row>
    <row r="22" spans="1:22" x14ac:dyDescent="0.3">
      <c r="A22" s="7">
        <v>21</v>
      </c>
      <c r="B22" s="7" t="s">
        <v>23</v>
      </c>
      <c r="C22" s="7" t="s">
        <v>432</v>
      </c>
      <c r="D22" s="7">
        <v>50126040</v>
      </c>
      <c r="E22" s="7">
        <v>50</v>
      </c>
      <c r="F22" s="7">
        <v>65</v>
      </c>
      <c r="G22" s="7">
        <v>47</v>
      </c>
      <c r="H22" s="31" t="s">
        <v>66</v>
      </c>
      <c r="I22" s="7" t="s">
        <v>109</v>
      </c>
      <c r="J22" s="7" t="s">
        <v>130</v>
      </c>
      <c r="K22" s="46">
        <v>0.72222222222222221</v>
      </c>
      <c r="L22" s="7" t="s">
        <v>109</v>
      </c>
      <c r="M22" s="7" t="s">
        <v>109</v>
      </c>
      <c r="N22" s="7" t="s">
        <v>109</v>
      </c>
      <c r="O22" s="7" t="s">
        <v>61</v>
      </c>
      <c r="P22" s="7" t="s">
        <v>131</v>
      </c>
      <c r="Q22" s="7" t="s">
        <v>66</v>
      </c>
      <c r="R22" s="7" t="s">
        <v>62</v>
      </c>
      <c r="S22" s="7" t="s">
        <v>512</v>
      </c>
      <c r="T22" s="7" t="s">
        <v>424</v>
      </c>
      <c r="U22" s="7" t="str">
        <f t="shared" si="0"/>
        <v>Not Met</v>
      </c>
      <c r="V22" s="7" t="s">
        <v>612</v>
      </c>
    </row>
    <row r="23" spans="1:22" x14ac:dyDescent="0.3">
      <c r="A23" s="7">
        <v>22</v>
      </c>
      <c r="B23" s="7" t="s">
        <v>23</v>
      </c>
      <c r="C23" s="7" t="s">
        <v>431</v>
      </c>
      <c r="D23" s="7">
        <v>50126041</v>
      </c>
      <c r="E23" s="7">
        <v>50</v>
      </c>
      <c r="F23" s="7">
        <v>67</v>
      </c>
      <c r="G23" s="7">
        <v>57</v>
      </c>
      <c r="H23" s="7" t="s">
        <v>222</v>
      </c>
      <c r="I23" s="7" t="s">
        <v>109</v>
      </c>
      <c r="J23" s="7" t="s">
        <v>130</v>
      </c>
      <c r="K23" s="46">
        <v>0.76180555555555551</v>
      </c>
      <c r="L23" s="7" t="s">
        <v>109</v>
      </c>
      <c r="M23" s="7" t="s">
        <v>109</v>
      </c>
      <c r="N23" s="7" t="s">
        <v>109</v>
      </c>
      <c r="O23" s="7" t="s">
        <v>61</v>
      </c>
      <c r="P23" s="7" t="s">
        <v>131</v>
      </c>
      <c r="Q23" s="7" t="s">
        <v>222</v>
      </c>
      <c r="R23" s="7" t="s">
        <v>62</v>
      </c>
      <c r="S23" s="7" t="s">
        <v>512</v>
      </c>
      <c r="T23" s="7" t="s">
        <v>424</v>
      </c>
      <c r="U23" s="7" t="str">
        <f t="shared" si="0"/>
        <v>Met</v>
      </c>
      <c r="V23" s="7" t="s">
        <v>109</v>
      </c>
    </row>
    <row r="24" spans="1:22" x14ac:dyDescent="0.3">
      <c r="A24" s="7">
        <v>23</v>
      </c>
      <c r="B24" s="7" t="s">
        <v>23</v>
      </c>
      <c r="C24" s="7" t="s">
        <v>430</v>
      </c>
      <c r="D24" s="7">
        <v>50126042</v>
      </c>
      <c r="E24" s="7">
        <v>50</v>
      </c>
      <c r="F24" s="7">
        <f>81+72</f>
        <v>153</v>
      </c>
      <c r="G24" s="7">
        <f>19+36</f>
        <v>55</v>
      </c>
      <c r="H24" s="7" t="s">
        <v>88</v>
      </c>
      <c r="I24" s="7" t="s">
        <v>109</v>
      </c>
      <c r="J24" s="7" t="s">
        <v>130</v>
      </c>
      <c r="K24" s="46">
        <v>0.81597222222222221</v>
      </c>
      <c r="L24" s="7" t="s">
        <v>109</v>
      </c>
      <c r="M24" s="7" t="s">
        <v>109</v>
      </c>
      <c r="N24" s="7" t="s">
        <v>109</v>
      </c>
      <c r="O24" s="7" t="s">
        <v>61</v>
      </c>
      <c r="P24" s="7" t="s">
        <v>131</v>
      </c>
      <c r="Q24" s="7" t="s">
        <v>94</v>
      </c>
      <c r="R24" s="7" t="s">
        <v>62</v>
      </c>
      <c r="S24" s="7" t="s">
        <v>512</v>
      </c>
      <c r="T24" s="7" t="s">
        <v>424</v>
      </c>
      <c r="U24" s="7" t="str">
        <f t="shared" si="0"/>
        <v>Met</v>
      </c>
      <c r="V24" s="7" t="s">
        <v>109</v>
      </c>
    </row>
    <row r="25" spans="1:22" x14ac:dyDescent="0.3">
      <c r="A25" s="7">
        <v>24</v>
      </c>
      <c r="B25" s="7" t="s">
        <v>23</v>
      </c>
      <c r="C25" s="7" t="s">
        <v>429</v>
      </c>
      <c r="D25" s="7">
        <v>50126043</v>
      </c>
      <c r="E25" s="7">
        <v>50</v>
      </c>
      <c r="F25" s="7">
        <v>74</v>
      </c>
      <c r="G25" s="7">
        <v>55</v>
      </c>
      <c r="H25" s="7" t="s">
        <v>209</v>
      </c>
      <c r="I25" s="7" t="s">
        <v>109</v>
      </c>
      <c r="J25" s="7" t="s">
        <v>130</v>
      </c>
      <c r="K25" s="46">
        <v>0.72499999999999998</v>
      </c>
      <c r="L25" s="7" t="s">
        <v>109</v>
      </c>
      <c r="M25" s="7" t="s">
        <v>109</v>
      </c>
      <c r="N25" s="7" t="s">
        <v>109</v>
      </c>
      <c r="O25" s="7" t="s">
        <v>61</v>
      </c>
      <c r="P25" s="7" t="s">
        <v>131</v>
      </c>
      <c r="Q25" s="7" t="s">
        <v>209</v>
      </c>
      <c r="R25" s="7" t="s">
        <v>62</v>
      </c>
      <c r="S25" s="7" t="s">
        <v>512</v>
      </c>
      <c r="T25" s="7" t="s">
        <v>424</v>
      </c>
      <c r="U25" s="7" t="str">
        <f t="shared" si="0"/>
        <v>Met</v>
      </c>
      <c r="V25" s="7" t="s">
        <v>109</v>
      </c>
    </row>
    <row r="26" spans="1:22" x14ac:dyDescent="0.3">
      <c r="A26" s="7">
        <v>25</v>
      </c>
      <c r="B26" s="7" t="s">
        <v>23</v>
      </c>
      <c r="C26" s="7" t="s">
        <v>425</v>
      </c>
      <c r="D26" s="7">
        <v>50126025</v>
      </c>
      <c r="E26" s="7">
        <v>50</v>
      </c>
      <c r="F26" s="7">
        <v>73</v>
      </c>
      <c r="G26" s="7">
        <v>57</v>
      </c>
      <c r="H26" s="7" t="s">
        <v>274</v>
      </c>
      <c r="I26" s="7" t="s">
        <v>109</v>
      </c>
      <c r="J26" s="7" t="s">
        <v>130</v>
      </c>
      <c r="K26" s="46">
        <v>0.6958333333333333</v>
      </c>
      <c r="L26" s="7" t="s">
        <v>109</v>
      </c>
      <c r="M26" s="7" t="s">
        <v>109</v>
      </c>
      <c r="N26" s="7" t="s">
        <v>109</v>
      </c>
      <c r="O26" s="7" t="s">
        <v>61</v>
      </c>
      <c r="P26" s="7" t="s">
        <v>131</v>
      </c>
      <c r="Q26" s="7" t="s">
        <v>274</v>
      </c>
      <c r="R26" s="7" t="s">
        <v>62</v>
      </c>
      <c r="S26" s="7" t="s">
        <v>512</v>
      </c>
      <c r="T26" s="7" t="s">
        <v>424</v>
      </c>
      <c r="U26" s="7" t="str">
        <f t="shared" si="0"/>
        <v>Met</v>
      </c>
      <c r="V26" s="7" t="s">
        <v>109</v>
      </c>
    </row>
    <row r="27" spans="1:22" x14ac:dyDescent="0.3">
      <c r="A27" s="7">
        <v>26</v>
      </c>
      <c r="B27" s="7" t="s">
        <v>23</v>
      </c>
      <c r="C27" s="7" t="s">
        <v>533</v>
      </c>
      <c r="D27" s="7">
        <v>50126021</v>
      </c>
      <c r="E27" s="7">
        <v>85</v>
      </c>
      <c r="F27" s="7">
        <v>82</v>
      </c>
      <c r="G27" s="7">
        <v>76</v>
      </c>
      <c r="H27" s="7" t="s">
        <v>88</v>
      </c>
      <c r="I27" s="7" t="s">
        <v>109</v>
      </c>
      <c r="J27" s="7" t="s">
        <v>130</v>
      </c>
      <c r="K27" s="46">
        <v>0.75277777777777777</v>
      </c>
      <c r="L27" s="7" t="s">
        <v>109</v>
      </c>
      <c r="M27" s="7" t="s">
        <v>109</v>
      </c>
      <c r="N27" s="7" t="s">
        <v>109</v>
      </c>
      <c r="O27" s="7" t="s">
        <v>61</v>
      </c>
      <c r="P27" s="7" t="s">
        <v>131</v>
      </c>
      <c r="Q27" s="7" t="s">
        <v>88</v>
      </c>
      <c r="R27" s="7" t="s">
        <v>62</v>
      </c>
      <c r="S27" s="7" t="s">
        <v>512</v>
      </c>
      <c r="T27" s="7" t="s">
        <v>424</v>
      </c>
      <c r="U27" s="7" t="str">
        <f t="shared" si="0"/>
        <v>Not Met</v>
      </c>
      <c r="V27" s="7" t="s">
        <v>612</v>
      </c>
    </row>
    <row r="28" spans="1:22" x14ac:dyDescent="0.3">
      <c r="A28" s="7">
        <v>27</v>
      </c>
      <c r="B28" s="7" t="s">
        <v>23</v>
      </c>
      <c r="C28" s="7" t="s">
        <v>426</v>
      </c>
      <c r="D28" s="7">
        <v>50126023</v>
      </c>
      <c r="E28" s="7">
        <v>50</v>
      </c>
      <c r="F28" s="7">
        <v>106</v>
      </c>
      <c r="G28" s="7">
        <v>37</v>
      </c>
      <c r="H28" s="7" t="s">
        <v>196</v>
      </c>
      <c r="I28" s="7" t="s">
        <v>109</v>
      </c>
      <c r="J28" s="7" t="s">
        <v>130</v>
      </c>
      <c r="K28" s="46">
        <v>0.70416666666666672</v>
      </c>
      <c r="L28" s="7" t="s">
        <v>109</v>
      </c>
      <c r="M28" s="7" t="s">
        <v>109</v>
      </c>
      <c r="N28" s="7" t="s">
        <v>109</v>
      </c>
      <c r="O28" s="7" t="s">
        <v>61</v>
      </c>
      <c r="P28" s="7" t="s">
        <v>131</v>
      </c>
      <c r="Q28" s="7" t="s">
        <v>196</v>
      </c>
      <c r="R28" s="7" t="s">
        <v>62</v>
      </c>
      <c r="S28" s="7" t="s">
        <v>512</v>
      </c>
      <c r="T28" s="7" t="s">
        <v>424</v>
      </c>
      <c r="U28" s="7" t="str">
        <f t="shared" si="0"/>
        <v>Not Met</v>
      </c>
      <c r="V28" s="7" t="s">
        <v>612</v>
      </c>
    </row>
    <row r="29" spans="1:22" x14ac:dyDescent="0.3">
      <c r="A29" s="7">
        <v>28</v>
      </c>
      <c r="B29" s="7" t="s">
        <v>23</v>
      </c>
      <c r="C29" s="7" t="s">
        <v>427</v>
      </c>
      <c r="D29" s="7">
        <v>50126022</v>
      </c>
      <c r="E29" s="7">
        <v>50</v>
      </c>
      <c r="F29" s="7">
        <v>86</v>
      </c>
      <c r="G29" s="7">
        <v>51</v>
      </c>
      <c r="H29" s="7" t="s">
        <v>71</v>
      </c>
      <c r="I29" s="7" t="s">
        <v>109</v>
      </c>
      <c r="J29" s="7" t="s">
        <v>130</v>
      </c>
      <c r="K29" s="46">
        <v>0.69444444444444442</v>
      </c>
      <c r="L29" s="7" t="s">
        <v>109</v>
      </c>
      <c r="M29" s="7" t="s">
        <v>109</v>
      </c>
      <c r="N29" s="7" t="s">
        <v>109</v>
      </c>
      <c r="O29" s="7" t="s">
        <v>61</v>
      </c>
      <c r="P29" s="7" t="s">
        <v>131</v>
      </c>
      <c r="Q29" s="7" t="s">
        <v>71</v>
      </c>
      <c r="R29" s="7" t="s">
        <v>62</v>
      </c>
      <c r="S29" s="7" t="s">
        <v>512</v>
      </c>
      <c r="T29" s="7" t="s">
        <v>424</v>
      </c>
      <c r="U29" s="7" t="str">
        <f t="shared" si="0"/>
        <v>Met</v>
      </c>
      <c r="V29" s="7" t="s">
        <v>109</v>
      </c>
    </row>
    <row r="30" spans="1:22" x14ac:dyDescent="0.3">
      <c r="A30" s="7">
        <v>29</v>
      </c>
      <c r="B30" s="7" t="s">
        <v>23</v>
      </c>
      <c r="C30" s="7" t="s">
        <v>428</v>
      </c>
      <c r="D30" s="7">
        <v>50126024</v>
      </c>
      <c r="E30" s="7">
        <v>85</v>
      </c>
      <c r="F30" s="7">
        <v>122</v>
      </c>
      <c r="G30" s="7">
        <v>100</v>
      </c>
      <c r="H30" s="7" t="s">
        <v>209</v>
      </c>
      <c r="I30" s="7" t="s">
        <v>109</v>
      </c>
      <c r="J30" s="7" t="s">
        <v>130</v>
      </c>
      <c r="K30" s="46">
        <v>0.80555555555555558</v>
      </c>
      <c r="L30" s="7" t="s">
        <v>109</v>
      </c>
      <c r="M30" s="7" t="s">
        <v>109</v>
      </c>
      <c r="N30" s="7" t="s">
        <v>109</v>
      </c>
      <c r="O30" s="7" t="s">
        <v>61</v>
      </c>
      <c r="P30" s="7" t="s">
        <v>131</v>
      </c>
      <c r="Q30" s="7" t="s">
        <v>209</v>
      </c>
      <c r="R30" s="7" t="s">
        <v>62</v>
      </c>
      <c r="S30" s="7" t="s">
        <v>512</v>
      </c>
      <c r="T30" s="7" t="s">
        <v>424</v>
      </c>
      <c r="U30" s="7" t="str">
        <f t="shared" si="0"/>
        <v>Met</v>
      </c>
      <c r="V30" s="7" t="s">
        <v>109</v>
      </c>
    </row>
    <row r="31" spans="1:22" x14ac:dyDescent="0.3">
      <c r="A31" s="7">
        <v>30</v>
      </c>
      <c r="B31" s="7" t="s">
        <v>23</v>
      </c>
      <c r="C31" s="7" t="s">
        <v>534</v>
      </c>
      <c r="D31" s="7">
        <v>50126079</v>
      </c>
      <c r="E31" s="7">
        <v>200</v>
      </c>
      <c r="F31" s="7">
        <v>250</v>
      </c>
      <c r="G31" s="7">
        <v>225</v>
      </c>
      <c r="H31" s="7" t="s">
        <v>535</v>
      </c>
      <c r="I31" s="7" t="s">
        <v>109</v>
      </c>
      <c r="J31" s="7" t="s">
        <v>130</v>
      </c>
      <c r="K31" s="46">
        <v>0.71736111111111112</v>
      </c>
      <c r="L31" s="7" t="s">
        <v>109</v>
      </c>
      <c r="M31" s="7" t="s">
        <v>109</v>
      </c>
      <c r="N31" s="7" t="s">
        <v>109</v>
      </c>
      <c r="O31" s="7" t="s">
        <v>61</v>
      </c>
      <c r="P31" s="7" t="s">
        <v>131</v>
      </c>
      <c r="Q31" s="7" t="s">
        <v>70</v>
      </c>
      <c r="R31" s="7" t="s">
        <v>62</v>
      </c>
      <c r="S31" s="7" t="s">
        <v>512</v>
      </c>
      <c r="T31" s="7" t="s">
        <v>424</v>
      </c>
      <c r="U31" s="7" t="str">
        <f t="shared" si="0"/>
        <v>Met</v>
      </c>
      <c r="V31" s="7" t="s">
        <v>109</v>
      </c>
    </row>
    <row r="32" spans="1:22" x14ac:dyDescent="0.3">
      <c r="A32" s="7">
        <v>31</v>
      </c>
      <c r="B32" s="7" t="s">
        <v>23</v>
      </c>
      <c r="C32" s="7" t="s">
        <v>536</v>
      </c>
      <c r="D32" s="7">
        <v>50126098</v>
      </c>
      <c r="E32" s="7">
        <v>85</v>
      </c>
      <c r="F32" s="7">
        <v>129</v>
      </c>
      <c r="G32" s="7">
        <v>48</v>
      </c>
      <c r="H32" s="7" t="s">
        <v>95</v>
      </c>
      <c r="I32" s="7" t="s">
        <v>109</v>
      </c>
      <c r="J32" s="7" t="s">
        <v>130</v>
      </c>
      <c r="K32" s="46">
        <v>0.97569444444444442</v>
      </c>
      <c r="L32" s="7" t="s">
        <v>109</v>
      </c>
      <c r="M32" s="7" t="s">
        <v>109</v>
      </c>
      <c r="N32" s="7" t="s">
        <v>109</v>
      </c>
      <c r="O32" s="7" t="s">
        <v>61</v>
      </c>
      <c r="P32" s="7" t="s">
        <v>131</v>
      </c>
      <c r="Q32" s="7" t="s">
        <v>95</v>
      </c>
      <c r="R32" s="7" t="s">
        <v>62</v>
      </c>
      <c r="S32" s="7" t="s">
        <v>512</v>
      </c>
      <c r="T32" s="7" t="s">
        <v>424</v>
      </c>
      <c r="U32" s="7" t="str">
        <f t="shared" si="0"/>
        <v>Not Met</v>
      </c>
      <c r="V32" s="7" t="s">
        <v>612</v>
      </c>
    </row>
    <row r="33" spans="1:22" x14ac:dyDescent="0.3">
      <c r="A33" s="7">
        <v>32</v>
      </c>
      <c r="B33" s="7" t="s">
        <v>23</v>
      </c>
      <c r="C33" s="7" t="s">
        <v>537</v>
      </c>
      <c r="D33" s="7">
        <v>50126097</v>
      </c>
      <c r="E33" s="7">
        <v>85</v>
      </c>
      <c r="F33" s="7">
        <v>188</v>
      </c>
      <c r="G33" s="7">
        <v>32</v>
      </c>
      <c r="H33" s="7" t="s">
        <v>86</v>
      </c>
      <c r="I33" s="7" t="s">
        <v>109</v>
      </c>
      <c r="J33" s="7" t="s">
        <v>130</v>
      </c>
      <c r="K33" s="46">
        <v>0.82777777777777772</v>
      </c>
      <c r="L33" s="7" t="s">
        <v>109</v>
      </c>
      <c r="M33" s="7" t="s">
        <v>109</v>
      </c>
      <c r="N33" s="7" t="s">
        <v>109</v>
      </c>
      <c r="O33" s="7" t="s">
        <v>61</v>
      </c>
      <c r="P33" s="7" t="s">
        <v>131</v>
      </c>
      <c r="Q33" s="7" t="s">
        <v>86</v>
      </c>
      <c r="R33" s="7" t="s">
        <v>62</v>
      </c>
      <c r="S33" s="7" t="s">
        <v>512</v>
      </c>
      <c r="T33" s="7" t="s">
        <v>424</v>
      </c>
      <c r="U33" s="7" t="str">
        <f t="shared" si="0"/>
        <v>Not Met</v>
      </c>
      <c r="V33" s="7" t="s">
        <v>612</v>
      </c>
    </row>
    <row r="34" spans="1:22" x14ac:dyDescent="0.3">
      <c r="A34" s="7">
        <v>33</v>
      </c>
      <c r="B34" s="7" t="s">
        <v>23</v>
      </c>
      <c r="C34" s="7" t="s">
        <v>538</v>
      </c>
      <c r="D34" s="7">
        <v>50126084</v>
      </c>
      <c r="E34" s="7">
        <v>75</v>
      </c>
      <c r="F34" s="7">
        <v>163</v>
      </c>
      <c r="G34" s="7">
        <v>31</v>
      </c>
      <c r="H34" s="7" t="s">
        <v>86</v>
      </c>
      <c r="I34" s="7" t="s">
        <v>109</v>
      </c>
      <c r="J34" s="7" t="s">
        <v>130</v>
      </c>
      <c r="K34" s="46">
        <v>0.96250000000000002</v>
      </c>
      <c r="L34" s="7" t="s">
        <v>109</v>
      </c>
      <c r="M34" s="7" t="s">
        <v>109</v>
      </c>
      <c r="N34" s="7" t="s">
        <v>109</v>
      </c>
      <c r="O34" s="7" t="s">
        <v>61</v>
      </c>
      <c r="P34" s="7" t="s">
        <v>131</v>
      </c>
      <c r="Q34" s="7" t="s">
        <v>86</v>
      </c>
      <c r="R34" s="7" t="s">
        <v>62</v>
      </c>
      <c r="S34" s="7" t="s">
        <v>512</v>
      </c>
      <c r="T34" s="7" t="s">
        <v>424</v>
      </c>
      <c r="U34" s="7" t="str">
        <f t="shared" ref="U34:U58" si="1" xml:space="preserve"> IF(G34 &gt;= E34, "Met", "Not Met")</f>
        <v>Not Met</v>
      </c>
      <c r="V34" s="7" t="s">
        <v>612</v>
      </c>
    </row>
    <row r="35" spans="1:22" x14ac:dyDescent="0.3">
      <c r="A35" s="7">
        <v>34</v>
      </c>
      <c r="B35" s="7" t="s">
        <v>23</v>
      </c>
      <c r="C35" s="7" t="s">
        <v>539</v>
      </c>
      <c r="D35" s="7">
        <v>50126083</v>
      </c>
      <c r="E35" s="7">
        <v>75</v>
      </c>
      <c r="F35" s="7">
        <v>100</v>
      </c>
      <c r="G35" s="7">
        <v>79</v>
      </c>
      <c r="H35" s="7" t="s">
        <v>87</v>
      </c>
      <c r="I35" s="7" t="s">
        <v>109</v>
      </c>
      <c r="J35" s="7" t="s">
        <v>130</v>
      </c>
      <c r="K35" s="46">
        <v>0.75902777777777775</v>
      </c>
      <c r="L35" s="7" t="s">
        <v>109</v>
      </c>
      <c r="M35" s="7" t="s">
        <v>109</v>
      </c>
      <c r="N35" s="7" t="s">
        <v>109</v>
      </c>
      <c r="O35" s="7" t="s">
        <v>61</v>
      </c>
      <c r="P35" s="7" t="s">
        <v>131</v>
      </c>
      <c r="Q35" s="7" t="s">
        <v>87</v>
      </c>
      <c r="R35" s="7" t="s">
        <v>62</v>
      </c>
      <c r="S35" s="7" t="s">
        <v>512</v>
      </c>
      <c r="T35" s="7" t="s">
        <v>424</v>
      </c>
      <c r="U35" s="7" t="str">
        <f t="shared" si="1"/>
        <v>Met</v>
      </c>
      <c r="V35" s="7" t="s">
        <v>109</v>
      </c>
    </row>
    <row r="36" spans="1:22" x14ac:dyDescent="0.3">
      <c r="A36" s="7">
        <v>35</v>
      </c>
      <c r="B36" s="7" t="s">
        <v>23</v>
      </c>
      <c r="C36" s="7" t="s">
        <v>540</v>
      </c>
      <c r="D36" s="7">
        <v>50126082</v>
      </c>
      <c r="E36" s="7">
        <v>75</v>
      </c>
      <c r="F36" s="7">
        <v>90</v>
      </c>
      <c r="G36" s="7">
        <v>84</v>
      </c>
      <c r="H36" s="7" t="s">
        <v>91</v>
      </c>
      <c r="I36" s="7" t="s">
        <v>109</v>
      </c>
      <c r="J36" s="7" t="s">
        <v>130</v>
      </c>
      <c r="K36" s="46">
        <v>0.98055555555555551</v>
      </c>
      <c r="L36" s="7" t="s">
        <v>109</v>
      </c>
      <c r="M36" s="7" t="s">
        <v>109</v>
      </c>
      <c r="N36" s="7" t="s">
        <v>109</v>
      </c>
      <c r="O36" s="7" t="s">
        <v>61</v>
      </c>
      <c r="P36" s="7" t="s">
        <v>131</v>
      </c>
      <c r="Q36" s="7" t="s">
        <v>91</v>
      </c>
      <c r="R36" s="7" t="s">
        <v>62</v>
      </c>
      <c r="S36" s="7" t="s">
        <v>512</v>
      </c>
      <c r="T36" s="7" t="s">
        <v>424</v>
      </c>
      <c r="U36" s="7" t="str">
        <f t="shared" si="1"/>
        <v>Met</v>
      </c>
      <c r="V36" s="7" t="s">
        <v>109</v>
      </c>
    </row>
    <row r="37" spans="1:22" x14ac:dyDescent="0.3">
      <c r="A37" s="7">
        <v>36</v>
      </c>
      <c r="B37" s="7" t="s">
        <v>23</v>
      </c>
      <c r="C37" s="7" t="s">
        <v>541</v>
      </c>
      <c r="D37" s="7">
        <v>50126096</v>
      </c>
      <c r="E37" s="7">
        <v>85</v>
      </c>
      <c r="F37" s="7">
        <v>108</v>
      </c>
      <c r="G37" s="7">
        <v>93</v>
      </c>
      <c r="H37" s="7" t="s">
        <v>274</v>
      </c>
      <c r="I37" s="7" t="s">
        <v>109</v>
      </c>
      <c r="J37" s="7" t="s">
        <v>130</v>
      </c>
      <c r="K37" s="46">
        <v>0.7583333333333333</v>
      </c>
      <c r="L37" s="7" t="s">
        <v>109</v>
      </c>
      <c r="M37" s="7" t="s">
        <v>109</v>
      </c>
      <c r="N37" s="7" t="s">
        <v>109</v>
      </c>
      <c r="O37" s="7" t="s">
        <v>61</v>
      </c>
      <c r="P37" s="7" t="s">
        <v>131</v>
      </c>
      <c r="Q37" s="7" t="s">
        <v>274</v>
      </c>
      <c r="R37" s="7" t="s">
        <v>62</v>
      </c>
      <c r="S37" s="7" t="s">
        <v>512</v>
      </c>
      <c r="T37" s="7" t="s">
        <v>424</v>
      </c>
      <c r="U37" s="7" t="str">
        <f t="shared" si="1"/>
        <v>Met</v>
      </c>
      <c r="V37" s="7" t="s">
        <v>109</v>
      </c>
    </row>
    <row r="38" spans="1:22" x14ac:dyDescent="0.3">
      <c r="A38" s="7">
        <v>37</v>
      </c>
      <c r="B38" s="7" t="s">
        <v>23</v>
      </c>
      <c r="C38" s="7" t="s">
        <v>542</v>
      </c>
      <c r="D38" s="7">
        <v>50126089</v>
      </c>
      <c r="E38" s="7">
        <v>85</v>
      </c>
      <c r="F38" s="7">
        <v>148</v>
      </c>
      <c r="G38" s="7">
        <v>88</v>
      </c>
      <c r="H38" s="7" t="s">
        <v>87</v>
      </c>
      <c r="I38" s="7" t="s">
        <v>109</v>
      </c>
      <c r="J38" s="7" t="s">
        <v>130</v>
      </c>
      <c r="K38" s="46">
        <v>0.72430555555555554</v>
      </c>
      <c r="L38" s="7" t="s">
        <v>109</v>
      </c>
      <c r="M38" s="7" t="s">
        <v>109</v>
      </c>
      <c r="N38" s="7" t="s">
        <v>109</v>
      </c>
      <c r="O38" s="7" t="s">
        <v>61</v>
      </c>
      <c r="P38" s="7" t="s">
        <v>131</v>
      </c>
      <c r="Q38" s="7" t="s">
        <v>87</v>
      </c>
      <c r="R38" s="7" t="s">
        <v>62</v>
      </c>
      <c r="S38" s="7" t="s">
        <v>512</v>
      </c>
      <c r="T38" s="7" t="s">
        <v>424</v>
      </c>
      <c r="U38" s="7" t="str">
        <f t="shared" si="1"/>
        <v>Met</v>
      </c>
      <c r="V38" s="7" t="s">
        <v>109</v>
      </c>
    </row>
    <row r="39" spans="1:22" x14ac:dyDescent="0.3">
      <c r="A39" s="7">
        <v>38</v>
      </c>
      <c r="B39" s="7" t="s">
        <v>23</v>
      </c>
      <c r="C39" s="7" t="s">
        <v>543</v>
      </c>
      <c r="D39" s="7">
        <v>50126088</v>
      </c>
      <c r="E39" s="7">
        <v>85</v>
      </c>
      <c r="F39" s="7">
        <v>138</v>
      </c>
      <c r="G39" s="7">
        <v>88</v>
      </c>
      <c r="H39" s="7" t="s">
        <v>527</v>
      </c>
      <c r="I39" s="7" t="s">
        <v>109</v>
      </c>
      <c r="J39" s="7" t="s">
        <v>130</v>
      </c>
      <c r="K39" s="46">
        <v>0.76388888888888884</v>
      </c>
      <c r="L39" s="7" t="s">
        <v>109</v>
      </c>
      <c r="M39" s="7" t="s">
        <v>109</v>
      </c>
      <c r="N39" s="7" t="s">
        <v>109</v>
      </c>
      <c r="O39" s="7" t="s">
        <v>61</v>
      </c>
      <c r="P39" s="7" t="s">
        <v>131</v>
      </c>
      <c r="Q39" s="7" t="s">
        <v>527</v>
      </c>
      <c r="R39" s="7" t="s">
        <v>62</v>
      </c>
      <c r="S39" s="7" t="s">
        <v>512</v>
      </c>
      <c r="T39" s="7" t="s">
        <v>424</v>
      </c>
      <c r="U39" s="7" t="str">
        <f t="shared" si="1"/>
        <v>Met</v>
      </c>
      <c r="V39" s="7" t="s">
        <v>109</v>
      </c>
    </row>
    <row r="40" spans="1:22" x14ac:dyDescent="0.3">
      <c r="A40" s="7">
        <v>39</v>
      </c>
      <c r="B40" s="7" t="s">
        <v>23</v>
      </c>
      <c r="C40" s="7" t="s">
        <v>544</v>
      </c>
      <c r="D40" s="7">
        <v>50126087</v>
      </c>
      <c r="E40" s="7">
        <v>85</v>
      </c>
      <c r="F40" s="7">
        <v>146</v>
      </c>
      <c r="G40" s="7">
        <v>86</v>
      </c>
      <c r="H40" s="7" t="s">
        <v>200</v>
      </c>
      <c r="I40" s="7" t="s">
        <v>109</v>
      </c>
      <c r="J40" s="7" t="s">
        <v>130</v>
      </c>
      <c r="K40" s="46">
        <v>0.70763888888888893</v>
      </c>
      <c r="L40" s="7" t="s">
        <v>109</v>
      </c>
      <c r="M40" s="7" t="s">
        <v>109</v>
      </c>
      <c r="N40" s="7" t="s">
        <v>109</v>
      </c>
      <c r="O40" s="7" t="s">
        <v>61</v>
      </c>
      <c r="P40" s="7" t="s">
        <v>131</v>
      </c>
      <c r="Q40" s="7" t="s">
        <v>200</v>
      </c>
      <c r="R40" s="7" t="s">
        <v>62</v>
      </c>
      <c r="S40" s="7" t="s">
        <v>512</v>
      </c>
      <c r="T40" s="7" t="s">
        <v>424</v>
      </c>
      <c r="U40" s="7" t="str">
        <f t="shared" si="1"/>
        <v>Met</v>
      </c>
      <c r="V40" s="7" t="s">
        <v>109</v>
      </c>
    </row>
    <row r="41" spans="1:22" x14ac:dyDescent="0.3">
      <c r="A41" s="7">
        <v>40</v>
      </c>
      <c r="B41" s="7" t="s">
        <v>23</v>
      </c>
      <c r="C41" s="7" t="s">
        <v>545</v>
      </c>
      <c r="D41" s="7">
        <v>50126086</v>
      </c>
      <c r="E41" s="7">
        <v>85</v>
      </c>
      <c r="F41" s="7">
        <v>156</v>
      </c>
      <c r="G41" s="7">
        <v>86</v>
      </c>
      <c r="H41" s="7" t="s">
        <v>71</v>
      </c>
      <c r="I41" s="7" t="s">
        <v>109</v>
      </c>
      <c r="J41" s="7" t="s">
        <v>130</v>
      </c>
      <c r="K41" s="46">
        <v>0.73541666666666672</v>
      </c>
      <c r="L41" s="7" t="s">
        <v>109</v>
      </c>
      <c r="M41" s="7" t="s">
        <v>109</v>
      </c>
      <c r="N41" s="7" t="s">
        <v>109</v>
      </c>
      <c r="O41" s="7" t="s">
        <v>61</v>
      </c>
      <c r="P41" s="7" t="s">
        <v>131</v>
      </c>
      <c r="Q41" s="7" t="s">
        <v>71</v>
      </c>
      <c r="R41" s="7" t="s">
        <v>62</v>
      </c>
      <c r="S41" s="7" t="s">
        <v>512</v>
      </c>
      <c r="T41" s="7" t="s">
        <v>424</v>
      </c>
      <c r="U41" s="7" t="str">
        <f t="shared" si="1"/>
        <v>Met</v>
      </c>
      <c r="V41" s="7" t="s">
        <v>109</v>
      </c>
    </row>
    <row r="42" spans="1:22" x14ac:dyDescent="0.3">
      <c r="A42" s="7">
        <v>41</v>
      </c>
      <c r="B42" s="7" t="s">
        <v>23</v>
      </c>
      <c r="C42" s="7" t="s">
        <v>546</v>
      </c>
      <c r="D42" s="7">
        <v>50126085</v>
      </c>
      <c r="E42" s="7">
        <v>85</v>
      </c>
      <c r="F42" s="7">
        <v>200</v>
      </c>
      <c r="G42" s="7">
        <v>84</v>
      </c>
      <c r="H42" s="7" t="s">
        <v>196</v>
      </c>
      <c r="I42" s="7" t="s">
        <v>109</v>
      </c>
      <c r="J42" s="7" t="s">
        <v>130</v>
      </c>
      <c r="K42" s="46">
        <v>0.76875000000000004</v>
      </c>
      <c r="L42" s="7" t="s">
        <v>109</v>
      </c>
      <c r="M42" s="7" t="s">
        <v>109</v>
      </c>
      <c r="N42" s="7" t="s">
        <v>109</v>
      </c>
      <c r="O42" s="7" t="s">
        <v>61</v>
      </c>
      <c r="P42" s="7" t="s">
        <v>131</v>
      </c>
      <c r="Q42" s="7" t="s">
        <v>196</v>
      </c>
      <c r="R42" s="7" t="s">
        <v>62</v>
      </c>
      <c r="S42" s="7" t="s">
        <v>512</v>
      </c>
      <c r="T42" s="7" t="s">
        <v>424</v>
      </c>
      <c r="U42" s="7" t="str">
        <f t="shared" si="1"/>
        <v>Not Met</v>
      </c>
      <c r="V42" s="7" t="s">
        <v>612</v>
      </c>
    </row>
    <row r="43" spans="1:22" x14ac:dyDescent="0.3">
      <c r="A43" s="7">
        <v>42</v>
      </c>
      <c r="B43" s="7" t="s">
        <v>23</v>
      </c>
      <c r="C43" s="7" t="s">
        <v>547</v>
      </c>
      <c r="D43" s="7">
        <v>50126102</v>
      </c>
      <c r="E43" s="7">
        <v>75</v>
      </c>
      <c r="F43" s="7">
        <v>96</v>
      </c>
      <c r="G43" s="7">
        <v>78</v>
      </c>
      <c r="H43" s="7" t="s">
        <v>64</v>
      </c>
      <c r="I43" s="7" t="s">
        <v>109</v>
      </c>
      <c r="J43" s="7" t="s">
        <v>130</v>
      </c>
      <c r="K43" s="46">
        <v>0.75069444444444444</v>
      </c>
      <c r="L43" s="7" t="s">
        <v>109</v>
      </c>
      <c r="M43" s="7" t="s">
        <v>109</v>
      </c>
      <c r="N43" s="7" t="s">
        <v>109</v>
      </c>
      <c r="O43" s="7" t="s">
        <v>61</v>
      </c>
      <c r="P43" s="7" t="s">
        <v>131</v>
      </c>
      <c r="Q43" s="7" t="s">
        <v>64</v>
      </c>
      <c r="R43" s="7" t="s">
        <v>62</v>
      </c>
      <c r="S43" s="7" t="s">
        <v>512</v>
      </c>
      <c r="T43" s="7" t="s">
        <v>424</v>
      </c>
      <c r="U43" s="7" t="str">
        <f t="shared" si="1"/>
        <v>Met</v>
      </c>
      <c r="V43" s="7" t="s">
        <v>109</v>
      </c>
    </row>
    <row r="44" spans="1:22" x14ac:dyDescent="0.3">
      <c r="A44" s="7">
        <v>43</v>
      </c>
      <c r="B44" s="7" t="s">
        <v>23</v>
      </c>
      <c r="C44" s="7" t="s">
        <v>548</v>
      </c>
      <c r="D44" s="7">
        <v>50126095</v>
      </c>
      <c r="E44" s="7">
        <v>85</v>
      </c>
      <c r="F44" s="7">
        <v>117</v>
      </c>
      <c r="G44" s="7">
        <v>86</v>
      </c>
      <c r="H44" s="7" t="s">
        <v>69</v>
      </c>
      <c r="I44" s="7" t="s">
        <v>109</v>
      </c>
      <c r="J44" s="7" t="s">
        <v>130</v>
      </c>
      <c r="K44" s="46">
        <v>0.71736111111111112</v>
      </c>
      <c r="L44" s="7" t="s">
        <v>109</v>
      </c>
      <c r="M44" s="7" t="s">
        <v>109</v>
      </c>
      <c r="N44" s="7" t="s">
        <v>109</v>
      </c>
      <c r="O44" s="7" t="s">
        <v>61</v>
      </c>
      <c r="P44" s="7" t="s">
        <v>131</v>
      </c>
      <c r="Q44" s="7" t="s">
        <v>69</v>
      </c>
      <c r="R44" s="7" t="s">
        <v>62</v>
      </c>
      <c r="S44" s="7" t="s">
        <v>512</v>
      </c>
      <c r="T44" s="7" t="s">
        <v>424</v>
      </c>
      <c r="U44" s="7" t="str">
        <f t="shared" si="1"/>
        <v>Met</v>
      </c>
      <c r="V44" s="7" t="s">
        <v>109</v>
      </c>
    </row>
    <row r="45" spans="1:22" x14ac:dyDescent="0.3">
      <c r="A45" s="7">
        <v>44</v>
      </c>
      <c r="B45" s="7" t="s">
        <v>23</v>
      </c>
      <c r="C45" s="7" t="s">
        <v>549</v>
      </c>
      <c r="D45" s="7">
        <v>50126094</v>
      </c>
      <c r="E45" s="7">
        <v>85</v>
      </c>
      <c r="F45" s="7">
        <v>126</v>
      </c>
      <c r="G45" s="7">
        <v>94</v>
      </c>
      <c r="H45" s="7" t="s">
        <v>89</v>
      </c>
      <c r="I45" s="7" t="s">
        <v>109</v>
      </c>
      <c r="J45" s="7" t="s">
        <v>130</v>
      </c>
      <c r="K45" s="46">
        <v>0.88402777777777775</v>
      </c>
      <c r="L45" s="7" t="s">
        <v>109</v>
      </c>
      <c r="M45" s="7" t="s">
        <v>109</v>
      </c>
      <c r="N45" s="7" t="s">
        <v>109</v>
      </c>
      <c r="O45" s="7" t="s">
        <v>61</v>
      </c>
      <c r="P45" s="7" t="s">
        <v>131</v>
      </c>
      <c r="Q45" s="7" t="s">
        <v>89</v>
      </c>
      <c r="R45" s="7" t="s">
        <v>62</v>
      </c>
      <c r="S45" s="7" t="s">
        <v>512</v>
      </c>
      <c r="T45" s="7" t="s">
        <v>424</v>
      </c>
      <c r="U45" s="7" t="str">
        <f t="shared" si="1"/>
        <v>Met</v>
      </c>
      <c r="V45" s="7" t="s">
        <v>109</v>
      </c>
    </row>
    <row r="46" spans="1:22" x14ac:dyDescent="0.3">
      <c r="A46" s="7">
        <v>45</v>
      </c>
      <c r="B46" s="7" t="s">
        <v>23</v>
      </c>
      <c r="C46" s="7" t="s">
        <v>550</v>
      </c>
      <c r="D46" s="7">
        <v>50126093</v>
      </c>
      <c r="E46" s="7">
        <v>85</v>
      </c>
      <c r="F46" s="7">
        <v>144</v>
      </c>
      <c r="G46" s="7">
        <v>90</v>
      </c>
      <c r="H46" s="7" t="s">
        <v>72</v>
      </c>
      <c r="I46" s="7" t="s">
        <v>109</v>
      </c>
      <c r="J46" s="7" t="s">
        <v>130</v>
      </c>
      <c r="K46" s="46">
        <v>0.7729166666666667</v>
      </c>
      <c r="L46" s="7" t="s">
        <v>109</v>
      </c>
      <c r="M46" s="7" t="s">
        <v>109</v>
      </c>
      <c r="N46" s="7" t="s">
        <v>109</v>
      </c>
      <c r="O46" s="7" t="s">
        <v>61</v>
      </c>
      <c r="P46" s="7" t="s">
        <v>131</v>
      </c>
      <c r="Q46" s="7" t="s">
        <v>72</v>
      </c>
      <c r="R46" s="7" t="s">
        <v>62</v>
      </c>
      <c r="S46" s="7" t="s">
        <v>512</v>
      </c>
      <c r="T46" s="7" t="s">
        <v>424</v>
      </c>
      <c r="U46" s="7" t="str">
        <f t="shared" si="1"/>
        <v>Met</v>
      </c>
      <c r="V46" s="7" t="s">
        <v>109</v>
      </c>
    </row>
    <row r="47" spans="1:22" x14ac:dyDescent="0.3">
      <c r="A47" s="7">
        <v>46</v>
      </c>
      <c r="B47" s="7" t="s">
        <v>23</v>
      </c>
      <c r="C47" s="7" t="s">
        <v>551</v>
      </c>
      <c r="D47" s="7">
        <v>50126092</v>
      </c>
      <c r="E47" s="7">
        <v>85</v>
      </c>
      <c r="F47" s="7">
        <v>121</v>
      </c>
      <c r="G47" s="7">
        <v>88</v>
      </c>
      <c r="H47" s="7" t="s">
        <v>67</v>
      </c>
      <c r="I47" s="7" t="s">
        <v>109</v>
      </c>
      <c r="J47" s="7" t="s">
        <v>130</v>
      </c>
      <c r="K47" s="46">
        <v>0.80069444444444449</v>
      </c>
      <c r="L47" s="7" t="s">
        <v>109</v>
      </c>
      <c r="M47" s="7" t="s">
        <v>109</v>
      </c>
      <c r="N47" s="7" t="s">
        <v>109</v>
      </c>
      <c r="O47" s="7" t="s">
        <v>61</v>
      </c>
      <c r="P47" s="7" t="s">
        <v>131</v>
      </c>
      <c r="Q47" s="7" t="s">
        <v>67</v>
      </c>
      <c r="R47" s="7" t="s">
        <v>62</v>
      </c>
      <c r="S47" s="7" t="s">
        <v>512</v>
      </c>
      <c r="T47" s="7" t="s">
        <v>424</v>
      </c>
      <c r="U47" s="7" t="str">
        <f t="shared" si="1"/>
        <v>Met</v>
      </c>
      <c r="V47" s="7" t="s">
        <v>109</v>
      </c>
    </row>
    <row r="48" spans="1:22" x14ac:dyDescent="0.3">
      <c r="A48" s="7">
        <v>47</v>
      </c>
      <c r="B48" s="7" t="s">
        <v>23</v>
      </c>
      <c r="C48" s="7" t="s">
        <v>552</v>
      </c>
      <c r="D48" s="7">
        <v>50126091</v>
      </c>
      <c r="E48" s="7">
        <v>85</v>
      </c>
      <c r="F48" s="7">
        <v>159</v>
      </c>
      <c r="G48" s="7">
        <v>90</v>
      </c>
      <c r="H48" s="7" t="s">
        <v>82</v>
      </c>
      <c r="I48" s="7" t="s">
        <v>109</v>
      </c>
      <c r="J48" s="7" t="s">
        <v>130</v>
      </c>
      <c r="K48" s="46">
        <v>0.92638888888888893</v>
      </c>
      <c r="L48" s="7" t="s">
        <v>109</v>
      </c>
      <c r="M48" s="7" t="s">
        <v>109</v>
      </c>
      <c r="N48" s="7" t="s">
        <v>109</v>
      </c>
      <c r="O48" s="7" t="s">
        <v>61</v>
      </c>
      <c r="P48" s="7" t="s">
        <v>131</v>
      </c>
      <c r="Q48" s="7" t="s">
        <v>82</v>
      </c>
      <c r="R48" s="7" t="s">
        <v>62</v>
      </c>
      <c r="S48" s="7" t="s">
        <v>512</v>
      </c>
      <c r="T48" s="7" t="s">
        <v>424</v>
      </c>
      <c r="U48" s="7" t="str">
        <f t="shared" si="1"/>
        <v>Met</v>
      </c>
      <c r="V48" s="7" t="s">
        <v>109</v>
      </c>
    </row>
    <row r="49" spans="1:22" x14ac:dyDescent="0.3">
      <c r="A49" s="7">
        <v>48</v>
      </c>
      <c r="B49" s="7" t="s">
        <v>23</v>
      </c>
      <c r="C49" s="7" t="s">
        <v>553</v>
      </c>
      <c r="D49" s="7">
        <v>50126090</v>
      </c>
      <c r="E49" s="7">
        <v>85</v>
      </c>
      <c r="F49" s="7">
        <v>72</v>
      </c>
      <c r="G49" s="7">
        <v>28</v>
      </c>
      <c r="H49" s="7" t="s">
        <v>64</v>
      </c>
      <c r="I49" s="7" t="s">
        <v>109</v>
      </c>
      <c r="J49" s="7" t="s">
        <v>130</v>
      </c>
      <c r="K49" s="46">
        <v>0.75486111111111109</v>
      </c>
      <c r="L49" s="7" t="s">
        <v>109</v>
      </c>
      <c r="M49" s="7" t="s">
        <v>109</v>
      </c>
      <c r="N49" s="7" t="s">
        <v>109</v>
      </c>
      <c r="O49" s="7" t="s">
        <v>61</v>
      </c>
      <c r="P49" s="7" t="s">
        <v>131</v>
      </c>
      <c r="Q49" s="7" t="s">
        <v>64</v>
      </c>
      <c r="R49" s="7" t="s">
        <v>62</v>
      </c>
      <c r="S49" s="7" t="s">
        <v>512</v>
      </c>
      <c r="T49" s="7" t="s">
        <v>424</v>
      </c>
      <c r="U49" s="7" t="str">
        <f t="shared" si="1"/>
        <v>Not Met</v>
      </c>
      <c r="V49" s="7" t="s">
        <v>612</v>
      </c>
    </row>
    <row r="50" spans="1:22" x14ac:dyDescent="0.3">
      <c r="A50" s="7">
        <v>49</v>
      </c>
      <c r="B50" s="7" t="s">
        <v>143</v>
      </c>
      <c r="C50" s="7" t="s">
        <v>347</v>
      </c>
      <c r="D50" s="7">
        <v>11225025</v>
      </c>
      <c r="E50" s="7">
        <v>100</v>
      </c>
      <c r="F50" s="7">
        <v>166</v>
      </c>
      <c r="G50" s="7">
        <v>103</v>
      </c>
      <c r="H50" s="7" t="s">
        <v>71</v>
      </c>
      <c r="I50" s="7" t="s">
        <v>87</v>
      </c>
      <c r="J50" s="7" t="s">
        <v>130</v>
      </c>
      <c r="K50" s="7" t="s">
        <v>109</v>
      </c>
      <c r="L50" s="46">
        <v>0.85972222222222228</v>
      </c>
      <c r="M50" s="7" t="s">
        <v>109</v>
      </c>
      <c r="N50" s="7" t="s">
        <v>109</v>
      </c>
      <c r="O50" s="7" t="s">
        <v>61</v>
      </c>
      <c r="P50" s="7" t="s">
        <v>131</v>
      </c>
      <c r="Q50" s="7" t="s">
        <v>87</v>
      </c>
      <c r="R50" s="7" t="s">
        <v>62</v>
      </c>
      <c r="S50" s="7" t="s">
        <v>512</v>
      </c>
      <c r="T50" s="7" t="s">
        <v>116</v>
      </c>
      <c r="U50" s="7" t="str">
        <f t="shared" si="1"/>
        <v>Met</v>
      </c>
      <c r="V50" s="7" t="s">
        <v>109</v>
      </c>
    </row>
    <row r="51" spans="1:22" x14ac:dyDescent="0.3">
      <c r="A51" s="7">
        <v>50</v>
      </c>
      <c r="B51" s="7" t="s">
        <v>143</v>
      </c>
      <c r="C51" s="7" t="s">
        <v>350</v>
      </c>
      <c r="D51" s="7">
        <v>11125037</v>
      </c>
      <c r="E51" s="7">
        <v>50</v>
      </c>
      <c r="F51" s="7">
        <v>111</v>
      </c>
      <c r="G51" s="7">
        <v>59</v>
      </c>
      <c r="H51" s="7" t="s">
        <v>70</v>
      </c>
      <c r="I51" s="7" t="s">
        <v>209</v>
      </c>
      <c r="J51" s="7" t="s">
        <v>130</v>
      </c>
      <c r="K51" s="46">
        <v>0.84861111111111109</v>
      </c>
      <c r="L51" s="46">
        <v>0.8833333333333333</v>
      </c>
      <c r="M51" s="7" t="s">
        <v>109</v>
      </c>
      <c r="N51" s="7" t="s">
        <v>109</v>
      </c>
      <c r="O51" s="7" t="s">
        <v>61</v>
      </c>
      <c r="P51" s="7" t="s">
        <v>131</v>
      </c>
      <c r="Q51" s="7" t="s">
        <v>209</v>
      </c>
      <c r="R51" s="7" t="s">
        <v>62</v>
      </c>
      <c r="S51" s="7" t="s">
        <v>512</v>
      </c>
      <c r="T51" s="7" t="s">
        <v>351</v>
      </c>
      <c r="U51" s="7" t="str">
        <f t="shared" si="1"/>
        <v>Met</v>
      </c>
      <c r="V51" s="7" t="s">
        <v>109</v>
      </c>
    </row>
    <row r="52" spans="1:22" x14ac:dyDescent="0.3">
      <c r="A52" s="7">
        <v>51</v>
      </c>
      <c r="B52" s="7" t="s">
        <v>143</v>
      </c>
      <c r="C52" s="7" t="s">
        <v>554</v>
      </c>
      <c r="D52" s="7">
        <v>10725018</v>
      </c>
      <c r="E52" s="7">
        <v>30</v>
      </c>
      <c r="F52" s="7">
        <v>74</v>
      </c>
      <c r="G52" s="7">
        <v>31</v>
      </c>
      <c r="H52" s="7" t="s">
        <v>69</v>
      </c>
      <c r="I52" s="7" t="s">
        <v>94</v>
      </c>
      <c r="J52" s="7" t="s">
        <v>130</v>
      </c>
      <c r="K52" s="46">
        <v>0.74375000000000002</v>
      </c>
      <c r="L52" s="46">
        <v>0.78333333333333333</v>
      </c>
      <c r="M52" s="7" t="s">
        <v>109</v>
      </c>
      <c r="N52" s="7" t="s">
        <v>109</v>
      </c>
      <c r="O52" s="7" t="s">
        <v>61</v>
      </c>
      <c r="P52" s="7" t="s">
        <v>131</v>
      </c>
      <c r="Q52" s="7" t="s">
        <v>94</v>
      </c>
      <c r="R52" s="7" t="s">
        <v>62</v>
      </c>
      <c r="S52" s="7" t="s">
        <v>512</v>
      </c>
      <c r="T52" s="7" t="s">
        <v>609</v>
      </c>
      <c r="U52" s="7" t="str">
        <f t="shared" si="1"/>
        <v>Met</v>
      </c>
      <c r="V52" s="7" t="s">
        <v>109</v>
      </c>
    </row>
    <row r="53" spans="1:22" x14ac:dyDescent="0.3">
      <c r="A53" s="7">
        <v>52</v>
      </c>
      <c r="B53" s="7" t="s">
        <v>143</v>
      </c>
      <c r="C53" s="7" t="s">
        <v>365</v>
      </c>
      <c r="D53" s="7">
        <v>11225031</v>
      </c>
      <c r="E53" s="7">
        <v>92</v>
      </c>
      <c r="F53" s="7">
        <v>314</v>
      </c>
      <c r="G53" s="7">
        <v>21</v>
      </c>
      <c r="H53" s="7" t="s">
        <v>599</v>
      </c>
      <c r="I53" s="7" t="s">
        <v>605</v>
      </c>
      <c r="J53" s="7" t="s">
        <v>130</v>
      </c>
      <c r="K53" s="46">
        <v>0.82638888888888884</v>
      </c>
      <c r="L53" s="46">
        <v>0.99652777777777779</v>
      </c>
      <c r="M53" s="7" t="s">
        <v>109</v>
      </c>
      <c r="N53" s="7" t="s">
        <v>109</v>
      </c>
      <c r="O53" s="7" t="s">
        <v>61</v>
      </c>
      <c r="P53" s="7" t="s">
        <v>131</v>
      </c>
      <c r="Q53" s="7" t="s">
        <v>605</v>
      </c>
      <c r="R53" s="7" t="s">
        <v>62</v>
      </c>
      <c r="S53" s="7" t="s">
        <v>512</v>
      </c>
      <c r="T53" s="7" t="s">
        <v>398</v>
      </c>
      <c r="U53" s="7" t="str">
        <f t="shared" si="1"/>
        <v>Not Met</v>
      </c>
      <c r="V53" s="7" t="s">
        <v>612</v>
      </c>
    </row>
    <row r="54" spans="1:22" x14ac:dyDescent="0.3">
      <c r="A54" s="7">
        <v>53</v>
      </c>
      <c r="B54" s="7" t="s">
        <v>23</v>
      </c>
      <c r="C54" s="7" t="s">
        <v>555</v>
      </c>
      <c r="D54" s="7">
        <v>51025096</v>
      </c>
      <c r="E54" s="7">
        <v>120</v>
      </c>
      <c r="F54" s="7">
        <v>142</v>
      </c>
      <c r="G54" s="7">
        <v>127</v>
      </c>
      <c r="H54" s="7" t="s">
        <v>154</v>
      </c>
      <c r="I54" s="7" t="s">
        <v>109</v>
      </c>
      <c r="J54" s="7" t="s">
        <v>130</v>
      </c>
      <c r="K54" s="46">
        <v>0.96458333333333335</v>
      </c>
      <c r="L54" s="7" t="s">
        <v>109</v>
      </c>
      <c r="M54" s="7" t="s">
        <v>109</v>
      </c>
      <c r="N54" s="7" t="s">
        <v>556</v>
      </c>
      <c r="O54" s="7" t="s">
        <v>61</v>
      </c>
      <c r="P54" s="7" t="s">
        <v>131</v>
      </c>
      <c r="Q54" s="7" t="s">
        <v>154</v>
      </c>
      <c r="R54" s="7" t="s">
        <v>62</v>
      </c>
      <c r="S54" s="7" t="s">
        <v>512</v>
      </c>
      <c r="T54" s="7" t="s">
        <v>334</v>
      </c>
      <c r="U54" s="7" t="str">
        <f t="shared" si="1"/>
        <v>Met</v>
      </c>
      <c r="V54" s="7" t="s">
        <v>109</v>
      </c>
    </row>
    <row r="55" spans="1:22" x14ac:dyDescent="0.3">
      <c r="A55" s="7">
        <v>54</v>
      </c>
      <c r="B55" s="7" t="s">
        <v>23</v>
      </c>
      <c r="C55" s="7" t="s">
        <v>335</v>
      </c>
      <c r="D55" s="7">
        <v>51025098</v>
      </c>
      <c r="E55" s="7">
        <v>380</v>
      </c>
      <c r="F55" s="7">
        <v>608</v>
      </c>
      <c r="G55" s="7">
        <v>405</v>
      </c>
      <c r="H55" s="7" t="s">
        <v>557</v>
      </c>
      <c r="I55" s="7" t="s">
        <v>109</v>
      </c>
      <c r="J55" s="7" t="s">
        <v>130</v>
      </c>
      <c r="K55" s="46">
        <v>0.92222222222222228</v>
      </c>
      <c r="L55" s="7" t="s">
        <v>109</v>
      </c>
      <c r="M55" s="7" t="s">
        <v>109</v>
      </c>
      <c r="N55" s="7" t="s">
        <v>556</v>
      </c>
      <c r="O55" s="7" t="s">
        <v>61</v>
      </c>
      <c r="P55" s="7" t="s">
        <v>131</v>
      </c>
      <c r="Q55" s="7" t="s">
        <v>93</v>
      </c>
      <c r="R55" s="7" t="s">
        <v>62</v>
      </c>
      <c r="S55" s="7" t="s">
        <v>512</v>
      </c>
      <c r="T55" s="7" t="s">
        <v>334</v>
      </c>
      <c r="U55" s="7" t="str">
        <f t="shared" si="1"/>
        <v>Met</v>
      </c>
      <c r="V55" s="7" t="s">
        <v>109</v>
      </c>
    </row>
    <row r="56" spans="1:22" x14ac:dyDescent="0.3">
      <c r="A56" s="7">
        <v>55</v>
      </c>
      <c r="B56" s="7" t="s">
        <v>23</v>
      </c>
      <c r="C56" s="7" t="s">
        <v>558</v>
      </c>
      <c r="D56" s="7">
        <v>51025097</v>
      </c>
      <c r="E56" s="7">
        <v>360</v>
      </c>
      <c r="F56" s="7">
        <v>602</v>
      </c>
      <c r="G56" s="7">
        <v>377</v>
      </c>
      <c r="H56" s="7" t="s">
        <v>559</v>
      </c>
      <c r="I56" s="7" t="s">
        <v>109</v>
      </c>
      <c r="J56" s="7" t="s">
        <v>130</v>
      </c>
      <c r="K56" s="46">
        <v>0.92013888888888884</v>
      </c>
      <c r="L56" s="7" t="s">
        <v>109</v>
      </c>
      <c r="M56" s="7" t="s">
        <v>109</v>
      </c>
      <c r="N56" s="7" t="s">
        <v>556</v>
      </c>
      <c r="O56" s="7" t="s">
        <v>61</v>
      </c>
      <c r="P56" s="7" t="s">
        <v>131</v>
      </c>
      <c r="Q56" s="7" t="s">
        <v>72</v>
      </c>
      <c r="R56" s="7" t="s">
        <v>62</v>
      </c>
      <c r="S56" s="7" t="s">
        <v>512</v>
      </c>
      <c r="T56" s="7" t="s">
        <v>334</v>
      </c>
      <c r="U56" s="7" t="str">
        <f t="shared" si="1"/>
        <v>Met</v>
      </c>
      <c r="V56" s="7" t="s">
        <v>109</v>
      </c>
    </row>
    <row r="57" spans="1:22" x14ac:dyDescent="0.3">
      <c r="A57" s="7">
        <v>56</v>
      </c>
      <c r="B57" s="7" t="s">
        <v>23</v>
      </c>
      <c r="C57" s="7" t="s">
        <v>560</v>
      </c>
      <c r="D57" s="7">
        <v>51025092</v>
      </c>
      <c r="E57" s="7">
        <v>40</v>
      </c>
      <c r="F57" s="7">
        <v>71</v>
      </c>
      <c r="G57" s="7">
        <v>40</v>
      </c>
      <c r="H57" s="7" t="s">
        <v>64</v>
      </c>
      <c r="I57" s="7" t="s">
        <v>109</v>
      </c>
      <c r="J57" s="7" t="s">
        <v>130</v>
      </c>
      <c r="K57" s="46">
        <v>0.8569444444444444</v>
      </c>
      <c r="L57" s="7" t="s">
        <v>109</v>
      </c>
      <c r="M57" s="7" t="s">
        <v>109</v>
      </c>
      <c r="N57" s="7" t="s">
        <v>561</v>
      </c>
      <c r="O57" s="7" t="s">
        <v>562</v>
      </c>
      <c r="P57" s="7" t="s">
        <v>131</v>
      </c>
      <c r="Q57" s="7" t="s">
        <v>64</v>
      </c>
      <c r="R57" s="7" t="s">
        <v>62</v>
      </c>
      <c r="S57" s="7" t="s">
        <v>512</v>
      </c>
      <c r="T57" s="7" t="s">
        <v>334</v>
      </c>
      <c r="U57" s="7" t="str">
        <f t="shared" si="1"/>
        <v>Met</v>
      </c>
      <c r="V57" s="7" t="s">
        <v>109</v>
      </c>
    </row>
    <row r="58" spans="1:22" x14ac:dyDescent="0.3">
      <c r="A58" s="7">
        <v>57</v>
      </c>
      <c r="B58" s="7" t="s">
        <v>23</v>
      </c>
      <c r="C58" s="7" t="s">
        <v>58</v>
      </c>
      <c r="D58" s="7">
        <v>51225118</v>
      </c>
      <c r="E58" s="7">
        <v>70</v>
      </c>
      <c r="F58" s="7">
        <v>122</v>
      </c>
      <c r="G58" s="7">
        <v>11</v>
      </c>
      <c r="H58" s="7" t="s">
        <v>214</v>
      </c>
      <c r="I58" s="7" t="s">
        <v>109</v>
      </c>
      <c r="J58" s="7" t="s">
        <v>130</v>
      </c>
      <c r="K58" s="46">
        <v>0.80208333333333337</v>
      </c>
      <c r="L58" s="7" t="s">
        <v>109</v>
      </c>
      <c r="M58" s="7" t="s">
        <v>109</v>
      </c>
      <c r="N58" s="7" t="s">
        <v>556</v>
      </c>
      <c r="O58" s="7" t="s">
        <v>61</v>
      </c>
      <c r="P58" s="7" t="s">
        <v>131</v>
      </c>
      <c r="Q58" s="7" t="s">
        <v>214</v>
      </c>
      <c r="R58" s="7" t="s">
        <v>62</v>
      </c>
      <c r="S58" s="7" t="s">
        <v>512</v>
      </c>
      <c r="T58" s="7" t="s">
        <v>122</v>
      </c>
      <c r="U58" s="7" t="str">
        <f t="shared" si="1"/>
        <v>Not Met</v>
      </c>
      <c r="V58" s="7" t="s">
        <v>612</v>
      </c>
    </row>
    <row r="59" spans="1:22" x14ac:dyDescent="0.3">
      <c r="A59" s="7">
        <v>58</v>
      </c>
      <c r="B59" s="7" t="s">
        <v>23</v>
      </c>
      <c r="C59" s="7" t="s">
        <v>239</v>
      </c>
      <c r="D59" s="7">
        <v>51225101</v>
      </c>
      <c r="E59" s="7">
        <v>120</v>
      </c>
      <c r="F59" s="7">
        <v>127</v>
      </c>
      <c r="G59" s="7">
        <v>64</v>
      </c>
      <c r="H59" s="7" t="s">
        <v>99</v>
      </c>
      <c r="I59" s="7" t="s">
        <v>109</v>
      </c>
      <c r="J59" s="7" t="s">
        <v>130</v>
      </c>
      <c r="K59" s="46">
        <v>3.888888888888889E-2</v>
      </c>
      <c r="L59" s="7" t="s">
        <v>109</v>
      </c>
      <c r="M59" s="7" t="s">
        <v>109</v>
      </c>
      <c r="N59" s="7" t="s">
        <v>556</v>
      </c>
      <c r="O59" s="7" t="s">
        <v>61</v>
      </c>
      <c r="P59" s="7" t="s">
        <v>131</v>
      </c>
      <c r="Q59" s="7" t="s">
        <v>91</v>
      </c>
      <c r="R59" s="7" t="s">
        <v>62</v>
      </c>
      <c r="S59" s="7" t="s">
        <v>512</v>
      </c>
      <c r="T59" s="7" t="s">
        <v>121</v>
      </c>
      <c r="U59" s="7" t="s">
        <v>109</v>
      </c>
      <c r="V59" s="7" t="s">
        <v>109</v>
      </c>
    </row>
    <row r="60" spans="1:22" x14ac:dyDescent="0.3">
      <c r="A60" s="7">
        <v>59</v>
      </c>
      <c r="B60" s="7" t="s">
        <v>23</v>
      </c>
      <c r="C60" s="7" t="s">
        <v>240</v>
      </c>
      <c r="D60" s="7">
        <v>51225102</v>
      </c>
      <c r="E60" s="7">
        <v>65</v>
      </c>
      <c r="F60" s="7">
        <v>90</v>
      </c>
      <c r="G60" s="7">
        <v>26</v>
      </c>
      <c r="H60" s="7" t="s">
        <v>93</v>
      </c>
      <c r="I60" s="7" t="s">
        <v>109</v>
      </c>
      <c r="J60" s="7" t="s">
        <v>130</v>
      </c>
      <c r="K60" s="46">
        <v>0.9770833333333333</v>
      </c>
      <c r="L60" s="7" t="s">
        <v>109</v>
      </c>
      <c r="M60" s="7" t="s">
        <v>109</v>
      </c>
      <c r="N60" s="7" t="s">
        <v>556</v>
      </c>
      <c r="O60" s="7" t="s">
        <v>61</v>
      </c>
      <c r="P60" s="7" t="s">
        <v>131</v>
      </c>
      <c r="Q60" s="7" t="s">
        <v>93</v>
      </c>
      <c r="R60" s="7" t="s">
        <v>62</v>
      </c>
      <c r="S60" s="7" t="s">
        <v>512</v>
      </c>
      <c r="T60" s="7" t="s">
        <v>121</v>
      </c>
      <c r="U60" s="7" t="str">
        <f t="shared" ref="U60:U83" si="2" xml:space="preserve"> IF(G60 &gt;= E60, "Met", "Not Met")</f>
        <v>Not Met</v>
      </c>
      <c r="V60" s="7" t="s">
        <v>612</v>
      </c>
    </row>
    <row r="61" spans="1:22" x14ac:dyDescent="0.3">
      <c r="A61" s="7">
        <v>60</v>
      </c>
      <c r="B61" s="7" t="s">
        <v>23</v>
      </c>
      <c r="C61" s="7" t="s">
        <v>242</v>
      </c>
      <c r="D61" s="7">
        <v>51025001</v>
      </c>
      <c r="E61" s="7">
        <v>130</v>
      </c>
      <c r="F61" s="7">
        <v>34</v>
      </c>
      <c r="G61" s="7">
        <v>4</v>
      </c>
      <c r="H61" s="7" t="s">
        <v>563</v>
      </c>
      <c r="I61" s="7" t="s">
        <v>109</v>
      </c>
      <c r="J61" s="7" t="s">
        <v>130</v>
      </c>
      <c r="K61" s="46">
        <v>0.94374999999999998</v>
      </c>
      <c r="L61" s="7" t="s">
        <v>109</v>
      </c>
      <c r="M61" s="7" t="s">
        <v>109</v>
      </c>
      <c r="N61" s="7" t="s">
        <v>556</v>
      </c>
      <c r="O61" s="7" t="s">
        <v>61</v>
      </c>
      <c r="P61" s="7" t="s">
        <v>131</v>
      </c>
      <c r="Q61" s="7" t="s">
        <v>222</v>
      </c>
      <c r="R61" s="7" t="s">
        <v>62</v>
      </c>
      <c r="S61" s="7" t="s">
        <v>512</v>
      </c>
      <c r="T61" s="7" t="s">
        <v>243</v>
      </c>
      <c r="U61" s="7" t="str">
        <f t="shared" si="2"/>
        <v>Not Met</v>
      </c>
      <c r="V61" s="7" t="s">
        <v>612</v>
      </c>
    </row>
    <row r="62" spans="1:22" x14ac:dyDescent="0.3">
      <c r="A62" s="7">
        <v>61</v>
      </c>
      <c r="B62" s="7" t="s">
        <v>23</v>
      </c>
      <c r="C62" s="7" t="s">
        <v>301</v>
      </c>
      <c r="D62" s="7">
        <v>51225036</v>
      </c>
      <c r="E62" s="7">
        <v>75</v>
      </c>
      <c r="F62" s="7">
        <f>57+33</f>
        <v>90</v>
      </c>
      <c r="G62" s="7">
        <f>12+8</f>
        <v>20</v>
      </c>
      <c r="H62" s="7" t="s">
        <v>200</v>
      </c>
      <c r="I62" s="7" t="s">
        <v>109</v>
      </c>
      <c r="J62" s="7" t="s">
        <v>130</v>
      </c>
      <c r="K62" s="46">
        <v>0.9868055555555556</v>
      </c>
      <c r="L62" s="7" t="s">
        <v>109</v>
      </c>
      <c r="M62" s="7" t="s">
        <v>109</v>
      </c>
      <c r="N62" s="7" t="s">
        <v>564</v>
      </c>
      <c r="O62" s="7" t="s">
        <v>607</v>
      </c>
      <c r="P62" s="7" t="s">
        <v>131</v>
      </c>
      <c r="Q62" s="7" t="s">
        <v>200</v>
      </c>
      <c r="R62" s="7" t="s">
        <v>62</v>
      </c>
      <c r="S62" s="7" t="s">
        <v>512</v>
      </c>
      <c r="T62" s="7" t="s">
        <v>304</v>
      </c>
      <c r="U62" s="7" t="str">
        <f t="shared" si="2"/>
        <v>Not Met</v>
      </c>
      <c r="V62" s="7" t="s">
        <v>612</v>
      </c>
    </row>
    <row r="63" spans="1:22" x14ac:dyDescent="0.3">
      <c r="A63" s="7">
        <v>62</v>
      </c>
      <c r="B63" s="7" t="s">
        <v>23</v>
      </c>
      <c r="C63" s="7" t="s">
        <v>251</v>
      </c>
      <c r="D63" s="7">
        <v>51225039</v>
      </c>
      <c r="E63" s="7">
        <v>40</v>
      </c>
      <c r="F63" s="7">
        <v>39</v>
      </c>
      <c r="G63" s="7">
        <v>21</v>
      </c>
      <c r="H63" s="7" t="s">
        <v>241</v>
      </c>
      <c r="I63" s="7" t="s">
        <v>109</v>
      </c>
      <c r="J63" s="7" t="s">
        <v>130</v>
      </c>
      <c r="K63" s="46">
        <v>0.93263888888888891</v>
      </c>
      <c r="L63" s="7" t="s">
        <v>109</v>
      </c>
      <c r="M63" s="7" t="s">
        <v>109</v>
      </c>
      <c r="N63" s="7" t="s">
        <v>109</v>
      </c>
      <c r="O63" s="7" t="s">
        <v>61</v>
      </c>
      <c r="P63" s="7" t="s">
        <v>131</v>
      </c>
      <c r="Q63" s="7" t="s">
        <v>241</v>
      </c>
      <c r="R63" s="7" t="s">
        <v>62</v>
      </c>
      <c r="S63" s="7" t="s">
        <v>512</v>
      </c>
      <c r="T63" s="7" t="s">
        <v>252</v>
      </c>
      <c r="U63" s="7" t="str">
        <f t="shared" si="2"/>
        <v>Not Met</v>
      </c>
      <c r="V63" s="7" t="s">
        <v>612</v>
      </c>
    </row>
    <row r="64" spans="1:22" x14ac:dyDescent="0.3">
      <c r="A64" s="7">
        <v>63</v>
      </c>
      <c r="B64" s="7" t="s">
        <v>23</v>
      </c>
      <c r="C64" s="7" t="s">
        <v>253</v>
      </c>
      <c r="D64" s="7">
        <v>51225084</v>
      </c>
      <c r="E64" s="7">
        <v>40</v>
      </c>
      <c r="F64" s="7">
        <v>34</v>
      </c>
      <c r="G64" s="7">
        <v>12</v>
      </c>
      <c r="H64" s="7" t="s">
        <v>66</v>
      </c>
      <c r="I64" s="7" t="s">
        <v>109</v>
      </c>
      <c r="J64" s="7" t="s">
        <v>130</v>
      </c>
      <c r="K64" s="46">
        <v>0.78333333333333333</v>
      </c>
      <c r="L64" s="7" t="s">
        <v>109</v>
      </c>
      <c r="M64" s="7" t="s">
        <v>109</v>
      </c>
      <c r="N64" s="7" t="s">
        <v>109</v>
      </c>
      <c r="O64" s="7" t="s">
        <v>61</v>
      </c>
      <c r="P64" s="7" t="s">
        <v>131</v>
      </c>
      <c r="Q64" s="7" t="s">
        <v>66</v>
      </c>
      <c r="R64" s="7" t="s">
        <v>62</v>
      </c>
      <c r="S64" s="7" t="s">
        <v>512</v>
      </c>
      <c r="T64" s="7" t="s">
        <v>252</v>
      </c>
      <c r="U64" s="7" t="str">
        <f t="shared" si="2"/>
        <v>Not Met</v>
      </c>
      <c r="V64" s="7" t="s">
        <v>612</v>
      </c>
    </row>
    <row r="65" spans="1:22" x14ac:dyDescent="0.3">
      <c r="A65" s="7">
        <v>64</v>
      </c>
      <c r="B65" s="7" t="s">
        <v>23</v>
      </c>
      <c r="C65" s="7" t="s">
        <v>256</v>
      </c>
      <c r="D65" s="7">
        <v>51225038</v>
      </c>
      <c r="E65" s="7">
        <v>50</v>
      </c>
      <c r="F65" s="7">
        <v>125</v>
      </c>
      <c r="G65" s="7">
        <v>45</v>
      </c>
      <c r="H65" s="7" t="s">
        <v>222</v>
      </c>
      <c r="I65" s="7" t="s">
        <v>109</v>
      </c>
      <c r="J65" s="7" t="s">
        <v>130</v>
      </c>
      <c r="K65" s="46">
        <v>0.81666666666666665</v>
      </c>
      <c r="L65" s="7" t="s">
        <v>109</v>
      </c>
      <c r="M65" s="7" t="s">
        <v>109</v>
      </c>
      <c r="N65" s="7" t="s">
        <v>109</v>
      </c>
      <c r="O65" s="7" t="s">
        <v>61</v>
      </c>
      <c r="P65" s="7" t="s">
        <v>131</v>
      </c>
      <c r="Q65" s="7" t="s">
        <v>222</v>
      </c>
      <c r="R65" s="7" t="s">
        <v>62</v>
      </c>
      <c r="S65" s="7" t="s">
        <v>512</v>
      </c>
      <c r="T65" s="7" t="s">
        <v>252</v>
      </c>
      <c r="U65" s="7" t="str">
        <f t="shared" si="2"/>
        <v>Not Met</v>
      </c>
      <c r="V65" s="7" t="s">
        <v>612</v>
      </c>
    </row>
    <row r="66" spans="1:22" x14ac:dyDescent="0.3">
      <c r="A66" s="7">
        <v>65</v>
      </c>
      <c r="B66" s="7" t="s">
        <v>23</v>
      </c>
      <c r="C66" s="7" t="s">
        <v>322</v>
      </c>
      <c r="D66" s="7">
        <v>50126008</v>
      </c>
      <c r="E66" s="7">
        <v>400</v>
      </c>
      <c r="F66" s="7">
        <f>53+158</f>
        <v>211</v>
      </c>
      <c r="G66" s="7">
        <f>14+70</f>
        <v>84</v>
      </c>
      <c r="H66" s="7" t="s">
        <v>565</v>
      </c>
      <c r="I66" s="7" t="s">
        <v>109</v>
      </c>
      <c r="J66" s="7" t="s">
        <v>130</v>
      </c>
      <c r="K66" s="46">
        <v>0.9868055555555556</v>
      </c>
      <c r="L66" s="7" t="s">
        <v>109</v>
      </c>
      <c r="M66" s="7" t="s">
        <v>109</v>
      </c>
      <c r="N66" s="7" t="s">
        <v>109</v>
      </c>
      <c r="O66" s="7" t="s">
        <v>607</v>
      </c>
      <c r="P66" s="7" t="s">
        <v>131</v>
      </c>
      <c r="Q66" s="7" t="s">
        <v>214</v>
      </c>
      <c r="R66" s="7" t="s">
        <v>62</v>
      </c>
      <c r="S66" s="7" t="s">
        <v>512</v>
      </c>
      <c r="T66" s="7" t="s">
        <v>325</v>
      </c>
      <c r="U66" s="7" t="str">
        <f t="shared" si="2"/>
        <v>Not Met</v>
      </c>
      <c r="V66" s="7" t="s">
        <v>613</v>
      </c>
    </row>
    <row r="67" spans="1:22" x14ac:dyDescent="0.3">
      <c r="A67" s="7">
        <v>66</v>
      </c>
      <c r="B67" s="7" t="s">
        <v>23</v>
      </c>
      <c r="C67" s="7" t="s">
        <v>307</v>
      </c>
      <c r="D67" s="7">
        <v>51125004</v>
      </c>
      <c r="E67" s="7">
        <v>45</v>
      </c>
      <c r="F67" s="7">
        <v>100</v>
      </c>
      <c r="G67" s="7">
        <v>42</v>
      </c>
      <c r="H67" s="7" t="s">
        <v>84</v>
      </c>
      <c r="I67" s="7" t="s">
        <v>109</v>
      </c>
      <c r="J67" s="7" t="s">
        <v>130</v>
      </c>
      <c r="K67" s="46">
        <v>0.85833333333333328</v>
      </c>
      <c r="L67" s="7" t="s">
        <v>109</v>
      </c>
      <c r="M67" s="7" t="s">
        <v>109</v>
      </c>
      <c r="N67" s="7" t="s">
        <v>566</v>
      </c>
      <c r="O67" s="7" t="s">
        <v>61</v>
      </c>
      <c r="P67" s="7" t="s">
        <v>131</v>
      </c>
      <c r="Q67" s="7" t="s">
        <v>84</v>
      </c>
      <c r="R67" s="7" t="s">
        <v>62</v>
      </c>
      <c r="S67" s="7" t="s">
        <v>512</v>
      </c>
      <c r="T67" s="7" t="s">
        <v>310</v>
      </c>
      <c r="U67" s="7" t="str">
        <f t="shared" si="2"/>
        <v>Not Met</v>
      </c>
      <c r="V67" s="7" t="s">
        <v>612</v>
      </c>
    </row>
    <row r="68" spans="1:22" x14ac:dyDescent="0.3">
      <c r="A68" s="7">
        <v>67</v>
      </c>
      <c r="B68" s="7" t="s">
        <v>23</v>
      </c>
      <c r="C68" s="7" t="s">
        <v>316</v>
      </c>
      <c r="D68" s="7">
        <v>51125008</v>
      </c>
      <c r="E68" s="7">
        <v>50</v>
      </c>
      <c r="F68" s="7">
        <v>39</v>
      </c>
      <c r="G68" s="7">
        <v>16</v>
      </c>
      <c r="H68" s="7" t="s">
        <v>69</v>
      </c>
      <c r="I68" s="7" t="s">
        <v>109</v>
      </c>
      <c r="J68" s="7" t="s">
        <v>130</v>
      </c>
      <c r="K68" s="46">
        <v>0.78055555555555556</v>
      </c>
      <c r="L68" s="7" t="s">
        <v>109</v>
      </c>
      <c r="M68" s="7" t="s">
        <v>109</v>
      </c>
      <c r="N68" s="7" t="s">
        <v>566</v>
      </c>
      <c r="O68" s="7" t="s">
        <v>61</v>
      </c>
      <c r="P68" s="7" t="s">
        <v>131</v>
      </c>
      <c r="Q68" s="7" t="s">
        <v>69</v>
      </c>
      <c r="R68" s="7" t="s">
        <v>62</v>
      </c>
      <c r="S68" s="7" t="s">
        <v>512</v>
      </c>
      <c r="T68" s="7" t="s">
        <v>310</v>
      </c>
      <c r="U68" s="7" t="str">
        <f t="shared" si="2"/>
        <v>Not Met</v>
      </c>
      <c r="V68" s="7" t="s">
        <v>612</v>
      </c>
    </row>
    <row r="69" spans="1:22" x14ac:dyDescent="0.3">
      <c r="A69" s="7">
        <v>68</v>
      </c>
      <c r="B69" s="7" t="s">
        <v>23</v>
      </c>
      <c r="C69" s="7" t="s">
        <v>317</v>
      </c>
      <c r="D69" s="7">
        <v>51125010</v>
      </c>
      <c r="E69" s="7">
        <v>50</v>
      </c>
      <c r="F69" s="7">
        <v>100</v>
      </c>
      <c r="G69" s="7">
        <v>50</v>
      </c>
      <c r="H69" s="7" t="s">
        <v>520</v>
      </c>
      <c r="I69" s="7" t="s">
        <v>109</v>
      </c>
      <c r="J69" s="7" t="s">
        <v>130</v>
      </c>
      <c r="K69" s="46">
        <v>0.73124999999999996</v>
      </c>
      <c r="L69" s="7" t="s">
        <v>109</v>
      </c>
      <c r="M69" s="7" t="s">
        <v>109</v>
      </c>
      <c r="N69" s="7" t="s">
        <v>566</v>
      </c>
      <c r="O69" s="7" t="s">
        <v>61</v>
      </c>
      <c r="P69" s="7" t="s">
        <v>131</v>
      </c>
      <c r="Q69" s="7" t="s">
        <v>520</v>
      </c>
      <c r="R69" s="7" t="s">
        <v>62</v>
      </c>
      <c r="S69" s="7" t="s">
        <v>512</v>
      </c>
      <c r="T69" s="7" t="s">
        <v>310</v>
      </c>
      <c r="U69" s="7" t="str">
        <f t="shared" si="2"/>
        <v>Met</v>
      </c>
      <c r="V69" s="7" t="s">
        <v>109</v>
      </c>
    </row>
    <row r="70" spans="1:22" x14ac:dyDescent="0.3">
      <c r="A70" s="7">
        <v>69</v>
      </c>
      <c r="B70" s="7" t="s">
        <v>23</v>
      </c>
      <c r="C70" s="7" t="s">
        <v>53</v>
      </c>
      <c r="D70" s="7">
        <v>51125142</v>
      </c>
      <c r="E70" s="7">
        <v>500</v>
      </c>
      <c r="F70" s="7">
        <v>879</v>
      </c>
      <c r="G70" s="7">
        <v>512</v>
      </c>
      <c r="H70" s="7" t="s">
        <v>567</v>
      </c>
      <c r="I70" s="7" t="s">
        <v>109</v>
      </c>
      <c r="J70" s="7" t="s">
        <v>130</v>
      </c>
      <c r="K70" s="46">
        <v>0.95902777777777781</v>
      </c>
      <c r="L70" s="7" t="s">
        <v>109</v>
      </c>
      <c r="M70" s="7" t="s">
        <v>109</v>
      </c>
      <c r="N70" s="7" t="s">
        <v>109</v>
      </c>
      <c r="O70" s="7" t="s">
        <v>61</v>
      </c>
      <c r="P70" s="7" t="s">
        <v>131</v>
      </c>
      <c r="Q70" s="7" t="s">
        <v>87</v>
      </c>
      <c r="R70" s="7" t="s">
        <v>62</v>
      </c>
      <c r="S70" s="7" t="s">
        <v>512</v>
      </c>
      <c r="T70" s="7" t="s">
        <v>116</v>
      </c>
      <c r="U70" s="7" t="str">
        <f t="shared" si="2"/>
        <v>Met</v>
      </c>
      <c r="V70" s="7" t="s">
        <v>109</v>
      </c>
    </row>
    <row r="71" spans="1:22" x14ac:dyDescent="0.3">
      <c r="A71" s="7">
        <v>70</v>
      </c>
      <c r="B71" s="7" t="s">
        <v>23</v>
      </c>
      <c r="C71" s="7" t="s">
        <v>315</v>
      </c>
      <c r="D71" s="7">
        <v>51125007</v>
      </c>
      <c r="E71" s="7">
        <v>20</v>
      </c>
      <c r="F71" s="7">
        <v>42</v>
      </c>
      <c r="G71" s="7">
        <v>11</v>
      </c>
      <c r="H71" s="7" t="s">
        <v>241</v>
      </c>
      <c r="I71" s="7" t="s">
        <v>109</v>
      </c>
      <c r="J71" s="7" t="s">
        <v>130</v>
      </c>
      <c r="K71" s="46">
        <v>0.96319444444444446</v>
      </c>
      <c r="L71" s="7" t="s">
        <v>109</v>
      </c>
      <c r="M71" s="7" t="s">
        <v>109</v>
      </c>
      <c r="N71" s="7" t="s">
        <v>566</v>
      </c>
      <c r="O71" s="7" t="s">
        <v>61</v>
      </c>
      <c r="P71" s="7" t="s">
        <v>131</v>
      </c>
      <c r="Q71" s="7" t="s">
        <v>241</v>
      </c>
      <c r="R71" s="7" t="s">
        <v>62</v>
      </c>
      <c r="S71" s="7" t="s">
        <v>512</v>
      </c>
      <c r="T71" s="7" t="s">
        <v>310</v>
      </c>
      <c r="U71" s="7" t="str">
        <f t="shared" si="2"/>
        <v>Not Met</v>
      </c>
      <c r="V71" s="7" t="s">
        <v>612</v>
      </c>
    </row>
    <row r="72" spans="1:22" x14ac:dyDescent="0.3">
      <c r="A72" s="7">
        <v>71</v>
      </c>
      <c r="B72" s="7" t="s">
        <v>23</v>
      </c>
      <c r="C72" s="7" t="s">
        <v>568</v>
      </c>
      <c r="D72" s="7">
        <v>51125009</v>
      </c>
      <c r="E72" s="7">
        <v>50</v>
      </c>
      <c r="F72" s="7">
        <v>28</v>
      </c>
      <c r="G72" s="7">
        <v>10</v>
      </c>
      <c r="H72" s="7" t="s">
        <v>72</v>
      </c>
      <c r="I72" s="7" t="s">
        <v>109</v>
      </c>
      <c r="J72" s="7" t="s">
        <v>130</v>
      </c>
      <c r="K72" s="46">
        <v>0.94027777777777777</v>
      </c>
      <c r="L72" s="7" t="s">
        <v>109</v>
      </c>
      <c r="M72" s="7" t="s">
        <v>109</v>
      </c>
      <c r="N72" s="7" t="s">
        <v>566</v>
      </c>
      <c r="O72" s="7" t="s">
        <v>61</v>
      </c>
      <c r="P72" s="7" t="s">
        <v>131</v>
      </c>
      <c r="Q72" s="7" t="s">
        <v>72</v>
      </c>
      <c r="R72" s="7" t="s">
        <v>62</v>
      </c>
      <c r="S72" s="7" t="s">
        <v>512</v>
      </c>
      <c r="T72" s="7" t="s">
        <v>310</v>
      </c>
      <c r="U72" s="7" t="str">
        <f t="shared" si="2"/>
        <v>Not Met</v>
      </c>
      <c r="V72" s="7" t="s">
        <v>612</v>
      </c>
    </row>
    <row r="73" spans="1:22" x14ac:dyDescent="0.3">
      <c r="A73" s="7">
        <v>72</v>
      </c>
      <c r="B73" s="7" t="s">
        <v>23</v>
      </c>
      <c r="C73" s="7" t="s">
        <v>318</v>
      </c>
      <c r="D73" s="7">
        <v>51125011</v>
      </c>
      <c r="E73" s="7">
        <v>40</v>
      </c>
      <c r="F73" s="7">
        <v>73</v>
      </c>
      <c r="G73" s="7">
        <v>48</v>
      </c>
      <c r="H73" s="7" t="s">
        <v>196</v>
      </c>
      <c r="I73" s="7" t="s">
        <v>109</v>
      </c>
      <c r="J73" s="7" t="s">
        <v>130</v>
      </c>
      <c r="K73" s="46">
        <v>0.91319444444444442</v>
      </c>
      <c r="L73" s="7" t="s">
        <v>109</v>
      </c>
      <c r="M73" s="7" t="s">
        <v>109</v>
      </c>
      <c r="N73" s="7" t="s">
        <v>566</v>
      </c>
      <c r="O73" s="7" t="s">
        <v>61</v>
      </c>
      <c r="P73" s="7" t="s">
        <v>131</v>
      </c>
      <c r="Q73" s="7" t="s">
        <v>196</v>
      </c>
      <c r="R73" s="7" t="s">
        <v>62</v>
      </c>
      <c r="S73" s="7" t="s">
        <v>512</v>
      </c>
      <c r="T73" s="7" t="s">
        <v>310</v>
      </c>
      <c r="U73" s="7" t="str">
        <f t="shared" si="2"/>
        <v>Met</v>
      </c>
      <c r="V73" s="7" t="s">
        <v>109</v>
      </c>
    </row>
    <row r="74" spans="1:22" x14ac:dyDescent="0.3">
      <c r="A74" s="7">
        <v>73</v>
      </c>
      <c r="B74" s="7" t="s">
        <v>23</v>
      </c>
      <c r="C74" s="7" t="s">
        <v>569</v>
      </c>
      <c r="D74" s="7">
        <v>51125013</v>
      </c>
      <c r="E74" s="7">
        <v>100</v>
      </c>
      <c r="F74" s="7">
        <v>148</v>
      </c>
      <c r="G74" s="7">
        <v>11</v>
      </c>
      <c r="H74" s="7" t="s">
        <v>214</v>
      </c>
      <c r="I74" s="7" t="s">
        <v>109</v>
      </c>
      <c r="J74" s="7" t="s">
        <v>130</v>
      </c>
      <c r="K74" s="46">
        <v>0.91249999999999998</v>
      </c>
      <c r="L74" s="7" t="s">
        <v>109</v>
      </c>
      <c r="M74" s="7" t="s">
        <v>109</v>
      </c>
      <c r="N74" s="7" t="s">
        <v>566</v>
      </c>
      <c r="O74" s="7" t="s">
        <v>61</v>
      </c>
      <c r="P74" s="7" t="s">
        <v>131</v>
      </c>
      <c r="Q74" s="7" t="s">
        <v>214</v>
      </c>
      <c r="R74" s="7" t="s">
        <v>62</v>
      </c>
      <c r="S74" s="7" t="s">
        <v>512</v>
      </c>
      <c r="T74" s="7" t="s">
        <v>310</v>
      </c>
      <c r="U74" s="7" t="str">
        <f t="shared" si="2"/>
        <v>Not Met</v>
      </c>
      <c r="V74" s="7" t="s">
        <v>612</v>
      </c>
    </row>
    <row r="75" spans="1:22" x14ac:dyDescent="0.3">
      <c r="A75" s="7">
        <v>74</v>
      </c>
      <c r="B75" s="7" t="s">
        <v>23</v>
      </c>
      <c r="C75" s="7" t="s">
        <v>570</v>
      </c>
      <c r="D75" s="7">
        <v>51125014</v>
      </c>
      <c r="E75" s="7">
        <v>100</v>
      </c>
      <c r="F75" s="7">
        <v>197</v>
      </c>
      <c r="G75" s="7">
        <v>89</v>
      </c>
      <c r="H75" s="7" t="s">
        <v>82</v>
      </c>
      <c r="I75" s="7" t="s">
        <v>109</v>
      </c>
      <c r="J75" s="7" t="s">
        <v>130</v>
      </c>
      <c r="K75" s="46">
        <v>0.81527777777777777</v>
      </c>
      <c r="L75" s="7" t="s">
        <v>109</v>
      </c>
      <c r="M75" s="7" t="s">
        <v>109</v>
      </c>
      <c r="N75" s="7" t="s">
        <v>566</v>
      </c>
      <c r="O75" s="7" t="s">
        <v>61</v>
      </c>
      <c r="P75" s="7" t="s">
        <v>131</v>
      </c>
      <c r="Q75" s="7" t="s">
        <v>179</v>
      </c>
      <c r="R75" s="7" t="s">
        <v>62</v>
      </c>
      <c r="S75" s="7" t="s">
        <v>512</v>
      </c>
      <c r="T75" s="7" t="s">
        <v>310</v>
      </c>
      <c r="U75" s="7" t="str">
        <f t="shared" si="2"/>
        <v>Not Met</v>
      </c>
      <c r="V75" s="7" t="s">
        <v>612</v>
      </c>
    </row>
    <row r="76" spans="1:22" x14ac:dyDescent="0.3">
      <c r="A76" s="7">
        <v>75</v>
      </c>
      <c r="B76" s="7" t="s">
        <v>23</v>
      </c>
      <c r="C76" s="7" t="s">
        <v>571</v>
      </c>
      <c r="D76" s="7">
        <v>51125015</v>
      </c>
      <c r="E76" s="7">
        <v>100</v>
      </c>
      <c r="F76" s="7">
        <v>156</v>
      </c>
      <c r="G76" s="7">
        <v>71</v>
      </c>
      <c r="H76" s="7" t="s">
        <v>67</v>
      </c>
      <c r="I76" s="7" t="s">
        <v>109</v>
      </c>
      <c r="J76" s="7" t="s">
        <v>130</v>
      </c>
      <c r="K76" s="46">
        <v>0.92013888888888884</v>
      </c>
      <c r="L76" s="7" t="s">
        <v>109</v>
      </c>
      <c r="M76" s="7" t="s">
        <v>109</v>
      </c>
      <c r="N76" s="7" t="s">
        <v>566</v>
      </c>
      <c r="O76" s="7" t="s">
        <v>61</v>
      </c>
      <c r="P76" s="7" t="s">
        <v>131</v>
      </c>
      <c r="Q76" s="7" t="s">
        <v>67</v>
      </c>
      <c r="R76" s="7" t="s">
        <v>62</v>
      </c>
      <c r="S76" s="7" t="s">
        <v>512</v>
      </c>
      <c r="T76" s="7" t="s">
        <v>310</v>
      </c>
      <c r="U76" s="7" t="str">
        <f t="shared" si="2"/>
        <v>Not Met</v>
      </c>
      <c r="V76" s="7" t="s">
        <v>612</v>
      </c>
    </row>
    <row r="77" spans="1:22" x14ac:dyDescent="0.3">
      <c r="A77" s="7">
        <v>76</v>
      </c>
      <c r="B77" s="7" t="s">
        <v>23</v>
      </c>
      <c r="C77" s="7" t="s">
        <v>572</v>
      </c>
      <c r="D77" s="7">
        <v>51225071</v>
      </c>
      <c r="E77" s="7">
        <v>100</v>
      </c>
      <c r="F77" s="7">
        <v>181</v>
      </c>
      <c r="G77" s="7">
        <v>40</v>
      </c>
      <c r="H77" s="7" t="s">
        <v>93</v>
      </c>
      <c r="I77" s="7" t="s">
        <v>109</v>
      </c>
      <c r="J77" s="7" t="s">
        <v>130</v>
      </c>
      <c r="K77" s="46">
        <v>0.82152777777777775</v>
      </c>
      <c r="L77" s="7" t="s">
        <v>109</v>
      </c>
      <c r="M77" s="7" t="s">
        <v>109</v>
      </c>
      <c r="N77" s="7" t="s">
        <v>109</v>
      </c>
      <c r="O77" s="7" t="s">
        <v>61</v>
      </c>
      <c r="P77" s="7" t="s">
        <v>131</v>
      </c>
      <c r="Q77" s="7" t="s">
        <v>93</v>
      </c>
      <c r="R77" s="7" t="s">
        <v>62</v>
      </c>
      <c r="S77" s="7" t="s">
        <v>512</v>
      </c>
      <c r="T77" s="7" t="s">
        <v>611</v>
      </c>
      <c r="U77" s="7" t="str">
        <f t="shared" si="2"/>
        <v>Not Met</v>
      </c>
      <c r="V77" s="7" t="s">
        <v>612</v>
      </c>
    </row>
    <row r="78" spans="1:22" x14ac:dyDescent="0.3">
      <c r="A78" s="7">
        <v>77</v>
      </c>
      <c r="B78" s="7" t="s">
        <v>23</v>
      </c>
      <c r="C78" s="7" t="s">
        <v>573</v>
      </c>
      <c r="D78" s="7">
        <v>51125012</v>
      </c>
      <c r="E78" s="7">
        <v>30</v>
      </c>
      <c r="F78" s="7">
        <v>23</v>
      </c>
      <c r="G78" s="7">
        <v>11</v>
      </c>
      <c r="H78" s="7" t="s">
        <v>84</v>
      </c>
      <c r="I78" s="7" t="s">
        <v>109</v>
      </c>
      <c r="J78" s="7" t="s">
        <v>130</v>
      </c>
      <c r="K78" s="46">
        <v>0.77986111111111112</v>
      </c>
      <c r="L78" s="7" t="s">
        <v>109</v>
      </c>
      <c r="M78" s="7" t="s">
        <v>109</v>
      </c>
      <c r="N78" s="7" t="s">
        <v>566</v>
      </c>
      <c r="O78" s="7" t="s">
        <v>61</v>
      </c>
      <c r="P78" s="7" t="s">
        <v>131</v>
      </c>
      <c r="Q78" s="7" t="s">
        <v>84</v>
      </c>
      <c r="R78" s="7" t="s">
        <v>62</v>
      </c>
      <c r="S78" s="7" t="s">
        <v>512</v>
      </c>
      <c r="T78" s="7" t="s">
        <v>310</v>
      </c>
      <c r="U78" s="7" t="str">
        <f t="shared" si="2"/>
        <v>Not Met</v>
      </c>
      <c r="V78" s="7" t="s">
        <v>612</v>
      </c>
    </row>
    <row r="79" spans="1:22" x14ac:dyDescent="0.3">
      <c r="A79" s="7">
        <v>78</v>
      </c>
      <c r="B79" s="7" t="s">
        <v>135</v>
      </c>
      <c r="C79" s="7" t="s">
        <v>178</v>
      </c>
      <c r="D79" s="7">
        <v>21025009</v>
      </c>
      <c r="E79" s="7">
        <v>125</v>
      </c>
      <c r="F79" s="7">
        <v>59</v>
      </c>
      <c r="G79" s="7">
        <v>13</v>
      </c>
      <c r="H79" s="7" t="s">
        <v>574</v>
      </c>
      <c r="I79" s="7" t="s">
        <v>297</v>
      </c>
      <c r="J79" s="7" t="s">
        <v>130</v>
      </c>
      <c r="K79" s="46">
        <v>0.92708333333333337</v>
      </c>
      <c r="L79" s="46">
        <v>0.9375</v>
      </c>
      <c r="M79" s="7" t="s">
        <v>109</v>
      </c>
      <c r="N79" s="7" t="s">
        <v>575</v>
      </c>
      <c r="O79" s="7" t="s">
        <v>61</v>
      </c>
      <c r="P79" s="7" t="s">
        <v>131</v>
      </c>
      <c r="Q79" s="7" t="s">
        <v>94</v>
      </c>
      <c r="R79" s="7" t="s">
        <v>62</v>
      </c>
      <c r="S79" s="7" t="s">
        <v>512</v>
      </c>
      <c r="T79" s="7" t="s">
        <v>180</v>
      </c>
      <c r="U79" s="7" t="str">
        <f t="shared" si="2"/>
        <v>Not Met</v>
      </c>
      <c r="V79" s="7" t="s">
        <v>612</v>
      </c>
    </row>
    <row r="80" spans="1:22" x14ac:dyDescent="0.3">
      <c r="A80" s="7">
        <v>79</v>
      </c>
      <c r="B80" s="7" t="s">
        <v>414</v>
      </c>
      <c r="C80" s="7" t="s">
        <v>418</v>
      </c>
      <c r="D80" s="7">
        <v>40126011</v>
      </c>
      <c r="E80" s="7">
        <v>150</v>
      </c>
      <c r="F80" s="7">
        <v>341</v>
      </c>
      <c r="G80" s="7">
        <v>87</v>
      </c>
      <c r="H80" s="7" t="s">
        <v>576</v>
      </c>
      <c r="I80" s="7" t="s">
        <v>577</v>
      </c>
      <c r="J80" s="7" t="s">
        <v>130</v>
      </c>
      <c r="K80" s="46">
        <v>0.97569444444444442</v>
      </c>
      <c r="L80" s="46">
        <v>0.98958333333333337</v>
      </c>
      <c r="M80" s="7" t="s">
        <v>109</v>
      </c>
      <c r="N80" s="7" t="s">
        <v>109</v>
      </c>
      <c r="O80" s="7" t="s">
        <v>61</v>
      </c>
      <c r="P80" s="7" t="s">
        <v>131</v>
      </c>
      <c r="Q80" s="7" t="s">
        <v>89</v>
      </c>
      <c r="R80" s="7" t="s">
        <v>62</v>
      </c>
      <c r="S80" s="7" t="s">
        <v>512</v>
      </c>
      <c r="T80" s="7" t="s">
        <v>416</v>
      </c>
      <c r="U80" s="7" t="str">
        <f t="shared" si="2"/>
        <v>Not Met</v>
      </c>
      <c r="V80" s="7" t="s">
        <v>612</v>
      </c>
    </row>
    <row r="81" spans="1:22" x14ac:dyDescent="0.3">
      <c r="A81" s="7">
        <v>80</v>
      </c>
      <c r="B81" s="7" t="s">
        <v>24</v>
      </c>
      <c r="C81" s="7" t="s">
        <v>578</v>
      </c>
      <c r="D81" s="7">
        <v>61125011</v>
      </c>
      <c r="E81" s="7">
        <v>38</v>
      </c>
      <c r="F81" s="7">
        <v>107</v>
      </c>
      <c r="G81" s="7">
        <v>36</v>
      </c>
      <c r="H81" s="7" t="s">
        <v>82</v>
      </c>
      <c r="I81" s="7" t="s">
        <v>95</v>
      </c>
      <c r="J81" s="7" t="s">
        <v>130</v>
      </c>
      <c r="K81" s="46">
        <v>0.73124999999999996</v>
      </c>
      <c r="L81" s="46">
        <v>0.78263888888888888</v>
      </c>
      <c r="M81" s="7" t="s">
        <v>109</v>
      </c>
      <c r="N81" s="7" t="s">
        <v>109</v>
      </c>
      <c r="O81" s="7" t="s">
        <v>61</v>
      </c>
      <c r="P81" s="7" t="s">
        <v>131</v>
      </c>
      <c r="Q81" s="7" t="s">
        <v>95</v>
      </c>
      <c r="R81" s="7" t="s">
        <v>63</v>
      </c>
      <c r="S81" s="7" t="s">
        <v>512</v>
      </c>
      <c r="T81" s="7" t="s">
        <v>351</v>
      </c>
      <c r="U81" s="7" t="str">
        <f t="shared" si="2"/>
        <v>Not Met</v>
      </c>
      <c r="V81" s="7" t="s">
        <v>612</v>
      </c>
    </row>
    <row r="82" spans="1:22" x14ac:dyDescent="0.3">
      <c r="A82" s="7">
        <v>81</v>
      </c>
      <c r="B82" s="7" t="s">
        <v>24</v>
      </c>
      <c r="C82" s="7" t="s">
        <v>579</v>
      </c>
      <c r="D82" s="7">
        <v>61125010</v>
      </c>
      <c r="E82" s="7">
        <v>144</v>
      </c>
      <c r="F82" s="7">
        <v>228</v>
      </c>
      <c r="G82" s="7">
        <v>148</v>
      </c>
      <c r="H82" s="7" t="s">
        <v>330</v>
      </c>
      <c r="I82" s="7" t="s">
        <v>99</v>
      </c>
      <c r="J82" s="7" t="s">
        <v>130</v>
      </c>
      <c r="K82" s="46">
        <v>0.91388888888888886</v>
      </c>
      <c r="L82" s="46">
        <v>0.94861111111111107</v>
      </c>
      <c r="M82" s="7" t="s">
        <v>109</v>
      </c>
      <c r="N82" s="7" t="s">
        <v>109</v>
      </c>
      <c r="O82" s="7" t="s">
        <v>61</v>
      </c>
      <c r="P82" s="7" t="s">
        <v>131</v>
      </c>
      <c r="Q82" s="7" t="s">
        <v>91</v>
      </c>
      <c r="R82" s="7" t="s">
        <v>63</v>
      </c>
      <c r="S82" s="7" t="s">
        <v>512</v>
      </c>
      <c r="T82" s="7" t="s">
        <v>351</v>
      </c>
      <c r="U82" s="7" t="str">
        <f t="shared" si="2"/>
        <v>Met</v>
      </c>
      <c r="V82" s="7" t="s">
        <v>109</v>
      </c>
    </row>
    <row r="83" spans="1:22" x14ac:dyDescent="0.3">
      <c r="A83" s="7">
        <v>82</v>
      </c>
      <c r="B83" s="7" t="s">
        <v>26</v>
      </c>
      <c r="C83" s="7" t="s">
        <v>448</v>
      </c>
      <c r="D83" s="7">
        <v>41125008</v>
      </c>
      <c r="E83" s="7">
        <v>282</v>
      </c>
      <c r="F83" s="7">
        <v>230</v>
      </c>
      <c r="G83" s="7">
        <v>23</v>
      </c>
      <c r="H83" s="7" t="s">
        <v>600</v>
      </c>
      <c r="I83" s="7" t="s">
        <v>601</v>
      </c>
      <c r="J83" s="7" t="s">
        <v>130</v>
      </c>
      <c r="K83" s="46">
        <v>0.78194444444444444</v>
      </c>
      <c r="L83" s="46">
        <v>0.84652777777777777</v>
      </c>
      <c r="M83" s="7" t="s">
        <v>109</v>
      </c>
      <c r="N83" s="7" t="s">
        <v>445</v>
      </c>
      <c r="O83" s="7" t="s">
        <v>61</v>
      </c>
      <c r="P83" s="7" t="s">
        <v>131</v>
      </c>
      <c r="Q83" s="7" t="s">
        <v>603</v>
      </c>
      <c r="R83" s="7" t="s">
        <v>62</v>
      </c>
      <c r="S83" s="7" t="s">
        <v>512</v>
      </c>
      <c r="T83" s="7" t="s">
        <v>122</v>
      </c>
      <c r="U83" s="7" t="str">
        <f t="shared" si="2"/>
        <v>Not Met</v>
      </c>
      <c r="V83" s="7" t="s">
        <v>612</v>
      </c>
    </row>
    <row r="84" spans="1:22" x14ac:dyDescent="0.3">
      <c r="A84" s="7">
        <v>83</v>
      </c>
      <c r="B84" s="7" t="s">
        <v>23</v>
      </c>
      <c r="C84" s="7" t="s">
        <v>580</v>
      </c>
      <c r="D84" s="7">
        <v>51225011</v>
      </c>
      <c r="E84" s="7">
        <v>40</v>
      </c>
      <c r="F84" s="7" t="s">
        <v>109</v>
      </c>
      <c r="G84" s="7" t="s">
        <v>109</v>
      </c>
      <c r="H84" s="7" t="s">
        <v>69</v>
      </c>
      <c r="I84" s="7" t="s">
        <v>109</v>
      </c>
      <c r="J84" s="7" t="s">
        <v>85</v>
      </c>
      <c r="K84" s="7" t="s">
        <v>109</v>
      </c>
      <c r="L84" s="7" t="s">
        <v>109</v>
      </c>
      <c r="M84" s="7" t="s">
        <v>109</v>
      </c>
      <c r="N84" s="7" t="s">
        <v>109</v>
      </c>
      <c r="O84" s="7" t="s">
        <v>61</v>
      </c>
      <c r="P84" s="7" t="s">
        <v>109</v>
      </c>
      <c r="Q84" s="7" t="s">
        <v>109</v>
      </c>
      <c r="R84" s="7" t="s">
        <v>62</v>
      </c>
      <c r="S84" s="7" t="s">
        <v>512</v>
      </c>
      <c r="T84" s="7" t="s">
        <v>275</v>
      </c>
      <c r="U84" s="7" t="s">
        <v>109</v>
      </c>
      <c r="V84" s="7" t="s">
        <v>109</v>
      </c>
    </row>
    <row r="85" spans="1:22" x14ac:dyDescent="0.3">
      <c r="A85" s="7">
        <v>84</v>
      </c>
      <c r="B85" s="7" t="s">
        <v>23</v>
      </c>
      <c r="C85" s="7" t="s">
        <v>139</v>
      </c>
      <c r="D85" s="7">
        <v>51225032</v>
      </c>
      <c r="E85" s="7">
        <v>50</v>
      </c>
      <c r="F85" s="7">
        <v>110</v>
      </c>
      <c r="G85" s="7">
        <v>60</v>
      </c>
      <c r="H85" s="7" t="s">
        <v>179</v>
      </c>
      <c r="I85" s="7" t="s">
        <v>109</v>
      </c>
      <c r="J85" s="7" t="s">
        <v>130</v>
      </c>
      <c r="K85" s="46">
        <v>0.82291666666666663</v>
      </c>
      <c r="L85" s="7" t="s">
        <v>109</v>
      </c>
      <c r="M85" s="7" t="s">
        <v>109</v>
      </c>
      <c r="N85" s="7" t="s">
        <v>109</v>
      </c>
      <c r="O85" s="7" t="s">
        <v>61</v>
      </c>
      <c r="P85" s="7" t="s">
        <v>131</v>
      </c>
      <c r="Q85" s="7" t="s">
        <v>179</v>
      </c>
      <c r="R85" s="7" t="s">
        <v>62</v>
      </c>
      <c r="S85" s="7" t="s">
        <v>512</v>
      </c>
      <c r="T85" s="7" t="s">
        <v>142</v>
      </c>
      <c r="U85" s="7" t="str">
        <f xml:space="preserve"> IF(G85 &gt;= E85, "Met", "Not Met")</f>
        <v>Met</v>
      </c>
      <c r="V85" s="7" t="s">
        <v>109</v>
      </c>
    </row>
    <row r="86" spans="1:22" x14ac:dyDescent="0.3">
      <c r="A86" s="7">
        <v>85</v>
      </c>
      <c r="B86" s="7" t="s">
        <v>23</v>
      </c>
      <c r="C86" s="7" t="s">
        <v>277</v>
      </c>
      <c r="D86" s="7">
        <v>51125164</v>
      </c>
      <c r="E86" s="7">
        <v>50</v>
      </c>
      <c r="F86" s="7" t="s">
        <v>109</v>
      </c>
      <c r="G86" s="7" t="s">
        <v>109</v>
      </c>
      <c r="H86" s="7" t="s">
        <v>88</v>
      </c>
      <c r="I86" s="7" t="s">
        <v>109</v>
      </c>
      <c r="J86" s="7" t="s">
        <v>608</v>
      </c>
      <c r="K86" s="7" t="s">
        <v>109</v>
      </c>
      <c r="L86" s="7" t="s">
        <v>109</v>
      </c>
      <c r="M86" s="7" t="s">
        <v>109</v>
      </c>
      <c r="N86" s="7" t="s">
        <v>109</v>
      </c>
      <c r="O86" s="7" t="s">
        <v>61</v>
      </c>
      <c r="P86" s="7" t="s">
        <v>109</v>
      </c>
      <c r="Q86" s="7" t="s">
        <v>109</v>
      </c>
      <c r="R86" s="7" t="s">
        <v>62</v>
      </c>
      <c r="S86" s="7" t="s">
        <v>512</v>
      </c>
      <c r="T86" s="7" t="s">
        <v>278</v>
      </c>
      <c r="U86" s="7" t="s">
        <v>109</v>
      </c>
      <c r="V86" s="7" t="s">
        <v>109</v>
      </c>
    </row>
    <row r="87" spans="1:22" x14ac:dyDescent="0.3">
      <c r="A87" s="7">
        <v>86</v>
      </c>
      <c r="B87" s="7" t="s">
        <v>23</v>
      </c>
      <c r="C87" s="7" t="s">
        <v>581</v>
      </c>
      <c r="D87" s="7">
        <v>51125193</v>
      </c>
      <c r="E87" s="7">
        <v>30</v>
      </c>
      <c r="F87" s="7" t="s">
        <v>109</v>
      </c>
      <c r="G87" s="7" t="s">
        <v>109</v>
      </c>
      <c r="H87" s="7" t="s">
        <v>520</v>
      </c>
      <c r="I87" s="7" t="s">
        <v>109</v>
      </c>
      <c r="J87" s="7" t="s">
        <v>85</v>
      </c>
      <c r="K87" s="7" t="s">
        <v>109</v>
      </c>
      <c r="L87" s="7" t="s">
        <v>109</v>
      </c>
      <c r="M87" s="7" t="s">
        <v>109</v>
      </c>
      <c r="N87" s="7" t="s">
        <v>109</v>
      </c>
      <c r="O87" s="7" t="s">
        <v>61</v>
      </c>
      <c r="P87" s="7" t="s">
        <v>109</v>
      </c>
      <c r="Q87" s="7" t="s">
        <v>109</v>
      </c>
      <c r="R87" s="7" t="s">
        <v>62</v>
      </c>
      <c r="S87" s="7" t="s">
        <v>512</v>
      </c>
      <c r="T87" s="7" t="s">
        <v>278</v>
      </c>
      <c r="U87" s="7" t="s">
        <v>109</v>
      </c>
      <c r="V87" s="7" t="s">
        <v>109</v>
      </c>
    </row>
    <row r="88" spans="1:22" x14ac:dyDescent="0.3">
      <c r="A88" s="7">
        <v>87</v>
      </c>
      <c r="B88" s="7" t="s">
        <v>23</v>
      </c>
      <c r="C88" s="7" t="s">
        <v>280</v>
      </c>
      <c r="D88" s="7">
        <v>51125192</v>
      </c>
      <c r="E88" s="7">
        <v>30</v>
      </c>
      <c r="F88" s="7">
        <v>58</v>
      </c>
      <c r="G88" s="7">
        <v>32</v>
      </c>
      <c r="H88" s="7" t="s">
        <v>70</v>
      </c>
      <c r="I88" s="7" t="s">
        <v>109</v>
      </c>
      <c r="J88" s="7" t="s">
        <v>130</v>
      </c>
      <c r="K88" s="46">
        <v>0.69097222222222221</v>
      </c>
      <c r="L88" s="7" t="s">
        <v>109</v>
      </c>
      <c r="M88" s="7" t="s">
        <v>109</v>
      </c>
      <c r="N88" s="7" t="s">
        <v>109</v>
      </c>
      <c r="O88" s="7" t="s">
        <v>61</v>
      </c>
      <c r="P88" s="7" t="s">
        <v>131</v>
      </c>
      <c r="Q88" s="7" t="s">
        <v>70</v>
      </c>
      <c r="R88" s="7" t="s">
        <v>62</v>
      </c>
      <c r="S88" s="7" t="s">
        <v>512</v>
      </c>
      <c r="T88" s="7" t="s">
        <v>278</v>
      </c>
      <c r="U88" s="7" t="str">
        <f xml:space="preserve"> IF(G88 &gt;= E88, "Met", "Not Met")</f>
        <v>Met</v>
      </c>
      <c r="V88" s="7" t="s">
        <v>109</v>
      </c>
    </row>
    <row r="89" spans="1:22" x14ac:dyDescent="0.3">
      <c r="A89" s="7">
        <v>88</v>
      </c>
      <c r="B89" s="7" t="s">
        <v>23</v>
      </c>
      <c r="C89" s="7" t="s">
        <v>269</v>
      </c>
      <c r="D89" s="7">
        <v>51125123</v>
      </c>
      <c r="E89" s="7">
        <v>30</v>
      </c>
      <c r="F89" s="7">
        <v>18</v>
      </c>
      <c r="G89" s="7">
        <v>7</v>
      </c>
      <c r="H89" s="7" t="s">
        <v>274</v>
      </c>
      <c r="I89" s="7" t="s">
        <v>109</v>
      </c>
      <c r="J89" s="7" t="s">
        <v>130</v>
      </c>
      <c r="K89" s="46">
        <v>0.72638888888888886</v>
      </c>
      <c r="L89" s="7" t="s">
        <v>109</v>
      </c>
      <c r="M89" s="7" t="s">
        <v>109</v>
      </c>
      <c r="N89" s="7" t="s">
        <v>109</v>
      </c>
      <c r="O89" s="7" t="s">
        <v>61</v>
      </c>
      <c r="P89" s="7" t="s">
        <v>131</v>
      </c>
      <c r="Q89" s="7" t="s">
        <v>274</v>
      </c>
      <c r="R89" s="7" t="s">
        <v>62</v>
      </c>
      <c r="S89" s="7" t="s">
        <v>512</v>
      </c>
      <c r="T89" s="7" t="s">
        <v>270</v>
      </c>
      <c r="U89" s="7" t="str">
        <f xml:space="preserve"> IF(G89 &gt;= E89, "Met", "Not Met")</f>
        <v>Not Met</v>
      </c>
      <c r="V89" s="7" t="s">
        <v>612</v>
      </c>
    </row>
    <row r="90" spans="1:22" x14ac:dyDescent="0.3">
      <c r="A90" s="7">
        <v>89</v>
      </c>
      <c r="B90" s="7" t="s">
        <v>23</v>
      </c>
      <c r="C90" s="7" t="s">
        <v>582</v>
      </c>
      <c r="D90" s="7">
        <v>51125146</v>
      </c>
      <c r="E90" s="7">
        <v>15</v>
      </c>
      <c r="F90" s="7" t="s">
        <v>109</v>
      </c>
      <c r="G90" s="7" t="s">
        <v>109</v>
      </c>
      <c r="H90" s="7" t="s">
        <v>94</v>
      </c>
      <c r="I90" s="7" t="s">
        <v>109</v>
      </c>
      <c r="J90" s="7" t="s">
        <v>85</v>
      </c>
      <c r="K90" s="7" t="s">
        <v>109</v>
      </c>
      <c r="L90" s="7" t="s">
        <v>109</v>
      </c>
      <c r="M90" s="7" t="s">
        <v>109</v>
      </c>
      <c r="N90" s="7" t="s">
        <v>109</v>
      </c>
      <c r="O90" s="7" t="s">
        <v>61</v>
      </c>
      <c r="P90" s="7" t="s">
        <v>109</v>
      </c>
      <c r="Q90" s="7" t="s">
        <v>109</v>
      </c>
      <c r="R90" s="7" t="s">
        <v>62</v>
      </c>
      <c r="S90" s="7" t="s">
        <v>512</v>
      </c>
      <c r="T90" s="7" t="s">
        <v>270</v>
      </c>
      <c r="U90" s="7" t="s">
        <v>109</v>
      </c>
      <c r="V90" s="7" t="s">
        <v>109</v>
      </c>
    </row>
    <row r="91" spans="1:22" x14ac:dyDescent="0.3">
      <c r="A91" s="7">
        <v>90</v>
      </c>
      <c r="B91" s="7" t="s">
        <v>23</v>
      </c>
      <c r="C91" s="7" t="s">
        <v>583</v>
      </c>
      <c r="D91" s="7">
        <v>51125122</v>
      </c>
      <c r="E91" s="7">
        <v>20</v>
      </c>
      <c r="F91" s="7">
        <v>48</v>
      </c>
      <c r="G91" s="7">
        <v>19</v>
      </c>
      <c r="H91" s="7" t="s">
        <v>527</v>
      </c>
      <c r="I91" s="7" t="s">
        <v>109</v>
      </c>
      <c r="J91" s="7" t="s">
        <v>130</v>
      </c>
      <c r="K91" s="46">
        <v>0.70277777777777772</v>
      </c>
      <c r="L91" s="7" t="s">
        <v>109</v>
      </c>
      <c r="M91" s="7" t="s">
        <v>109</v>
      </c>
      <c r="N91" s="7" t="s">
        <v>109</v>
      </c>
      <c r="O91" s="7" t="s">
        <v>61</v>
      </c>
      <c r="P91" s="7" t="s">
        <v>131</v>
      </c>
      <c r="Q91" s="7" t="s">
        <v>527</v>
      </c>
      <c r="R91" s="7" t="s">
        <v>62</v>
      </c>
      <c r="S91" s="7" t="s">
        <v>512</v>
      </c>
      <c r="T91" s="7" t="s">
        <v>270</v>
      </c>
      <c r="U91" s="7" t="str">
        <f t="shared" ref="U91:U108" si="3" xml:space="preserve"> IF(G91 &gt;= E91, "Met", "Not Met")</f>
        <v>Not Met</v>
      </c>
      <c r="V91" s="7" t="s">
        <v>612</v>
      </c>
    </row>
    <row r="92" spans="1:22" x14ac:dyDescent="0.3">
      <c r="A92" s="7">
        <v>91</v>
      </c>
      <c r="B92" s="7" t="s">
        <v>23</v>
      </c>
      <c r="C92" s="7" t="s">
        <v>584</v>
      </c>
      <c r="D92" s="7">
        <v>51125144</v>
      </c>
      <c r="E92" s="7">
        <v>10</v>
      </c>
      <c r="F92" s="7">
        <v>15</v>
      </c>
      <c r="G92" s="7">
        <v>3</v>
      </c>
      <c r="H92" s="7" t="s">
        <v>70</v>
      </c>
      <c r="I92" s="7" t="s">
        <v>109</v>
      </c>
      <c r="J92" s="7" t="s">
        <v>130</v>
      </c>
      <c r="K92" s="46">
        <v>5.5555555555555558E-3</v>
      </c>
      <c r="L92" s="7" t="s">
        <v>109</v>
      </c>
      <c r="M92" s="7" t="s">
        <v>109</v>
      </c>
      <c r="N92" s="7" t="s">
        <v>109</v>
      </c>
      <c r="O92" s="7" t="s">
        <v>61</v>
      </c>
      <c r="P92" s="7" t="s">
        <v>131</v>
      </c>
      <c r="Q92" s="7" t="s">
        <v>70</v>
      </c>
      <c r="R92" s="7" t="s">
        <v>62</v>
      </c>
      <c r="S92" s="7" t="s">
        <v>512</v>
      </c>
      <c r="T92" s="7" t="s">
        <v>270</v>
      </c>
      <c r="U92" s="7" t="str">
        <f t="shared" si="3"/>
        <v>Not Met</v>
      </c>
      <c r="V92" s="7" t="s">
        <v>612</v>
      </c>
    </row>
    <row r="93" spans="1:22" x14ac:dyDescent="0.3">
      <c r="A93" s="7">
        <v>92</v>
      </c>
      <c r="B93" s="7" t="s">
        <v>23</v>
      </c>
      <c r="C93" s="7" t="s">
        <v>462</v>
      </c>
      <c r="D93" s="7">
        <v>51125209</v>
      </c>
      <c r="E93" s="7">
        <v>50</v>
      </c>
      <c r="F93" s="7">
        <v>32</v>
      </c>
      <c r="G93" s="7">
        <v>5</v>
      </c>
      <c r="H93" s="7" t="s">
        <v>200</v>
      </c>
      <c r="I93" s="7" t="s">
        <v>109</v>
      </c>
      <c r="J93" s="7" t="s">
        <v>130</v>
      </c>
      <c r="K93" s="46">
        <v>0.73333333333333328</v>
      </c>
      <c r="L93" s="7" t="s">
        <v>109</v>
      </c>
      <c r="M93" s="7" t="s">
        <v>109</v>
      </c>
      <c r="N93" s="7" t="s">
        <v>110</v>
      </c>
      <c r="O93" s="7" t="s">
        <v>61</v>
      </c>
      <c r="P93" s="7" t="s">
        <v>131</v>
      </c>
      <c r="Q93" s="7" t="s">
        <v>200</v>
      </c>
      <c r="R93" s="7" t="s">
        <v>62</v>
      </c>
      <c r="S93" s="7" t="s">
        <v>512</v>
      </c>
      <c r="T93" s="7" t="s">
        <v>464</v>
      </c>
      <c r="U93" s="7" t="str">
        <f t="shared" si="3"/>
        <v>Not Met</v>
      </c>
      <c r="V93" s="7" t="s">
        <v>612</v>
      </c>
    </row>
    <row r="94" spans="1:22" x14ac:dyDescent="0.3">
      <c r="A94" s="7">
        <v>93</v>
      </c>
      <c r="B94" s="7" t="s">
        <v>23</v>
      </c>
      <c r="C94" s="7" t="s">
        <v>465</v>
      </c>
      <c r="D94" s="7">
        <v>51125210</v>
      </c>
      <c r="E94" s="7">
        <v>200</v>
      </c>
      <c r="F94" s="7">
        <v>116</v>
      </c>
      <c r="G94" s="7">
        <v>23</v>
      </c>
      <c r="H94" s="7" t="s">
        <v>585</v>
      </c>
      <c r="I94" s="7" t="s">
        <v>109</v>
      </c>
      <c r="J94" s="7" t="s">
        <v>130</v>
      </c>
      <c r="K94" s="46">
        <v>0.96805555555555556</v>
      </c>
      <c r="L94" s="7" t="s">
        <v>109</v>
      </c>
      <c r="M94" s="7" t="s">
        <v>109</v>
      </c>
      <c r="N94" s="7" t="s">
        <v>110</v>
      </c>
      <c r="O94" s="7" t="s">
        <v>61</v>
      </c>
      <c r="P94" s="7" t="s">
        <v>131</v>
      </c>
      <c r="Q94" s="7" t="s">
        <v>86</v>
      </c>
      <c r="R94" s="7" t="s">
        <v>62</v>
      </c>
      <c r="S94" s="7" t="s">
        <v>512</v>
      </c>
      <c r="T94" s="7" t="s">
        <v>464</v>
      </c>
      <c r="U94" s="7" t="str">
        <f t="shared" si="3"/>
        <v>Not Met</v>
      </c>
      <c r="V94" s="7" t="s">
        <v>612</v>
      </c>
    </row>
    <row r="95" spans="1:22" x14ac:dyDescent="0.3">
      <c r="A95" s="7">
        <v>94</v>
      </c>
      <c r="B95" s="7" t="s">
        <v>23</v>
      </c>
      <c r="C95" s="7" t="s">
        <v>586</v>
      </c>
      <c r="D95" s="7">
        <v>50126061</v>
      </c>
      <c r="E95" s="7">
        <v>50</v>
      </c>
      <c r="F95" s="7">
        <v>62</v>
      </c>
      <c r="G95" s="7">
        <v>57</v>
      </c>
      <c r="H95" s="7" t="s">
        <v>91</v>
      </c>
      <c r="I95" s="7" t="s">
        <v>109</v>
      </c>
      <c r="J95" s="7" t="s">
        <v>130</v>
      </c>
      <c r="K95" s="46">
        <v>0.75555555555555554</v>
      </c>
      <c r="L95" s="7" t="s">
        <v>109</v>
      </c>
      <c r="M95" s="7" t="s">
        <v>109</v>
      </c>
      <c r="N95" s="7" t="s">
        <v>110</v>
      </c>
      <c r="O95" s="7" t="s">
        <v>61</v>
      </c>
      <c r="P95" s="7" t="s">
        <v>131</v>
      </c>
      <c r="Q95" s="7" t="s">
        <v>91</v>
      </c>
      <c r="R95" s="7" t="s">
        <v>62</v>
      </c>
      <c r="S95" s="7" t="s">
        <v>512</v>
      </c>
      <c r="T95" s="7" t="s">
        <v>610</v>
      </c>
      <c r="U95" s="7" t="str">
        <f t="shared" si="3"/>
        <v>Met</v>
      </c>
      <c r="V95" s="7" t="s">
        <v>109</v>
      </c>
    </row>
    <row r="96" spans="1:22" x14ac:dyDescent="0.3">
      <c r="A96" s="7">
        <v>95</v>
      </c>
      <c r="B96" s="7" t="s">
        <v>23</v>
      </c>
      <c r="C96" s="7" t="s">
        <v>587</v>
      </c>
      <c r="D96" s="7">
        <v>50126063</v>
      </c>
      <c r="E96" s="7">
        <v>50</v>
      </c>
      <c r="F96" s="7">
        <v>83</v>
      </c>
      <c r="G96" s="7">
        <v>36</v>
      </c>
      <c r="H96" s="7" t="s">
        <v>89</v>
      </c>
      <c r="I96" s="7" t="s">
        <v>109</v>
      </c>
      <c r="J96" s="7" t="s">
        <v>130</v>
      </c>
      <c r="K96" s="46">
        <v>0.82499999999999996</v>
      </c>
      <c r="L96" s="7" t="s">
        <v>109</v>
      </c>
      <c r="M96" s="7" t="s">
        <v>109</v>
      </c>
      <c r="N96" s="7" t="s">
        <v>110</v>
      </c>
      <c r="O96" s="7" t="s">
        <v>61</v>
      </c>
      <c r="P96" s="7" t="s">
        <v>131</v>
      </c>
      <c r="Q96" s="7" t="s">
        <v>89</v>
      </c>
      <c r="R96" s="7" t="s">
        <v>62</v>
      </c>
      <c r="S96" s="7" t="s">
        <v>512</v>
      </c>
      <c r="T96" s="7" t="s">
        <v>610</v>
      </c>
      <c r="U96" s="7" t="str">
        <f t="shared" si="3"/>
        <v>Not Met</v>
      </c>
      <c r="V96" s="7" t="s">
        <v>612</v>
      </c>
    </row>
    <row r="97" spans="1:22" x14ac:dyDescent="0.3">
      <c r="A97" s="7">
        <v>96</v>
      </c>
      <c r="B97" s="7" t="s">
        <v>23</v>
      </c>
      <c r="C97" s="7" t="s">
        <v>588</v>
      </c>
      <c r="D97" s="7">
        <v>50126064</v>
      </c>
      <c r="E97" s="7">
        <v>75</v>
      </c>
      <c r="F97" s="7">
        <v>152</v>
      </c>
      <c r="G97" s="7">
        <v>57</v>
      </c>
      <c r="H97" s="7" t="s">
        <v>86</v>
      </c>
      <c r="I97" s="7" t="s">
        <v>109</v>
      </c>
      <c r="J97" s="7" t="s">
        <v>130</v>
      </c>
      <c r="K97" s="46">
        <v>0.79236111111111107</v>
      </c>
      <c r="L97" s="7" t="s">
        <v>109</v>
      </c>
      <c r="M97" s="7" t="s">
        <v>109</v>
      </c>
      <c r="N97" s="7" t="s">
        <v>110</v>
      </c>
      <c r="O97" s="7" t="s">
        <v>61</v>
      </c>
      <c r="P97" s="7" t="s">
        <v>131</v>
      </c>
      <c r="Q97" s="7" t="s">
        <v>86</v>
      </c>
      <c r="R97" s="7" t="s">
        <v>62</v>
      </c>
      <c r="S97" s="7" t="s">
        <v>512</v>
      </c>
      <c r="T97" s="7" t="s">
        <v>610</v>
      </c>
      <c r="U97" s="7" t="str">
        <f t="shared" si="3"/>
        <v>Not Met</v>
      </c>
      <c r="V97" s="7" t="s">
        <v>612</v>
      </c>
    </row>
    <row r="98" spans="1:22" x14ac:dyDescent="0.3">
      <c r="A98" s="7">
        <v>97</v>
      </c>
      <c r="B98" s="7" t="s">
        <v>23</v>
      </c>
      <c r="C98" s="7" t="s">
        <v>589</v>
      </c>
      <c r="D98" s="7">
        <v>50126062</v>
      </c>
      <c r="E98" s="7">
        <v>50</v>
      </c>
      <c r="F98" s="7">
        <v>80</v>
      </c>
      <c r="G98" s="7">
        <v>52</v>
      </c>
      <c r="H98" s="7" t="s">
        <v>179</v>
      </c>
      <c r="I98" s="7" t="s">
        <v>109</v>
      </c>
      <c r="J98" s="7" t="s">
        <v>130</v>
      </c>
      <c r="K98" s="46">
        <v>0.74444444444444446</v>
      </c>
      <c r="L98" s="7" t="s">
        <v>109</v>
      </c>
      <c r="M98" s="7" t="s">
        <v>109</v>
      </c>
      <c r="N98" s="7" t="s">
        <v>110</v>
      </c>
      <c r="O98" s="7" t="s">
        <v>61</v>
      </c>
      <c r="P98" s="7" t="s">
        <v>131</v>
      </c>
      <c r="Q98" s="7" t="s">
        <v>179</v>
      </c>
      <c r="R98" s="7" t="s">
        <v>62</v>
      </c>
      <c r="S98" s="7" t="s">
        <v>512</v>
      </c>
      <c r="T98" s="7" t="s">
        <v>610</v>
      </c>
      <c r="U98" s="7" t="str">
        <f t="shared" si="3"/>
        <v>Met</v>
      </c>
      <c r="V98" s="7" t="s">
        <v>109</v>
      </c>
    </row>
    <row r="99" spans="1:22" x14ac:dyDescent="0.3">
      <c r="A99" s="7">
        <v>98</v>
      </c>
      <c r="B99" s="7" t="s">
        <v>23</v>
      </c>
      <c r="C99" s="7" t="s">
        <v>590</v>
      </c>
      <c r="D99" s="7">
        <v>50126065</v>
      </c>
      <c r="E99" s="7">
        <v>100</v>
      </c>
      <c r="F99" s="7">
        <v>198</v>
      </c>
      <c r="G99" s="7">
        <v>89</v>
      </c>
      <c r="H99" s="7" t="s">
        <v>72</v>
      </c>
      <c r="I99" s="7" t="s">
        <v>109</v>
      </c>
      <c r="J99" s="7" t="s">
        <v>130</v>
      </c>
      <c r="K99" s="46">
        <v>0.86736111111111114</v>
      </c>
      <c r="L99" s="7" t="s">
        <v>109</v>
      </c>
      <c r="M99" s="7" t="s">
        <v>109</v>
      </c>
      <c r="N99" s="7" t="s">
        <v>110</v>
      </c>
      <c r="O99" s="7" t="s">
        <v>61</v>
      </c>
      <c r="P99" s="7" t="s">
        <v>131</v>
      </c>
      <c r="Q99" s="7" t="s">
        <v>72</v>
      </c>
      <c r="R99" s="7" t="s">
        <v>62</v>
      </c>
      <c r="S99" s="7" t="s">
        <v>512</v>
      </c>
      <c r="T99" s="7" t="s">
        <v>610</v>
      </c>
      <c r="U99" s="7" t="str">
        <f t="shared" si="3"/>
        <v>Not Met</v>
      </c>
      <c r="V99" s="7" t="s">
        <v>612</v>
      </c>
    </row>
    <row r="100" spans="1:22" x14ac:dyDescent="0.3">
      <c r="A100" s="7">
        <v>99</v>
      </c>
      <c r="B100" s="7" t="s">
        <v>23</v>
      </c>
      <c r="C100" s="7" t="s">
        <v>591</v>
      </c>
      <c r="D100" s="7">
        <v>50126066</v>
      </c>
      <c r="E100" s="7">
        <v>100</v>
      </c>
      <c r="F100" s="7">
        <v>150</v>
      </c>
      <c r="G100" s="7">
        <v>79</v>
      </c>
      <c r="H100" s="7" t="s">
        <v>95</v>
      </c>
      <c r="I100" s="7" t="s">
        <v>109</v>
      </c>
      <c r="J100" s="7" t="s">
        <v>130</v>
      </c>
      <c r="K100" s="46">
        <v>0.83263888888888893</v>
      </c>
      <c r="L100" s="7" t="s">
        <v>109</v>
      </c>
      <c r="M100" s="7" t="s">
        <v>109</v>
      </c>
      <c r="N100" s="7" t="s">
        <v>110</v>
      </c>
      <c r="O100" s="7" t="s">
        <v>61</v>
      </c>
      <c r="P100" s="7" t="s">
        <v>131</v>
      </c>
      <c r="Q100" s="7" t="s">
        <v>95</v>
      </c>
      <c r="R100" s="7" t="s">
        <v>62</v>
      </c>
      <c r="S100" s="7" t="s">
        <v>512</v>
      </c>
      <c r="T100" s="7" t="s">
        <v>610</v>
      </c>
      <c r="U100" s="7" t="str">
        <f t="shared" si="3"/>
        <v>Not Met</v>
      </c>
      <c r="V100" s="7" t="s">
        <v>612</v>
      </c>
    </row>
    <row r="101" spans="1:22" x14ac:dyDescent="0.3">
      <c r="A101" s="7">
        <v>100</v>
      </c>
      <c r="B101" s="7" t="s">
        <v>23</v>
      </c>
      <c r="C101" s="7" t="s">
        <v>592</v>
      </c>
      <c r="D101" s="7">
        <v>50126073</v>
      </c>
      <c r="E101" s="7">
        <v>50</v>
      </c>
      <c r="F101" s="7">
        <v>90</v>
      </c>
      <c r="G101" s="7">
        <v>54</v>
      </c>
      <c r="H101" s="7" t="s">
        <v>154</v>
      </c>
      <c r="I101" s="7" t="s">
        <v>109</v>
      </c>
      <c r="J101" s="7" t="s">
        <v>130</v>
      </c>
      <c r="K101" s="46">
        <v>0.7631944444444444</v>
      </c>
      <c r="L101" s="7" t="s">
        <v>109</v>
      </c>
      <c r="M101" s="7" t="s">
        <v>109</v>
      </c>
      <c r="N101" s="7" t="s">
        <v>110</v>
      </c>
      <c r="O101" s="7" t="s">
        <v>61</v>
      </c>
      <c r="P101" s="7" t="s">
        <v>131</v>
      </c>
      <c r="Q101" s="7" t="s">
        <v>154</v>
      </c>
      <c r="R101" s="7" t="s">
        <v>62</v>
      </c>
      <c r="S101" s="7" t="s">
        <v>512</v>
      </c>
      <c r="T101" s="7" t="s">
        <v>610</v>
      </c>
      <c r="U101" s="7" t="str">
        <f t="shared" si="3"/>
        <v>Met</v>
      </c>
      <c r="V101" s="7" t="s">
        <v>109</v>
      </c>
    </row>
    <row r="102" spans="1:22" x14ac:dyDescent="0.3">
      <c r="A102" s="7">
        <v>101</v>
      </c>
      <c r="B102" s="7" t="s">
        <v>23</v>
      </c>
      <c r="C102" s="7" t="s">
        <v>593</v>
      </c>
      <c r="D102" s="7">
        <v>50126067</v>
      </c>
      <c r="E102" s="7">
        <v>50</v>
      </c>
      <c r="F102" s="7">
        <v>40</v>
      </c>
      <c r="G102" s="7">
        <v>31</v>
      </c>
      <c r="H102" s="7" t="s">
        <v>209</v>
      </c>
      <c r="I102" s="7" t="s">
        <v>109</v>
      </c>
      <c r="J102" s="7" t="s">
        <v>130</v>
      </c>
      <c r="K102" s="46">
        <v>0.77916666666666667</v>
      </c>
      <c r="L102" s="7" t="s">
        <v>109</v>
      </c>
      <c r="M102" s="7" t="s">
        <v>109</v>
      </c>
      <c r="N102" s="7" t="s">
        <v>110</v>
      </c>
      <c r="O102" s="7" t="s">
        <v>61</v>
      </c>
      <c r="P102" s="7" t="s">
        <v>131</v>
      </c>
      <c r="Q102" s="7" t="s">
        <v>209</v>
      </c>
      <c r="R102" s="7" t="s">
        <v>62</v>
      </c>
      <c r="S102" s="7" t="s">
        <v>512</v>
      </c>
      <c r="T102" s="7" t="s">
        <v>610</v>
      </c>
      <c r="U102" s="7" t="str">
        <f t="shared" si="3"/>
        <v>Not Met</v>
      </c>
      <c r="V102" s="7" t="s">
        <v>612</v>
      </c>
    </row>
    <row r="103" spans="1:22" x14ac:dyDescent="0.3">
      <c r="A103" s="7">
        <v>102</v>
      </c>
      <c r="B103" s="7" t="s">
        <v>23</v>
      </c>
      <c r="C103" s="7" t="s">
        <v>594</v>
      </c>
      <c r="D103" s="7">
        <v>50126070</v>
      </c>
      <c r="E103" s="7">
        <v>50</v>
      </c>
      <c r="F103" s="7">
        <v>50</v>
      </c>
      <c r="G103" s="7">
        <v>17</v>
      </c>
      <c r="H103" s="7" t="s">
        <v>87</v>
      </c>
      <c r="I103" s="7" t="s">
        <v>109</v>
      </c>
      <c r="J103" s="7" t="s">
        <v>130</v>
      </c>
      <c r="K103" s="46">
        <v>0.82013888888888886</v>
      </c>
      <c r="L103" s="7" t="s">
        <v>109</v>
      </c>
      <c r="M103" s="7" t="s">
        <v>109</v>
      </c>
      <c r="N103" s="7" t="s">
        <v>110</v>
      </c>
      <c r="O103" s="7" t="s">
        <v>61</v>
      </c>
      <c r="P103" s="7" t="s">
        <v>131</v>
      </c>
      <c r="Q103" s="7" t="s">
        <v>87</v>
      </c>
      <c r="R103" s="7" t="s">
        <v>62</v>
      </c>
      <c r="S103" s="7" t="s">
        <v>512</v>
      </c>
      <c r="T103" s="7" t="s">
        <v>610</v>
      </c>
      <c r="U103" s="7" t="str">
        <f t="shared" si="3"/>
        <v>Not Met</v>
      </c>
      <c r="V103" s="7" t="s">
        <v>612</v>
      </c>
    </row>
    <row r="104" spans="1:22" x14ac:dyDescent="0.3">
      <c r="A104" s="7">
        <v>103</v>
      </c>
      <c r="B104" s="7" t="s">
        <v>23</v>
      </c>
      <c r="C104" s="7" t="s">
        <v>595</v>
      </c>
      <c r="D104" s="7">
        <v>50126068</v>
      </c>
      <c r="E104" s="7">
        <v>50</v>
      </c>
      <c r="F104" s="7">
        <v>101</v>
      </c>
      <c r="G104" s="7">
        <v>62</v>
      </c>
      <c r="H104" s="7" t="s">
        <v>95</v>
      </c>
      <c r="I104" s="7" t="s">
        <v>109</v>
      </c>
      <c r="J104" s="7" t="s">
        <v>130</v>
      </c>
      <c r="K104" s="46">
        <v>0.78333333333333333</v>
      </c>
      <c r="L104" s="7" t="s">
        <v>109</v>
      </c>
      <c r="M104" s="7" t="s">
        <v>109</v>
      </c>
      <c r="N104" s="7" t="s">
        <v>110</v>
      </c>
      <c r="O104" s="7" t="s">
        <v>61</v>
      </c>
      <c r="P104" s="7" t="s">
        <v>131</v>
      </c>
      <c r="Q104" s="7" t="s">
        <v>95</v>
      </c>
      <c r="R104" s="7" t="s">
        <v>62</v>
      </c>
      <c r="S104" s="7" t="s">
        <v>512</v>
      </c>
      <c r="T104" s="7" t="s">
        <v>610</v>
      </c>
      <c r="U104" s="7" t="str">
        <f t="shared" si="3"/>
        <v>Met</v>
      </c>
      <c r="V104" s="7" t="s">
        <v>109</v>
      </c>
    </row>
    <row r="105" spans="1:22" x14ac:dyDescent="0.3">
      <c r="A105" s="7">
        <v>104</v>
      </c>
      <c r="B105" s="7" t="s">
        <v>23</v>
      </c>
      <c r="C105" s="7" t="s">
        <v>596</v>
      </c>
      <c r="D105" s="7">
        <v>50126071</v>
      </c>
      <c r="E105" s="7">
        <v>50</v>
      </c>
      <c r="F105" s="7">
        <v>87</v>
      </c>
      <c r="G105" s="7">
        <v>66</v>
      </c>
      <c r="H105" s="7" t="s">
        <v>94</v>
      </c>
      <c r="I105" s="7" t="s">
        <v>109</v>
      </c>
      <c r="J105" s="7" t="s">
        <v>130</v>
      </c>
      <c r="K105" s="46">
        <v>0.92708333333333337</v>
      </c>
      <c r="L105" s="7" t="s">
        <v>109</v>
      </c>
      <c r="M105" s="7" t="s">
        <v>109</v>
      </c>
      <c r="N105" s="7" t="s">
        <v>110</v>
      </c>
      <c r="O105" s="7" t="s">
        <v>61</v>
      </c>
      <c r="P105" s="7" t="s">
        <v>131</v>
      </c>
      <c r="Q105" s="7" t="s">
        <v>94</v>
      </c>
      <c r="R105" s="7" t="s">
        <v>62</v>
      </c>
      <c r="S105" s="7" t="s">
        <v>512</v>
      </c>
      <c r="T105" s="7" t="s">
        <v>610</v>
      </c>
      <c r="U105" s="7" t="str">
        <f t="shared" si="3"/>
        <v>Met</v>
      </c>
      <c r="V105" s="7" t="s">
        <v>109</v>
      </c>
    </row>
    <row r="106" spans="1:22" x14ac:dyDescent="0.3">
      <c r="A106" s="7">
        <v>105</v>
      </c>
      <c r="B106" s="7" t="s">
        <v>23</v>
      </c>
      <c r="C106" s="7" t="s">
        <v>597</v>
      </c>
      <c r="D106" s="7">
        <v>50126072</v>
      </c>
      <c r="E106" s="7">
        <v>40</v>
      </c>
      <c r="F106" s="7">
        <v>80</v>
      </c>
      <c r="G106" s="7">
        <v>45</v>
      </c>
      <c r="H106" s="7" t="s">
        <v>67</v>
      </c>
      <c r="I106" s="7" t="s">
        <v>109</v>
      </c>
      <c r="J106" s="7" t="s">
        <v>130</v>
      </c>
      <c r="K106" s="46">
        <v>0.75486111111111109</v>
      </c>
      <c r="L106" s="7" t="s">
        <v>109</v>
      </c>
      <c r="M106" s="7" t="s">
        <v>109</v>
      </c>
      <c r="N106" s="7" t="s">
        <v>110</v>
      </c>
      <c r="O106" s="7" t="s">
        <v>61</v>
      </c>
      <c r="P106" s="7" t="s">
        <v>131</v>
      </c>
      <c r="Q106" s="7" t="s">
        <v>67</v>
      </c>
      <c r="R106" s="7" t="s">
        <v>62</v>
      </c>
      <c r="S106" s="7" t="s">
        <v>512</v>
      </c>
      <c r="T106" s="7" t="s">
        <v>610</v>
      </c>
      <c r="U106" s="7" t="str">
        <f t="shared" si="3"/>
        <v>Met</v>
      </c>
      <c r="V106" s="7" t="s">
        <v>109</v>
      </c>
    </row>
    <row r="107" spans="1:22" x14ac:dyDescent="0.3">
      <c r="A107" s="7">
        <v>106</v>
      </c>
      <c r="B107" s="7" t="s">
        <v>26</v>
      </c>
      <c r="C107" s="7" t="s">
        <v>602</v>
      </c>
      <c r="D107" s="7">
        <v>41125005</v>
      </c>
      <c r="E107" s="7">
        <v>53</v>
      </c>
      <c r="F107" s="7">
        <v>41</v>
      </c>
      <c r="G107" s="7">
        <v>19</v>
      </c>
      <c r="H107" s="7" t="s">
        <v>67</v>
      </c>
      <c r="I107" s="7" t="s">
        <v>89</v>
      </c>
      <c r="J107" s="7" t="s">
        <v>130</v>
      </c>
      <c r="K107" s="46">
        <v>0.94027777777777777</v>
      </c>
      <c r="L107" s="46">
        <v>0.95763888888888893</v>
      </c>
      <c r="M107" s="7" t="s">
        <v>109</v>
      </c>
      <c r="N107" s="7" t="s">
        <v>109</v>
      </c>
      <c r="O107" s="7" t="s">
        <v>606</v>
      </c>
      <c r="P107" s="7" t="s">
        <v>131</v>
      </c>
      <c r="Q107" s="7" t="s">
        <v>89</v>
      </c>
      <c r="R107" s="7" t="s">
        <v>62</v>
      </c>
      <c r="S107" s="7" t="s">
        <v>109</v>
      </c>
      <c r="T107" s="7" t="s">
        <v>121</v>
      </c>
      <c r="U107" s="7" t="str">
        <f t="shared" si="3"/>
        <v>Not Met</v>
      </c>
      <c r="V107" s="7" t="s">
        <v>612</v>
      </c>
    </row>
    <row r="108" spans="1:22" x14ac:dyDescent="0.3">
      <c r="A108" s="7">
        <v>107</v>
      </c>
      <c r="B108" s="7" t="s">
        <v>143</v>
      </c>
      <c r="C108" s="47" t="s">
        <v>604</v>
      </c>
      <c r="D108" s="7">
        <v>10525047</v>
      </c>
      <c r="E108" s="7">
        <v>31</v>
      </c>
      <c r="F108" s="7">
        <v>17</v>
      </c>
      <c r="G108" s="7">
        <v>8</v>
      </c>
      <c r="H108" s="7" t="s">
        <v>66</v>
      </c>
      <c r="I108" s="7" t="s">
        <v>605</v>
      </c>
      <c r="J108" s="7" t="s">
        <v>130</v>
      </c>
      <c r="K108" s="46">
        <v>0.94305555555555554</v>
      </c>
      <c r="L108" s="7" t="s">
        <v>109</v>
      </c>
      <c r="M108" s="7" t="s">
        <v>109</v>
      </c>
      <c r="N108" s="7" t="s">
        <v>109</v>
      </c>
      <c r="O108" s="7" t="s">
        <v>606</v>
      </c>
      <c r="P108" s="7" t="s">
        <v>131</v>
      </c>
      <c r="Q108" s="7" t="s">
        <v>605</v>
      </c>
      <c r="R108" s="7" t="s">
        <v>62</v>
      </c>
      <c r="S108" s="7" t="s">
        <v>109</v>
      </c>
      <c r="T108" s="7" t="s">
        <v>325</v>
      </c>
      <c r="U108" s="7" t="str">
        <f t="shared" si="3"/>
        <v>Not Met</v>
      </c>
      <c r="V108" s="7" t="s">
        <v>612</v>
      </c>
    </row>
    <row r="109" spans="1:22" x14ac:dyDescent="0.3">
      <c r="A109" s="7">
        <v>108</v>
      </c>
      <c r="B109" s="7" t="s">
        <v>23</v>
      </c>
      <c r="C109" s="48" t="s">
        <v>614</v>
      </c>
      <c r="D109" s="7">
        <v>50126069</v>
      </c>
      <c r="E109" s="7">
        <v>75</v>
      </c>
      <c r="F109" s="7" t="s">
        <v>109</v>
      </c>
      <c r="G109" s="7" t="s">
        <v>109</v>
      </c>
      <c r="H109" s="7" t="s">
        <v>615</v>
      </c>
      <c r="I109" s="7" t="s">
        <v>109</v>
      </c>
      <c r="J109" s="7" t="s">
        <v>109</v>
      </c>
      <c r="K109" s="7" t="s">
        <v>109</v>
      </c>
      <c r="L109" s="7" t="s">
        <v>109</v>
      </c>
      <c r="M109" s="7" t="s">
        <v>109</v>
      </c>
      <c r="N109" s="7" t="s">
        <v>109</v>
      </c>
      <c r="O109" s="7" t="s">
        <v>61</v>
      </c>
      <c r="P109" s="7" t="s">
        <v>109</v>
      </c>
      <c r="Q109" s="7" t="s">
        <v>109</v>
      </c>
      <c r="R109" s="7" t="s">
        <v>62</v>
      </c>
      <c r="S109" s="7" t="s">
        <v>109</v>
      </c>
      <c r="T109" s="7" t="s">
        <v>610</v>
      </c>
      <c r="U109" s="7" t="s">
        <v>109</v>
      </c>
      <c r="V109" s="7" t="s">
        <v>109</v>
      </c>
    </row>
  </sheetData>
  <conditionalFormatting sqref="D1">
    <cfRule type="duplicateValues" dxfId="109" priority="2"/>
  </conditionalFormatting>
  <conditionalFormatting sqref="D1:D1048576">
    <cfRule type="duplicateValues" dxfId="108" priority="1"/>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773F9-42BC-4046-8802-52B334698625}">
  <sheetPr codeName="Sheet6"/>
  <dimension ref="A1:V125"/>
  <sheetViews>
    <sheetView topLeftCell="L1" workbookViewId="0">
      <pane ySplit="1" topLeftCell="A2" activePane="bottomLeft" state="frozen"/>
      <selection pane="bottomLeft" activeCell="M1" sqref="M1"/>
    </sheetView>
  </sheetViews>
  <sheetFormatPr defaultRowHeight="14.4" x14ac:dyDescent="0.3"/>
  <cols>
    <col min="1" max="1" width="4" bestFit="1" customWidth="1"/>
    <col min="2" max="2" width="11.21875" bestFit="1" customWidth="1"/>
    <col min="3" max="3" width="87.6640625" bestFit="1" customWidth="1"/>
    <col min="4" max="4" width="10.44140625" bestFit="1" customWidth="1"/>
    <col min="5" max="5" width="13.88671875" bestFit="1" customWidth="1"/>
    <col min="6" max="6" width="15.109375" bestFit="1" customWidth="1"/>
    <col min="7" max="7" width="8.5546875" bestFit="1" customWidth="1"/>
    <col min="8" max="8" width="60.88671875" bestFit="1" customWidth="1"/>
    <col min="9" max="9" width="63.33203125" bestFit="1" customWidth="1"/>
    <col min="10" max="10" width="6.5546875" bestFit="1" customWidth="1"/>
    <col min="11" max="12" width="15.88671875" bestFit="1" customWidth="1"/>
    <col min="13" max="13" width="3.88671875" bestFit="1" customWidth="1"/>
    <col min="14" max="14" width="35.44140625" bestFit="1" customWidth="1"/>
    <col min="15" max="15" width="18.5546875" bestFit="1" customWidth="1"/>
    <col min="16" max="16" width="14.33203125" bestFit="1" customWidth="1"/>
    <col min="17" max="17" width="15.109375" bestFit="1" customWidth="1"/>
    <col min="18" max="18" width="14.33203125" bestFit="1" customWidth="1"/>
    <col min="19" max="19" width="15.88671875" bestFit="1" customWidth="1"/>
    <col min="20" max="20" width="17.5546875" bestFit="1" customWidth="1"/>
    <col min="21" max="21" width="37.44140625" bestFit="1" customWidth="1"/>
    <col min="22" max="22" width="13.77734375" bestFit="1" customWidth="1"/>
  </cols>
  <sheetData>
    <row r="1" spans="1:22"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row>
    <row r="2" spans="1:22" x14ac:dyDescent="0.3">
      <c r="A2" s="28">
        <v>1</v>
      </c>
      <c r="B2" s="28" t="s">
        <v>25</v>
      </c>
      <c r="C2" s="28" t="s">
        <v>616</v>
      </c>
      <c r="D2" s="28">
        <v>40126015</v>
      </c>
      <c r="E2" s="28">
        <v>471</v>
      </c>
      <c r="F2" s="28">
        <v>835</v>
      </c>
      <c r="G2" s="28">
        <v>446</v>
      </c>
      <c r="H2" s="28" t="s">
        <v>617</v>
      </c>
      <c r="I2" s="28" t="s">
        <v>618</v>
      </c>
      <c r="J2" s="28" t="s">
        <v>130</v>
      </c>
      <c r="K2" s="41">
        <v>0.88680555555555551</v>
      </c>
      <c r="L2" s="41" t="s">
        <v>747</v>
      </c>
      <c r="M2" s="28" t="s">
        <v>109</v>
      </c>
      <c r="N2" s="49" t="s">
        <v>445</v>
      </c>
      <c r="O2" s="28" t="s">
        <v>61</v>
      </c>
      <c r="P2" s="28" t="s">
        <v>131</v>
      </c>
      <c r="Q2" s="28" t="s">
        <v>603</v>
      </c>
      <c r="R2" s="28" t="s">
        <v>62</v>
      </c>
      <c r="S2" s="28" t="s">
        <v>512</v>
      </c>
      <c r="T2" s="28" t="s">
        <v>295</v>
      </c>
      <c r="U2" s="7" t="s">
        <v>290</v>
      </c>
      <c r="V2" s="28" t="s">
        <v>109</v>
      </c>
    </row>
    <row r="3" spans="1:22" x14ac:dyDescent="0.3">
      <c r="A3" s="28">
        <v>2</v>
      </c>
      <c r="B3" s="28" t="s">
        <v>24</v>
      </c>
      <c r="C3" s="28" t="s">
        <v>28</v>
      </c>
      <c r="D3" s="28">
        <v>61225007</v>
      </c>
      <c r="E3" s="28">
        <v>21</v>
      </c>
      <c r="F3" s="28">
        <v>48</v>
      </c>
      <c r="G3" s="28">
        <v>16</v>
      </c>
      <c r="H3" s="28" t="s">
        <v>91</v>
      </c>
      <c r="I3" s="28" t="s">
        <v>603</v>
      </c>
      <c r="J3" s="28" t="s">
        <v>130</v>
      </c>
      <c r="K3" s="41">
        <v>0.77638888888888891</v>
      </c>
      <c r="L3" s="41">
        <v>0.78125</v>
      </c>
      <c r="M3" s="28" t="s">
        <v>109</v>
      </c>
      <c r="N3" s="49" t="s">
        <v>110</v>
      </c>
      <c r="O3" s="28" t="s">
        <v>61</v>
      </c>
      <c r="P3" s="28" t="s">
        <v>131</v>
      </c>
      <c r="Q3" s="28" t="s">
        <v>603</v>
      </c>
      <c r="R3" s="28" t="s">
        <v>63</v>
      </c>
      <c r="S3" s="28" t="s">
        <v>512</v>
      </c>
      <c r="T3" s="28" t="s">
        <v>113</v>
      </c>
      <c r="U3" s="7" t="s">
        <v>748</v>
      </c>
      <c r="V3" s="28" t="s">
        <v>291</v>
      </c>
    </row>
    <row r="4" spans="1:22" x14ac:dyDescent="0.3">
      <c r="A4" s="28">
        <v>3</v>
      </c>
      <c r="B4" s="28" t="s">
        <v>24</v>
      </c>
      <c r="C4" s="28" t="s">
        <v>30</v>
      </c>
      <c r="D4" s="28">
        <v>61225005</v>
      </c>
      <c r="E4" s="28">
        <v>30</v>
      </c>
      <c r="F4" s="28">
        <v>2</v>
      </c>
      <c r="G4" s="28">
        <v>0</v>
      </c>
      <c r="H4" s="28" t="s">
        <v>86</v>
      </c>
      <c r="I4" s="28" t="s">
        <v>605</v>
      </c>
      <c r="J4" s="28" t="s">
        <v>130</v>
      </c>
      <c r="K4" s="41">
        <v>0.67152777777777772</v>
      </c>
      <c r="L4" s="41">
        <v>0.84305555555555556</v>
      </c>
      <c r="M4" s="28" t="s">
        <v>109</v>
      </c>
      <c r="N4" s="49" t="s">
        <v>110</v>
      </c>
      <c r="O4" s="28" t="s">
        <v>61</v>
      </c>
      <c r="P4" s="28" t="s">
        <v>131</v>
      </c>
      <c r="Q4" s="28" t="s">
        <v>605</v>
      </c>
      <c r="R4" s="28" t="s">
        <v>63</v>
      </c>
      <c r="S4" s="28" t="s">
        <v>512</v>
      </c>
      <c r="T4" s="28" t="s">
        <v>113</v>
      </c>
      <c r="U4" s="7" t="s">
        <v>748</v>
      </c>
      <c r="V4" s="28" t="s">
        <v>291</v>
      </c>
    </row>
    <row r="5" spans="1:22" x14ac:dyDescent="0.3">
      <c r="A5" s="28">
        <v>4</v>
      </c>
      <c r="B5" s="28" t="s">
        <v>24</v>
      </c>
      <c r="C5" s="28" t="s">
        <v>31</v>
      </c>
      <c r="D5" s="28">
        <v>61225003</v>
      </c>
      <c r="E5" s="28">
        <v>34</v>
      </c>
      <c r="F5" s="28">
        <v>0</v>
      </c>
      <c r="G5" s="28">
        <v>0</v>
      </c>
      <c r="H5" s="28" t="s">
        <v>82</v>
      </c>
      <c r="I5" s="28" t="s">
        <v>86</v>
      </c>
      <c r="J5" s="28" t="s">
        <v>130</v>
      </c>
      <c r="K5" s="41">
        <v>0.6381944444444444</v>
      </c>
      <c r="L5" s="41">
        <v>0.67569444444444449</v>
      </c>
      <c r="M5" s="28" t="s">
        <v>109</v>
      </c>
      <c r="N5" s="49" t="s">
        <v>110</v>
      </c>
      <c r="O5" s="28" t="s">
        <v>61</v>
      </c>
      <c r="P5" s="28" t="s">
        <v>131</v>
      </c>
      <c r="Q5" s="28" t="s">
        <v>86</v>
      </c>
      <c r="R5" s="28" t="s">
        <v>63</v>
      </c>
      <c r="S5" s="28" t="s">
        <v>512</v>
      </c>
      <c r="T5" s="28" t="s">
        <v>113</v>
      </c>
      <c r="U5" s="7" t="s">
        <v>748</v>
      </c>
      <c r="V5" s="28" t="s">
        <v>291</v>
      </c>
    </row>
    <row r="6" spans="1:22" x14ac:dyDescent="0.3">
      <c r="A6" s="28">
        <v>5</v>
      </c>
      <c r="B6" s="28" t="s">
        <v>24</v>
      </c>
      <c r="C6" s="28" t="s">
        <v>29</v>
      </c>
      <c r="D6" s="28">
        <v>61225006</v>
      </c>
      <c r="E6" s="28">
        <v>38</v>
      </c>
      <c r="F6" s="28">
        <v>20</v>
      </c>
      <c r="G6" s="28">
        <v>5</v>
      </c>
      <c r="H6" s="28" t="s">
        <v>72</v>
      </c>
      <c r="I6" s="28" t="s">
        <v>88</v>
      </c>
      <c r="J6" s="28" t="s">
        <v>130</v>
      </c>
      <c r="K6" s="41">
        <v>0.65069444444444446</v>
      </c>
      <c r="L6" s="41">
        <v>0.70208333333333328</v>
      </c>
      <c r="M6" s="28" t="s">
        <v>109</v>
      </c>
      <c r="N6" s="49" t="s">
        <v>110</v>
      </c>
      <c r="O6" s="28" t="s">
        <v>61</v>
      </c>
      <c r="P6" s="28" t="s">
        <v>131</v>
      </c>
      <c r="Q6" s="28" t="s">
        <v>88</v>
      </c>
      <c r="R6" s="28" t="s">
        <v>63</v>
      </c>
      <c r="S6" s="28" t="s">
        <v>512</v>
      </c>
      <c r="T6" s="28" t="s">
        <v>113</v>
      </c>
      <c r="U6" s="7" t="s">
        <v>290</v>
      </c>
      <c r="V6" s="28" t="s">
        <v>109</v>
      </c>
    </row>
    <row r="7" spans="1:22" x14ac:dyDescent="0.3">
      <c r="A7" s="28">
        <v>6</v>
      </c>
      <c r="B7" s="28" t="s">
        <v>24</v>
      </c>
      <c r="C7" s="28" t="s">
        <v>32</v>
      </c>
      <c r="D7" s="28">
        <v>61225004</v>
      </c>
      <c r="E7" s="28">
        <v>12</v>
      </c>
      <c r="F7" s="28">
        <v>5</v>
      </c>
      <c r="G7" s="28">
        <v>4</v>
      </c>
      <c r="H7" s="28" t="s">
        <v>200</v>
      </c>
      <c r="I7" s="28" t="s">
        <v>87</v>
      </c>
      <c r="J7" s="28" t="s">
        <v>130</v>
      </c>
      <c r="K7" s="41">
        <v>0.7416666666666667</v>
      </c>
      <c r="L7" s="41">
        <v>0.80486111111111114</v>
      </c>
      <c r="M7" s="28" t="s">
        <v>109</v>
      </c>
      <c r="N7" s="49" t="s">
        <v>110</v>
      </c>
      <c r="O7" s="28" t="s">
        <v>61</v>
      </c>
      <c r="P7" s="28" t="s">
        <v>131</v>
      </c>
      <c r="Q7" s="28" t="s">
        <v>87</v>
      </c>
      <c r="R7" s="28" t="s">
        <v>63</v>
      </c>
      <c r="S7" s="28" t="s">
        <v>512</v>
      </c>
      <c r="T7" s="28" t="s">
        <v>113</v>
      </c>
      <c r="U7" s="7" t="s">
        <v>748</v>
      </c>
      <c r="V7" s="28" t="s">
        <v>291</v>
      </c>
    </row>
    <row r="8" spans="1:22" x14ac:dyDescent="0.3">
      <c r="A8" s="28">
        <v>7</v>
      </c>
      <c r="B8" s="28" t="s">
        <v>24</v>
      </c>
      <c r="C8" s="28" t="s">
        <v>34</v>
      </c>
      <c r="D8" s="28">
        <v>61225002</v>
      </c>
      <c r="E8" s="28">
        <v>31</v>
      </c>
      <c r="F8" s="28">
        <v>28</v>
      </c>
      <c r="G8" s="28">
        <v>9</v>
      </c>
      <c r="H8" s="28" t="s">
        <v>200</v>
      </c>
      <c r="I8" s="28" t="s">
        <v>87</v>
      </c>
      <c r="J8" s="28" t="s">
        <v>130</v>
      </c>
      <c r="K8" s="41">
        <v>0.73541666666666672</v>
      </c>
      <c r="L8" s="41">
        <v>0.79513888888888884</v>
      </c>
      <c r="M8" s="28" t="s">
        <v>109</v>
      </c>
      <c r="N8" s="49" t="s">
        <v>110</v>
      </c>
      <c r="O8" s="28" t="s">
        <v>61</v>
      </c>
      <c r="P8" s="28" t="s">
        <v>131</v>
      </c>
      <c r="Q8" s="28" t="s">
        <v>87</v>
      </c>
      <c r="R8" s="28" t="s">
        <v>63</v>
      </c>
      <c r="S8" s="28" t="s">
        <v>512</v>
      </c>
      <c r="T8" s="28" t="s">
        <v>113</v>
      </c>
      <c r="U8" s="7" t="s">
        <v>748</v>
      </c>
      <c r="V8" s="28" t="s">
        <v>291</v>
      </c>
    </row>
    <row r="9" spans="1:22" x14ac:dyDescent="0.3">
      <c r="A9" s="28">
        <v>8</v>
      </c>
      <c r="B9" s="28" t="s">
        <v>24</v>
      </c>
      <c r="C9" s="28" t="s">
        <v>41</v>
      </c>
      <c r="D9" s="28">
        <v>61125005</v>
      </c>
      <c r="E9" s="28">
        <v>135</v>
      </c>
      <c r="F9" s="28">
        <v>244</v>
      </c>
      <c r="G9" s="28">
        <v>114</v>
      </c>
      <c r="H9" s="28" t="s">
        <v>619</v>
      </c>
      <c r="I9" s="28" t="s">
        <v>620</v>
      </c>
      <c r="J9" s="28" t="s">
        <v>130</v>
      </c>
      <c r="K9" s="41">
        <v>0.99722222222222223</v>
      </c>
      <c r="L9" s="41">
        <v>2.7777777777777776E-2</v>
      </c>
      <c r="M9" s="28" t="s">
        <v>109</v>
      </c>
      <c r="N9" s="49" t="s">
        <v>110</v>
      </c>
      <c r="O9" s="28" t="s">
        <v>61</v>
      </c>
      <c r="P9" s="28" t="s">
        <v>131</v>
      </c>
      <c r="Q9" s="28" t="s">
        <v>87</v>
      </c>
      <c r="R9" s="28" t="s">
        <v>63</v>
      </c>
      <c r="S9" s="28" t="s">
        <v>512</v>
      </c>
      <c r="T9" s="28" t="s">
        <v>117</v>
      </c>
      <c r="U9" s="7" t="s">
        <v>748</v>
      </c>
      <c r="V9" s="28" t="s">
        <v>291</v>
      </c>
    </row>
    <row r="10" spans="1:22" x14ac:dyDescent="0.3">
      <c r="A10" s="28">
        <v>9</v>
      </c>
      <c r="B10" s="28" t="s">
        <v>24</v>
      </c>
      <c r="C10" s="28" t="s">
        <v>45</v>
      </c>
      <c r="D10" s="28">
        <v>61125004</v>
      </c>
      <c r="E10" s="28">
        <v>156</v>
      </c>
      <c r="F10" s="28">
        <v>330</v>
      </c>
      <c r="G10" s="28">
        <v>122</v>
      </c>
      <c r="H10" s="28" t="s">
        <v>621</v>
      </c>
      <c r="I10" s="28" t="s">
        <v>622</v>
      </c>
      <c r="J10" s="28" t="s">
        <v>130</v>
      </c>
      <c r="K10" s="41">
        <v>0.7368055555555556</v>
      </c>
      <c r="L10" s="41">
        <v>0.81458333333333333</v>
      </c>
      <c r="M10" s="28" t="s">
        <v>109</v>
      </c>
      <c r="N10" s="49" t="s">
        <v>110</v>
      </c>
      <c r="O10" s="28" t="s">
        <v>61</v>
      </c>
      <c r="P10" s="28" t="s">
        <v>131</v>
      </c>
      <c r="Q10" s="28" t="s">
        <v>605</v>
      </c>
      <c r="R10" s="28" t="s">
        <v>63</v>
      </c>
      <c r="S10" s="28" t="s">
        <v>512</v>
      </c>
      <c r="T10" s="28" t="s">
        <v>117</v>
      </c>
      <c r="U10" s="7" t="s">
        <v>290</v>
      </c>
      <c r="V10" s="28" t="s">
        <v>109</v>
      </c>
    </row>
    <row r="11" spans="1:22" x14ac:dyDescent="0.3">
      <c r="A11" s="28">
        <v>10</v>
      </c>
      <c r="B11" s="28" t="s">
        <v>24</v>
      </c>
      <c r="C11" s="28" t="s">
        <v>51</v>
      </c>
      <c r="D11" s="28">
        <v>61125015</v>
      </c>
      <c r="E11" s="28">
        <v>198</v>
      </c>
      <c r="F11" s="28">
        <v>455</v>
      </c>
      <c r="G11" s="28">
        <v>130</v>
      </c>
      <c r="H11" s="28" t="s">
        <v>623</v>
      </c>
      <c r="I11" s="28" t="s">
        <v>624</v>
      </c>
      <c r="J11" s="28" t="s">
        <v>130</v>
      </c>
      <c r="K11" s="41">
        <v>1.5972222222222221E-2</v>
      </c>
      <c r="L11" s="41">
        <v>3.888888888888889E-2</v>
      </c>
      <c r="M11" s="28" t="s">
        <v>109</v>
      </c>
      <c r="N11" s="49" t="s">
        <v>110</v>
      </c>
      <c r="O11" s="28" t="s">
        <v>61</v>
      </c>
      <c r="P11" s="28" t="s">
        <v>131</v>
      </c>
      <c r="Q11" s="28" t="s">
        <v>94</v>
      </c>
      <c r="R11" s="28" t="s">
        <v>63</v>
      </c>
      <c r="S11" s="28" t="s">
        <v>512</v>
      </c>
      <c r="T11" s="28" t="s">
        <v>120</v>
      </c>
      <c r="U11" s="7" t="s">
        <v>290</v>
      </c>
      <c r="V11" s="28" t="s">
        <v>109</v>
      </c>
    </row>
    <row r="12" spans="1:22" x14ac:dyDescent="0.3">
      <c r="A12" s="28">
        <v>11</v>
      </c>
      <c r="B12" s="28" t="s">
        <v>24</v>
      </c>
      <c r="C12" s="28" t="s">
        <v>49</v>
      </c>
      <c r="D12" s="28">
        <v>61225008</v>
      </c>
      <c r="E12" s="28">
        <v>298</v>
      </c>
      <c r="F12" s="28">
        <v>644</v>
      </c>
      <c r="G12" s="28">
        <v>80</v>
      </c>
      <c r="H12" s="28" t="s">
        <v>625</v>
      </c>
      <c r="I12" s="28" t="s">
        <v>626</v>
      </c>
      <c r="J12" s="28" t="s">
        <v>130</v>
      </c>
      <c r="K12" s="41">
        <v>0.6958333333333333</v>
      </c>
      <c r="L12" s="41">
        <v>0.77916666666666667</v>
      </c>
      <c r="M12" s="28" t="s">
        <v>109</v>
      </c>
      <c r="N12" s="49" t="s">
        <v>110</v>
      </c>
      <c r="O12" s="28" t="s">
        <v>61</v>
      </c>
      <c r="P12" s="28" t="s">
        <v>131</v>
      </c>
      <c r="Q12" s="28" t="s">
        <v>95</v>
      </c>
      <c r="R12" s="28" t="s">
        <v>63</v>
      </c>
      <c r="S12" s="28" t="s">
        <v>512</v>
      </c>
      <c r="T12" s="28" t="s">
        <v>120</v>
      </c>
      <c r="U12" s="7" t="s">
        <v>290</v>
      </c>
      <c r="V12" s="28" t="s">
        <v>109</v>
      </c>
    </row>
    <row r="13" spans="1:22" x14ac:dyDescent="0.3">
      <c r="A13" s="28">
        <v>12</v>
      </c>
      <c r="B13" s="28" t="s">
        <v>23</v>
      </c>
      <c r="C13" s="28" t="s">
        <v>228</v>
      </c>
      <c r="D13" s="28">
        <v>51225097</v>
      </c>
      <c r="E13" s="28">
        <v>220</v>
      </c>
      <c r="F13" s="28">
        <v>365</v>
      </c>
      <c r="G13" s="28">
        <v>132</v>
      </c>
      <c r="H13" s="28" t="s">
        <v>627</v>
      </c>
      <c r="I13" s="28" t="s">
        <v>109</v>
      </c>
      <c r="J13" s="28" t="s">
        <v>130</v>
      </c>
      <c r="K13" s="41">
        <v>0.98819444444444449</v>
      </c>
      <c r="L13" s="28" t="s">
        <v>109</v>
      </c>
      <c r="M13" s="28" t="s">
        <v>109</v>
      </c>
      <c r="N13" s="49" t="s">
        <v>628</v>
      </c>
      <c r="O13" s="28" t="s">
        <v>629</v>
      </c>
      <c r="P13" s="28" t="s">
        <v>131</v>
      </c>
      <c r="Q13" s="28" t="s">
        <v>196</v>
      </c>
      <c r="R13" s="28" t="s">
        <v>62</v>
      </c>
      <c r="S13" s="28" t="s">
        <v>512</v>
      </c>
      <c r="T13" s="28" t="s">
        <v>117</v>
      </c>
      <c r="U13" s="7" t="s">
        <v>290</v>
      </c>
      <c r="V13" s="28" t="s">
        <v>109</v>
      </c>
    </row>
    <row r="14" spans="1:22" x14ac:dyDescent="0.3">
      <c r="A14" s="28">
        <v>13</v>
      </c>
      <c r="B14" s="28" t="s">
        <v>23</v>
      </c>
      <c r="C14" s="28" t="s">
        <v>233</v>
      </c>
      <c r="D14" s="28">
        <v>51125020</v>
      </c>
      <c r="E14" s="28">
        <v>50</v>
      </c>
      <c r="F14" s="28">
        <v>79</v>
      </c>
      <c r="G14" s="28">
        <v>56</v>
      </c>
      <c r="H14" s="28" t="s">
        <v>91</v>
      </c>
      <c r="I14" s="28" t="s">
        <v>109</v>
      </c>
      <c r="J14" s="28" t="s">
        <v>130</v>
      </c>
      <c r="K14" s="41">
        <v>0.93819444444444444</v>
      </c>
      <c r="L14" s="28" t="s">
        <v>109</v>
      </c>
      <c r="M14" s="28" t="s">
        <v>109</v>
      </c>
      <c r="N14" s="49" t="s">
        <v>628</v>
      </c>
      <c r="O14" s="28" t="s">
        <v>629</v>
      </c>
      <c r="P14" s="28" t="s">
        <v>131</v>
      </c>
      <c r="Q14" s="28" t="s">
        <v>91</v>
      </c>
      <c r="R14" s="28" t="s">
        <v>62</v>
      </c>
      <c r="S14" s="28" t="s">
        <v>512</v>
      </c>
      <c r="T14" s="28" t="s">
        <v>117</v>
      </c>
      <c r="U14" s="7" t="s">
        <v>290</v>
      </c>
      <c r="V14" s="28" t="s">
        <v>109</v>
      </c>
    </row>
    <row r="15" spans="1:22" x14ac:dyDescent="0.3">
      <c r="A15" s="28">
        <v>14</v>
      </c>
      <c r="B15" s="28" t="s">
        <v>23</v>
      </c>
      <c r="C15" s="28" t="s">
        <v>234</v>
      </c>
      <c r="D15" s="28">
        <v>51125021</v>
      </c>
      <c r="E15" s="28">
        <v>105</v>
      </c>
      <c r="F15" s="28">
        <v>137</v>
      </c>
      <c r="G15" s="28">
        <v>104</v>
      </c>
      <c r="H15" s="28" t="s">
        <v>630</v>
      </c>
      <c r="I15" s="28" t="s">
        <v>109</v>
      </c>
      <c r="J15" s="28" t="s">
        <v>130</v>
      </c>
      <c r="K15" s="41">
        <v>0.81527777777777777</v>
      </c>
      <c r="L15" s="28" t="s">
        <v>109</v>
      </c>
      <c r="M15" s="28" t="s">
        <v>109</v>
      </c>
      <c r="N15" s="49" t="s">
        <v>628</v>
      </c>
      <c r="O15" s="28" t="s">
        <v>629</v>
      </c>
      <c r="P15" s="28" t="s">
        <v>131</v>
      </c>
      <c r="Q15" s="28" t="s">
        <v>89</v>
      </c>
      <c r="R15" s="28" t="s">
        <v>62</v>
      </c>
      <c r="S15" s="28" t="s">
        <v>512</v>
      </c>
      <c r="T15" s="28" t="s">
        <v>117</v>
      </c>
      <c r="U15" s="7" t="s">
        <v>290</v>
      </c>
      <c r="V15" s="28" t="s">
        <v>109</v>
      </c>
    </row>
    <row r="16" spans="1:22" x14ac:dyDescent="0.3">
      <c r="A16" s="28">
        <v>15</v>
      </c>
      <c r="B16" s="28" t="s">
        <v>23</v>
      </c>
      <c r="C16" s="28" t="s">
        <v>235</v>
      </c>
      <c r="D16" s="28">
        <v>51125022</v>
      </c>
      <c r="E16" s="28">
        <v>50</v>
      </c>
      <c r="F16" s="28">
        <v>88</v>
      </c>
      <c r="G16" s="28">
        <v>66</v>
      </c>
      <c r="H16" s="28" t="s">
        <v>88</v>
      </c>
      <c r="I16" s="28" t="s">
        <v>109</v>
      </c>
      <c r="J16" s="28" t="s">
        <v>130</v>
      </c>
      <c r="K16" s="41">
        <v>4.027777777777778E-2</v>
      </c>
      <c r="L16" s="28" t="s">
        <v>109</v>
      </c>
      <c r="M16" s="28" t="s">
        <v>109</v>
      </c>
      <c r="N16" s="49" t="s">
        <v>631</v>
      </c>
      <c r="O16" s="28" t="s">
        <v>145</v>
      </c>
      <c r="P16" s="28" t="s">
        <v>131</v>
      </c>
      <c r="Q16" s="28" t="s">
        <v>88</v>
      </c>
      <c r="R16" s="28" t="s">
        <v>62</v>
      </c>
      <c r="S16" s="28" t="s">
        <v>512</v>
      </c>
      <c r="T16" s="28" t="s">
        <v>117</v>
      </c>
      <c r="U16" s="7" t="s">
        <v>748</v>
      </c>
      <c r="V16" s="28" t="s">
        <v>606</v>
      </c>
    </row>
    <row r="17" spans="1:22" x14ac:dyDescent="0.3">
      <c r="A17" s="28">
        <v>16</v>
      </c>
      <c r="B17" s="28" t="s">
        <v>23</v>
      </c>
      <c r="C17" s="28" t="s">
        <v>236</v>
      </c>
      <c r="D17" s="28">
        <v>51125018</v>
      </c>
      <c r="E17" s="28">
        <v>160</v>
      </c>
      <c r="F17" s="28">
        <v>198</v>
      </c>
      <c r="G17" s="28">
        <v>167</v>
      </c>
      <c r="H17" s="28" t="s">
        <v>632</v>
      </c>
      <c r="I17" s="28" t="s">
        <v>109</v>
      </c>
      <c r="J17" s="28" t="s">
        <v>130</v>
      </c>
      <c r="K17" s="41">
        <v>0.99097222222222225</v>
      </c>
      <c r="L17" s="28" t="s">
        <v>109</v>
      </c>
      <c r="M17" s="28" t="s">
        <v>109</v>
      </c>
      <c r="N17" s="49" t="s">
        <v>631</v>
      </c>
      <c r="O17" s="28" t="s">
        <v>145</v>
      </c>
      <c r="P17" s="28" t="s">
        <v>131</v>
      </c>
      <c r="Q17" s="28" t="s">
        <v>93</v>
      </c>
      <c r="R17" s="28" t="s">
        <v>62</v>
      </c>
      <c r="S17" s="28" t="s">
        <v>512</v>
      </c>
      <c r="T17" s="28" t="s">
        <v>117</v>
      </c>
      <c r="U17" s="7" t="s">
        <v>748</v>
      </c>
      <c r="V17" s="28" t="s">
        <v>606</v>
      </c>
    </row>
    <row r="18" spans="1:22" x14ac:dyDescent="0.3">
      <c r="A18" s="28">
        <v>17</v>
      </c>
      <c r="B18" s="28" t="s">
        <v>23</v>
      </c>
      <c r="C18" s="28" t="s">
        <v>56</v>
      </c>
      <c r="D18" s="28">
        <v>51225121</v>
      </c>
      <c r="E18" s="28">
        <v>100</v>
      </c>
      <c r="F18" s="28">
        <v>56</v>
      </c>
      <c r="G18" s="28">
        <v>19</v>
      </c>
      <c r="H18" s="28" t="s">
        <v>66</v>
      </c>
      <c r="I18" s="28" t="s">
        <v>109</v>
      </c>
      <c r="J18" s="28" t="s">
        <v>130</v>
      </c>
      <c r="K18" s="41">
        <v>0.99791666666666667</v>
      </c>
      <c r="L18" s="28" t="s">
        <v>109</v>
      </c>
      <c r="M18" s="28" t="s">
        <v>109</v>
      </c>
      <c r="N18" s="49" t="s">
        <v>61</v>
      </c>
      <c r="O18" s="28" t="s">
        <v>61</v>
      </c>
      <c r="P18" s="28" t="s">
        <v>131</v>
      </c>
      <c r="Q18" s="28" t="s">
        <v>66</v>
      </c>
      <c r="R18" s="28" t="s">
        <v>62</v>
      </c>
      <c r="S18" s="28" t="s">
        <v>512</v>
      </c>
      <c r="T18" s="28" t="s">
        <v>122</v>
      </c>
      <c r="U18" s="7" t="s">
        <v>748</v>
      </c>
      <c r="V18" s="28" t="s">
        <v>291</v>
      </c>
    </row>
    <row r="19" spans="1:22" x14ac:dyDescent="0.3">
      <c r="A19" s="28">
        <v>18</v>
      </c>
      <c r="B19" s="28" t="s">
        <v>23</v>
      </c>
      <c r="C19" s="28" t="s">
        <v>381</v>
      </c>
      <c r="D19" s="28">
        <v>50126018</v>
      </c>
      <c r="E19" s="28">
        <v>60</v>
      </c>
      <c r="F19" s="28">
        <v>84</v>
      </c>
      <c r="G19" s="28">
        <v>26</v>
      </c>
      <c r="H19" s="28" t="s">
        <v>70</v>
      </c>
      <c r="I19" s="28" t="s">
        <v>109</v>
      </c>
      <c r="J19" s="28" t="s">
        <v>130</v>
      </c>
      <c r="K19" s="41">
        <v>0.72083333333333333</v>
      </c>
      <c r="L19" s="28" t="s">
        <v>109</v>
      </c>
      <c r="M19" s="28" t="s">
        <v>109</v>
      </c>
      <c r="N19" s="49" t="s">
        <v>61</v>
      </c>
      <c r="O19" s="28" t="s">
        <v>61</v>
      </c>
      <c r="P19" s="28" t="s">
        <v>131</v>
      </c>
      <c r="Q19" s="28" t="s">
        <v>70</v>
      </c>
      <c r="R19" s="28" t="s">
        <v>62</v>
      </c>
      <c r="S19" s="28" t="s">
        <v>512</v>
      </c>
      <c r="T19" s="28" t="s">
        <v>334</v>
      </c>
      <c r="U19" s="7" t="s">
        <v>748</v>
      </c>
      <c r="V19" s="28" t="s">
        <v>291</v>
      </c>
    </row>
    <row r="20" spans="1:22" x14ac:dyDescent="0.3">
      <c r="A20" s="28">
        <v>19</v>
      </c>
      <c r="B20" s="28" t="s">
        <v>23</v>
      </c>
      <c r="C20" s="28" t="s">
        <v>382</v>
      </c>
      <c r="D20" s="28">
        <v>50126017</v>
      </c>
      <c r="E20" s="28">
        <v>40</v>
      </c>
      <c r="F20" s="28">
        <v>58</v>
      </c>
      <c r="G20" s="28">
        <v>44</v>
      </c>
      <c r="H20" s="28" t="s">
        <v>196</v>
      </c>
      <c r="I20" s="28" t="s">
        <v>109</v>
      </c>
      <c r="J20" s="28" t="s">
        <v>130</v>
      </c>
      <c r="K20" s="41">
        <v>0.66249999999999998</v>
      </c>
      <c r="L20" s="28" t="s">
        <v>109</v>
      </c>
      <c r="M20" s="28" t="s">
        <v>109</v>
      </c>
      <c r="N20" s="49" t="s">
        <v>61</v>
      </c>
      <c r="O20" s="28" t="s">
        <v>61</v>
      </c>
      <c r="P20" s="28" t="s">
        <v>131</v>
      </c>
      <c r="Q20" s="28" t="s">
        <v>196</v>
      </c>
      <c r="R20" s="28" t="s">
        <v>62</v>
      </c>
      <c r="S20" s="28" t="s">
        <v>512</v>
      </c>
      <c r="T20" s="28" t="s">
        <v>334</v>
      </c>
      <c r="U20" s="7" t="s">
        <v>748</v>
      </c>
      <c r="V20" s="28" t="s">
        <v>291</v>
      </c>
    </row>
    <row r="21" spans="1:22" x14ac:dyDescent="0.3">
      <c r="A21" s="28">
        <v>20</v>
      </c>
      <c r="B21" s="28" t="s">
        <v>23</v>
      </c>
      <c r="C21" s="28" t="s">
        <v>383</v>
      </c>
      <c r="D21" s="28">
        <v>50126016</v>
      </c>
      <c r="E21" s="28">
        <v>160</v>
      </c>
      <c r="F21" s="28">
        <v>196</v>
      </c>
      <c r="G21" s="28">
        <v>174</v>
      </c>
      <c r="H21" s="28" t="s">
        <v>633</v>
      </c>
      <c r="I21" s="28" t="s">
        <v>109</v>
      </c>
      <c r="J21" s="28" t="s">
        <v>130</v>
      </c>
      <c r="K21" s="41">
        <v>0.75555555555555554</v>
      </c>
      <c r="L21" s="28" t="s">
        <v>109</v>
      </c>
      <c r="M21" s="28" t="s">
        <v>109</v>
      </c>
      <c r="N21" s="49" t="s">
        <v>61</v>
      </c>
      <c r="O21" s="28" t="s">
        <v>61</v>
      </c>
      <c r="P21" s="28" t="s">
        <v>131</v>
      </c>
      <c r="Q21" s="28" t="s">
        <v>72</v>
      </c>
      <c r="R21" s="28" t="s">
        <v>62</v>
      </c>
      <c r="S21" s="28" t="s">
        <v>512</v>
      </c>
      <c r="T21" s="28" t="s">
        <v>334</v>
      </c>
      <c r="U21" s="7" t="s">
        <v>748</v>
      </c>
      <c r="V21" s="28" t="s">
        <v>291</v>
      </c>
    </row>
    <row r="22" spans="1:22" x14ac:dyDescent="0.3">
      <c r="A22" s="28">
        <v>21</v>
      </c>
      <c r="B22" s="28" t="s">
        <v>23</v>
      </c>
      <c r="C22" s="28" t="s">
        <v>385</v>
      </c>
      <c r="D22" s="28">
        <v>50126015</v>
      </c>
      <c r="E22" s="28">
        <v>190</v>
      </c>
      <c r="F22" s="28">
        <v>315</v>
      </c>
      <c r="G22" s="28">
        <v>192</v>
      </c>
      <c r="H22" s="28" t="s">
        <v>302</v>
      </c>
      <c r="I22" s="28" t="s">
        <v>109</v>
      </c>
      <c r="J22" s="28" t="s">
        <v>130</v>
      </c>
      <c r="K22" s="41">
        <v>0.86458333333333337</v>
      </c>
      <c r="L22" s="28" t="s">
        <v>109</v>
      </c>
      <c r="M22" s="28" t="s">
        <v>109</v>
      </c>
      <c r="N22" s="49" t="s">
        <v>61</v>
      </c>
      <c r="O22" s="28" t="s">
        <v>61</v>
      </c>
      <c r="P22" s="28" t="s">
        <v>131</v>
      </c>
      <c r="Q22" s="28" t="s">
        <v>69</v>
      </c>
      <c r="R22" s="28" t="s">
        <v>62</v>
      </c>
      <c r="S22" s="28" t="s">
        <v>512</v>
      </c>
      <c r="T22" s="28" t="s">
        <v>334</v>
      </c>
      <c r="U22" s="7" t="s">
        <v>748</v>
      </c>
      <c r="V22" s="28" t="s">
        <v>291</v>
      </c>
    </row>
    <row r="23" spans="1:22" x14ac:dyDescent="0.3">
      <c r="A23" s="28">
        <v>22</v>
      </c>
      <c r="B23" s="28" t="s">
        <v>23</v>
      </c>
      <c r="C23" s="28" t="s">
        <v>390</v>
      </c>
      <c r="D23" s="28">
        <v>50126020</v>
      </c>
      <c r="E23" s="28">
        <v>25</v>
      </c>
      <c r="F23" s="28">
        <v>34</v>
      </c>
      <c r="G23" s="28">
        <v>26</v>
      </c>
      <c r="H23" s="28" t="s">
        <v>66</v>
      </c>
      <c r="I23" s="28" t="s">
        <v>109</v>
      </c>
      <c r="J23" s="28" t="s">
        <v>130</v>
      </c>
      <c r="K23" s="41">
        <v>0.65138888888888891</v>
      </c>
      <c r="L23" s="28" t="s">
        <v>109</v>
      </c>
      <c r="M23" s="28" t="s">
        <v>109</v>
      </c>
      <c r="N23" s="49" t="s">
        <v>61</v>
      </c>
      <c r="O23" s="28" t="s">
        <v>61</v>
      </c>
      <c r="P23" s="28" t="s">
        <v>131</v>
      </c>
      <c r="Q23" s="28" t="s">
        <v>66</v>
      </c>
      <c r="R23" s="28" t="s">
        <v>62</v>
      </c>
      <c r="S23" s="28" t="s">
        <v>512</v>
      </c>
      <c r="T23" s="28" t="s">
        <v>334</v>
      </c>
      <c r="U23" s="7" t="s">
        <v>748</v>
      </c>
      <c r="V23" s="28" t="s">
        <v>291</v>
      </c>
    </row>
    <row r="24" spans="1:22" x14ac:dyDescent="0.3">
      <c r="A24" s="28">
        <v>23</v>
      </c>
      <c r="B24" s="28" t="s">
        <v>143</v>
      </c>
      <c r="C24" s="28" t="s">
        <v>634</v>
      </c>
      <c r="D24" s="28">
        <v>11225039</v>
      </c>
      <c r="E24" s="28">
        <v>55</v>
      </c>
      <c r="F24" s="28">
        <v>93</v>
      </c>
      <c r="G24" s="28">
        <v>70</v>
      </c>
      <c r="H24" s="28" t="s">
        <v>94</v>
      </c>
      <c r="I24" s="49" t="s">
        <v>510</v>
      </c>
      <c r="J24" s="28" t="s">
        <v>130</v>
      </c>
      <c r="K24" s="41">
        <v>0.82847222222222228</v>
      </c>
      <c r="L24" s="41">
        <v>0.84583333333333333</v>
      </c>
      <c r="M24" s="28" t="s">
        <v>109</v>
      </c>
      <c r="N24" s="28" t="s">
        <v>109</v>
      </c>
      <c r="O24" s="28" t="s">
        <v>61</v>
      </c>
      <c r="P24" s="28" t="s">
        <v>131</v>
      </c>
      <c r="Q24" s="28" t="s">
        <v>510</v>
      </c>
      <c r="R24" s="28" t="s">
        <v>62</v>
      </c>
      <c r="S24" s="28" t="s">
        <v>512</v>
      </c>
      <c r="T24" s="28" t="s">
        <v>398</v>
      </c>
      <c r="U24" s="7" t="s">
        <v>290</v>
      </c>
      <c r="V24" s="28" t="s">
        <v>109</v>
      </c>
    </row>
    <row r="25" spans="1:22" x14ac:dyDescent="0.3">
      <c r="A25" s="28">
        <v>24</v>
      </c>
      <c r="B25" s="28" t="s">
        <v>143</v>
      </c>
      <c r="C25" s="28" t="s">
        <v>635</v>
      </c>
      <c r="D25" s="28">
        <v>11225040</v>
      </c>
      <c r="E25" s="28">
        <v>58</v>
      </c>
      <c r="F25" s="28">
        <v>120</v>
      </c>
      <c r="G25" s="28">
        <v>26</v>
      </c>
      <c r="H25" s="28" t="s">
        <v>84</v>
      </c>
      <c r="I25" s="28" t="s">
        <v>370</v>
      </c>
      <c r="J25" s="28" t="s">
        <v>130</v>
      </c>
      <c r="K25" s="41">
        <v>0.90694444444444444</v>
      </c>
      <c r="L25" s="41">
        <v>0.95625000000000004</v>
      </c>
      <c r="M25" s="28" t="s">
        <v>109</v>
      </c>
      <c r="N25" s="28" t="s">
        <v>109</v>
      </c>
      <c r="O25" s="28" t="s">
        <v>61</v>
      </c>
      <c r="P25" s="28" t="s">
        <v>131</v>
      </c>
      <c r="Q25" s="28" t="s">
        <v>370</v>
      </c>
      <c r="R25" s="28" t="s">
        <v>62</v>
      </c>
      <c r="S25" s="28" t="s">
        <v>512</v>
      </c>
      <c r="T25" s="28" t="s">
        <v>398</v>
      </c>
      <c r="U25" s="7" t="s">
        <v>748</v>
      </c>
      <c r="V25" s="28" t="s">
        <v>291</v>
      </c>
    </row>
    <row r="26" spans="1:22" x14ac:dyDescent="0.3">
      <c r="A26" s="28">
        <v>25</v>
      </c>
      <c r="B26" s="28" t="s">
        <v>143</v>
      </c>
      <c r="C26" s="28" t="s">
        <v>636</v>
      </c>
      <c r="D26" s="28">
        <v>10126008</v>
      </c>
      <c r="E26" s="28">
        <v>35</v>
      </c>
      <c r="F26" s="28">
        <v>14</v>
      </c>
      <c r="G26" s="28">
        <v>1</v>
      </c>
      <c r="H26" s="28" t="s">
        <v>241</v>
      </c>
      <c r="I26" s="28" t="s">
        <v>154</v>
      </c>
      <c r="J26" s="28" t="s">
        <v>130</v>
      </c>
      <c r="K26" s="41">
        <v>0.97222222222222221</v>
      </c>
      <c r="L26" s="41">
        <v>7.6388888888888886E-3</v>
      </c>
      <c r="M26" s="28" t="s">
        <v>109</v>
      </c>
      <c r="N26" s="28" t="s">
        <v>109</v>
      </c>
      <c r="O26" s="28" t="s">
        <v>61</v>
      </c>
      <c r="P26" s="28" t="s">
        <v>131</v>
      </c>
      <c r="Q26" s="28" t="s">
        <v>154</v>
      </c>
      <c r="R26" s="28" t="s">
        <v>62</v>
      </c>
      <c r="S26" s="28" t="s">
        <v>512</v>
      </c>
      <c r="T26" s="28" t="s">
        <v>398</v>
      </c>
      <c r="U26" s="7" t="s">
        <v>748</v>
      </c>
      <c r="V26" s="28" t="s">
        <v>291</v>
      </c>
    </row>
    <row r="27" spans="1:22" x14ac:dyDescent="0.3">
      <c r="A27" s="28">
        <v>26</v>
      </c>
      <c r="B27" s="28" t="s">
        <v>143</v>
      </c>
      <c r="C27" s="28" t="s">
        <v>637</v>
      </c>
      <c r="D27" s="28">
        <v>10126007</v>
      </c>
      <c r="E27" s="28">
        <v>35</v>
      </c>
      <c r="F27" s="28">
        <v>74</v>
      </c>
      <c r="G27" s="28">
        <v>30</v>
      </c>
      <c r="H27" s="28" t="s">
        <v>71</v>
      </c>
      <c r="I27" s="28" t="s">
        <v>209</v>
      </c>
      <c r="J27" s="28" t="s">
        <v>130</v>
      </c>
      <c r="K27" s="41">
        <v>0.99513888888888891</v>
      </c>
      <c r="L27" s="41">
        <v>2.013888888888889E-2</v>
      </c>
      <c r="M27" s="28" t="s">
        <v>109</v>
      </c>
      <c r="N27" s="28" t="s">
        <v>109</v>
      </c>
      <c r="O27" s="28" t="s">
        <v>61</v>
      </c>
      <c r="P27" s="28" t="s">
        <v>131</v>
      </c>
      <c r="Q27" s="28" t="s">
        <v>605</v>
      </c>
      <c r="R27" s="28" t="s">
        <v>62</v>
      </c>
      <c r="S27" s="28" t="s">
        <v>512</v>
      </c>
      <c r="T27" s="28" t="s">
        <v>398</v>
      </c>
      <c r="U27" s="7" t="s">
        <v>748</v>
      </c>
      <c r="V27" s="28" t="s">
        <v>291</v>
      </c>
    </row>
    <row r="28" spans="1:22" x14ac:dyDescent="0.3">
      <c r="A28" s="28">
        <v>27</v>
      </c>
      <c r="B28" s="28" t="s">
        <v>23</v>
      </c>
      <c r="C28" s="28" t="s">
        <v>580</v>
      </c>
      <c r="D28" s="28">
        <v>51225011</v>
      </c>
      <c r="E28" s="28">
        <v>100</v>
      </c>
      <c r="F28" s="28">
        <v>173</v>
      </c>
      <c r="G28" s="28">
        <v>36</v>
      </c>
      <c r="H28" s="28" t="s">
        <v>214</v>
      </c>
      <c r="I28" s="28" t="s">
        <v>109</v>
      </c>
      <c r="J28" s="28" t="s">
        <v>130</v>
      </c>
      <c r="K28" s="41">
        <v>3.125E-2</v>
      </c>
      <c r="L28" s="28" t="s">
        <v>109</v>
      </c>
      <c r="M28" s="28" t="s">
        <v>109</v>
      </c>
      <c r="N28" s="28" t="s">
        <v>109</v>
      </c>
      <c r="O28" s="28" t="s">
        <v>61</v>
      </c>
      <c r="P28" s="28" t="s">
        <v>131</v>
      </c>
      <c r="Q28" s="28" t="s">
        <v>214</v>
      </c>
      <c r="R28" s="28" t="s">
        <v>62</v>
      </c>
      <c r="S28" s="28" t="s">
        <v>512</v>
      </c>
      <c r="T28" s="28" t="s">
        <v>275</v>
      </c>
      <c r="U28" s="7" t="s">
        <v>290</v>
      </c>
      <c r="V28" s="28" t="s">
        <v>109</v>
      </c>
    </row>
    <row r="29" spans="1:22" x14ac:dyDescent="0.3">
      <c r="A29" s="50">
        <v>28</v>
      </c>
      <c r="B29" s="50" t="s">
        <v>23</v>
      </c>
      <c r="C29" s="50" t="s">
        <v>581</v>
      </c>
      <c r="D29" s="50">
        <v>51125193</v>
      </c>
      <c r="E29" s="50">
        <v>50</v>
      </c>
      <c r="F29" s="50" t="s">
        <v>109</v>
      </c>
      <c r="G29" s="50" t="s">
        <v>109</v>
      </c>
      <c r="H29" s="50" t="s">
        <v>196</v>
      </c>
      <c r="I29" s="50" t="s">
        <v>109</v>
      </c>
      <c r="J29" s="50" t="s">
        <v>85</v>
      </c>
      <c r="K29" s="50" t="s">
        <v>109</v>
      </c>
      <c r="L29" s="50" t="s">
        <v>109</v>
      </c>
      <c r="M29" s="50" t="s">
        <v>109</v>
      </c>
      <c r="N29" s="50" t="s">
        <v>109</v>
      </c>
      <c r="O29" s="50" t="s">
        <v>61</v>
      </c>
      <c r="P29" s="50" t="s">
        <v>109</v>
      </c>
      <c r="Q29" s="50" t="s">
        <v>109</v>
      </c>
      <c r="R29" s="50" t="s">
        <v>62</v>
      </c>
      <c r="S29" s="50" t="s">
        <v>512</v>
      </c>
      <c r="T29" s="50" t="s">
        <v>278</v>
      </c>
      <c r="U29" s="7" t="s">
        <v>109</v>
      </c>
      <c r="V29" s="50" t="s">
        <v>109</v>
      </c>
    </row>
    <row r="30" spans="1:22" x14ac:dyDescent="0.3">
      <c r="A30" s="28">
        <v>29</v>
      </c>
      <c r="B30" s="28" t="s">
        <v>23</v>
      </c>
      <c r="C30" s="28" t="s">
        <v>407</v>
      </c>
      <c r="D30" s="28">
        <v>51125119</v>
      </c>
      <c r="E30" s="28">
        <v>50</v>
      </c>
      <c r="F30" s="28">
        <v>99</v>
      </c>
      <c r="G30" s="28">
        <v>28</v>
      </c>
      <c r="H30" s="28" t="s">
        <v>64</v>
      </c>
      <c r="I30" s="28" t="s">
        <v>109</v>
      </c>
      <c r="J30" s="28" t="s">
        <v>130</v>
      </c>
      <c r="K30" s="41">
        <v>0.99791666666666667</v>
      </c>
      <c r="L30" s="28" t="s">
        <v>109</v>
      </c>
      <c r="M30" s="28" t="s">
        <v>109</v>
      </c>
      <c r="N30" s="28" t="s">
        <v>109</v>
      </c>
      <c r="O30" s="28" t="s">
        <v>61</v>
      </c>
      <c r="P30" s="28" t="s">
        <v>131</v>
      </c>
      <c r="Q30" s="28" t="s">
        <v>64</v>
      </c>
      <c r="R30" s="28" t="s">
        <v>62</v>
      </c>
      <c r="S30" s="28" t="s">
        <v>512</v>
      </c>
      <c r="T30" s="28" t="s">
        <v>270</v>
      </c>
      <c r="U30" s="7" t="s">
        <v>290</v>
      </c>
      <c r="V30" s="28" t="s">
        <v>109</v>
      </c>
    </row>
    <row r="31" spans="1:22" x14ac:dyDescent="0.3">
      <c r="A31" s="28">
        <v>30</v>
      </c>
      <c r="B31" s="28" t="s">
        <v>23</v>
      </c>
      <c r="C31" s="28" t="s">
        <v>638</v>
      </c>
      <c r="D31" s="28">
        <v>51025321</v>
      </c>
      <c r="E31" s="28">
        <v>15</v>
      </c>
      <c r="F31" s="28">
        <v>24</v>
      </c>
      <c r="G31" s="28">
        <v>4</v>
      </c>
      <c r="H31" s="28" t="s">
        <v>68</v>
      </c>
      <c r="I31" s="28" t="s">
        <v>109</v>
      </c>
      <c r="J31" s="28" t="s">
        <v>130</v>
      </c>
      <c r="K31" s="41">
        <v>0.9916666666666667</v>
      </c>
      <c r="L31" s="28" t="s">
        <v>109</v>
      </c>
      <c r="M31" s="28" t="s">
        <v>109</v>
      </c>
      <c r="N31" s="28" t="s">
        <v>109</v>
      </c>
      <c r="O31" s="28" t="s">
        <v>61</v>
      </c>
      <c r="P31" s="28" t="s">
        <v>131</v>
      </c>
      <c r="Q31" s="28" t="s">
        <v>68</v>
      </c>
      <c r="R31" s="28" t="s">
        <v>62</v>
      </c>
      <c r="S31" s="28" t="s">
        <v>512</v>
      </c>
      <c r="T31" s="28" t="s">
        <v>480</v>
      </c>
      <c r="U31" s="7" t="s">
        <v>290</v>
      </c>
      <c r="V31" s="28" t="s">
        <v>109</v>
      </c>
    </row>
    <row r="32" spans="1:22" x14ac:dyDescent="0.3">
      <c r="A32" s="28">
        <v>31</v>
      </c>
      <c r="B32" s="28" t="s">
        <v>23</v>
      </c>
      <c r="C32" s="28" t="s">
        <v>322</v>
      </c>
      <c r="D32" s="28">
        <v>50126008</v>
      </c>
      <c r="E32" s="28">
        <v>200</v>
      </c>
      <c r="F32" s="28">
        <v>480</v>
      </c>
      <c r="G32" s="28">
        <v>130</v>
      </c>
      <c r="H32" s="28" t="s">
        <v>639</v>
      </c>
      <c r="I32" s="28" t="s">
        <v>109</v>
      </c>
      <c r="J32" s="28" t="s">
        <v>130</v>
      </c>
      <c r="K32" s="41">
        <v>3.4027777777777775E-2</v>
      </c>
      <c r="L32" s="28" t="s">
        <v>109</v>
      </c>
      <c r="M32" s="28" t="s">
        <v>109</v>
      </c>
      <c r="N32" s="49" t="s">
        <v>640</v>
      </c>
      <c r="O32" s="28" t="s">
        <v>145</v>
      </c>
      <c r="P32" s="28" t="s">
        <v>131</v>
      </c>
      <c r="Q32" s="28" t="s">
        <v>93</v>
      </c>
      <c r="R32" s="28" t="s">
        <v>62</v>
      </c>
      <c r="S32" s="28" t="s">
        <v>512</v>
      </c>
      <c r="T32" s="28" t="s">
        <v>325</v>
      </c>
      <c r="U32" s="7" t="s">
        <v>748</v>
      </c>
      <c r="V32" s="28" t="s">
        <v>606</v>
      </c>
    </row>
    <row r="33" spans="1:22" x14ac:dyDescent="0.3">
      <c r="A33" s="28">
        <v>32</v>
      </c>
      <c r="B33" s="28" t="s">
        <v>23</v>
      </c>
      <c r="C33" s="28" t="s">
        <v>568</v>
      </c>
      <c r="D33" s="28">
        <v>51125009</v>
      </c>
      <c r="E33" s="28">
        <v>75</v>
      </c>
      <c r="F33" s="28" t="s">
        <v>109</v>
      </c>
      <c r="G33" s="28" t="s">
        <v>109</v>
      </c>
      <c r="H33" s="28" t="s">
        <v>241</v>
      </c>
      <c r="I33" s="28" t="s">
        <v>109</v>
      </c>
      <c r="J33" s="28" t="s">
        <v>85</v>
      </c>
      <c r="K33" s="28" t="s">
        <v>109</v>
      </c>
      <c r="L33" s="28" t="s">
        <v>109</v>
      </c>
      <c r="M33" s="28" t="s">
        <v>109</v>
      </c>
      <c r="N33" s="49" t="s">
        <v>641</v>
      </c>
      <c r="O33" s="28" t="s">
        <v>61</v>
      </c>
      <c r="P33" s="28" t="s">
        <v>109</v>
      </c>
      <c r="Q33" s="28" t="s">
        <v>109</v>
      </c>
      <c r="R33" s="28" t="s">
        <v>62</v>
      </c>
      <c r="S33" s="28" t="s">
        <v>512</v>
      </c>
      <c r="T33" s="28" t="s">
        <v>310</v>
      </c>
      <c r="U33" s="7" t="s">
        <v>109</v>
      </c>
      <c r="V33" s="28" t="s">
        <v>109</v>
      </c>
    </row>
    <row r="34" spans="1:22" x14ac:dyDescent="0.3">
      <c r="A34" s="28">
        <v>33</v>
      </c>
      <c r="B34" s="28" t="s">
        <v>23</v>
      </c>
      <c r="C34" s="28" t="s">
        <v>53</v>
      </c>
      <c r="D34" s="28">
        <v>51125142</v>
      </c>
      <c r="E34" s="28">
        <v>350</v>
      </c>
      <c r="F34" s="28">
        <v>571</v>
      </c>
      <c r="G34" s="28">
        <v>330</v>
      </c>
      <c r="H34" s="28" t="s">
        <v>642</v>
      </c>
      <c r="I34" s="28" t="s">
        <v>109</v>
      </c>
      <c r="J34" s="28" t="s">
        <v>130</v>
      </c>
      <c r="K34" s="41">
        <v>0.99861111111111112</v>
      </c>
      <c r="L34" s="28" t="s">
        <v>109</v>
      </c>
      <c r="M34" s="28" t="s">
        <v>109</v>
      </c>
      <c r="N34" s="28" t="s">
        <v>109</v>
      </c>
      <c r="O34" s="28" t="s">
        <v>61</v>
      </c>
      <c r="P34" s="28" t="s">
        <v>131</v>
      </c>
      <c r="Q34" s="28" t="s">
        <v>154</v>
      </c>
      <c r="R34" s="28" t="s">
        <v>62</v>
      </c>
      <c r="S34" s="28" t="s">
        <v>512</v>
      </c>
      <c r="T34" s="28" t="s">
        <v>116</v>
      </c>
      <c r="U34" s="7" t="s">
        <v>748</v>
      </c>
      <c r="V34" s="28" t="s">
        <v>291</v>
      </c>
    </row>
    <row r="35" spans="1:22" x14ac:dyDescent="0.3">
      <c r="A35" s="28">
        <v>34</v>
      </c>
      <c r="B35" s="28" t="s">
        <v>23</v>
      </c>
      <c r="C35" s="28" t="s">
        <v>643</v>
      </c>
      <c r="D35" s="28">
        <v>50126116</v>
      </c>
      <c r="E35" s="28">
        <v>75</v>
      </c>
      <c r="F35" s="28">
        <v>83</v>
      </c>
      <c r="G35" s="28">
        <v>6</v>
      </c>
      <c r="H35" s="28" t="s">
        <v>90</v>
      </c>
      <c r="I35" s="28" t="s">
        <v>109</v>
      </c>
      <c r="J35" s="28" t="s">
        <v>130</v>
      </c>
      <c r="K35" s="41">
        <v>2.4305555555555556E-2</v>
      </c>
      <c r="L35" s="28" t="s">
        <v>109</v>
      </c>
      <c r="M35" s="28" t="s">
        <v>109</v>
      </c>
      <c r="N35" s="28" t="s">
        <v>109</v>
      </c>
      <c r="O35" s="28" t="s">
        <v>61</v>
      </c>
      <c r="P35" s="28" t="s">
        <v>131</v>
      </c>
      <c r="Q35" s="28" t="s">
        <v>90</v>
      </c>
      <c r="R35" s="28" t="s">
        <v>62</v>
      </c>
      <c r="S35" s="28" t="s">
        <v>512</v>
      </c>
      <c r="T35" s="28" t="s">
        <v>275</v>
      </c>
      <c r="U35" s="7" t="s">
        <v>748</v>
      </c>
      <c r="V35" s="28" t="s">
        <v>291</v>
      </c>
    </row>
    <row r="36" spans="1:22" x14ac:dyDescent="0.3">
      <c r="A36" s="28">
        <v>35</v>
      </c>
      <c r="B36" s="28" t="s">
        <v>23</v>
      </c>
      <c r="C36" s="28" t="s">
        <v>644</v>
      </c>
      <c r="D36" s="28">
        <v>50126117</v>
      </c>
      <c r="E36" s="28">
        <v>50</v>
      </c>
      <c r="F36" s="28">
        <v>48</v>
      </c>
      <c r="G36" s="28">
        <v>5</v>
      </c>
      <c r="H36" s="28" t="s">
        <v>95</v>
      </c>
      <c r="I36" s="28" t="s">
        <v>109</v>
      </c>
      <c r="J36" s="28" t="s">
        <v>130</v>
      </c>
      <c r="K36" s="41">
        <v>2.2222222222222223E-2</v>
      </c>
      <c r="L36" s="28" t="s">
        <v>109</v>
      </c>
      <c r="M36" s="28" t="s">
        <v>109</v>
      </c>
      <c r="N36" s="28" t="s">
        <v>109</v>
      </c>
      <c r="O36" s="28" t="s">
        <v>61</v>
      </c>
      <c r="P36" s="28" t="s">
        <v>131</v>
      </c>
      <c r="Q36" s="28" t="s">
        <v>95</v>
      </c>
      <c r="R36" s="28" t="s">
        <v>62</v>
      </c>
      <c r="S36" s="28" t="s">
        <v>512</v>
      </c>
      <c r="T36" s="28" t="s">
        <v>275</v>
      </c>
      <c r="U36" s="7" t="s">
        <v>748</v>
      </c>
      <c r="V36" s="28" t="s">
        <v>291</v>
      </c>
    </row>
    <row r="37" spans="1:22" x14ac:dyDescent="0.3">
      <c r="A37" s="28">
        <v>36</v>
      </c>
      <c r="B37" s="28" t="s">
        <v>23</v>
      </c>
      <c r="C37" s="28" t="s">
        <v>645</v>
      </c>
      <c r="D37" s="28">
        <v>50126115</v>
      </c>
      <c r="E37" s="28">
        <v>200</v>
      </c>
      <c r="F37" s="28">
        <v>316</v>
      </c>
      <c r="G37" s="28">
        <v>203</v>
      </c>
      <c r="H37" s="28" t="s">
        <v>646</v>
      </c>
      <c r="I37" s="28" t="s">
        <v>109</v>
      </c>
      <c r="J37" s="28" t="s">
        <v>130</v>
      </c>
      <c r="K37" s="41">
        <v>0.96180555555555558</v>
      </c>
      <c r="L37" s="28" t="s">
        <v>109</v>
      </c>
      <c r="M37" s="28" t="s">
        <v>109</v>
      </c>
      <c r="N37" s="28" t="s">
        <v>109</v>
      </c>
      <c r="O37" s="28" t="s">
        <v>61</v>
      </c>
      <c r="P37" s="28" t="s">
        <v>131</v>
      </c>
      <c r="Q37" s="28" t="s">
        <v>241</v>
      </c>
      <c r="R37" s="28" t="s">
        <v>62</v>
      </c>
      <c r="S37" s="28" t="s">
        <v>512</v>
      </c>
      <c r="T37" s="28" t="s">
        <v>275</v>
      </c>
      <c r="U37" s="7" t="s">
        <v>748</v>
      </c>
      <c r="V37" s="28" t="s">
        <v>291</v>
      </c>
    </row>
    <row r="38" spans="1:22" x14ac:dyDescent="0.3">
      <c r="A38" s="28">
        <v>37</v>
      </c>
      <c r="B38" s="28" t="s">
        <v>23</v>
      </c>
      <c r="C38" s="28" t="s">
        <v>647</v>
      </c>
      <c r="D38" s="28">
        <v>50126033</v>
      </c>
      <c r="E38" s="28">
        <v>55</v>
      </c>
      <c r="F38" s="28">
        <v>79</v>
      </c>
      <c r="G38" s="28">
        <v>62</v>
      </c>
      <c r="H38" s="28" t="s">
        <v>69</v>
      </c>
      <c r="I38" s="28" t="s">
        <v>109</v>
      </c>
      <c r="J38" s="28" t="s">
        <v>130</v>
      </c>
      <c r="K38" s="41">
        <v>0.90833333333333333</v>
      </c>
      <c r="L38" s="28" t="s">
        <v>109</v>
      </c>
      <c r="M38" s="28" t="s">
        <v>109</v>
      </c>
      <c r="N38" s="28" t="s">
        <v>109</v>
      </c>
      <c r="O38" s="28" t="s">
        <v>61</v>
      </c>
      <c r="P38" s="28" t="s">
        <v>131</v>
      </c>
      <c r="Q38" s="28" t="s">
        <v>69</v>
      </c>
      <c r="R38" s="28" t="s">
        <v>62</v>
      </c>
      <c r="S38" s="28" t="s">
        <v>512</v>
      </c>
      <c r="T38" s="28" t="s">
        <v>480</v>
      </c>
      <c r="U38" s="7" t="s">
        <v>748</v>
      </c>
      <c r="V38" s="28" t="s">
        <v>291</v>
      </c>
    </row>
    <row r="39" spans="1:22" x14ac:dyDescent="0.3">
      <c r="A39" s="28">
        <v>38</v>
      </c>
      <c r="B39" s="28" t="s">
        <v>23</v>
      </c>
      <c r="C39" s="28" t="s">
        <v>648</v>
      </c>
      <c r="D39" s="28">
        <v>50126036</v>
      </c>
      <c r="E39" s="28">
        <v>200</v>
      </c>
      <c r="F39" s="28">
        <v>266</v>
      </c>
      <c r="G39" s="28">
        <v>208</v>
      </c>
      <c r="H39" s="28" t="s">
        <v>649</v>
      </c>
      <c r="I39" s="28" t="s">
        <v>109</v>
      </c>
      <c r="J39" s="28" t="s">
        <v>130</v>
      </c>
      <c r="K39" s="41">
        <v>0.86527777777777781</v>
      </c>
      <c r="L39" s="28" t="s">
        <v>109</v>
      </c>
      <c r="M39" s="28" t="s">
        <v>109</v>
      </c>
      <c r="N39" s="28" t="s">
        <v>109</v>
      </c>
      <c r="O39" s="28" t="s">
        <v>61</v>
      </c>
      <c r="P39" s="28" t="s">
        <v>131</v>
      </c>
      <c r="Q39" s="28" t="s">
        <v>222</v>
      </c>
      <c r="R39" s="28" t="s">
        <v>62</v>
      </c>
      <c r="S39" s="28" t="s">
        <v>512</v>
      </c>
      <c r="T39" s="28" t="s">
        <v>480</v>
      </c>
      <c r="U39" s="7" t="s">
        <v>748</v>
      </c>
      <c r="V39" s="28" t="s">
        <v>291</v>
      </c>
    </row>
    <row r="40" spans="1:22" x14ac:dyDescent="0.3">
      <c r="A40" s="28">
        <v>39</v>
      </c>
      <c r="B40" s="28" t="s">
        <v>23</v>
      </c>
      <c r="C40" s="28" t="s">
        <v>650</v>
      </c>
      <c r="D40" s="28">
        <v>50126035</v>
      </c>
      <c r="E40" s="28">
        <v>150</v>
      </c>
      <c r="F40" s="28">
        <v>224</v>
      </c>
      <c r="G40" s="28">
        <v>154</v>
      </c>
      <c r="H40" s="28" t="s">
        <v>192</v>
      </c>
      <c r="I40" s="28" t="s">
        <v>109</v>
      </c>
      <c r="J40" s="28" t="s">
        <v>130</v>
      </c>
      <c r="K40" s="41">
        <v>0.78125</v>
      </c>
      <c r="L40" s="28" t="s">
        <v>109</v>
      </c>
      <c r="M40" s="28" t="s">
        <v>109</v>
      </c>
      <c r="N40" s="28" t="s">
        <v>109</v>
      </c>
      <c r="O40" s="28" t="s">
        <v>61</v>
      </c>
      <c r="P40" s="28" t="s">
        <v>131</v>
      </c>
      <c r="Q40" s="28" t="s">
        <v>209</v>
      </c>
      <c r="R40" s="28" t="s">
        <v>62</v>
      </c>
      <c r="S40" s="28" t="s">
        <v>512</v>
      </c>
      <c r="T40" s="28" t="s">
        <v>480</v>
      </c>
      <c r="U40" s="7" t="s">
        <v>290</v>
      </c>
      <c r="V40" s="28" t="s">
        <v>109</v>
      </c>
    </row>
    <row r="41" spans="1:22" x14ac:dyDescent="0.3">
      <c r="A41" s="28">
        <v>40</v>
      </c>
      <c r="B41" s="28" t="s">
        <v>23</v>
      </c>
      <c r="C41" s="28" t="s">
        <v>651</v>
      </c>
      <c r="D41" s="28">
        <v>50126034</v>
      </c>
      <c r="E41" s="28">
        <v>250</v>
      </c>
      <c r="F41" s="28">
        <v>474</v>
      </c>
      <c r="G41" s="28">
        <v>266</v>
      </c>
      <c r="H41" s="28" t="s">
        <v>652</v>
      </c>
      <c r="I41" s="28" t="s">
        <v>109</v>
      </c>
      <c r="J41" s="28" t="s">
        <v>130</v>
      </c>
      <c r="K41" s="41">
        <v>0.75277777777777777</v>
      </c>
      <c r="L41" s="28" t="s">
        <v>109</v>
      </c>
      <c r="M41" s="28" t="s">
        <v>109</v>
      </c>
      <c r="N41" s="28" t="s">
        <v>109</v>
      </c>
      <c r="O41" s="28" t="s">
        <v>61</v>
      </c>
      <c r="P41" s="28" t="s">
        <v>131</v>
      </c>
      <c r="Q41" s="28" t="s">
        <v>95</v>
      </c>
      <c r="R41" s="28" t="s">
        <v>62</v>
      </c>
      <c r="S41" s="28" t="s">
        <v>512</v>
      </c>
      <c r="T41" s="28" t="s">
        <v>480</v>
      </c>
      <c r="U41" s="7" t="s">
        <v>748</v>
      </c>
      <c r="V41" s="28" t="s">
        <v>291</v>
      </c>
    </row>
    <row r="42" spans="1:22" x14ac:dyDescent="0.3">
      <c r="A42" s="28">
        <v>41</v>
      </c>
      <c r="B42" s="28" t="s">
        <v>23</v>
      </c>
      <c r="C42" s="28" t="s">
        <v>653</v>
      </c>
      <c r="D42" s="28">
        <v>50126029</v>
      </c>
      <c r="E42" s="28">
        <v>50</v>
      </c>
      <c r="F42" s="28">
        <v>93</v>
      </c>
      <c r="G42" s="28">
        <v>50</v>
      </c>
      <c r="H42" s="28" t="s">
        <v>89</v>
      </c>
      <c r="I42" s="28" t="s">
        <v>109</v>
      </c>
      <c r="J42" s="28" t="s">
        <v>130</v>
      </c>
      <c r="K42" s="41">
        <v>0.85416666666666663</v>
      </c>
      <c r="L42" s="28" t="s">
        <v>109</v>
      </c>
      <c r="M42" s="28" t="s">
        <v>109</v>
      </c>
      <c r="N42" s="28" t="s">
        <v>109</v>
      </c>
      <c r="O42" s="28" t="s">
        <v>61</v>
      </c>
      <c r="P42" s="28" t="s">
        <v>131</v>
      </c>
      <c r="Q42" s="28" t="s">
        <v>89</v>
      </c>
      <c r="R42" s="28" t="s">
        <v>62</v>
      </c>
      <c r="S42" s="28" t="s">
        <v>512</v>
      </c>
      <c r="T42" s="28" t="s">
        <v>480</v>
      </c>
      <c r="U42" s="7" t="s">
        <v>290</v>
      </c>
      <c r="V42" s="28" t="s">
        <v>109</v>
      </c>
    </row>
    <row r="43" spans="1:22" x14ac:dyDescent="0.3">
      <c r="A43" s="28">
        <v>42</v>
      </c>
      <c r="B43" s="28" t="s">
        <v>23</v>
      </c>
      <c r="C43" s="28" t="s">
        <v>654</v>
      </c>
      <c r="D43" s="28">
        <v>50126032</v>
      </c>
      <c r="E43" s="28">
        <v>200</v>
      </c>
      <c r="F43" s="28">
        <v>362</v>
      </c>
      <c r="G43" s="28">
        <v>165</v>
      </c>
      <c r="H43" s="28" t="s">
        <v>655</v>
      </c>
      <c r="I43" s="28" t="s">
        <v>109</v>
      </c>
      <c r="J43" s="28" t="s">
        <v>130</v>
      </c>
      <c r="K43" s="41">
        <v>0.91874999999999996</v>
      </c>
      <c r="L43" s="28" t="s">
        <v>109</v>
      </c>
      <c r="M43" s="28" t="s">
        <v>109</v>
      </c>
      <c r="N43" s="28" t="s">
        <v>109</v>
      </c>
      <c r="O43" s="28" t="s">
        <v>61</v>
      </c>
      <c r="P43" s="28" t="s">
        <v>131</v>
      </c>
      <c r="Q43" s="28" t="s">
        <v>214</v>
      </c>
      <c r="R43" s="28" t="s">
        <v>62</v>
      </c>
      <c r="S43" s="28" t="s">
        <v>512</v>
      </c>
      <c r="T43" s="28" t="s">
        <v>480</v>
      </c>
      <c r="U43" s="7" t="s">
        <v>290</v>
      </c>
      <c r="V43" s="28" t="s">
        <v>109</v>
      </c>
    </row>
    <row r="44" spans="1:22" x14ac:dyDescent="0.3">
      <c r="A44" s="28">
        <v>43</v>
      </c>
      <c r="B44" s="28" t="s">
        <v>23</v>
      </c>
      <c r="C44" s="28" t="s">
        <v>656</v>
      </c>
      <c r="D44" s="28">
        <v>50126031</v>
      </c>
      <c r="E44" s="28">
        <v>150</v>
      </c>
      <c r="F44" s="28">
        <v>304</v>
      </c>
      <c r="G44" s="28">
        <v>146</v>
      </c>
      <c r="H44" s="28" t="s">
        <v>237</v>
      </c>
      <c r="I44" s="28" t="s">
        <v>109</v>
      </c>
      <c r="J44" s="28" t="s">
        <v>130</v>
      </c>
      <c r="K44" s="41">
        <v>0.74305555555555558</v>
      </c>
      <c r="L44" s="28" t="s">
        <v>109</v>
      </c>
      <c r="M44" s="28" t="s">
        <v>109</v>
      </c>
      <c r="N44" s="28" t="s">
        <v>109</v>
      </c>
      <c r="O44" s="28" t="s">
        <v>61</v>
      </c>
      <c r="P44" s="28" t="s">
        <v>131</v>
      </c>
      <c r="Q44" s="28" t="s">
        <v>222</v>
      </c>
      <c r="R44" s="28" t="s">
        <v>62</v>
      </c>
      <c r="S44" s="28" t="s">
        <v>512</v>
      </c>
      <c r="T44" s="28" t="s">
        <v>480</v>
      </c>
      <c r="U44" s="7" t="s">
        <v>290</v>
      </c>
      <c r="V44" s="28" t="s">
        <v>109</v>
      </c>
    </row>
    <row r="45" spans="1:22" x14ac:dyDescent="0.3">
      <c r="A45" s="28">
        <v>44</v>
      </c>
      <c r="B45" s="28" t="s">
        <v>23</v>
      </c>
      <c r="C45" s="28" t="s">
        <v>657</v>
      </c>
      <c r="D45" s="28">
        <v>50126030</v>
      </c>
      <c r="E45" s="28">
        <v>250</v>
      </c>
      <c r="F45" s="28">
        <v>488</v>
      </c>
      <c r="G45" s="28">
        <v>241</v>
      </c>
      <c r="H45" s="28" t="s">
        <v>658</v>
      </c>
      <c r="I45" s="28" t="s">
        <v>109</v>
      </c>
      <c r="J45" s="28" t="s">
        <v>130</v>
      </c>
      <c r="K45" s="41">
        <v>0.93263888888888891</v>
      </c>
      <c r="L45" s="28" t="s">
        <v>109</v>
      </c>
      <c r="M45" s="28" t="s">
        <v>109</v>
      </c>
      <c r="N45" s="28" t="s">
        <v>109</v>
      </c>
      <c r="O45" s="28" t="s">
        <v>61</v>
      </c>
      <c r="P45" s="28" t="s">
        <v>131</v>
      </c>
      <c r="Q45" s="28" t="s">
        <v>90</v>
      </c>
      <c r="R45" s="28" t="s">
        <v>62</v>
      </c>
      <c r="S45" s="28" t="s">
        <v>512</v>
      </c>
      <c r="T45" s="28" t="s">
        <v>480</v>
      </c>
      <c r="U45" s="7" t="s">
        <v>748</v>
      </c>
      <c r="V45" s="28" t="s">
        <v>291</v>
      </c>
    </row>
    <row r="46" spans="1:22" x14ac:dyDescent="0.3">
      <c r="A46" s="28">
        <v>45</v>
      </c>
      <c r="B46" s="28" t="s">
        <v>23</v>
      </c>
      <c r="C46" s="28" t="s">
        <v>659</v>
      </c>
      <c r="D46" s="28">
        <v>50126153</v>
      </c>
      <c r="E46" s="28">
        <v>90</v>
      </c>
      <c r="F46" s="28">
        <v>159</v>
      </c>
      <c r="G46" s="28">
        <v>41</v>
      </c>
      <c r="H46" s="28" t="s">
        <v>222</v>
      </c>
      <c r="I46" s="28" t="s">
        <v>109</v>
      </c>
      <c r="J46" s="28" t="s">
        <v>130</v>
      </c>
      <c r="K46" s="41">
        <v>0.80277777777777781</v>
      </c>
      <c r="L46" s="28" t="s">
        <v>109</v>
      </c>
      <c r="M46" s="28" t="s">
        <v>109</v>
      </c>
      <c r="N46" s="49" t="s">
        <v>660</v>
      </c>
      <c r="O46" s="28" t="s">
        <v>61</v>
      </c>
      <c r="P46" s="28" t="s">
        <v>131</v>
      </c>
      <c r="Q46" s="28" t="s">
        <v>222</v>
      </c>
      <c r="R46" s="28" t="s">
        <v>62</v>
      </c>
      <c r="S46" s="28" t="s">
        <v>512</v>
      </c>
      <c r="T46" s="28" t="s">
        <v>661</v>
      </c>
      <c r="U46" s="7" t="s">
        <v>290</v>
      </c>
      <c r="V46" s="28" t="s">
        <v>109</v>
      </c>
    </row>
    <row r="47" spans="1:22" x14ac:dyDescent="0.3">
      <c r="A47" s="28">
        <v>46</v>
      </c>
      <c r="B47" s="28" t="s">
        <v>23</v>
      </c>
      <c r="C47" s="28" t="s">
        <v>662</v>
      </c>
      <c r="D47" s="28">
        <v>50126152</v>
      </c>
      <c r="E47" s="28">
        <v>100</v>
      </c>
      <c r="F47" s="28">
        <v>176</v>
      </c>
      <c r="G47" s="28">
        <v>88</v>
      </c>
      <c r="H47" s="28" t="s">
        <v>87</v>
      </c>
      <c r="I47" s="28" t="s">
        <v>109</v>
      </c>
      <c r="J47" s="28" t="s">
        <v>130</v>
      </c>
      <c r="K47" s="41">
        <v>0.99652777777777779</v>
      </c>
      <c r="L47" s="28" t="s">
        <v>109</v>
      </c>
      <c r="M47" s="28" t="s">
        <v>109</v>
      </c>
      <c r="N47" s="49" t="s">
        <v>660</v>
      </c>
      <c r="O47" s="28" t="s">
        <v>61</v>
      </c>
      <c r="P47" s="28" t="s">
        <v>131</v>
      </c>
      <c r="Q47" s="28" t="s">
        <v>87</v>
      </c>
      <c r="R47" s="28" t="s">
        <v>62</v>
      </c>
      <c r="S47" s="28" t="s">
        <v>512</v>
      </c>
      <c r="T47" s="28" t="s">
        <v>661</v>
      </c>
      <c r="U47" s="7" t="s">
        <v>748</v>
      </c>
      <c r="V47" s="28" t="s">
        <v>291</v>
      </c>
    </row>
    <row r="48" spans="1:22" x14ac:dyDescent="0.3">
      <c r="A48" s="28">
        <v>47</v>
      </c>
      <c r="B48" s="28" t="s">
        <v>23</v>
      </c>
      <c r="C48" s="28" t="s">
        <v>663</v>
      </c>
      <c r="D48" s="28">
        <v>50126151</v>
      </c>
      <c r="E48" s="28">
        <v>50</v>
      </c>
      <c r="F48" s="28">
        <v>71</v>
      </c>
      <c r="G48" s="28">
        <v>25</v>
      </c>
      <c r="H48" s="28" t="s">
        <v>82</v>
      </c>
      <c r="I48" s="28" t="s">
        <v>109</v>
      </c>
      <c r="J48" s="28" t="s">
        <v>130</v>
      </c>
      <c r="K48" s="41">
        <v>0.78402777777777777</v>
      </c>
      <c r="L48" s="28" t="s">
        <v>109</v>
      </c>
      <c r="M48" s="28" t="s">
        <v>109</v>
      </c>
      <c r="N48" s="49" t="s">
        <v>660</v>
      </c>
      <c r="O48" s="28" t="s">
        <v>61</v>
      </c>
      <c r="P48" s="28" t="s">
        <v>131</v>
      </c>
      <c r="Q48" s="28" t="s">
        <v>82</v>
      </c>
      <c r="R48" s="28" t="s">
        <v>62</v>
      </c>
      <c r="S48" s="28" t="s">
        <v>512</v>
      </c>
      <c r="T48" s="28" t="s">
        <v>661</v>
      </c>
      <c r="U48" s="7" t="s">
        <v>748</v>
      </c>
      <c r="V48" s="28" t="s">
        <v>291</v>
      </c>
    </row>
    <row r="49" spans="1:22" x14ac:dyDescent="0.3">
      <c r="A49" s="28">
        <v>48</v>
      </c>
      <c r="B49" s="28" t="s">
        <v>23</v>
      </c>
      <c r="C49" s="28" t="s">
        <v>664</v>
      </c>
      <c r="D49" s="28">
        <v>50126150</v>
      </c>
      <c r="E49" s="28">
        <v>150</v>
      </c>
      <c r="F49" s="28">
        <v>29</v>
      </c>
      <c r="G49" s="28">
        <v>7</v>
      </c>
      <c r="H49" s="28" t="s">
        <v>186</v>
      </c>
      <c r="I49" s="28" t="s">
        <v>109</v>
      </c>
      <c r="J49" s="28" t="s">
        <v>130</v>
      </c>
      <c r="K49" s="41">
        <v>0.99236111111111114</v>
      </c>
      <c r="L49" s="28" t="s">
        <v>109</v>
      </c>
      <c r="M49" s="28" t="s">
        <v>109</v>
      </c>
      <c r="N49" s="49" t="s">
        <v>660</v>
      </c>
      <c r="O49" s="28" t="s">
        <v>61</v>
      </c>
      <c r="P49" s="28" t="s">
        <v>131</v>
      </c>
      <c r="Q49" s="28" t="s">
        <v>214</v>
      </c>
      <c r="R49" s="28" t="s">
        <v>62</v>
      </c>
      <c r="S49" s="28" t="s">
        <v>512</v>
      </c>
      <c r="T49" s="28" t="s">
        <v>661</v>
      </c>
      <c r="U49" s="7" t="s">
        <v>290</v>
      </c>
      <c r="V49" s="28" t="s">
        <v>109</v>
      </c>
    </row>
    <row r="50" spans="1:22" x14ac:dyDescent="0.3">
      <c r="A50" s="28">
        <v>49</v>
      </c>
      <c r="B50" s="28" t="s">
        <v>135</v>
      </c>
      <c r="C50" s="28" t="s">
        <v>665</v>
      </c>
      <c r="D50" s="28">
        <v>20126011</v>
      </c>
      <c r="E50" s="28">
        <v>50</v>
      </c>
      <c r="F50" s="28">
        <v>23</v>
      </c>
      <c r="G50" s="28">
        <v>10</v>
      </c>
      <c r="H50" s="28" t="s">
        <v>72</v>
      </c>
      <c r="I50" s="28" t="s">
        <v>89</v>
      </c>
      <c r="J50" s="28" t="s">
        <v>130</v>
      </c>
      <c r="K50" s="41">
        <v>0.72986111111111107</v>
      </c>
      <c r="L50" s="41">
        <v>0.76041666666666663</v>
      </c>
      <c r="M50" s="28" t="s">
        <v>109</v>
      </c>
      <c r="N50" s="28" t="s">
        <v>109</v>
      </c>
      <c r="O50" s="28" t="s">
        <v>61</v>
      </c>
      <c r="P50" s="28" t="s">
        <v>131</v>
      </c>
      <c r="Q50" s="28" t="s">
        <v>89</v>
      </c>
      <c r="R50" s="28" t="s">
        <v>62</v>
      </c>
      <c r="S50" s="28" t="s">
        <v>512</v>
      </c>
      <c r="T50" s="28" t="s">
        <v>666</v>
      </c>
      <c r="U50" s="7" t="s">
        <v>748</v>
      </c>
      <c r="V50" s="28" t="s">
        <v>291</v>
      </c>
    </row>
    <row r="51" spans="1:22" x14ac:dyDescent="0.3">
      <c r="A51" s="28">
        <v>50</v>
      </c>
      <c r="B51" s="28" t="s">
        <v>135</v>
      </c>
      <c r="C51" s="28" t="s">
        <v>667</v>
      </c>
      <c r="D51" s="28">
        <v>20126007</v>
      </c>
      <c r="E51" s="28">
        <v>35</v>
      </c>
      <c r="F51" s="28">
        <v>70</v>
      </c>
      <c r="G51" s="28">
        <v>43</v>
      </c>
      <c r="H51" s="28" t="s">
        <v>274</v>
      </c>
      <c r="I51" s="28" t="s">
        <v>87</v>
      </c>
      <c r="J51" s="28" t="s">
        <v>130</v>
      </c>
      <c r="K51" s="41">
        <v>0.79027777777777775</v>
      </c>
      <c r="L51" s="41">
        <v>0.82499999999999996</v>
      </c>
      <c r="M51" s="28" t="s">
        <v>109</v>
      </c>
      <c r="N51" s="28" t="s">
        <v>109</v>
      </c>
      <c r="O51" s="28" t="s">
        <v>61</v>
      </c>
      <c r="P51" s="28" t="s">
        <v>131</v>
      </c>
      <c r="Q51" s="28" t="s">
        <v>87</v>
      </c>
      <c r="R51" s="28" t="s">
        <v>62</v>
      </c>
      <c r="S51" s="28" t="s">
        <v>512</v>
      </c>
      <c r="T51" s="28" t="s">
        <v>666</v>
      </c>
      <c r="U51" s="7" t="s">
        <v>290</v>
      </c>
      <c r="V51" s="28" t="s">
        <v>109</v>
      </c>
    </row>
    <row r="52" spans="1:22" x14ac:dyDescent="0.3">
      <c r="A52" s="28">
        <v>51</v>
      </c>
      <c r="B52" s="28" t="s">
        <v>135</v>
      </c>
      <c r="C52" s="28" t="s">
        <v>668</v>
      </c>
      <c r="D52" s="28">
        <v>20126009</v>
      </c>
      <c r="E52" s="28">
        <v>110</v>
      </c>
      <c r="F52" s="28">
        <v>176</v>
      </c>
      <c r="G52" s="28">
        <v>71</v>
      </c>
      <c r="H52" s="28" t="s">
        <v>633</v>
      </c>
      <c r="I52" s="28" t="s">
        <v>97</v>
      </c>
      <c r="J52" s="28" t="s">
        <v>130</v>
      </c>
      <c r="K52" s="41">
        <v>0.85972222222222228</v>
      </c>
      <c r="L52" s="41">
        <v>0.94722222222222219</v>
      </c>
      <c r="M52" s="28" t="s">
        <v>109</v>
      </c>
      <c r="N52" s="28" t="s">
        <v>109</v>
      </c>
      <c r="O52" s="28" t="s">
        <v>61</v>
      </c>
      <c r="P52" s="28" t="s">
        <v>131</v>
      </c>
      <c r="Q52" s="28" t="s">
        <v>89</v>
      </c>
      <c r="R52" s="28" t="s">
        <v>62</v>
      </c>
      <c r="S52" s="28" t="s">
        <v>512</v>
      </c>
      <c r="T52" s="28" t="s">
        <v>666</v>
      </c>
      <c r="U52" s="7" t="s">
        <v>290</v>
      </c>
      <c r="V52" s="28" t="s">
        <v>109</v>
      </c>
    </row>
    <row r="53" spans="1:22" x14ac:dyDescent="0.3">
      <c r="A53" s="28">
        <v>52</v>
      </c>
      <c r="B53" s="28" t="s">
        <v>135</v>
      </c>
      <c r="C53" s="28" t="s">
        <v>669</v>
      </c>
      <c r="D53" s="28">
        <v>20126012</v>
      </c>
      <c r="E53" s="28">
        <v>130</v>
      </c>
      <c r="F53" s="28">
        <v>269</v>
      </c>
      <c r="G53" s="28">
        <v>107</v>
      </c>
      <c r="H53" s="28" t="s">
        <v>157</v>
      </c>
      <c r="I53" s="49" t="s">
        <v>370</v>
      </c>
      <c r="J53" s="28" t="s">
        <v>130</v>
      </c>
      <c r="K53" s="41">
        <v>0.98402777777777772</v>
      </c>
      <c r="L53" s="28" t="s">
        <v>109</v>
      </c>
      <c r="M53" s="28" t="s">
        <v>109</v>
      </c>
      <c r="N53" s="28" t="s">
        <v>109</v>
      </c>
      <c r="O53" s="28" t="s">
        <v>61</v>
      </c>
      <c r="P53" s="28" t="s">
        <v>131</v>
      </c>
      <c r="Q53" s="28" t="s">
        <v>370</v>
      </c>
      <c r="R53" s="28" t="s">
        <v>62</v>
      </c>
      <c r="S53" s="28" t="s">
        <v>512</v>
      </c>
      <c r="T53" s="28" t="s">
        <v>666</v>
      </c>
      <c r="U53" s="7" t="s">
        <v>290</v>
      </c>
      <c r="V53" s="28" t="s">
        <v>109</v>
      </c>
    </row>
    <row r="54" spans="1:22" x14ac:dyDescent="0.3">
      <c r="A54" s="28">
        <v>53</v>
      </c>
      <c r="B54" s="28" t="s">
        <v>135</v>
      </c>
      <c r="C54" s="28" t="s">
        <v>670</v>
      </c>
      <c r="D54" s="28">
        <v>20126008</v>
      </c>
      <c r="E54" s="28">
        <v>45</v>
      </c>
      <c r="F54" s="28">
        <v>61</v>
      </c>
      <c r="G54" s="28">
        <v>35</v>
      </c>
      <c r="H54" s="28" t="s">
        <v>200</v>
      </c>
      <c r="I54" s="28" t="s">
        <v>154</v>
      </c>
      <c r="J54" s="28" t="s">
        <v>130</v>
      </c>
      <c r="K54" s="41">
        <v>0.68472222222222223</v>
      </c>
      <c r="L54" s="41">
        <v>0.71319444444444446</v>
      </c>
      <c r="M54" s="28" t="s">
        <v>109</v>
      </c>
      <c r="N54" s="28" t="s">
        <v>109</v>
      </c>
      <c r="O54" s="28" t="s">
        <v>61</v>
      </c>
      <c r="P54" s="28" t="s">
        <v>131</v>
      </c>
      <c r="Q54" s="28" t="s">
        <v>154</v>
      </c>
      <c r="R54" s="28" t="s">
        <v>62</v>
      </c>
      <c r="S54" s="28" t="s">
        <v>512</v>
      </c>
      <c r="T54" s="28" t="s">
        <v>666</v>
      </c>
      <c r="U54" s="7" t="s">
        <v>290</v>
      </c>
      <c r="V54" s="28" t="s">
        <v>109</v>
      </c>
    </row>
    <row r="55" spans="1:22" x14ac:dyDescent="0.3">
      <c r="A55" s="28">
        <v>54</v>
      </c>
      <c r="B55" s="28" t="s">
        <v>135</v>
      </c>
      <c r="C55" s="28" t="s">
        <v>671</v>
      </c>
      <c r="D55" s="28">
        <v>20126010</v>
      </c>
      <c r="E55" s="28">
        <v>123</v>
      </c>
      <c r="F55" s="28">
        <v>275</v>
      </c>
      <c r="G55" s="28">
        <v>131</v>
      </c>
      <c r="H55" s="28" t="s">
        <v>672</v>
      </c>
      <c r="I55" s="28" t="s">
        <v>673</v>
      </c>
      <c r="J55" s="28" t="s">
        <v>130</v>
      </c>
      <c r="K55" s="41">
        <v>0.94722222222222219</v>
      </c>
      <c r="L55" s="41">
        <v>0.96111111111111114</v>
      </c>
      <c r="M55" s="28" t="s">
        <v>109</v>
      </c>
      <c r="N55" s="28" t="s">
        <v>109</v>
      </c>
      <c r="O55" s="28" t="s">
        <v>61</v>
      </c>
      <c r="P55" s="28" t="s">
        <v>131</v>
      </c>
      <c r="Q55" s="28" t="s">
        <v>95</v>
      </c>
      <c r="R55" s="28" t="s">
        <v>62</v>
      </c>
      <c r="S55" s="28" t="s">
        <v>512</v>
      </c>
      <c r="T55" s="28" t="s">
        <v>666</v>
      </c>
      <c r="U55" s="7" t="s">
        <v>748</v>
      </c>
      <c r="V55" s="28" t="s">
        <v>291</v>
      </c>
    </row>
    <row r="56" spans="1:22" x14ac:dyDescent="0.3">
      <c r="A56" s="28">
        <v>55</v>
      </c>
      <c r="B56" s="28" t="s">
        <v>411</v>
      </c>
      <c r="C56" s="28" t="s">
        <v>674</v>
      </c>
      <c r="D56" s="28">
        <v>30126002</v>
      </c>
      <c r="E56" s="28">
        <v>95</v>
      </c>
      <c r="F56" s="28">
        <v>124</v>
      </c>
      <c r="G56" s="28">
        <v>91</v>
      </c>
      <c r="H56" s="28" t="s">
        <v>65</v>
      </c>
      <c r="I56" s="28" t="s">
        <v>88</v>
      </c>
      <c r="J56" s="28" t="s">
        <v>130</v>
      </c>
      <c r="K56" s="41">
        <v>0.72499999999999998</v>
      </c>
      <c r="L56" s="41">
        <v>0.80277777777777781</v>
      </c>
      <c r="M56" s="28" t="s">
        <v>109</v>
      </c>
      <c r="N56" s="28" t="s">
        <v>109</v>
      </c>
      <c r="O56" s="28" t="s">
        <v>61</v>
      </c>
      <c r="P56" s="28" t="s">
        <v>131</v>
      </c>
      <c r="Q56" s="28" t="s">
        <v>88</v>
      </c>
      <c r="R56" s="28" t="s">
        <v>62</v>
      </c>
      <c r="S56" s="28" t="s">
        <v>512</v>
      </c>
      <c r="T56" s="28" t="s">
        <v>675</v>
      </c>
      <c r="U56" s="7" t="s">
        <v>748</v>
      </c>
      <c r="V56" s="28" t="s">
        <v>291</v>
      </c>
    </row>
    <row r="57" spans="1:22" x14ac:dyDescent="0.3">
      <c r="A57" s="28">
        <v>56</v>
      </c>
      <c r="B57" s="28" t="s">
        <v>411</v>
      </c>
      <c r="C57" s="28" t="s">
        <v>676</v>
      </c>
      <c r="D57" s="28">
        <v>30126003</v>
      </c>
      <c r="E57" s="28">
        <v>50</v>
      </c>
      <c r="F57" s="28">
        <v>70</v>
      </c>
      <c r="G57" s="28">
        <v>53</v>
      </c>
      <c r="H57" s="28" t="s">
        <v>67</v>
      </c>
      <c r="I57" s="28" t="s">
        <v>86</v>
      </c>
      <c r="J57" s="28" t="s">
        <v>130</v>
      </c>
      <c r="K57" s="41">
        <v>0.6791666666666667</v>
      </c>
      <c r="L57" s="41">
        <v>0.79027777777777775</v>
      </c>
      <c r="M57" s="28" t="s">
        <v>109</v>
      </c>
      <c r="N57" s="28" t="s">
        <v>109</v>
      </c>
      <c r="O57" s="28" t="s">
        <v>61</v>
      </c>
      <c r="P57" s="28" t="s">
        <v>131</v>
      </c>
      <c r="Q57" s="28" t="s">
        <v>86</v>
      </c>
      <c r="R57" s="28" t="s">
        <v>62</v>
      </c>
      <c r="S57" s="28" t="s">
        <v>512</v>
      </c>
      <c r="T57" s="28" t="s">
        <v>675</v>
      </c>
      <c r="U57" s="7" t="s">
        <v>290</v>
      </c>
      <c r="V57" s="28" t="s">
        <v>109</v>
      </c>
    </row>
    <row r="58" spans="1:22" x14ac:dyDescent="0.3">
      <c r="A58" s="28">
        <v>57</v>
      </c>
      <c r="B58" s="28" t="s">
        <v>411</v>
      </c>
      <c r="C58" s="28" t="s">
        <v>677</v>
      </c>
      <c r="D58" s="28">
        <v>30126004</v>
      </c>
      <c r="E58" s="28">
        <v>75</v>
      </c>
      <c r="F58" s="28">
        <v>139</v>
      </c>
      <c r="G58" s="28">
        <v>81</v>
      </c>
      <c r="H58" s="28" t="s">
        <v>154</v>
      </c>
      <c r="I58" s="49" t="s">
        <v>370</v>
      </c>
      <c r="J58" s="28" t="s">
        <v>130</v>
      </c>
      <c r="K58" s="41">
        <v>0.80138888888888893</v>
      </c>
      <c r="L58" s="28" t="s">
        <v>109</v>
      </c>
      <c r="M58" s="28" t="s">
        <v>109</v>
      </c>
      <c r="N58" s="28" t="s">
        <v>109</v>
      </c>
      <c r="O58" s="28" t="s">
        <v>61</v>
      </c>
      <c r="P58" s="28" t="s">
        <v>131</v>
      </c>
      <c r="Q58" s="28" t="s">
        <v>154</v>
      </c>
      <c r="R58" s="28" t="s">
        <v>62</v>
      </c>
      <c r="S58" s="28" t="s">
        <v>512</v>
      </c>
      <c r="T58" s="28" t="s">
        <v>675</v>
      </c>
      <c r="U58" s="7" t="s">
        <v>290</v>
      </c>
      <c r="V58" s="28" t="s">
        <v>109</v>
      </c>
    </row>
    <row r="59" spans="1:22" x14ac:dyDescent="0.3">
      <c r="A59" s="28">
        <v>58</v>
      </c>
      <c r="B59" s="28" t="s">
        <v>414</v>
      </c>
      <c r="C59" s="28" t="s">
        <v>418</v>
      </c>
      <c r="D59" s="28">
        <v>40126011</v>
      </c>
      <c r="E59" s="28">
        <v>110</v>
      </c>
      <c r="F59" s="28">
        <v>204</v>
      </c>
      <c r="G59" s="28">
        <v>65</v>
      </c>
      <c r="H59" s="28" t="s">
        <v>103</v>
      </c>
      <c r="I59" s="49" t="s">
        <v>603</v>
      </c>
      <c r="J59" s="28" t="s">
        <v>130</v>
      </c>
      <c r="K59" s="41">
        <v>0.78749999999999998</v>
      </c>
      <c r="L59" s="41">
        <v>0.91666666666666663</v>
      </c>
      <c r="M59" s="28" t="s">
        <v>109</v>
      </c>
      <c r="N59" s="28" t="s">
        <v>109</v>
      </c>
      <c r="O59" s="28" t="s">
        <v>61</v>
      </c>
      <c r="P59" s="28" t="s">
        <v>131</v>
      </c>
      <c r="Q59" s="28" t="s">
        <v>603</v>
      </c>
      <c r="R59" s="28" t="s">
        <v>62</v>
      </c>
      <c r="S59" s="28" t="s">
        <v>512</v>
      </c>
      <c r="T59" s="28" t="s">
        <v>416</v>
      </c>
      <c r="U59" s="7" t="s">
        <v>748</v>
      </c>
      <c r="V59" s="28" t="s">
        <v>291</v>
      </c>
    </row>
    <row r="60" spans="1:22" x14ac:dyDescent="0.3">
      <c r="A60" s="28">
        <v>59</v>
      </c>
      <c r="B60" s="28" t="s">
        <v>414</v>
      </c>
      <c r="C60" s="28" t="s">
        <v>419</v>
      </c>
      <c r="D60" s="28">
        <v>40126012</v>
      </c>
      <c r="E60" s="28">
        <v>149</v>
      </c>
      <c r="F60" s="28">
        <v>252</v>
      </c>
      <c r="G60" s="28">
        <v>25</v>
      </c>
      <c r="H60" s="28" t="s">
        <v>678</v>
      </c>
      <c r="I60" s="28" t="s">
        <v>157</v>
      </c>
      <c r="J60" s="28" t="s">
        <v>130</v>
      </c>
      <c r="K60" s="41">
        <v>0.75902777777777775</v>
      </c>
      <c r="L60" s="41">
        <v>0.78541666666666665</v>
      </c>
      <c r="M60" s="28" t="s">
        <v>109</v>
      </c>
      <c r="N60" s="28" t="s">
        <v>109</v>
      </c>
      <c r="O60" s="28" t="s">
        <v>61</v>
      </c>
      <c r="P60" s="28" t="s">
        <v>131</v>
      </c>
      <c r="Q60" s="28" t="s">
        <v>154</v>
      </c>
      <c r="R60" s="28" t="s">
        <v>62</v>
      </c>
      <c r="S60" s="28" t="s">
        <v>512</v>
      </c>
      <c r="T60" s="28" t="s">
        <v>416</v>
      </c>
      <c r="U60" s="7" t="s">
        <v>290</v>
      </c>
      <c r="V60" s="28" t="s">
        <v>109</v>
      </c>
    </row>
    <row r="61" spans="1:22" x14ac:dyDescent="0.3">
      <c r="A61" s="28">
        <v>60</v>
      </c>
      <c r="B61" s="28" t="s">
        <v>414</v>
      </c>
      <c r="C61" s="28" t="s">
        <v>421</v>
      </c>
      <c r="D61" s="28">
        <v>40126013</v>
      </c>
      <c r="E61" s="28">
        <v>255</v>
      </c>
      <c r="F61" s="28">
        <v>556</v>
      </c>
      <c r="G61" s="28">
        <v>128</v>
      </c>
      <c r="H61" s="28" t="s">
        <v>679</v>
      </c>
      <c r="I61" s="28" t="s">
        <v>680</v>
      </c>
      <c r="J61" s="28" t="s">
        <v>130</v>
      </c>
      <c r="K61" s="41">
        <v>0.76527777777777772</v>
      </c>
      <c r="L61" s="41">
        <v>6.2500000000000003E-3</v>
      </c>
      <c r="M61" s="28" t="s">
        <v>109</v>
      </c>
      <c r="N61" s="28" t="s">
        <v>109</v>
      </c>
      <c r="O61" s="28" t="s">
        <v>61</v>
      </c>
      <c r="P61" s="28" t="s">
        <v>131</v>
      </c>
      <c r="Q61" s="28" t="s">
        <v>745</v>
      </c>
      <c r="R61" s="28" t="s">
        <v>62</v>
      </c>
      <c r="S61" s="28" t="s">
        <v>512</v>
      </c>
      <c r="T61" s="28" t="s">
        <v>416</v>
      </c>
      <c r="U61" s="7" t="s">
        <v>748</v>
      </c>
      <c r="V61" s="28" t="s">
        <v>291</v>
      </c>
    </row>
    <row r="62" spans="1:22" x14ac:dyDescent="0.3">
      <c r="A62" s="28">
        <v>61</v>
      </c>
      <c r="B62" s="28" t="s">
        <v>414</v>
      </c>
      <c r="C62" s="28" t="s">
        <v>415</v>
      </c>
      <c r="D62" s="28">
        <v>40126009</v>
      </c>
      <c r="E62" s="28">
        <v>165</v>
      </c>
      <c r="F62" s="28">
        <v>161</v>
      </c>
      <c r="G62" s="28">
        <v>99</v>
      </c>
      <c r="H62" s="28" t="s">
        <v>103</v>
      </c>
      <c r="I62" s="49" t="s">
        <v>510</v>
      </c>
      <c r="J62" s="28" t="s">
        <v>130</v>
      </c>
      <c r="K62" s="41">
        <v>0.97638888888888886</v>
      </c>
      <c r="L62" s="41">
        <v>0.98541666666666672</v>
      </c>
      <c r="M62" s="28" t="s">
        <v>109</v>
      </c>
      <c r="N62" s="28" t="s">
        <v>109</v>
      </c>
      <c r="O62" s="28" t="s">
        <v>61</v>
      </c>
      <c r="P62" s="28" t="s">
        <v>131</v>
      </c>
      <c r="Q62" s="28" t="s">
        <v>510</v>
      </c>
      <c r="R62" s="28" t="s">
        <v>62</v>
      </c>
      <c r="S62" s="28" t="s">
        <v>512</v>
      </c>
      <c r="T62" s="28" t="s">
        <v>416</v>
      </c>
      <c r="U62" s="7" t="s">
        <v>748</v>
      </c>
      <c r="V62" s="28" t="s">
        <v>291</v>
      </c>
    </row>
    <row r="63" spans="1:22" x14ac:dyDescent="0.3">
      <c r="A63" s="28">
        <v>62</v>
      </c>
      <c r="B63" s="28" t="s">
        <v>414</v>
      </c>
      <c r="C63" s="28" t="s">
        <v>422</v>
      </c>
      <c r="D63" s="28">
        <v>40126014</v>
      </c>
      <c r="E63" s="28">
        <v>230</v>
      </c>
      <c r="F63" s="28">
        <v>489</v>
      </c>
      <c r="G63" s="28">
        <v>118</v>
      </c>
      <c r="H63" s="28" t="s">
        <v>681</v>
      </c>
      <c r="I63" s="28" t="s">
        <v>682</v>
      </c>
      <c r="J63" s="28" t="s">
        <v>130</v>
      </c>
      <c r="K63" s="41">
        <v>0.79652777777777772</v>
      </c>
      <c r="L63" s="41">
        <v>0.84930555555555554</v>
      </c>
      <c r="M63" s="28" t="s">
        <v>109</v>
      </c>
      <c r="N63" s="28" t="s">
        <v>109</v>
      </c>
      <c r="O63" s="28" t="s">
        <v>61</v>
      </c>
      <c r="P63" s="28" t="s">
        <v>131</v>
      </c>
      <c r="Q63" s="28" t="s">
        <v>744</v>
      </c>
      <c r="R63" s="28" t="s">
        <v>62</v>
      </c>
      <c r="S63" s="28" t="s">
        <v>512</v>
      </c>
      <c r="T63" s="28" t="s">
        <v>416</v>
      </c>
      <c r="U63" s="7" t="s">
        <v>290</v>
      </c>
      <c r="V63" s="28" t="s">
        <v>109</v>
      </c>
    </row>
    <row r="64" spans="1:22" x14ac:dyDescent="0.3">
      <c r="A64" s="28">
        <v>63</v>
      </c>
      <c r="B64" s="28" t="s">
        <v>414</v>
      </c>
      <c r="C64" s="28" t="s">
        <v>417</v>
      </c>
      <c r="D64" s="28">
        <v>40126010</v>
      </c>
      <c r="E64" s="28">
        <v>265</v>
      </c>
      <c r="F64" s="28">
        <v>560</v>
      </c>
      <c r="G64" s="28">
        <v>157</v>
      </c>
      <c r="H64" s="28" t="s">
        <v>683</v>
      </c>
      <c r="I64" s="28" t="s">
        <v>684</v>
      </c>
      <c r="J64" s="28" t="s">
        <v>130</v>
      </c>
      <c r="K64" s="41">
        <v>0.83750000000000002</v>
      </c>
      <c r="L64" s="41">
        <v>0.85138888888888886</v>
      </c>
      <c r="M64" s="28" t="s">
        <v>109</v>
      </c>
      <c r="N64" s="28" t="s">
        <v>109</v>
      </c>
      <c r="O64" s="28" t="s">
        <v>61</v>
      </c>
      <c r="P64" s="28" t="s">
        <v>131</v>
      </c>
      <c r="Q64" s="28" t="s">
        <v>209</v>
      </c>
      <c r="R64" s="28" t="s">
        <v>62</v>
      </c>
      <c r="S64" s="28" t="s">
        <v>512</v>
      </c>
      <c r="T64" s="28" t="s">
        <v>416</v>
      </c>
      <c r="U64" s="7" t="s">
        <v>290</v>
      </c>
      <c r="V64" s="28" t="s">
        <v>109</v>
      </c>
    </row>
    <row r="65" spans="1:22" x14ac:dyDescent="0.3">
      <c r="A65" s="28">
        <v>64</v>
      </c>
      <c r="B65" s="28" t="s">
        <v>23</v>
      </c>
      <c r="C65" s="28" t="s">
        <v>465</v>
      </c>
      <c r="D65" s="28">
        <v>51125210</v>
      </c>
      <c r="E65" s="28">
        <v>100</v>
      </c>
      <c r="F65" s="28">
        <v>97</v>
      </c>
      <c r="G65" s="28">
        <v>35</v>
      </c>
      <c r="H65" s="28" t="s">
        <v>71</v>
      </c>
      <c r="I65" s="28" t="s">
        <v>109</v>
      </c>
      <c r="J65" s="28" t="s">
        <v>130</v>
      </c>
      <c r="K65" s="41">
        <v>0.94097222222222221</v>
      </c>
      <c r="L65" s="28" t="s">
        <v>109</v>
      </c>
      <c r="M65" s="28" t="s">
        <v>109</v>
      </c>
      <c r="N65" s="28" t="s">
        <v>109</v>
      </c>
      <c r="O65" s="28" t="s">
        <v>61</v>
      </c>
      <c r="P65" s="28" t="s">
        <v>131</v>
      </c>
      <c r="Q65" s="28" t="s">
        <v>71</v>
      </c>
      <c r="R65" s="28" t="s">
        <v>62</v>
      </c>
      <c r="S65" s="28" t="s">
        <v>512</v>
      </c>
      <c r="T65" s="28" t="s">
        <v>464</v>
      </c>
      <c r="U65" s="7" t="s">
        <v>290</v>
      </c>
      <c r="V65" s="28" t="s">
        <v>109</v>
      </c>
    </row>
    <row r="66" spans="1:22" x14ac:dyDescent="0.3">
      <c r="A66" s="28">
        <v>65</v>
      </c>
      <c r="B66" s="28" t="s">
        <v>23</v>
      </c>
      <c r="C66" s="28" t="s">
        <v>685</v>
      </c>
      <c r="D66" s="28">
        <v>50126123</v>
      </c>
      <c r="E66" s="28">
        <v>10</v>
      </c>
      <c r="F66" s="28">
        <v>14</v>
      </c>
      <c r="G66" s="28">
        <v>3</v>
      </c>
      <c r="H66" s="28" t="s">
        <v>87</v>
      </c>
      <c r="I66" s="28" t="s">
        <v>109</v>
      </c>
      <c r="J66" s="28" t="s">
        <v>130</v>
      </c>
      <c r="K66" s="41">
        <v>7.6388888888888886E-3</v>
      </c>
      <c r="L66" s="28" t="s">
        <v>109</v>
      </c>
      <c r="M66" s="28" t="s">
        <v>109</v>
      </c>
      <c r="N66" s="28" t="s">
        <v>109</v>
      </c>
      <c r="O66" s="28" t="s">
        <v>61</v>
      </c>
      <c r="P66" s="28" t="s">
        <v>131</v>
      </c>
      <c r="Q66" s="28" t="s">
        <v>87</v>
      </c>
      <c r="R66" s="28" t="s">
        <v>62</v>
      </c>
      <c r="S66" s="28" t="s">
        <v>512</v>
      </c>
      <c r="T66" s="28" t="s">
        <v>464</v>
      </c>
      <c r="U66" s="7" t="s">
        <v>290</v>
      </c>
      <c r="V66" s="28" t="s">
        <v>109</v>
      </c>
    </row>
    <row r="67" spans="1:22" x14ac:dyDescent="0.3">
      <c r="A67" s="28">
        <v>66</v>
      </c>
      <c r="B67" s="28" t="s">
        <v>23</v>
      </c>
      <c r="C67" s="28" t="s">
        <v>686</v>
      </c>
      <c r="D67" s="28">
        <v>50126137</v>
      </c>
      <c r="E67" s="28">
        <v>150</v>
      </c>
      <c r="F67" s="28">
        <v>220</v>
      </c>
      <c r="G67" s="28">
        <v>155</v>
      </c>
      <c r="H67" s="28" t="s">
        <v>687</v>
      </c>
      <c r="I67" s="28" t="s">
        <v>109</v>
      </c>
      <c r="J67" s="28" t="s">
        <v>130</v>
      </c>
      <c r="K67" s="41">
        <v>0.76041666666666663</v>
      </c>
      <c r="L67" s="28" t="s">
        <v>109</v>
      </c>
      <c r="M67" s="28" t="s">
        <v>109</v>
      </c>
      <c r="N67" s="28" t="s">
        <v>109</v>
      </c>
      <c r="O67" s="28" t="s">
        <v>61</v>
      </c>
      <c r="P67" s="28" t="s">
        <v>131</v>
      </c>
      <c r="Q67" s="28" t="s">
        <v>87</v>
      </c>
      <c r="R67" s="28" t="s">
        <v>62</v>
      </c>
      <c r="S67" s="28" t="s">
        <v>512</v>
      </c>
      <c r="T67" s="28" t="s">
        <v>688</v>
      </c>
      <c r="U67" s="7" t="s">
        <v>748</v>
      </c>
      <c r="V67" s="28" t="s">
        <v>291</v>
      </c>
    </row>
    <row r="68" spans="1:22" x14ac:dyDescent="0.3">
      <c r="A68" s="28">
        <v>67</v>
      </c>
      <c r="B68" s="28" t="s">
        <v>23</v>
      </c>
      <c r="C68" s="28" t="s">
        <v>212</v>
      </c>
      <c r="D68" s="28">
        <v>51225048</v>
      </c>
      <c r="E68" s="28">
        <v>20</v>
      </c>
      <c r="F68" s="28">
        <v>48</v>
      </c>
      <c r="G68" s="28">
        <v>0</v>
      </c>
      <c r="H68" s="28" t="s">
        <v>222</v>
      </c>
      <c r="I68" s="28" t="s">
        <v>109</v>
      </c>
      <c r="J68" s="28" t="s">
        <v>130</v>
      </c>
      <c r="K68" s="41">
        <v>0.98958333333333337</v>
      </c>
      <c r="L68" s="28" t="s">
        <v>109</v>
      </c>
      <c r="M68" s="28" t="s">
        <v>109</v>
      </c>
      <c r="N68" s="28" t="s">
        <v>109</v>
      </c>
      <c r="O68" s="28" t="s">
        <v>61</v>
      </c>
      <c r="P68" s="28" t="s">
        <v>131</v>
      </c>
      <c r="Q68" s="28" t="s">
        <v>222</v>
      </c>
      <c r="R68" s="28" t="s">
        <v>62</v>
      </c>
      <c r="S68" s="28" t="s">
        <v>512</v>
      </c>
      <c r="T68" s="28" t="s">
        <v>197</v>
      </c>
      <c r="U68" s="7" t="s">
        <v>748</v>
      </c>
      <c r="V68" s="28" t="s">
        <v>291</v>
      </c>
    </row>
    <row r="69" spans="1:22" x14ac:dyDescent="0.3">
      <c r="A69" s="28">
        <v>68</v>
      </c>
      <c r="B69" s="28" t="s">
        <v>23</v>
      </c>
      <c r="C69" s="28" t="s">
        <v>689</v>
      </c>
      <c r="D69" s="28">
        <v>50126126</v>
      </c>
      <c r="E69" s="28">
        <v>150</v>
      </c>
      <c r="F69" s="28">
        <v>230</v>
      </c>
      <c r="G69" s="28">
        <v>167</v>
      </c>
      <c r="H69" s="28" t="s">
        <v>159</v>
      </c>
      <c r="I69" s="28" t="s">
        <v>109</v>
      </c>
      <c r="J69" s="28" t="s">
        <v>130</v>
      </c>
      <c r="K69" s="41">
        <v>0.75694444444444442</v>
      </c>
      <c r="L69" s="28" t="s">
        <v>109</v>
      </c>
      <c r="M69" s="28" t="s">
        <v>109</v>
      </c>
      <c r="N69" s="28" t="s">
        <v>109</v>
      </c>
      <c r="O69" s="28" t="s">
        <v>61</v>
      </c>
      <c r="P69" s="28" t="s">
        <v>131</v>
      </c>
      <c r="Q69" s="28" t="s">
        <v>274</v>
      </c>
      <c r="R69" s="28" t="s">
        <v>62</v>
      </c>
      <c r="S69" s="28" t="s">
        <v>512</v>
      </c>
      <c r="T69" s="28" t="s">
        <v>351</v>
      </c>
      <c r="U69" s="7" t="s">
        <v>290</v>
      </c>
      <c r="V69" s="28" t="s">
        <v>109</v>
      </c>
    </row>
    <row r="70" spans="1:22" x14ac:dyDescent="0.3">
      <c r="A70" s="28">
        <v>69</v>
      </c>
      <c r="B70" s="28" t="s">
        <v>23</v>
      </c>
      <c r="C70" s="28" t="s">
        <v>690</v>
      </c>
      <c r="D70" s="28">
        <v>50126127</v>
      </c>
      <c r="E70" s="28">
        <v>150</v>
      </c>
      <c r="F70" s="28">
        <v>222</v>
      </c>
      <c r="G70" s="28">
        <v>158</v>
      </c>
      <c r="H70" s="28" t="s">
        <v>691</v>
      </c>
      <c r="I70" s="28" t="s">
        <v>109</v>
      </c>
      <c r="J70" s="28" t="s">
        <v>130</v>
      </c>
      <c r="K70" s="41">
        <v>4.583333333333333E-2</v>
      </c>
      <c r="L70" s="28" t="s">
        <v>109</v>
      </c>
      <c r="M70" s="28" t="s">
        <v>109</v>
      </c>
      <c r="N70" s="28" t="s">
        <v>109</v>
      </c>
      <c r="O70" s="28" t="s">
        <v>61</v>
      </c>
      <c r="P70" s="28" t="s">
        <v>131</v>
      </c>
      <c r="Q70" s="28" t="s">
        <v>91</v>
      </c>
      <c r="R70" s="28" t="s">
        <v>62</v>
      </c>
      <c r="S70" s="28" t="s">
        <v>512</v>
      </c>
      <c r="T70" s="28" t="s">
        <v>351</v>
      </c>
      <c r="U70" s="7" t="s">
        <v>290</v>
      </c>
      <c r="V70" s="28" t="s">
        <v>109</v>
      </c>
    </row>
    <row r="71" spans="1:22" x14ac:dyDescent="0.3">
      <c r="A71" s="28">
        <v>70</v>
      </c>
      <c r="B71" s="28" t="s">
        <v>23</v>
      </c>
      <c r="C71" s="28" t="s">
        <v>692</v>
      </c>
      <c r="D71" s="28">
        <v>50126125</v>
      </c>
      <c r="E71" s="28">
        <v>150</v>
      </c>
      <c r="F71" s="28">
        <v>260</v>
      </c>
      <c r="G71" s="28">
        <v>150</v>
      </c>
      <c r="H71" s="28" t="s">
        <v>693</v>
      </c>
      <c r="I71" s="28" t="s">
        <v>109</v>
      </c>
      <c r="J71" s="28" t="s">
        <v>130</v>
      </c>
      <c r="K71" s="41">
        <v>0.76249999999999996</v>
      </c>
      <c r="L71" s="28" t="s">
        <v>109</v>
      </c>
      <c r="M71" s="28" t="s">
        <v>109</v>
      </c>
      <c r="N71" s="28" t="s">
        <v>109</v>
      </c>
      <c r="O71" s="28" t="s">
        <v>61</v>
      </c>
      <c r="P71" s="28" t="s">
        <v>131</v>
      </c>
      <c r="Q71" s="28" t="s">
        <v>86</v>
      </c>
      <c r="R71" s="28" t="s">
        <v>62</v>
      </c>
      <c r="S71" s="28" t="s">
        <v>512</v>
      </c>
      <c r="T71" s="28" t="s">
        <v>351</v>
      </c>
      <c r="U71" s="7" t="s">
        <v>748</v>
      </c>
      <c r="V71" s="28" t="s">
        <v>291</v>
      </c>
    </row>
    <row r="72" spans="1:22" x14ac:dyDescent="0.3">
      <c r="A72" s="28">
        <v>71</v>
      </c>
      <c r="B72" s="28" t="s">
        <v>23</v>
      </c>
      <c r="C72" s="28" t="s">
        <v>216</v>
      </c>
      <c r="D72" s="28">
        <v>51225066</v>
      </c>
      <c r="E72" s="28">
        <v>100</v>
      </c>
      <c r="F72" s="28">
        <v>192</v>
      </c>
      <c r="G72" s="28">
        <v>96</v>
      </c>
      <c r="H72" s="28" t="s">
        <v>274</v>
      </c>
      <c r="I72" s="28" t="s">
        <v>109</v>
      </c>
      <c r="J72" s="28" t="s">
        <v>130</v>
      </c>
      <c r="K72" s="41">
        <v>0.97361111111111109</v>
      </c>
      <c r="L72" s="28" t="s">
        <v>109</v>
      </c>
      <c r="M72" s="28" t="s">
        <v>109</v>
      </c>
      <c r="N72" s="49" t="s">
        <v>694</v>
      </c>
      <c r="O72" s="28" t="s">
        <v>61</v>
      </c>
      <c r="P72" s="28" t="s">
        <v>131</v>
      </c>
      <c r="Q72" s="28" t="s">
        <v>274</v>
      </c>
      <c r="R72" s="28" t="s">
        <v>62</v>
      </c>
      <c r="S72" s="28" t="s">
        <v>512</v>
      </c>
      <c r="T72" s="28" t="s">
        <v>218</v>
      </c>
      <c r="U72" s="7" t="s">
        <v>290</v>
      </c>
      <c r="V72" s="28" t="s">
        <v>109</v>
      </c>
    </row>
    <row r="73" spans="1:22" x14ac:dyDescent="0.3">
      <c r="A73" s="28">
        <v>72</v>
      </c>
      <c r="B73" s="28" t="s">
        <v>23</v>
      </c>
      <c r="C73" s="28" t="s">
        <v>219</v>
      </c>
      <c r="D73" s="28">
        <v>51225067</v>
      </c>
      <c r="E73" s="28">
        <v>100</v>
      </c>
      <c r="F73" s="28">
        <v>186</v>
      </c>
      <c r="G73" s="28">
        <v>102</v>
      </c>
      <c r="H73" s="28" t="s">
        <v>196</v>
      </c>
      <c r="I73" s="28" t="s">
        <v>109</v>
      </c>
      <c r="J73" s="28" t="s">
        <v>130</v>
      </c>
      <c r="K73" s="41">
        <v>0.89375000000000004</v>
      </c>
      <c r="L73" s="28" t="s">
        <v>109</v>
      </c>
      <c r="M73" s="28" t="s">
        <v>109</v>
      </c>
      <c r="N73" s="49" t="s">
        <v>694</v>
      </c>
      <c r="O73" s="28" t="s">
        <v>61</v>
      </c>
      <c r="P73" s="28" t="s">
        <v>131</v>
      </c>
      <c r="Q73" s="28" t="s">
        <v>196</v>
      </c>
      <c r="R73" s="28" t="s">
        <v>62</v>
      </c>
      <c r="S73" s="28" t="s">
        <v>512</v>
      </c>
      <c r="T73" s="28" t="s">
        <v>218</v>
      </c>
      <c r="U73" s="7" t="s">
        <v>290</v>
      </c>
      <c r="V73" s="28" t="s">
        <v>109</v>
      </c>
    </row>
    <row r="74" spans="1:22" x14ac:dyDescent="0.3">
      <c r="A74" s="28">
        <v>73</v>
      </c>
      <c r="B74" s="28" t="s">
        <v>23</v>
      </c>
      <c r="C74" s="28" t="s">
        <v>220</v>
      </c>
      <c r="D74" s="28">
        <v>51225068</v>
      </c>
      <c r="E74" s="28">
        <v>150</v>
      </c>
      <c r="F74" s="28">
        <v>86</v>
      </c>
      <c r="G74" s="28">
        <v>38</v>
      </c>
      <c r="H74" s="28" t="s">
        <v>695</v>
      </c>
      <c r="I74" s="28" t="s">
        <v>109</v>
      </c>
      <c r="J74" s="28" t="s">
        <v>130</v>
      </c>
      <c r="K74" s="28" t="s">
        <v>746</v>
      </c>
      <c r="L74" s="28" t="s">
        <v>109</v>
      </c>
      <c r="M74" s="28" t="s">
        <v>109</v>
      </c>
      <c r="N74" s="49" t="s">
        <v>696</v>
      </c>
      <c r="O74" s="28" t="s">
        <v>61</v>
      </c>
      <c r="P74" s="28" t="s">
        <v>131</v>
      </c>
      <c r="Q74" s="28" t="s">
        <v>95</v>
      </c>
      <c r="R74" s="28" t="s">
        <v>62</v>
      </c>
      <c r="S74" s="28" t="s">
        <v>512</v>
      </c>
      <c r="T74" s="28" t="s">
        <v>218</v>
      </c>
      <c r="U74" s="7" t="s">
        <v>748</v>
      </c>
      <c r="V74" s="28" t="s">
        <v>291</v>
      </c>
    </row>
    <row r="75" spans="1:22" x14ac:dyDescent="0.3">
      <c r="A75" s="28">
        <v>74</v>
      </c>
      <c r="B75" s="28" t="s">
        <v>23</v>
      </c>
      <c r="C75" s="28" t="s">
        <v>355</v>
      </c>
      <c r="D75" s="28">
        <v>51125135</v>
      </c>
      <c r="E75" s="28">
        <v>200</v>
      </c>
      <c r="F75" s="28">
        <v>390</v>
      </c>
      <c r="G75" s="28">
        <v>186</v>
      </c>
      <c r="H75" s="28" t="s">
        <v>697</v>
      </c>
      <c r="I75" s="28" t="s">
        <v>109</v>
      </c>
      <c r="J75" s="28" t="s">
        <v>130</v>
      </c>
      <c r="K75" s="41">
        <v>0.94444444444444442</v>
      </c>
      <c r="L75" s="28" t="s">
        <v>109</v>
      </c>
      <c r="M75" s="28" t="s">
        <v>109</v>
      </c>
      <c r="N75" s="28" t="s">
        <v>109</v>
      </c>
      <c r="O75" s="28" t="s">
        <v>61</v>
      </c>
      <c r="P75" s="28" t="s">
        <v>131</v>
      </c>
      <c r="Q75" s="28" t="s">
        <v>87</v>
      </c>
      <c r="R75" s="28" t="s">
        <v>62</v>
      </c>
      <c r="S75" s="28" t="s">
        <v>512</v>
      </c>
      <c r="T75" s="28" t="s">
        <v>289</v>
      </c>
      <c r="U75" s="7" t="s">
        <v>748</v>
      </c>
      <c r="V75" s="28" t="s">
        <v>291</v>
      </c>
    </row>
    <row r="76" spans="1:22" x14ac:dyDescent="0.3">
      <c r="A76" s="28">
        <v>75</v>
      </c>
      <c r="B76" s="28" t="s">
        <v>23</v>
      </c>
      <c r="C76" s="28" t="s">
        <v>698</v>
      </c>
      <c r="D76" s="28">
        <v>50126154</v>
      </c>
      <c r="E76" s="28">
        <v>65</v>
      </c>
      <c r="F76" s="28">
        <v>77</v>
      </c>
      <c r="G76" s="28">
        <v>68</v>
      </c>
      <c r="H76" s="28" t="s">
        <v>71</v>
      </c>
      <c r="I76" s="28" t="s">
        <v>109</v>
      </c>
      <c r="J76" s="28" t="s">
        <v>130</v>
      </c>
      <c r="K76" s="41">
        <v>0.67500000000000004</v>
      </c>
      <c r="L76" s="28" t="s">
        <v>109</v>
      </c>
      <c r="M76" s="28" t="s">
        <v>109</v>
      </c>
      <c r="N76" s="28" t="s">
        <v>109</v>
      </c>
      <c r="O76" s="28" t="s">
        <v>61</v>
      </c>
      <c r="P76" s="28" t="s">
        <v>131</v>
      </c>
      <c r="Q76" s="28" t="s">
        <v>71</v>
      </c>
      <c r="R76" s="28" t="s">
        <v>62</v>
      </c>
      <c r="S76" s="28" t="s">
        <v>512</v>
      </c>
      <c r="T76" s="28" t="s">
        <v>424</v>
      </c>
      <c r="U76" s="7" t="s">
        <v>748</v>
      </c>
      <c r="V76" s="28" t="s">
        <v>291</v>
      </c>
    </row>
    <row r="77" spans="1:22" x14ac:dyDescent="0.3">
      <c r="A77" s="28">
        <v>76</v>
      </c>
      <c r="B77" s="28" t="s">
        <v>23</v>
      </c>
      <c r="C77" s="28" t="s">
        <v>699</v>
      </c>
      <c r="D77" s="28">
        <v>50126155</v>
      </c>
      <c r="E77" s="28">
        <v>65</v>
      </c>
      <c r="F77" s="28">
        <v>61</v>
      </c>
      <c r="G77" s="28">
        <v>56</v>
      </c>
      <c r="H77" s="28" t="s">
        <v>274</v>
      </c>
      <c r="I77" s="28" t="s">
        <v>109</v>
      </c>
      <c r="J77" s="28" t="s">
        <v>130</v>
      </c>
      <c r="K77" s="41">
        <v>0.98402777777777772</v>
      </c>
      <c r="L77" s="28" t="s">
        <v>109</v>
      </c>
      <c r="M77" s="28" t="s">
        <v>109</v>
      </c>
      <c r="N77" s="28" t="s">
        <v>109</v>
      </c>
      <c r="O77" s="28" t="s">
        <v>61</v>
      </c>
      <c r="P77" s="28" t="s">
        <v>131</v>
      </c>
      <c r="Q77" s="28" t="s">
        <v>274</v>
      </c>
      <c r="R77" s="28" t="s">
        <v>62</v>
      </c>
      <c r="S77" s="28" t="s">
        <v>512</v>
      </c>
      <c r="T77" s="28" t="s">
        <v>424</v>
      </c>
      <c r="U77" s="7" t="s">
        <v>290</v>
      </c>
      <c r="V77" s="28" t="s">
        <v>109</v>
      </c>
    </row>
    <row r="78" spans="1:22" x14ac:dyDescent="0.3">
      <c r="A78" s="28">
        <v>77</v>
      </c>
      <c r="B78" s="28" t="s">
        <v>23</v>
      </c>
      <c r="C78" s="28" t="s">
        <v>700</v>
      </c>
      <c r="D78" s="28">
        <v>50126156</v>
      </c>
      <c r="E78" s="28">
        <v>65</v>
      </c>
      <c r="F78" s="28">
        <v>85</v>
      </c>
      <c r="G78" s="28">
        <v>72</v>
      </c>
      <c r="H78" s="28" t="s">
        <v>196</v>
      </c>
      <c r="I78" s="28" t="s">
        <v>109</v>
      </c>
      <c r="J78" s="28" t="s">
        <v>130</v>
      </c>
      <c r="K78" s="41">
        <v>0.69166666666666665</v>
      </c>
      <c r="L78" s="28" t="s">
        <v>109</v>
      </c>
      <c r="M78" s="28" t="s">
        <v>109</v>
      </c>
      <c r="N78" s="28" t="s">
        <v>109</v>
      </c>
      <c r="O78" s="28" t="s">
        <v>61</v>
      </c>
      <c r="P78" s="28" t="s">
        <v>131</v>
      </c>
      <c r="Q78" s="28" t="s">
        <v>196</v>
      </c>
      <c r="R78" s="28" t="s">
        <v>62</v>
      </c>
      <c r="S78" s="28" t="s">
        <v>512</v>
      </c>
      <c r="T78" s="28" t="s">
        <v>424</v>
      </c>
      <c r="U78" s="7" t="s">
        <v>748</v>
      </c>
      <c r="V78" s="28" t="s">
        <v>291</v>
      </c>
    </row>
    <row r="79" spans="1:22" x14ac:dyDescent="0.3">
      <c r="A79" s="28">
        <v>78</v>
      </c>
      <c r="B79" s="28" t="s">
        <v>23</v>
      </c>
      <c r="C79" s="28" t="s">
        <v>701</v>
      </c>
      <c r="D79" s="28">
        <v>50126157</v>
      </c>
      <c r="E79" s="28">
        <v>65</v>
      </c>
      <c r="F79" s="28">
        <v>75</v>
      </c>
      <c r="G79" s="28">
        <v>73</v>
      </c>
      <c r="H79" s="28" t="s">
        <v>64</v>
      </c>
      <c r="I79" s="28" t="s">
        <v>109</v>
      </c>
      <c r="J79" s="28" t="s">
        <v>130</v>
      </c>
      <c r="K79" s="41">
        <v>0.87013888888888891</v>
      </c>
      <c r="L79" s="28" t="s">
        <v>109</v>
      </c>
      <c r="M79" s="28" t="s">
        <v>109</v>
      </c>
      <c r="N79" s="28" t="s">
        <v>109</v>
      </c>
      <c r="O79" s="28" t="s">
        <v>61</v>
      </c>
      <c r="P79" s="28" t="s">
        <v>131</v>
      </c>
      <c r="Q79" s="28" t="s">
        <v>64</v>
      </c>
      <c r="R79" s="28" t="s">
        <v>62</v>
      </c>
      <c r="S79" s="28" t="s">
        <v>512</v>
      </c>
      <c r="T79" s="28" t="s">
        <v>424</v>
      </c>
      <c r="U79" s="7" t="s">
        <v>290</v>
      </c>
      <c r="V79" s="28" t="s">
        <v>109</v>
      </c>
    </row>
    <row r="80" spans="1:22" x14ac:dyDescent="0.3">
      <c r="A80" s="28">
        <v>79</v>
      </c>
      <c r="B80" s="28" t="s">
        <v>23</v>
      </c>
      <c r="C80" s="28" t="s">
        <v>702</v>
      </c>
      <c r="D80" s="28">
        <v>50126158</v>
      </c>
      <c r="E80" s="28">
        <v>20</v>
      </c>
      <c r="F80" s="28">
        <v>34</v>
      </c>
      <c r="G80" s="28">
        <v>27</v>
      </c>
      <c r="H80" s="28" t="s">
        <v>65</v>
      </c>
      <c r="I80" s="28" t="s">
        <v>109</v>
      </c>
      <c r="J80" s="28" t="s">
        <v>130</v>
      </c>
      <c r="K80" s="41">
        <v>0.93333333333333335</v>
      </c>
      <c r="L80" s="28" t="s">
        <v>109</v>
      </c>
      <c r="M80" s="28" t="s">
        <v>109</v>
      </c>
      <c r="N80" s="28" t="s">
        <v>109</v>
      </c>
      <c r="O80" s="28" t="s">
        <v>61</v>
      </c>
      <c r="P80" s="28" t="s">
        <v>131</v>
      </c>
      <c r="Q80" s="28" t="s">
        <v>65</v>
      </c>
      <c r="R80" s="28" t="s">
        <v>62</v>
      </c>
      <c r="S80" s="28" t="s">
        <v>512</v>
      </c>
      <c r="T80" s="28" t="s">
        <v>424</v>
      </c>
      <c r="U80" s="7" t="s">
        <v>290</v>
      </c>
      <c r="V80" s="28" t="s">
        <v>109</v>
      </c>
    </row>
    <row r="81" spans="1:22" x14ac:dyDescent="0.3">
      <c r="A81" s="28">
        <v>80</v>
      </c>
      <c r="B81" s="28" t="s">
        <v>23</v>
      </c>
      <c r="C81" s="28" t="s">
        <v>703</v>
      </c>
      <c r="D81" s="28">
        <v>50126159</v>
      </c>
      <c r="E81" s="28">
        <v>65</v>
      </c>
      <c r="F81" s="28">
        <v>73</v>
      </c>
      <c r="G81" s="28">
        <v>71</v>
      </c>
      <c r="H81" s="28" t="s">
        <v>91</v>
      </c>
      <c r="I81" s="28" t="s">
        <v>109</v>
      </c>
      <c r="J81" s="28" t="s">
        <v>130</v>
      </c>
      <c r="K81" s="41">
        <v>0.79236111111111107</v>
      </c>
      <c r="L81" s="28" t="s">
        <v>109</v>
      </c>
      <c r="M81" s="28" t="s">
        <v>109</v>
      </c>
      <c r="N81" s="28" t="s">
        <v>109</v>
      </c>
      <c r="O81" s="28" t="s">
        <v>61</v>
      </c>
      <c r="P81" s="28" t="s">
        <v>131</v>
      </c>
      <c r="Q81" s="28" t="s">
        <v>91</v>
      </c>
      <c r="R81" s="28" t="s">
        <v>62</v>
      </c>
      <c r="S81" s="28" t="s">
        <v>512</v>
      </c>
      <c r="T81" s="28" t="s">
        <v>424</v>
      </c>
      <c r="U81" s="7" t="s">
        <v>748</v>
      </c>
      <c r="V81" s="28" t="s">
        <v>291</v>
      </c>
    </row>
    <row r="82" spans="1:22" x14ac:dyDescent="0.3">
      <c r="A82" s="28">
        <v>81</v>
      </c>
      <c r="B82" s="28" t="s">
        <v>23</v>
      </c>
      <c r="C82" s="28" t="s">
        <v>704</v>
      </c>
      <c r="D82" s="28">
        <v>50126160</v>
      </c>
      <c r="E82" s="28">
        <v>65</v>
      </c>
      <c r="F82" s="28">
        <v>114</v>
      </c>
      <c r="G82" s="28">
        <v>24</v>
      </c>
      <c r="H82" s="28" t="s">
        <v>86</v>
      </c>
      <c r="I82" s="28" t="s">
        <v>109</v>
      </c>
      <c r="J82" s="28" t="s">
        <v>130</v>
      </c>
      <c r="K82" s="41">
        <v>0.83888888888888891</v>
      </c>
      <c r="L82" s="28" t="s">
        <v>109</v>
      </c>
      <c r="M82" s="28" t="s">
        <v>109</v>
      </c>
      <c r="N82" s="28" t="s">
        <v>109</v>
      </c>
      <c r="O82" s="28" t="s">
        <v>61</v>
      </c>
      <c r="P82" s="28" t="s">
        <v>131</v>
      </c>
      <c r="Q82" s="28" t="s">
        <v>86</v>
      </c>
      <c r="R82" s="28" t="s">
        <v>62</v>
      </c>
      <c r="S82" s="28" t="s">
        <v>512</v>
      </c>
      <c r="T82" s="28" t="s">
        <v>424</v>
      </c>
      <c r="U82" s="7" t="s">
        <v>290</v>
      </c>
      <c r="V82" s="28" t="s">
        <v>109</v>
      </c>
    </row>
    <row r="83" spans="1:22" x14ac:dyDescent="0.3">
      <c r="A83" s="28">
        <v>82</v>
      </c>
      <c r="B83" s="28" t="s">
        <v>23</v>
      </c>
      <c r="C83" s="28" t="s">
        <v>705</v>
      </c>
      <c r="D83" s="28">
        <v>50126161</v>
      </c>
      <c r="E83" s="28">
        <v>25</v>
      </c>
      <c r="F83" s="28">
        <v>20</v>
      </c>
      <c r="G83" s="28">
        <v>9</v>
      </c>
      <c r="H83" s="28" t="s">
        <v>214</v>
      </c>
      <c r="I83" s="28" t="s">
        <v>109</v>
      </c>
      <c r="J83" s="28" t="s">
        <v>130</v>
      </c>
      <c r="K83" s="41">
        <v>0.68263888888888891</v>
      </c>
      <c r="L83" s="28" t="s">
        <v>109</v>
      </c>
      <c r="M83" s="28" t="s">
        <v>109</v>
      </c>
      <c r="N83" s="28" t="s">
        <v>109</v>
      </c>
      <c r="O83" s="28" t="s">
        <v>61</v>
      </c>
      <c r="P83" s="28" t="s">
        <v>131</v>
      </c>
      <c r="Q83" s="28" t="s">
        <v>214</v>
      </c>
      <c r="R83" s="28" t="s">
        <v>62</v>
      </c>
      <c r="S83" s="28" t="s">
        <v>512</v>
      </c>
      <c r="T83" s="28" t="s">
        <v>424</v>
      </c>
      <c r="U83" s="7" t="s">
        <v>748</v>
      </c>
      <c r="V83" s="28" t="s">
        <v>291</v>
      </c>
    </row>
    <row r="84" spans="1:22" x14ac:dyDescent="0.3">
      <c r="A84" s="28">
        <v>83</v>
      </c>
      <c r="B84" s="28" t="s">
        <v>23</v>
      </c>
      <c r="C84" s="28" t="s">
        <v>706</v>
      </c>
      <c r="D84" s="28">
        <v>50126162</v>
      </c>
      <c r="E84" s="28">
        <v>65</v>
      </c>
      <c r="F84" s="28">
        <v>77</v>
      </c>
      <c r="G84" s="28">
        <v>72</v>
      </c>
      <c r="H84" s="28" t="s">
        <v>68</v>
      </c>
      <c r="I84" s="28" t="s">
        <v>109</v>
      </c>
      <c r="J84" s="28" t="s">
        <v>130</v>
      </c>
      <c r="K84" s="41">
        <v>0.96319444444444446</v>
      </c>
      <c r="L84" s="28" t="s">
        <v>109</v>
      </c>
      <c r="M84" s="28" t="s">
        <v>109</v>
      </c>
      <c r="N84" s="28" t="s">
        <v>109</v>
      </c>
      <c r="O84" s="28" t="s">
        <v>61</v>
      </c>
      <c r="P84" s="28" t="s">
        <v>109</v>
      </c>
      <c r="Q84" s="28" t="s">
        <v>109</v>
      </c>
      <c r="R84" s="28" t="s">
        <v>62</v>
      </c>
      <c r="S84" s="28" t="s">
        <v>512</v>
      </c>
      <c r="T84" s="28" t="s">
        <v>424</v>
      </c>
      <c r="U84" s="7" t="s">
        <v>290</v>
      </c>
      <c r="V84" s="28" t="s">
        <v>109</v>
      </c>
    </row>
    <row r="85" spans="1:22" x14ac:dyDescent="0.3">
      <c r="A85" s="28">
        <v>84</v>
      </c>
      <c r="B85" s="28" t="s">
        <v>23</v>
      </c>
      <c r="C85" s="28" t="s">
        <v>707</v>
      </c>
      <c r="D85" s="28">
        <v>50126169</v>
      </c>
      <c r="E85" s="28">
        <v>75</v>
      </c>
      <c r="F85" s="28">
        <v>90</v>
      </c>
      <c r="G85" s="28">
        <v>78</v>
      </c>
      <c r="H85" s="28" t="s">
        <v>69</v>
      </c>
      <c r="I85" s="28" t="s">
        <v>109</v>
      </c>
      <c r="J85" s="28" t="s">
        <v>130</v>
      </c>
      <c r="K85" s="41">
        <v>0.97499999999999998</v>
      </c>
      <c r="L85" s="28" t="s">
        <v>109</v>
      </c>
      <c r="M85" s="28" t="s">
        <v>109</v>
      </c>
      <c r="N85" s="28" t="s">
        <v>109</v>
      </c>
      <c r="O85" s="28" t="s">
        <v>61</v>
      </c>
      <c r="P85" s="28" t="s">
        <v>131</v>
      </c>
      <c r="Q85" s="28" t="s">
        <v>69</v>
      </c>
      <c r="R85" s="28" t="s">
        <v>62</v>
      </c>
      <c r="S85" s="28" t="s">
        <v>512</v>
      </c>
      <c r="T85" s="28" t="s">
        <v>424</v>
      </c>
      <c r="U85" s="7" t="s">
        <v>290</v>
      </c>
      <c r="V85" s="28" t="s">
        <v>109</v>
      </c>
    </row>
    <row r="86" spans="1:22" x14ac:dyDescent="0.3">
      <c r="A86" s="28">
        <v>85</v>
      </c>
      <c r="B86" s="28" t="s">
        <v>23</v>
      </c>
      <c r="C86" s="28" t="s">
        <v>708</v>
      </c>
      <c r="D86" s="28">
        <v>50126163</v>
      </c>
      <c r="E86" s="28">
        <v>75</v>
      </c>
      <c r="F86" s="28">
        <v>179</v>
      </c>
      <c r="G86" s="28">
        <v>43</v>
      </c>
      <c r="H86" s="28" t="s">
        <v>84</v>
      </c>
      <c r="I86" s="28" t="s">
        <v>109</v>
      </c>
      <c r="J86" s="28" t="s">
        <v>130</v>
      </c>
      <c r="K86" s="41">
        <v>3.3333333333333333E-2</v>
      </c>
      <c r="L86" s="28" t="s">
        <v>109</v>
      </c>
      <c r="M86" s="28" t="s">
        <v>109</v>
      </c>
      <c r="N86" s="28" t="s">
        <v>109</v>
      </c>
      <c r="O86" s="28" t="s">
        <v>61</v>
      </c>
      <c r="P86" s="28" t="s">
        <v>131</v>
      </c>
      <c r="Q86" s="28" t="s">
        <v>84</v>
      </c>
      <c r="R86" s="28" t="s">
        <v>62</v>
      </c>
      <c r="S86" s="28" t="s">
        <v>512</v>
      </c>
      <c r="T86" s="28" t="s">
        <v>424</v>
      </c>
      <c r="U86" s="7" t="s">
        <v>290</v>
      </c>
      <c r="V86" s="28" t="s">
        <v>109</v>
      </c>
    </row>
    <row r="87" spans="1:22" x14ac:dyDescent="0.3">
      <c r="A87" s="28">
        <v>86</v>
      </c>
      <c r="B87" s="28" t="s">
        <v>23</v>
      </c>
      <c r="C87" s="28" t="s">
        <v>709</v>
      </c>
      <c r="D87" s="28">
        <v>50126164</v>
      </c>
      <c r="E87" s="28">
        <v>75</v>
      </c>
      <c r="F87" s="28">
        <v>114</v>
      </c>
      <c r="G87" s="28">
        <v>75</v>
      </c>
      <c r="H87" s="28" t="s">
        <v>70</v>
      </c>
      <c r="I87" s="28" t="s">
        <v>109</v>
      </c>
      <c r="J87" s="28" t="s">
        <v>130</v>
      </c>
      <c r="K87" s="41">
        <v>0.6743055555555556</v>
      </c>
      <c r="L87" s="28" t="s">
        <v>109</v>
      </c>
      <c r="M87" s="28" t="s">
        <v>109</v>
      </c>
      <c r="N87" s="28" t="s">
        <v>109</v>
      </c>
      <c r="O87" s="28" t="s">
        <v>61</v>
      </c>
      <c r="P87" s="28" t="s">
        <v>131</v>
      </c>
      <c r="Q87" s="28" t="s">
        <v>70</v>
      </c>
      <c r="R87" s="28" t="s">
        <v>62</v>
      </c>
      <c r="S87" s="28" t="s">
        <v>512</v>
      </c>
      <c r="T87" s="28" t="s">
        <v>424</v>
      </c>
      <c r="U87" s="7" t="s">
        <v>290</v>
      </c>
      <c r="V87" s="28" t="s">
        <v>109</v>
      </c>
    </row>
    <row r="88" spans="1:22" x14ac:dyDescent="0.3">
      <c r="A88" s="28">
        <v>87</v>
      </c>
      <c r="B88" s="28" t="s">
        <v>23</v>
      </c>
      <c r="C88" s="28" t="s">
        <v>710</v>
      </c>
      <c r="D88" s="28">
        <v>50126165</v>
      </c>
      <c r="E88" s="28">
        <v>75</v>
      </c>
      <c r="F88" s="28">
        <v>148</v>
      </c>
      <c r="G88" s="28">
        <v>71</v>
      </c>
      <c r="H88" s="28" t="s">
        <v>184</v>
      </c>
      <c r="I88" s="28" t="s">
        <v>109</v>
      </c>
      <c r="J88" s="28" t="s">
        <v>130</v>
      </c>
      <c r="K88" s="41">
        <v>0.89652777777777781</v>
      </c>
      <c r="L88" s="28" t="s">
        <v>109</v>
      </c>
      <c r="M88" s="28" t="s">
        <v>109</v>
      </c>
      <c r="N88" s="28" t="s">
        <v>109</v>
      </c>
      <c r="O88" s="28" t="s">
        <v>61</v>
      </c>
      <c r="P88" s="28" t="s">
        <v>131</v>
      </c>
      <c r="Q88" s="28" t="s">
        <v>184</v>
      </c>
      <c r="R88" s="28" t="s">
        <v>62</v>
      </c>
      <c r="S88" s="28" t="s">
        <v>512</v>
      </c>
      <c r="T88" s="28" t="s">
        <v>424</v>
      </c>
      <c r="U88" s="7" t="s">
        <v>290</v>
      </c>
      <c r="V88" s="28" t="s">
        <v>109</v>
      </c>
    </row>
    <row r="89" spans="1:22" x14ac:dyDescent="0.3">
      <c r="A89" s="28">
        <v>88</v>
      </c>
      <c r="B89" s="28" t="s">
        <v>23</v>
      </c>
      <c r="C89" s="28" t="s">
        <v>711</v>
      </c>
      <c r="D89" s="28">
        <v>50126166</v>
      </c>
      <c r="E89" s="28">
        <v>75</v>
      </c>
      <c r="F89" s="28">
        <v>88</v>
      </c>
      <c r="G89" s="28">
        <v>73</v>
      </c>
      <c r="H89" s="28" t="s">
        <v>93</v>
      </c>
      <c r="I89" s="28" t="s">
        <v>109</v>
      </c>
      <c r="J89" s="28" t="s">
        <v>130</v>
      </c>
      <c r="K89" s="41">
        <v>0.9243055555555556</v>
      </c>
      <c r="L89" s="28" t="s">
        <v>109</v>
      </c>
      <c r="M89" s="28" t="s">
        <v>109</v>
      </c>
      <c r="N89" s="28" t="s">
        <v>109</v>
      </c>
      <c r="O89" s="28" t="s">
        <v>61</v>
      </c>
      <c r="P89" s="28" t="s">
        <v>131</v>
      </c>
      <c r="Q89" s="28" t="s">
        <v>93</v>
      </c>
      <c r="R89" s="28" t="s">
        <v>62</v>
      </c>
      <c r="S89" s="28" t="s">
        <v>512</v>
      </c>
      <c r="T89" s="28" t="s">
        <v>424</v>
      </c>
      <c r="U89" s="7" t="s">
        <v>748</v>
      </c>
      <c r="V89" s="28" t="s">
        <v>291</v>
      </c>
    </row>
    <row r="90" spans="1:22" x14ac:dyDescent="0.3">
      <c r="A90" s="28">
        <v>89</v>
      </c>
      <c r="B90" s="28" t="s">
        <v>23</v>
      </c>
      <c r="C90" s="28" t="s">
        <v>712</v>
      </c>
      <c r="D90" s="28">
        <v>50126170</v>
      </c>
      <c r="E90" s="28">
        <v>75</v>
      </c>
      <c r="F90" s="28">
        <v>108</v>
      </c>
      <c r="G90" s="28">
        <v>82</v>
      </c>
      <c r="H90" s="28" t="s">
        <v>94</v>
      </c>
      <c r="I90" s="28" t="s">
        <v>109</v>
      </c>
      <c r="J90" s="28" t="s">
        <v>130</v>
      </c>
      <c r="K90" s="41">
        <v>1.3194444444444444E-2</v>
      </c>
      <c r="L90" s="28" t="s">
        <v>109</v>
      </c>
      <c r="M90" s="28" t="s">
        <v>109</v>
      </c>
      <c r="N90" s="28" t="s">
        <v>109</v>
      </c>
      <c r="O90" s="28" t="s">
        <v>61</v>
      </c>
      <c r="P90" s="28" t="s">
        <v>131</v>
      </c>
      <c r="Q90" s="28" t="s">
        <v>94</v>
      </c>
      <c r="R90" s="28" t="s">
        <v>62</v>
      </c>
      <c r="S90" s="28" t="s">
        <v>512</v>
      </c>
      <c r="T90" s="28" t="s">
        <v>424</v>
      </c>
      <c r="U90" s="7" t="s">
        <v>290</v>
      </c>
      <c r="V90" s="28" t="s">
        <v>109</v>
      </c>
    </row>
    <row r="91" spans="1:22" x14ac:dyDescent="0.3">
      <c r="A91" s="28">
        <v>90</v>
      </c>
      <c r="B91" s="28" t="s">
        <v>23</v>
      </c>
      <c r="C91" s="28" t="s">
        <v>713</v>
      </c>
      <c r="D91" s="28">
        <v>50126167</v>
      </c>
      <c r="E91" s="28">
        <v>65</v>
      </c>
      <c r="F91" s="28">
        <v>91</v>
      </c>
      <c r="G91" s="28">
        <v>68</v>
      </c>
      <c r="H91" s="28" t="s">
        <v>64</v>
      </c>
      <c r="I91" s="28" t="s">
        <v>109</v>
      </c>
      <c r="J91" s="28" t="s">
        <v>130</v>
      </c>
      <c r="K91" s="41">
        <v>0.91874999999999996</v>
      </c>
      <c r="L91" s="28" t="s">
        <v>109</v>
      </c>
      <c r="M91" s="28" t="s">
        <v>109</v>
      </c>
      <c r="N91" s="28" t="s">
        <v>109</v>
      </c>
      <c r="O91" s="28" t="s">
        <v>61</v>
      </c>
      <c r="P91" s="28" t="s">
        <v>131</v>
      </c>
      <c r="Q91" s="28" t="s">
        <v>64</v>
      </c>
      <c r="R91" s="28" t="s">
        <v>62</v>
      </c>
      <c r="S91" s="28" t="s">
        <v>512</v>
      </c>
      <c r="T91" s="28" t="s">
        <v>424</v>
      </c>
      <c r="U91" s="7" t="s">
        <v>290</v>
      </c>
      <c r="V91" s="28" t="s">
        <v>109</v>
      </c>
    </row>
    <row r="92" spans="1:22" x14ac:dyDescent="0.3">
      <c r="A92" s="28">
        <v>91</v>
      </c>
      <c r="B92" s="28" t="s">
        <v>23</v>
      </c>
      <c r="C92" s="28" t="s">
        <v>714</v>
      </c>
      <c r="D92" s="28">
        <v>50126168</v>
      </c>
      <c r="E92" s="28">
        <v>65</v>
      </c>
      <c r="F92" s="28">
        <v>123</v>
      </c>
      <c r="G92" s="28">
        <v>72</v>
      </c>
      <c r="H92" s="28" t="s">
        <v>95</v>
      </c>
      <c r="I92" s="28" t="s">
        <v>109</v>
      </c>
      <c r="J92" s="28" t="s">
        <v>130</v>
      </c>
      <c r="K92" s="41">
        <v>0.81458333333333333</v>
      </c>
      <c r="L92" s="28" t="s">
        <v>109</v>
      </c>
      <c r="M92" s="28" t="s">
        <v>109</v>
      </c>
      <c r="N92" s="28" t="s">
        <v>109</v>
      </c>
      <c r="O92" s="28" t="s">
        <v>61</v>
      </c>
      <c r="P92" s="28" t="s">
        <v>131</v>
      </c>
      <c r="Q92" s="28" t="s">
        <v>95</v>
      </c>
      <c r="R92" s="28" t="s">
        <v>62</v>
      </c>
      <c r="S92" s="28" t="s">
        <v>512</v>
      </c>
      <c r="T92" s="28" t="s">
        <v>424</v>
      </c>
      <c r="U92" s="7" t="s">
        <v>290</v>
      </c>
      <c r="V92" s="28" t="s">
        <v>109</v>
      </c>
    </row>
    <row r="93" spans="1:22" x14ac:dyDescent="0.3">
      <c r="A93" s="28">
        <v>92</v>
      </c>
      <c r="B93" s="28" t="s">
        <v>23</v>
      </c>
      <c r="C93" s="28" t="s">
        <v>715</v>
      </c>
      <c r="D93" s="28">
        <v>50126139</v>
      </c>
      <c r="E93" s="28">
        <v>100</v>
      </c>
      <c r="F93" s="28">
        <v>177</v>
      </c>
      <c r="G93" s="28">
        <v>115</v>
      </c>
      <c r="H93" s="28" t="s">
        <v>200</v>
      </c>
      <c r="I93" s="28" t="s">
        <v>109</v>
      </c>
      <c r="J93" s="28" t="s">
        <v>130</v>
      </c>
      <c r="K93" s="41">
        <v>0.72291666666666665</v>
      </c>
      <c r="L93" s="28" t="s">
        <v>109</v>
      </c>
      <c r="M93" s="28" t="s">
        <v>109</v>
      </c>
      <c r="N93" s="28" t="s">
        <v>109</v>
      </c>
      <c r="O93" s="28" t="s">
        <v>61</v>
      </c>
      <c r="P93" s="28" t="s">
        <v>131</v>
      </c>
      <c r="Q93" s="28" t="s">
        <v>200</v>
      </c>
      <c r="R93" s="28" t="s">
        <v>62</v>
      </c>
      <c r="S93" s="28" t="s">
        <v>512</v>
      </c>
      <c r="T93" s="28" t="s">
        <v>424</v>
      </c>
      <c r="U93" s="7" t="s">
        <v>748</v>
      </c>
      <c r="V93" s="28" t="s">
        <v>291</v>
      </c>
    </row>
    <row r="94" spans="1:22" x14ac:dyDescent="0.3">
      <c r="A94" s="28">
        <v>93</v>
      </c>
      <c r="B94" s="28" t="s">
        <v>23</v>
      </c>
      <c r="C94" s="28" t="s">
        <v>716</v>
      </c>
      <c r="D94" s="28">
        <v>50126140</v>
      </c>
      <c r="E94" s="28">
        <v>100</v>
      </c>
      <c r="F94" s="28">
        <v>100</v>
      </c>
      <c r="G94" s="28">
        <v>90</v>
      </c>
      <c r="H94" s="28" t="s">
        <v>91</v>
      </c>
      <c r="I94" s="28" t="s">
        <v>109</v>
      </c>
      <c r="J94" s="28" t="s">
        <v>130</v>
      </c>
      <c r="K94" s="51">
        <v>5.486111111111111E-2</v>
      </c>
      <c r="L94" s="28" t="s">
        <v>109</v>
      </c>
      <c r="M94" s="28" t="s">
        <v>109</v>
      </c>
      <c r="N94" s="28" t="s">
        <v>109</v>
      </c>
      <c r="O94" s="28" t="s">
        <v>61</v>
      </c>
      <c r="P94" s="28" t="s">
        <v>131</v>
      </c>
      <c r="Q94" s="28" t="s">
        <v>91</v>
      </c>
      <c r="R94" s="28" t="s">
        <v>62</v>
      </c>
      <c r="S94" s="28" t="s">
        <v>512</v>
      </c>
      <c r="T94" s="28" t="s">
        <v>424</v>
      </c>
      <c r="U94" s="7" t="s">
        <v>748</v>
      </c>
      <c r="V94" s="28" t="s">
        <v>291</v>
      </c>
    </row>
    <row r="95" spans="1:22" x14ac:dyDescent="0.3">
      <c r="A95" s="28">
        <v>94</v>
      </c>
      <c r="B95" s="28" t="s">
        <v>23</v>
      </c>
      <c r="C95" s="28" t="s">
        <v>717</v>
      </c>
      <c r="D95" s="28">
        <v>50126138</v>
      </c>
      <c r="E95" s="28">
        <v>100</v>
      </c>
      <c r="F95" s="28">
        <v>320</v>
      </c>
      <c r="G95" s="28">
        <v>22</v>
      </c>
      <c r="H95" s="28" t="s">
        <v>86</v>
      </c>
      <c r="I95" s="28" t="s">
        <v>109</v>
      </c>
      <c r="J95" s="28" t="s">
        <v>130</v>
      </c>
      <c r="K95" s="41">
        <v>0.93611111111111112</v>
      </c>
      <c r="L95" s="28" t="s">
        <v>109</v>
      </c>
      <c r="M95" s="28" t="s">
        <v>109</v>
      </c>
      <c r="N95" s="28" t="s">
        <v>109</v>
      </c>
      <c r="O95" s="28" t="s">
        <v>61</v>
      </c>
      <c r="P95" s="28" t="s">
        <v>131</v>
      </c>
      <c r="Q95" s="28" t="s">
        <v>86</v>
      </c>
      <c r="R95" s="28" t="s">
        <v>62</v>
      </c>
      <c r="S95" s="28" t="s">
        <v>512</v>
      </c>
      <c r="T95" s="28" t="s">
        <v>424</v>
      </c>
      <c r="U95" s="7" t="s">
        <v>748</v>
      </c>
      <c r="V95" s="28" t="s">
        <v>291</v>
      </c>
    </row>
    <row r="96" spans="1:22" x14ac:dyDescent="0.3">
      <c r="A96" s="28">
        <v>95</v>
      </c>
      <c r="B96" s="28" t="s">
        <v>23</v>
      </c>
      <c r="C96" s="28" t="s">
        <v>718</v>
      </c>
      <c r="D96" s="28">
        <v>50126205</v>
      </c>
      <c r="E96" s="28">
        <v>100</v>
      </c>
      <c r="F96" s="28">
        <v>133</v>
      </c>
      <c r="G96" s="28">
        <v>110</v>
      </c>
      <c r="H96" s="28" t="s">
        <v>68</v>
      </c>
      <c r="I96" s="28" t="s">
        <v>109</v>
      </c>
      <c r="J96" s="28" t="s">
        <v>130</v>
      </c>
      <c r="K96" s="41">
        <v>0.94305555555555554</v>
      </c>
      <c r="L96" s="28" t="s">
        <v>109</v>
      </c>
      <c r="M96" s="28" t="s">
        <v>109</v>
      </c>
      <c r="N96" s="49" t="s">
        <v>110</v>
      </c>
      <c r="O96" s="28" t="s">
        <v>61</v>
      </c>
      <c r="P96" s="28" t="s">
        <v>131</v>
      </c>
      <c r="Q96" s="28" t="s">
        <v>68</v>
      </c>
      <c r="R96" s="28" t="s">
        <v>62</v>
      </c>
      <c r="S96" s="28" t="s">
        <v>512</v>
      </c>
      <c r="T96" s="28" t="s">
        <v>424</v>
      </c>
      <c r="U96" s="7" t="s">
        <v>290</v>
      </c>
      <c r="V96" s="28" t="s">
        <v>109</v>
      </c>
    </row>
    <row r="97" spans="1:22" x14ac:dyDescent="0.3">
      <c r="A97" s="28">
        <v>96</v>
      </c>
      <c r="B97" s="28" t="s">
        <v>23</v>
      </c>
      <c r="C97" s="28" t="s">
        <v>719</v>
      </c>
      <c r="D97" s="28">
        <v>50126078</v>
      </c>
      <c r="E97" s="28">
        <v>120</v>
      </c>
      <c r="F97" s="28">
        <v>148</v>
      </c>
      <c r="G97" s="28">
        <v>126</v>
      </c>
      <c r="H97" s="28" t="s">
        <v>302</v>
      </c>
      <c r="I97" s="28" t="s">
        <v>109</v>
      </c>
      <c r="J97" s="28" t="s">
        <v>130</v>
      </c>
      <c r="K97" s="41">
        <v>0.67361111111111116</v>
      </c>
      <c r="L97" s="28" t="s">
        <v>109</v>
      </c>
      <c r="M97" s="28" t="s">
        <v>109</v>
      </c>
      <c r="N97" s="49" t="s">
        <v>110</v>
      </c>
      <c r="O97" s="28" t="s">
        <v>61</v>
      </c>
      <c r="P97" s="28" t="s">
        <v>131</v>
      </c>
      <c r="Q97" s="28" t="s">
        <v>84</v>
      </c>
      <c r="R97" s="28" t="s">
        <v>62</v>
      </c>
      <c r="S97" s="28" t="s">
        <v>512</v>
      </c>
      <c r="T97" s="28" t="s">
        <v>424</v>
      </c>
      <c r="U97" s="7" t="s">
        <v>290</v>
      </c>
      <c r="V97" s="28" t="s">
        <v>109</v>
      </c>
    </row>
    <row r="98" spans="1:22" x14ac:dyDescent="0.3">
      <c r="A98" s="28">
        <v>97</v>
      </c>
      <c r="B98" s="28" t="s">
        <v>23</v>
      </c>
      <c r="C98" s="28" t="s">
        <v>720</v>
      </c>
      <c r="D98" s="28">
        <v>50126099</v>
      </c>
      <c r="E98" s="28">
        <v>65</v>
      </c>
      <c r="F98" s="28">
        <v>45</v>
      </c>
      <c r="G98" s="28">
        <v>36</v>
      </c>
      <c r="H98" s="28" t="s">
        <v>89</v>
      </c>
      <c r="I98" s="28" t="s">
        <v>109</v>
      </c>
      <c r="J98" s="28" t="s">
        <v>130</v>
      </c>
      <c r="K98" s="41">
        <v>0.98263888888888884</v>
      </c>
      <c r="L98" s="28" t="s">
        <v>109</v>
      </c>
      <c r="M98" s="28" t="s">
        <v>109</v>
      </c>
      <c r="N98" s="28" t="s">
        <v>109</v>
      </c>
      <c r="O98" s="28" t="s">
        <v>61</v>
      </c>
      <c r="P98" s="28" t="s">
        <v>131</v>
      </c>
      <c r="Q98" s="28" t="s">
        <v>89</v>
      </c>
      <c r="R98" s="28" t="s">
        <v>62</v>
      </c>
      <c r="S98" s="28" t="s">
        <v>512</v>
      </c>
      <c r="T98" s="28" t="s">
        <v>424</v>
      </c>
      <c r="U98" s="7" t="s">
        <v>290</v>
      </c>
      <c r="V98" s="28" t="s">
        <v>109</v>
      </c>
    </row>
    <row r="99" spans="1:22" x14ac:dyDescent="0.3">
      <c r="A99" s="28">
        <v>98</v>
      </c>
      <c r="B99" s="28" t="s">
        <v>23</v>
      </c>
      <c r="C99" s="28" t="s">
        <v>721</v>
      </c>
      <c r="D99" s="28">
        <v>50126076</v>
      </c>
      <c r="E99" s="28">
        <v>85</v>
      </c>
      <c r="F99" s="28">
        <v>117</v>
      </c>
      <c r="G99" s="28">
        <v>93</v>
      </c>
      <c r="H99" s="28" t="s">
        <v>88</v>
      </c>
      <c r="I99" s="28" t="s">
        <v>109</v>
      </c>
      <c r="J99" s="28" t="s">
        <v>130</v>
      </c>
      <c r="K99" s="41">
        <v>0.85486111111111107</v>
      </c>
      <c r="L99" s="28" t="s">
        <v>109</v>
      </c>
      <c r="M99" s="28" t="s">
        <v>109</v>
      </c>
      <c r="N99" s="49" t="s">
        <v>110</v>
      </c>
      <c r="O99" s="28" t="s">
        <v>61</v>
      </c>
      <c r="P99" s="28" t="s">
        <v>131</v>
      </c>
      <c r="Q99" s="28" t="s">
        <v>88</v>
      </c>
      <c r="R99" s="28" t="s">
        <v>62</v>
      </c>
      <c r="S99" s="28" t="s">
        <v>512</v>
      </c>
      <c r="T99" s="28" t="s">
        <v>424</v>
      </c>
      <c r="U99" s="7" t="s">
        <v>290</v>
      </c>
      <c r="V99" s="28" t="s">
        <v>109</v>
      </c>
    </row>
    <row r="100" spans="1:22" x14ac:dyDescent="0.3">
      <c r="A100" s="28">
        <v>99</v>
      </c>
      <c r="B100" s="28" t="s">
        <v>23</v>
      </c>
      <c r="C100" s="28" t="s">
        <v>722</v>
      </c>
      <c r="D100" s="28">
        <v>50126077</v>
      </c>
      <c r="E100" s="28">
        <v>100</v>
      </c>
      <c r="F100" s="28">
        <v>182</v>
      </c>
      <c r="G100" s="28">
        <v>109</v>
      </c>
      <c r="H100" s="28" t="s">
        <v>64</v>
      </c>
      <c r="I100" s="28" t="s">
        <v>109</v>
      </c>
      <c r="J100" s="28" t="s">
        <v>130</v>
      </c>
      <c r="K100" s="41">
        <v>0.72222222222222221</v>
      </c>
      <c r="L100" s="28" t="s">
        <v>109</v>
      </c>
      <c r="M100" s="28" t="s">
        <v>109</v>
      </c>
      <c r="N100" s="49" t="s">
        <v>110</v>
      </c>
      <c r="O100" s="28" t="s">
        <v>61</v>
      </c>
      <c r="P100" s="28" t="s">
        <v>131</v>
      </c>
      <c r="Q100" s="28" t="s">
        <v>64</v>
      </c>
      <c r="R100" s="28" t="s">
        <v>62</v>
      </c>
      <c r="S100" s="28" t="s">
        <v>512</v>
      </c>
      <c r="T100" s="28" t="s">
        <v>424</v>
      </c>
      <c r="U100" s="7" t="s">
        <v>290</v>
      </c>
      <c r="V100" s="28" t="s">
        <v>109</v>
      </c>
    </row>
    <row r="101" spans="1:22" x14ac:dyDescent="0.3">
      <c r="A101" s="28">
        <v>100</v>
      </c>
      <c r="B101" s="28" t="s">
        <v>23</v>
      </c>
      <c r="C101" s="28" t="s">
        <v>723</v>
      </c>
      <c r="D101" s="28">
        <v>50126101</v>
      </c>
      <c r="E101" s="28">
        <v>65</v>
      </c>
      <c r="F101" s="28">
        <v>43</v>
      </c>
      <c r="G101" s="28">
        <v>35</v>
      </c>
      <c r="H101" s="28" t="s">
        <v>82</v>
      </c>
      <c r="I101" s="28" t="s">
        <v>109</v>
      </c>
      <c r="J101" s="28" t="s">
        <v>130</v>
      </c>
      <c r="K101" s="41">
        <v>0.82013888888888886</v>
      </c>
      <c r="L101" s="28" t="s">
        <v>109</v>
      </c>
      <c r="M101" s="28" t="s">
        <v>109</v>
      </c>
      <c r="N101" s="28" t="s">
        <v>109</v>
      </c>
      <c r="O101" s="28" t="s">
        <v>61</v>
      </c>
      <c r="P101" s="28" t="s">
        <v>131</v>
      </c>
      <c r="Q101" s="28" t="s">
        <v>82</v>
      </c>
      <c r="R101" s="28" t="s">
        <v>62</v>
      </c>
      <c r="S101" s="28" t="s">
        <v>512</v>
      </c>
      <c r="T101" s="28" t="s">
        <v>424</v>
      </c>
      <c r="U101" s="7" t="s">
        <v>290</v>
      </c>
      <c r="V101" s="28" t="s">
        <v>109</v>
      </c>
    </row>
    <row r="102" spans="1:22" x14ac:dyDescent="0.3">
      <c r="A102" s="28">
        <v>101</v>
      </c>
      <c r="B102" s="28" t="s">
        <v>23</v>
      </c>
      <c r="C102" s="28" t="s">
        <v>724</v>
      </c>
      <c r="D102" s="28">
        <v>50126112</v>
      </c>
      <c r="E102" s="28">
        <v>50</v>
      </c>
      <c r="F102" s="28">
        <v>53</v>
      </c>
      <c r="G102" s="28">
        <v>39</v>
      </c>
      <c r="H102" s="28" t="s">
        <v>90</v>
      </c>
      <c r="I102" s="28" t="s">
        <v>109</v>
      </c>
      <c r="J102" s="28" t="s">
        <v>130</v>
      </c>
      <c r="K102" s="41">
        <v>0.94305555555555554</v>
      </c>
      <c r="L102" s="28" t="s">
        <v>109</v>
      </c>
      <c r="M102" s="28" t="s">
        <v>109</v>
      </c>
      <c r="N102" s="28" t="s">
        <v>109</v>
      </c>
      <c r="O102" s="28" t="s">
        <v>61</v>
      </c>
      <c r="P102" s="28" t="s">
        <v>131</v>
      </c>
      <c r="Q102" s="28" t="s">
        <v>90</v>
      </c>
      <c r="R102" s="28" t="s">
        <v>62</v>
      </c>
      <c r="S102" s="28" t="s">
        <v>512</v>
      </c>
      <c r="T102" s="28" t="s">
        <v>424</v>
      </c>
      <c r="U102" s="7" t="s">
        <v>290</v>
      </c>
      <c r="V102" s="28" t="s">
        <v>109</v>
      </c>
    </row>
    <row r="103" spans="1:22" x14ac:dyDescent="0.3">
      <c r="A103" s="28">
        <v>102</v>
      </c>
      <c r="B103" s="28" t="s">
        <v>23</v>
      </c>
      <c r="C103" s="28" t="s">
        <v>725</v>
      </c>
      <c r="D103" s="28">
        <v>50126113</v>
      </c>
      <c r="E103" s="28">
        <v>75</v>
      </c>
      <c r="F103" s="28">
        <v>123</v>
      </c>
      <c r="G103" s="28">
        <v>61</v>
      </c>
      <c r="H103" s="28" t="s">
        <v>527</v>
      </c>
      <c r="I103" s="28" t="s">
        <v>109</v>
      </c>
      <c r="J103" s="28" t="s">
        <v>130</v>
      </c>
      <c r="K103" s="41">
        <v>0.80833333333333335</v>
      </c>
      <c r="L103" s="28" t="s">
        <v>109</v>
      </c>
      <c r="M103" s="28" t="s">
        <v>109</v>
      </c>
      <c r="N103" s="28" t="s">
        <v>109</v>
      </c>
      <c r="O103" s="28" t="s">
        <v>61</v>
      </c>
      <c r="P103" s="28" t="s">
        <v>131</v>
      </c>
      <c r="Q103" s="28" t="s">
        <v>527</v>
      </c>
      <c r="R103" s="28" t="s">
        <v>62</v>
      </c>
      <c r="S103" s="28" t="s">
        <v>512</v>
      </c>
      <c r="T103" s="28" t="s">
        <v>424</v>
      </c>
      <c r="U103" s="7" t="s">
        <v>290</v>
      </c>
      <c r="V103" s="28" t="s">
        <v>109</v>
      </c>
    </row>
    <row r="104" spans="1:22" x14ac:dyDescent="0.3">
      <c r="A104" s="28">
        <v>103</v>
      </c>
      <c r="B104" s="28" t="s">
        <v>23</v>
      </c>
      <c r="C104" s="28" t="s">
        <v>726</v>
      </c>
      <c r="D104" s="28">
        <v>50126114</v>
      </c>
      <c r="E104" s="28">
        <v>75</v>
      </c>
      <c r="F104" s="28">
        <v>120</v>
      </c>
      <c r="G104" s="28">
        <v>87</v>
      </c>
      <c r="H104" s="28" t="s">
        <v>67</v>
      </c>
      <c r="I104" s="28" t="s">
        <v>109</v>
      </c>
      <c r="J104" s="28" t="s">
        <v>130</v>
      </c>
      <c r="K104" s="41">
        <v>0.75</v>
      </c>
      <c r="L104" s="28" t="s">
        <v>109</v>
      </c>
      <c r="M104" s="28" t="s">
        <v>109</v>
      </c>
      <c r="N104" s="28" t="s">
        <v>109</v>
      </c>
      <c r="O104" s="28" t="s">
        <v>61</v>
      </c>
      <c r="P104" s="28" t="s">
        <v>131</v>
      </c>
      <c r="Q104" s="28" t="s">
        <v>67</v>
      </c>
      <c r="R104" s="28" t="s">
        <v>62</v>
      </c>
      <c r="S104" s="28" t="s">
        <v>512</v>
      </c>
      <c r="T104" s="28" t="s">
        <v>424</v>
      </c>
      <c r="U104" s="7" t="s">
        <v>290</v>
      </c>
      <c r="V104" s="28" t="s">
        <v>109</v>
      </c>
    </row>
    <row r="105" spans="1:22" x14ac:dyDescent="0.3">
      <c r="A105" s="28">
        <v>104</v>
      </c>
      <c r="B105" s="28" t="s">
        <v>23</v>
      </c>
      <c r="C105" s="28" t="s">
        <v>727</v>
      </c>
      <c r="D105" s="28">
        <v>50126100</v>
      </c>
      <c r="E105" s="28">
        <v>75</v>
      </c>
      <c r="F105" s="28">
        <v>98</v>
      </c>
      <c r="G105" s="28">
        <v>73</v>
      </c>
      <c r="H105" s="28" t="s">
        <v>209</v>
      </c>
      <c r="I105" s="28" t="s">
        <v>109</v>
      </c>
      <c r="J105" s="28" t="s">
        <v>130</v>
      </c>
      <c r="K105" s="41">
        <v>0.99722222222222223</v>
      </c>
      <c r="L105" s="28" t="s">
        <v>109</v>
      </c>
      <c r="M105" s="28" t="s">
        <v>109</v>
      </c>
      <c r="N105" s="28" t="s">
        <v>109</v>
      </c>
      <c r="O105" s="28" t="s">
        <v>61</v>
      </c>
      <c r="P105" s="28" t="s">
        <v>131</v>
      </c>
      <c r="Q105" s="28" t="s">
        <v>209</v>
      </c>
      <c r="R105" s="28" t="s">
        <v>62</v>
      </c>
      <c r="S105" s="28" t="s">
        <v>512</v>
      </c>
      <c r="T105" s="28" t="s">
        <v>424</v>
      </c>
      <c r="U105" s="7" t="s">
        <v>290</v>
      </c>
      <c r="V105" s="28" t="s">
        <v>109</v>
      </c>
    </row>
    <row r="106" spans="1:22" x14ac:dyDescent="0.3">
      <c r="A106" s="28">
        <v>105</v>
      </c>
      <c r="B106" s="28" t="s">
        <v>23</v>
      </c>
      <c r="C106" s="28" t="s">
        <v>728</v>
      </c>
      <c r="D106" s="28">
        <v>50126118</v>
      </c>
      <c r="E106" s="28">
        <v>60</v>
      </c>
      <c r="F106" s="28">
        <v>85</v>
      </c>
      <c r="G106" s="28">
        <v>60</v>
      </c>
      <c r="H106" s="28" t="s">
        <v>184</v>
      </c>
      <c r="I106" s="28" t="s">
        <v>109</v>
      </c>
      <c r="J106" s="28" t="s">
        <v>130</v>
      </c>
      <c r="K106" s="41">
        <v>0.9375</v>
      </c>
      <c r="L106" s="28" t="s">
        <v>109</v>
      </c>
      <c r="M106" s="28" t="s">
        <v>109</v>
      </c>
      <c r="N106" s="28" t="s">
        <v>109</v>
      </c>
      <c r="O106" s="28" t="s">
        <v>61</v>
      </c>
      <c r="P106" s="28" t="s">
        <v>131</v>
      </c>
      <c r="Q106" s="28" t="s">
        <v>184</v>
      </c>
      <c r="R106" s="28" t="s">
        <v>62</v>
      </c>
      <c r="S106" s="28" t="s">
        <v>512</v>
      </c>
      <c r="T106" s="28" t="s">
        <v>424</v>
      </c>
      <c r="U106" s="7" t="s">
        <v>290</v>
      </c>
      <c r="V106" s="28" t="s">
        <v>109</v>
      </c>
    </row>
    <row r="107" spans="1:22" x14ac:dyDescent="0.3">
      <c r="A107" s="28">
        <v>106</v>
      </c>
      <c r="B107" s="28" t="s">
        <v>23</v>
      </c>
      <c r="C107" s="28" t="s">
        <v>729</v>
      </c>
      <c r="D107" s="28">
        <v>50126119</v>
      </c>
      <c r="E107" s="28">
        <v>60</v>
      </c>
      <c r="F107" s="28">
        <v>79</v>
      </c>
      <c r="G107" s="28">
        <v>72</v>
      </c>
      <c r="H107" s="28" t="s">
        <v>93</v>
      </c>
      <c r="I107" s="28" t="s">
        <v>109</v>
      </c>
      <c r="J107" s="28" t="s">
        <v>130</v>
      </c>
      <c r="K107" s="41">
        <v>0.75277777777777777</v>
      </c>
      <c r="L107" s="28" t="s">
        <v>109</v>
      </c>
      <c r="M107" s="28" t="s">
        <v>109</v>
      </c>
      <c r="N107" s="28" t="s">
        <v>109</v>
      </c>
      <c r="O107" s="28" t="s">
        <v>61</v>
      </c>
      <c r="P107" s="28" t="s">
        <v>131</v>
      </c>
      <c r="Q107" s="28" t="s">
        <v>93</v>
      </c>
      <c r="R107" s="28" t="s">
        <v>62</v>
      </c>
      <c r="S107" s="28" t="s">
        <v>512</v>
      </c>
      <c r="T107" s="28" t="s">
        <v>424</v>
      </c>
      <c r="U107" s="7" t="s">
        <v>290</v>
      </c>
      <c r="V107" s="28" t="s">
        <v>109</v>
      </c>
    </row>
    <row r="108" spans="1:22" x14ac:dyDescent="0.3">
      <c r="A108" s="28">
        <v>107</v>
      </c>
      <c r="B108" s="28" t="s">
        <v>23</v>
      </c>
      <c r="C108" s="28" t="s">
        <v>730</v>
      </c>
      <c r="D108" s="28">
        <v>50126120</v>
      </c>
      <c r="E108" s="28">
        <v>60</v>
      </c>
      <c r="F108" s="28">
        <v>119</v>
      </c>
      <c r="G108" s="28">
        <v>59</v>
      </c>
      <c r="H108" s="28" t="s">
        <v>154</v>
      </c>
      <c r="I108" s="28" t="s">
        <v>109</v>
      </c>
      <c r="J108" s="28" t="s">
        <v>130</v>
      </c>
      <c r="K108" s="41">
        <v>0.83472222222222225</v>
      </c>
      <c r="L108" s="28" t="s">
        <v>109</v>
      </c>
      <c r="M108" s="28" t="s">
        <v>109</v>
      </c>
      <c r="N108" s="28" t="s">
        <v>109</v>
      </c>
      <c r="O108" s="28" t="s">
        <v>61</v>
      </c>
      <c r="P108" s="28" t="s">
        <v>131</v>
      </c>
      <c r="Q108" s="28" t="s">
        <v>154</v>
      </c>
      <c r="R108" s="28" t="s">
        <v>62</v>
      </c>
      <c r="S108" s="28" t="s">
        <v>512</v>
      </c>
      <c r="T108" s="28" t="s">
        <v>424</v>
      </c>
      <c r="U108" s="7" t="s">
        <v>290</v>
      </c>
      <c r="V108" s="28" t="s">
        <v>109</v>
      </c>
    </row>
    <row r="109" spans="1:22" x14ac:dyDescent="0.3">
      <c r="A109" s="28">
        <v>108</v>
      </c>
      <c r="B109" s="28" t="s">
        <v>23</v>
      </c>
      <c r="C109" s="28" t="s">
        <v>731</v>
      </c>
      <c r="D109" s="28">
        <v>50126121</v>
      </c>
      <c r="E109" s="28">
        <v>60</v>
      </c>
      <c r="F109" s="28">
        <v>76</v>
      </c>
      <c r="G109" s="28">
        <v>70</v>
      </c>
      <c r="H109" s="28" t="s">
        <v>527</v>
      </c>
      <c r="I109" s="28" t="s">
        <v>109</v>
      </c>
      <c r="J109" s="28" t="s">
        <v>130</v>
      </c>
      <c r="K109" s="41">
        <v>0.72986111111111107</v>
      </c>
      <c r="L109" s="28" t="s">
        <v>109</v>
      </c>
      <c r="M109" s="28" t="s">
        <v>109</v>
      </c>
      <c r="N109" s="28" t="s">
        <v>109</v>
      </c>
      <c r="O109" s="28" t="s">
        <v>61</v>
      </c>
      <c r="P109" s="28" t="s">
        <v>131</v>
      </c>
      <c r="Q109" s="28" t="s">
        <v>527</v>
      </c>
      <c r="R109" s="28" t="s">
        <v>62</v>
      </c>
      <c r="S109" s="28" t="s">
        <v>512</v>
      </c>
      <c r="T109" s="28" t="s">
        <v>424</v>
      </c>
      <c r="U109" s="7" t="s">
        <v>290</v>
      </c>
      <c r="V109" s="28" t="s">
        <v>109</v>
      </c>
    </row>
    <row r="110" spans="1:22" x14ac:dyDescent="0.3">
      <c r="A110" s="28">
        <v>109</v>
      </c>
      <c r="B110" s="28" t="s">
        <v>23</v>
      </c>
      <c r="C110" s="28" t="s">
        <v>732</v>
      </c>
      <c r="D110" s="28">
        <v>50126122</v>
      </c>
      <c r="E110" s="28">
        <v>65</v>
      </c>
      <c r="F110" s="28">
        <v>81</v>
      </c>
      <c r="G110" s="28">
        <v>14</v>
      </c>
      <c r="H110" s="28" t="s">
        <v>72</v>
      </c>
      <c r="I110" s="28" t="s">
        <v>109</v>
      </c>
      <c r="J110" s="28" t="s">
        <v>130</v>
      </c>
      <c r="K110" s="41">
        <v>0.97569444444444442</v>
      </c>
      <c r="L110" s="28" t="s">
        <v>109</v>
      </c>
      <c r="M110" s="28" t="s">
        <v>109</v>
      </c>
      <c r="N110" s="28" t="s">
        <v>109</v>
      </c>
      <c r="O110" s="28" t="s">
        <v>61</v>
      </c>
      <c r="P110" s="28" t="s">
        <v>131</v>
      </c>
      <c r="Q110" s="28" t="s">
        <v>72</v>
      </c>
      <c r="R110" s="28" t="s">
        <v>62</v>
      </c>
      <c r="S110" s="28" t="s">
        <v>512</v>
      </c>
      <c r="T110" s="28" t="s">
        <v>424</v>
      </c>
      <c r="U110" s="7" t="s">
        <v>290</v>
      </c>
      <c r="V110" s="28" t="s">
        <v>109</v>
      </c>
    </row>
    <row r="111" spans="1:22" x14ac:dyDescent="0.3">
      <c r="A111" s="28">
        <v>110</v>
      </c>
      <c r="B111" s="28" t="s">
        <v>23</v>
      </c>
      <c r="C111" s="28" t="s">
        <v>733</v>
      </c>
      <c r="D111" s="28">
        <v>50126129</v>
      </c>
      <c r="E111" s="28">
        <v>100</v>
      </c>
      <c r="F111" s="28">
        <v>133</v>
      </c>
      <c r="G111" s="28">
        <v>106</v>
      </c>
      <c r="H111" s="28" t="s">
        <v>95</v>
      </c>
      <c r="I111" s="28" t="s">
        <v>109</v>
      </c>
      <c r="J111" s="28" t="s">
        <v>130</v>
      </c>
      <c r="K111" s="41">
        <v>0.84166666666666667</v>
      </c>
      <c r="L111" s="28" t="s">
        <v>109</v>
      </c>
      <c r="M111" s="28" t="s">
        <v>109</v>
      </c>
      <c r="N111" s="28" t="s">
        <v>109</v>
      </c>
      <c r="O111" s="28" t="s">
        <v>61</v>
      </c>
      <c r="P111" s="28" t="s">
        <v>131</v>
      </c>
      <c r="Q111" s="28" t="s">
        <v>95</v>
      </c>
      <c r="R111" s="28" t="s">
        <v>62</v>
      </c>
      <c r="S111" s="28" t="s">
        <v>512</v>
      </c>
      <c r="T111" s="28" t="s">
        <v>424</v>
      </c>
      <c r="U111" s="7" t="s">
        <v>290</v>
      </c>
      <c r="V111" s="28" t="s">
        <v>109</v>
      </c>
    </row>
    <row r="112" spans="1:22" x14ac:dyDescent="0.3">
      <c r="A112" s="28">
        <v>111</v>
      </c>
      <c r="B112" s="28" t="s">
        <v>23</v>
      </c>
      <c r="C112" s="28" t="s">
        <v>734</v>
      </c>
      <c r="D112" s="28">
        <v>50126131</v>
      </c>
      <c r="E112" s="28">
        <v>60</v>
      </c>
      <c r="F112" s="28">
        <v>74</v>
      </c>
      <c r="G112" s="28">
        <v>63</v>
      </c>
      <c r="H112" s="28" t="s">
        <v>241</v>
      </c>
      <c r="I112" s="28" t="s">
        <v>109</v>
      </c>
      <c r="J112" s="28" t="s">
        <v>130</v>
      </c>
      <c r="K112" s="41">
        <v>0.80694444444444446</v>
      </c>
      <c r="L112" s="28" t="s">
        <v>109</v>
      </c>
      <c r="M112" s="28" t="s">
        <v>109</v>
      </c>
      <c r="N112" s="28" t="s">
        <v>109</v>
      </c>
      <c r="O112" s="28" t="s">
        <v>61</v>
      </c>
      <c r="P112" s="28" t="s">
        <v>131</v>
      </c>
      <c r="Q112" s="28" t="s">
        <v>241</v>
      </c>
      <c r="R112" s="28" t="s">
        <v>62</v>
      </c>
      <c r="S112" s="28" t="s">
        <v>512</v>
      </c>
      <c r="T112" s="28" t="s">
        <v>424</v>
      </c>
      <c r="U112" s="7" t="s">
        <v>290</v>
      </c>
      <c r="V112" s="28" t="s">
        <v>109</v>
      </c>
    </row>
    <row r="113" spans="1:22" x14ac:dyDescent="0.3">
      <c r="A113" s="28">
        <v>112</v>
      </c>
      <c r="B113" s="28" t="s">
        <v>23</v>
      </c>
      <c r="C113" s="28" t="s">
        <v>735</v>
      </c>
      <c r="D113" s="28">
        <v>50126130</v>
      </c>
      <c r="E113" s="28">
        <v>60</v>
      </c>
      <c r="F113" s="28">
        <v>122</v>
      </c>
      <c r="G113" s="28">
        <v>65</v>
      </c>
      <c r="H113" s="28" t="s">
        <v>209</v>
      </c>
      <c r="I113" s="28" t="s">
        <v>109</v>
      </c>
      <c r="J113" s="28" t="s">
        <v>130</v>
      </c>
      <c r="K113" s="41">
        <v>0.72013888888888888</v>
      </c>
      <c r="L113" s="28" t="s">
        <v>109</v>
      </c>
      <c r="M113" s="28" t="s">
        <v>109</v>
      </c>
      <c r="N113" s="28" t="s">
        <v>109</v>
      </c>
      <c r="O113" s="28" t="s">
        <v>61</v>
      </c>
      <c r="P113" s="28" t="s">
        <v>131</v>
      </c>
      <c r="Q113" s="28" t="s">
        <v>209</v>
      </c>
      <c r="R113" s="28" t="s">
        <v>62</v>
      </c>
      <c r="S113" s="28" t="s">
        <v>512</v>
      </c>
      <c r="T113" s="28" t="s">
        <v>424</v>
      </c>
      <c r="U113" s="7" t="s">
        <v>290</v>
      </c>
      <c r="V113" s="28" t="s">
        <v>109</v>
      </c>
    </row>
    <row r="114" spans="1:22" x14ac:dyDescent="0.3">
      <c r="A114" s="28">
        <v>113</v>
      </c>
      <c r="B114" s="28" t="s">
        <v>23</v>
      </c>
      <c r="C114" s="28" t="s">
        <v>736</v>
      </c>
      <c r="D114" s="28">
        <v>50126128</v>
      </c>
      <c r="E114" s="28">
        <v>60</v>
      </c>
      <c r="F114" s="28">
        <v>90</v>
      </c>
      <c r="G114" s="28">
        <v>70</v>
      </c>
      <c r="H114" s="28" t="s">
        <v>88</v>
      </c>
      <c r="I114" s="28" t="s">
        <v>109</v>
      </c>
      <c r="J114" s="28" t="s">
        <v>130</v>
      </c>
      <c r="K114" s="41">
        <v>0.93888888888888888</v>
      </c>
      <c r="L114" s="28" t="s">
        <v>109</v>
      </c>
      <c r="M114" s="28" t="s">
        <v>109</v>
      </c>
      <c r="N114" s="28" t="s">
        <v>109</v>
      </c>
      <c r="O114" s="28" t="s">
        <v>61</v>
      </c>
      <c r="P114" s="28" t="s">
        <v>131</v>
      </c>
      <c r="Q114" s="28" t="s">
        <v>88</v>
      </c>
      <c r="R114" s="28" t="s">
        <v>62</v>
      </c>
      <c r="S114" s="28" t="s">
        <v>512</v>
      </c>
      <c r="T114" s="28" t="s">
        <v>424</v>
      </c>
      <c r="U114" s="7" t="s">
        <v>290</v>
      </c>
      <c r="V114" s="28" t="s">
        <v>109</v>
      </c>
    </row>
    <row r="115" spans="1:22" x14ac:dyDescent="0.3">
      <c r="A115" s="28">
        <v>114</v>
      </c>
      <c r="B115" s="28" t="s">
        <v>23</v>
      </c>
      <c r="C115" s="28" t="s">
        <v>737</v>
      </c>
      <c r="D115" s="28">
        <v>50126136</v>
      </c>
      <c r="E115" s="28">
        <v>60</v>
      </c>
      <c r="F115" s="28">
        <v>82</v>
      </c>
      <c r="G115" s="28">
        <v>71</v>
      </c>
      <c r="H115" s="28" t="s">
        <v>222</v>
      </c>
      <c r="I115" s="28" t="s">
        <v>109</v>
      </c>
      <c r="J115" s="28" t="s">
        <v>130</v>
      </c>
      <c r="K115" s="41">
        <v>0.69374999999999998</v>
      </c>
      <c r="L115" s="28" t="s">
        <v>109</v>
      </c>
      <c r="M115" s="28" t="s">
        <v>109</v>
      </c>
      <c r="N115" s="28" t="s">
        <v>109</v>
      </c>
      <c r="O115" s="28" t="s">
        <v>61</v>
      </c>
      <c r="P115" s="28" t="s">
        <v>131</v>
      </c>
      <c r="Q115" s="28" t="s">
        <v>222</v>
      </c>
      <c r="R115" s="28" t="s">
        <v>62</v>
      </c>
      <c r="S115" s="28" t="s">
        <v>512</v>
      </c>
      <c r="T115" s="28" t="s">
        <v>424</v>
      </c>
      <c r="U115" s="7" t="s">
        <v>290</v>
      </c>
      <c r="V115" s="28" t="s">
        <v>109</v>
      </c>
    </row>
    <row r="116" spans="1:22" x14ac:dyDescent="0.3">
      <c r="A116" s="28">
        <v>115</v>
      </c>
      <c r="B116" s="28" t="s">
        <v>23</v>
      </c>
      <c r="C116" s="28" t="s">
        <v>738</v>
      </c>
      <c r="D116" s="28">
        <v>50126135</v>
      </c>
      <c r="E116" s="28">
        <v>60</v>
      </c>
      <c r="F116" s="28">
        <v>112</v>
      </c>
      <c r="G116" s="28">
        <v>57</v>
      </c>
      <c r="H116" s="28" t="s">
        <v>65</v>
      </c>
      <c r="I116" s="28" t="s">
        <v>109</v>
      </c>
      <c r="J116" s="28" t="s">
        <v>130</v>
      </c>
      <c r="K116" s="41">
        <v>0.95833333333333337</v>
      </c>
      <c r="L116" s="28" t="s">
        <v>109</v>
      </c>
      <c r="M116" s="28" t="s">
        <v>109</v>
      </c>
      <c r="N116" s="28" t="s">
        <v>109</v>
      </c>
      <c r="O116" s="28" t="s">
        <v>61</v>
      </c>
      <c r="P116" s="28" t="s">
        <v>131</v>
      </c>
      <c r="Q116" s="28" t="s">
        <v>65</v>
      </c>
      <c r="R116" s="28" t="s">
        <v>62</v>
      </c>
      <c r="S116" s="28" t="s">
        <v>512</v>
      </c>
      <c r="T116" s="28" t="s">
        <v>424</v>
      </c>
      <c r="U116" s="7" t="s">
        <v>290</v>
      </c>
      <c r="V116" s="28" t="s">
        <v>109</v>
      </c>
    </row>
    <row r="117" spans="1:22" x14ac:dyDescent="0.3">
      <c r="A117" s="28">
        <v>116</v>
      </c>
      <c r="B117" s="28" t="s">
        <v>23</v>
      </c>
      <c r="C117" s="28" t="s">
        <v>739</v>
      </c>
      <c r="D117" s="28">
        <v>50126134</v>
      </c>
      <c r="E117" s="28">
        <v>60</v>
      </c>
      <c r="F117" s="28">
        <v>64</v>
      </c>
      <c r="G117" s="28">
        <v>62</v>
      </c>
      <c r="H117" s="28" t="s">
        <v>66</v>
      </c>
      <c r="I117" s="28" t="s">
        <v>109</v>
      </c>
      <c r="J117" s="28" t="s">
        <v>130</v>
      </c>
      <c r="K117" s="41">
        <v>0.80763888888888891</v>
      </c>
      <c r="L117" s="28" t="s">
        <v>109</v>
      </c>
      <c r="M117" s="28" t="s">
        <v>109</v>
      </c>
      <c r="N117" s="28" t="s">
        <v>109</v>
      </c>
      <c r="O117" s="28" t="s">
        <v>61</v>
      </c>
      <c r="P117" s="28" t="s">
        <v>131</v>
      </c>
      <c r="Q117" s="28" t="s">
        <v>66</v>
      </c>
      <c r="R117" s="28" t="s">
        <v>62</v>
      </c>
      <c r="S117" s="28" t="s">
        <v>512</v>
      </c>
      <c r="T117" s="28" t="s">
        <v>424</v>
      </c>
      <c r="U117" s="7" t="s">
        <v>290</v>
      </c>
      <c r="V117" s="28" t="s">
        <v>109</v>
      </c>
    </row>
    <row r="118" spans="1:22" x14ac:dyDescent="0.3">
      <c r="A118" s="28">
        <v>117</v>
      </c>
      <c r="B118" s="28" t="s">
        <v>23</v>
      </c>
      <c r="C118" s="28" t="s">
        <v>740</v>
      </c>
      <c r="D118" s="28">
        <v>50126132</v>
      </c>
      <c r="E118" s="28">
        <v>60</v>
      </c>
      <c r="F118" s="28">
        <v>69</v>
      </c>
      <c r="G118" s="28">
        <v>67</v>
      </c>
      <c r="H118" s="28" t="s">
        <v>214</v>
      </c>
      <c r="I118" s="28" t="s">
        <v>109</v>
      </c>
      <c r="J118" s="28" t="s">
        <v>130</v>
      </c>
      <c r="K118" s="41">
        <v>0.80069444444444449</v>
      </c>
      <c r="L118" s="28" t="s">
        <v>109</v>
      </c>
      <c r="M118" s="28" t="s">
        <v>109</v>
      </c>
      <c r="N118" s="28" t="s">
        <v>109</v>
      </c>
      <c r="O118" s="28" t="s">
        <v>61</v>
      </c>
      <c r="P118" s="28" t="s">
        <v>131</v>
      </c>
      <c r="Q118" s="28" t="s">
        <v>214</v>
      </c>
      <c r="R118" s="28" t="s">
        <v>62</v>
      </c>
      <c r="S118" s="28" t="s">
        <v>512</v>
      </c>
      <c r="T118" s="28" t="s">
        <v>424</v>
      </c>
      <c r="U118" s="7" t="s">
        <v>290</v>
      </c>
      <c r="V118" s="28" t="s">
        <v>109</v>
      </c>
    </row>
    <row r="119" spans="1:22" x14ac:dyDescent="0.3">
      <c r="A119" s="28">
        <v>118</v>
      </c>
      <c r="B119" s="28" t="s">
        <v>23</v>
      </c>
      <c r="C119" s="28" t="s">
        <v>741</v>
      </c>
      <c r="D119" s="28">
        <v>50126133</v>
      </c>
      <c r="E119" s="28">
        <v>60</v>
      </c>
      <c r="F119" s="28">
        <v>96</v>
      </c>
      <c r="G119" s="28">
        <v>68</v>
      </c>
      <c r="H119" s="28" t="s">
        <v>87</v>
      </c>
      <c r="I119" s="28" t="s">
        <v>109</v>
      </c>
      <c r="J119" s="28" t="s">
        <v>130</v>
      </c>
      <c r="K119" s="41">
        <v>0.70625000000000004</v>
      </c>
      <c r="L119" s="28" t="s">
        <v>109</v>
      </c>
      <c r="M119" s="28" t="s">
        <v>109</v>
      </c>
      <c r="N119" s="28" t="s">
        <v>109</v>
      </c>
      <c r="O119" s="28" t="s">
        <v>61</v>
      </c>
      <c r="P119" s="28" t="s">
        <v>131</v>
      </c>
      <c r="Q119" s="28" t="s">
        <v>87</v>
      </c>
      <c r="R119" s="28" t="s">
        <v>62</v>
      </c>
      <c r="S119" s="28" t="s">
        <v>512</v>
      </c>
      <c r="T119" s="28" t="s">
        <v>424</v>
      </c>
      <c r="U119" s="7" t="s">
        <v>290</v>
      </c>
      <c r="V119" s="28" t="s">
        <v>109</v>
      </c>
    </row>
    <row r="120" spans="1:22" x14ac:dyDescent="0.3">
      <c r="A120" s="28">
        <v>119</v>
      </c>
      <c r="B120" s="38" t="s">
        <v>23</v>
      </c>
      <c r="C120" s="38" t="s">
        <v>273</v>
      </c>
      <c r="D120" s="28">
        <v>51225012</v>
      </c>
      <c r="E120" s="38">
        <v>40</v>
      </c>
      <c r="F120" s="28">
        <v>61</v>
      </c>
      <c r="G120" s="28">
        <v>14</v>
      </c>
      <c r="H120" s="28" t="s">
        <v>84</v>
      </c>
      <c r="I120" s="28" t="s">
        <v>109</v>
      </c>
      <c r="J120" s="28" t="s">
        <v>130</v>
      </c>
      <c r="K120" s="41">
        <v>0.99097222222222225</v>
      </c>
      <c r="L120" s="28" t="s">
        <v>109</v>
      </c>
      <c r="M120" s="28" t="s">
        <v>109</v>
      </c>
      <c r="N120" s="28" t="s">
        <v>109</v>
      </c>
      <c r="O120" s="28" t="s">
        <v>61</v>
      </c>
      <c r="P120" s="28" t="s">
        <v>131</v>
      </c>
      <c r="Q120" s="28" t="s">
        <v>84</v>
      </c>
      <c r="R120" s="28" t="s">
        <v>62</v>
      </c>
      <c r="S120" s="28" t="s">
        <v>141</v>
      </c>
      <c r="T120" s="28" t="s">
        <v>275</v>
      </c>
      <c r="U120" s="7" t="s">
        <v>290</v>
      </c>
      <c r="V120" s="28" t="s">
        <v>109</v>
      </c>
    </row>
    <row r="121" spans="1:22" x14ac:dyDescent="0.3">
      <c r="A121" s="28">
        <v>120</v>
      </c>
      <c r="B121" s="38" t="s">
        <v>23</v>
      </c>
      <c r="C121" s="38" t="s">
        <v>137</v>
      </c>
      <c r="D121" s="28">
        <v>51225033</v>
      </c>
      <c r="E121" s="38">
        <v>100</v>
      </c>
      <c r="F121" s="28">
        <v>144</v>
      </c>
      <c r="G121" s="28">
        <v>51</v>
      </c>
      <c r="H121" s="28" t="s">
        <v>742</v>
      </c>
      <c r="I121" s="28" t="s">
        <v>109</v>
      </c>
      <c r="J121" s="28" t="s">
        <v>130</v>
      </c>
      <c r="K121" s="41">
        <v>3.1944444444444442E-2</v>
      </c>
      <c r="L121" s="28" t="s">
        <v>109</v>
      </c>
      <c r="M121" s="28" t="s">
        <v>109</v>
      </c>
      <c r="N121" s="28" t="s">
        <v>109</v>
      </c>
      <c r="O121" s="28" t="s">
        <v>61</v>
      </c>
      <c r="P121" s="28" t="s">
        <v>131</v>
      </c>
      <c r="Q121" s="28" t="s">
        <v>69</v>
      </c>
      <c r="R121" s="28" t="s">
        <v>62</v>
      </c>
      <c r="S121" s="28" t="s">
        <v>141</v>
      </c>
      <c r="T121" s="28" t="s">
        <v>142</v>
      </c>
      <c r="U121" s="7" t="s">
        <v>290</v>
      </c>
      <c r="V121" s="28" t="s">
        <v>109</v>
      </c>
    </row>
    <row r="122" spans="1:22" x14ac:dyDescent="0.3">
      <c r="A122" s="28">
        <v>121</v>
      </c>
      <c r="B122" s="38" t="s">
        <v>23</v>
      </c>
      <c r="C122" s="38" t="s">
        <v>139</v>
      </c>
      <c r="D122" s="28">
        <v>51225032</v>
      </c>
      <c r="E122" s="38">
        <v>50</v>
      </c>
      <c r="F122" s="28">
        <v>73</v>
      </c>
      <c r="G122" s="28">
        <v>49</v>
      </c>
      <c r="H122" s="28" t="s">
        <v>66</v>
      </c>
      <c r="I122" s="28" t="s">
        <v>109</v>
      </c>
      <c r="J122" s="28" t="s">
        <v>130</v>
      </c>
      <c r="K122" s="41">
        <v>0.78749999999999998</v>
      </c>
      <c r="L122" s="28" t="s">
        <v>109</v>
      </c>
      <c r="M122" s="28" t="s">
        <v>109</v>
      </c>
      <c r="N122" s="28" t="s">
        <v>109</v>
      </c>
      <c r="O122" s="28" t="s">
        <v>61</v>
      </c>
      <c r="P122" s="28" t="s">
        <v>131</v>
      </c>
      <c r="Q122" s="28" t="s">
        <v>66</v>
      </c>
      <c r="R122" s="28" t="s">
        <v>62</v>
      </c>
      <c r="S122" s="28" t="s">
        <v>141</v>
      </c>
      <c r="T122" s="28" t="s">
        <v>142</v>
      </c>
      <c r="U122" s="7" t="s">
        <v>290</v>
      </c>
      <c r="V122" s="28" t="s">
        <v>109</v>
      </c>
    </row>
    <row r="123" spans="1:22" x14ac:dyDescent="0.3">
      <c r="A123" s="28">
        <v>122</v>
      </c>
      <c r="B123" s="38" t="s">
        <v>23</v>
      </c>
      <c r="C123" s="38" t="s">
        <v>479</v>
      </c>
      <c r="D123" s="28">
        <v>50126013</v>
      </c>
      <c r="E123" s="38">
        <v>30</v>
      </c>
      <c r="F123" s="28">
        <v>64</v>
      </c>
      <c r="G123" s="28">
        <v>31</v>
      </c>
      <c r="H123" s="28" t="s">
        <v>83</v>
      </c>
      <c r="I123" s="28" t="s">
        <v>109</v>
      </c>
      <c r="J123" s="28" t="s">
        <v>130</v>
      </c>
      <c r="K123" s="41">
        <v>0.83750000000000002</v>
      </c>
      <c r="L123" s="28" t="s">
        <v>109</v>
      </c>
      <c r="M123" s="28" t="s">
        <v>109</v>
      </c>
      <c r="N123" s="28" t="s">
        <v>109</v>
      </c>
      <c r="O123" s="28" t="s">
        <v>61</v>
      </c>
      <c r="P123" s="28" t="s">
        <v>131</v>
      </c>
      <c r="Q123" s="28" t="s">
        <v>222</v>
      </c>
      <c r="R123" s="28" t="s">
        <v>62</v>
      </c>
      <c r="S123" s="28" t="s">
        <v>141</v>
      </c>
      <c r="T123" s="28" t="s">
        <v>480</v>
      </c>
      <c r="U123" s="7" t="s">
        <v>290</v>
      </c>
      <c r="V123" s="28" t="s">
        <v>109</v>
      </c>
    </row>
    <row r="124" spans="1:22" x14ac:dyDescent="0.3">
      <c r="A124" s="28">
        <v>123</v>
      </c>
      <c r="B124" s="38" t="s">
        <v>23</v>
      </c>
      <c r="C124" s="38" t="s">
        <v>483</v>
      </c>
      <c r="D124" s="28">
        <v>50126011</v>
      </c>
      <c r="E124" s="38">
        <v>30</v>
      </c>
      <c r="F124" s="28">
        <v>76</v>
      </c>
      <c r="G124" s="28">
        <v>31</v>
      </c>
      <c r="H124" s="28" t="s">
        <v>82</v>
      </c>
      <c r="I124" s="28" t="s">
        <v>109</v>
      </c>
      <c r="J124" s="28" t="s">
        <v>130</v>
      </c>
      <c r="K124" s="41">
        <v>0.89652777777777781</v>
      </c>
      <c r="L124" s="28" t="s">
        <v>109</v>
      </c>
      <c r="M124" s="28" t="s">
        <v>109</v>
      </c>
      <c r="N124" s="28" t="s">
        <v>109</v>
      </c>
      <c r="O124" s="28" t="s">
        <v>61</v>
      </c>
      <c r="P124" s="28" t="s">
        <v>131</v>
      </c>
      <c r="Q124" s="28" t="s">
        <v>82</v>
      </c>
      <c r="R124" s="28" t="s">
        <v>62</v>
      </c>
      <c r="S124" s="28" t="s">
        <v>141</v>
      </c>
      <c r="T124" s="28" t="s">
        <v>480</v>
      </c>
      <c r="U124" s="7" t="s">
        <v>290</v>
      </c>
      <c r="V124" s="28" t="s">
        <v>109</v>
      </c>
    </row>
    <row r="125" spans="1:22" x14ac:dyDescent="0.3">
      <c r="A125" s="28">
        <v>124</v>
      </c>
      <c r="B125" s="38" t="s">
        <v>23</v>
      </c>
      <c r="C125" s="38" t="s">
        <v>743</v>
      </c>
      <c r="D125" s="28">
        <v>50126124</v>
      </c>
      <c r="E125" s="38">
        <v>30</v>
      </c>
      <c r="F125" s="28">
        <v>60</v>
      </c>
      <c r="G125" s="28">
        <v>33</v>
      </c>
      <c r="H125" s="28" t="s">
        <v>64</v>
      </c>
      <c r="I125" s="28" t="s">
        <v>109</v>
      </c>
      <c r="J125" s="28" t="s">
        <v>130</v>
      </c>
      <c r="K125" s="41">
        <v>0.9604166666666667</v>
      </c>
      <c r="L125" s="28" t="s">
        <v>109</v>
      </c>
      <c r="M125" s="28" t="s">
        <v>109</v>
      </c>
      <c r="N125" s="28" t="s">
        <v>109</v>
      </c>
      <c r="O125" s="28" t="s">
        <v>61</v>
      </c>
      <c r="P125" s="28" t="s">
        <v>131</v>
      </c>
      <c r="Q125" s="28" t="s">
        <v>64</v>
      </c>
      <c r="R125" s="28" t="s">
        <v>62</v>
      </c>
      <c r="S125" s="28" t="s">
        <v>141</v>
      </c>
      <c r="T125" s="28" t="s">
        <v>278</v>
      </c>
      <c r="U125" s="7" t="s">
        <v>290</v>
      </c>
      <c r="V125" s="28" t="s">
        <v>109</v>
      </c>
    </row>
  </sheetData>
  <conditionalFormatting sqref="D1">
    <cfRule type="duplicateValues" dxfId="107"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B2DA3-9B89-4F44-8858-11AFD80A2192}">
  <sheetPr codeName="Sheet7"/>
  <dimension ref="A1:V158"/>
  <sheetViews>
    <sheetView topLeftCell="G1" workbookViewId="0">
      <pane ySplit="1" topLeftCell="A2" activePane="bottomLeft" state="frozen"/>
      <selection pane="bottomLeft" activeCell="U2" sqref="U2"/>
    </sheetView>
  </sheetViews>
  <sheetFormatPr defaultRowHeight="14.4" x14ac:dyDescent="0.3"/>
  <cols>
    <col min="1" max="1" width="3.109375" bestFit="1" customWidth="1"/>
    <col min="2" max="2" width="8.6640625" bestFit="1" customWidth="1"/>
    <col min="3" max="3" width="14.5546875" bestFit="1" customWidth="1"/>
    <col min="4" max="4" width="10.44140625" bestFit="1" customWidth="1"/>
    <col min="5" max="5" width="13.88671875" bestFit="1" customWidth="1"/>
    <col min="6" max="6" width="15.109375" bestFit="1" customWidth="1"/>
    <col min="7" max="7" width="8.5546875" bestFit="1" customWidth="1"/>
    <col min="8" max="8" width="7.33203125" bestFit="1" customWidth="1"/>
    <col min="9" max="9" width="15.88671875" bestFit="1" customWidth="1"/>
    <col min="10" max="10" width="6.21875" bestFit="1" customWidth="1"/>
    <col min="11" max="12" width="15.88671875" bestFit="1" customWidth="1"/>
    <col min="13" max="13" width="3.88671875" bestFit="1" customWidth="1"/>
    <col min="14" max="14" width="8.21875" bestFit="1" customWidth="1"/>
    <col min="15" max="15" width="6.77734375" bestFit="1" customWidth="1"/>
    <col min="16" max="16" width="14.33203125" bestFit="1" customWidth="1"/>
    <col min="17" max="17" width="11.77734375" bestFit="1" customWidth="1"/>
    <col min="18" max="18" width="14.33203125" bestFit="1" customWidth="1"/>
    <col min="19" max="19" width="15.88671875" bestFit="1" customWidth="1"/>
    <col min="20" max="20" width="5.77734375" bestFit="1" customWidth="1"/>
    <col min="21" max="21" width="37.44140625" bestFit="1" customWidth="1"/>
    <col min="22" max="22" width="10.109375" bestFit="1" customWidth="1"/>
  </cols>
  <sheetData>
    <row r="1" spans="1:22"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row>
    <row r="2" spans="1:22" x14ac:dyDescent="0.3">
      <c r="A2" s="28">
        <v>1</v>
      </c>
      <c r="B2" s="28" t="s">
        <v>23</v>
      </c>
      <c r="C2" s="28" t="s">
        <v>749</v>
      </c>
      <c r="D2" s="28">
        <v>51225108</v>
      </c>
      <c r="E2" s="28">
        <v>25</v>
      </c>
      <c r="F2" s="28" t="s">
        <v>109</v>
      </c>
      <c r="G2" s="28" t="s">
        <v>109</v>
      </c>
      <c r="H2" s="7" t="s">
        <v>214</v>
      </c>
      <c r="I2" s="28" t="s">
        <v>109</v>
      </c>
      <c r="J2" s="28" t="s">
        <v>85</v>
      </c>
      <c r="K2" s="28" t="s">
        <v>109</v>
      </c>
      <c r="L2" s="28" t="s">
        <v>109</v>
      </c>
      <c r="M2" s="28" t="s">
        <v>109</v>
      </c>
      <c r="N2" s="28" t="s">
        <v>109</v>
      </c>
      <c r="O2" s="28" t="s">
        <v>61</v>
      </c>
      <c r="P2" s="28" t="s">
        <v>109</v>
      </c>
      <c r="Q2" s="28" t="s">
        <v>109</v>
      </c>
      <c r="R2" s="28" t="s">
        <v>62</v>
      </c>
      <c r="S2" s="28" t="s">
        <v>136</v>
      </c>
      <c r="T2" s="28" t="s">
        <v>112</v>
      </c>
      <c r="U2" s="28" t="str">
        <f t="shared" ref="U2:U65" si="0">IF(G29&gt;=E29, "Met", "Not Met")</f>
        <v>Met</v>
      </c>
      <c r="V2" s="28" t="s">
        <v>109</v>
      </c>
    </row>
    <row r="3" spans="1:22" x14ac:dyDescent="0.3">
      <c r="A3" s="28">
        <v>2</v>
      </c>
      <c r="B3" s="28" t="s">
        <v>23</v>
      </c>
      <c r="C3" s="28" t="s">
        <v>355</v>
      </c>
      <c r="D3" s="28">
        <v>51125135</v>
      </c>
      <c r="E3" s="28">
        <v>150</v>
      </c>
      <c r="F3" s="28">
        <v>255</v>
      </c>
      <c r="G3" s="28">
        <v>88</v>
      </c>
      <c r="H3" s="7" t="s">
        <v>750</v>
      </c>
      <c r="I3" s="28" t="s">
        <v>109</v>
      </c>
      <c r="J3" s="28" t="s">
        <v>130</v>
      </c>
      <c r="K3" s="51" t="s">
        <v>109</v>
      </c>
      <c r="L3" s="51">
        <v>8.4027777777777785E-2</v>
      </c>
      <c r="M3" s="28" t="s">
        <v>109</v>
      </c>
      <c r="N3" s="28" t="s">
        <v>109</v>
      </c>
      <c r="O3" s="28" t="s">
        <v>61</v>
      </c>
      <c r="P3" s="28" t="s">
        <v>131</v>
      </c>
      <c r="Q3" s="28" t="s">
        <v>91</v>
      </c>
      <c r="R3" s="28" t="s">
        <v>62</v>
      </c>
      <c r="S3" s="28" t="s">
        <v>136</v>
      </c>
      <c r="T3" s="28" t="s">
        <v>289</v>
      </c>
      <c r="U3" s="28" t="str">
        <f t="shared" si="0"/>
        <v>Not Met</v>
      </c>
      <c r="V3" s="28" t="s">
        <v>889</v>
      </c>
    </row>
    <row r="4" spans="1:22" x14ac:dyDescent="0.3">
      <c r="A4" s="28">
        <v>3</v>
      </c>
      <c r="B4" s="28" t="s">
        <v>23</v>
      </c>
      <c r="C4" s="28" t="s">
        <v>751</v>
      </c>
      <c r="D4" s="28">
        <v>50126143</v>
      </c>
      <c r="E4" s="28">
        <v>100</v>
      </c>
      <c r="F4" s="28">
        <v>206</v>
      </c>
      <c r="G4" s="28">
        <v>87</v>
      </c>
      <c r="H4" s="7" t="s">
        <v>65</v>
      </c>
      <c r="I4" s="28" t="s">
        <v>109</v>
      </c>
      <c r="J4" s="28" t="s">
        <v>130</v>
      </c>
      <c r="K4" s="28" t="s">
        <v>109</v>
      </c>
      <c r="L4" s="41">
        <v>0.91388888888888886</v>
      </c>
      <c r="M4" s="28" t="s">
        <v>109</v>
      </c>
      <c r="N4" s="28" t="s">
        <v>109</v>
      </c>
      <c r="O4" s="28" t="s">
        <v>61</v>
      </c>
      <c r="P4" s="28" t="s">
        <v>131</v>
      </c>
      <c r="Q4" s="28" t="s">
        <v>65</v>
      </c>
      <c r="R4" s="28" t="s">
        <v>62</v>
      </c>
      <c r="S4" s="28" t="s">
        <v>136</v>
      </c>
      <c r="T4" s="28" t="s">
        <v>480</v>
      </c>
      <c r="U4" s="28" t="str">
        <f t="shared" si="0"/>
        <v>Not Met</v>
      </c>
      <c r="V4" s="28" t="s">
        <v>889</v>
      </c>
    </row>
    <row r="5" spans="1:22" x14ac:dyDescent="0.3">
      <c r="A5" s="28">
        <v>4</v>
      </c>
      <c r="B5" s="28" t="s">
        <v>23</v>
      </c>
      <c r="C5" s="28" t="s">
        <v>752</v>
      </c>
      <c r="D5" s="28">
        <v>50126141</v>
      </c>
      <c r="E5" s="28">
        <v>100</v>
      </c>
      <c r="F5" s="28">
        <v>172</v>
      </c>
      <c r="G5" s="28">
        <v>95</v>
      </c>
      <c r="H5" s="7" t="s">
        <v>222</v>
      </c>
      <c r="I5" s="28" t="s">
        <v>109</v>
      </c>
      <c r="J5" s="28" t="s">
        <v>130</v>
      </c>
      <c r="K5" s="28" t="s">
        <v>109</v>
      </c>
      <c r="L5" s="41">
        <v>0.81805555555555554</v>
      </c>
      <c r="M5" s="28" t="s">
        <v>109</v>
      </c>
      <c r="N5" s="28" t="s">
        <v>109</v>
      </c>
      <c r="O5" s="28" t="s">
        <v>61</v>
      </c>
      <c r="P5" s="28" t="s">
        <v>131</v>
      </c>
      <c r="Q5" s="28" t="s">
        <v>222</v>
      </c>
      <c r="R5" s="28" t="s">
        <v>62</v>
      </c>
      <c r="S5" s="28" t="s">
        <v>136</v>
      </c>
      <c r="T5" s="28" t="s">
        <v>480</v>
      </c>
      <c r="U5" s="28" t="str">
        <f t="shared" si="0"/>
        <v>Met</v>
      </c>
      <c r="V5" s="28" t="s">
        <v>109</v>
      </c>
    </row>
    <row r="6" spans="1:22" x14ac:dyDescent="0.3">
      <c r="A6" s="28">
        <v>5</v>
      </c>
      <c r="B6" s="28" t="s">
        <v>23</v>
      </c>
      <c r="C6" s="28" t="s">
        <v>753</v>
      </c>
      <c r="D6" s="28">
        <v>50126146</v>
      </c>
      <c r="E6" s="28">
        <v>30</v>
      </c>
      <c r="F6" s="28">
        <v>48</v>
      </c>
      <c r="G6" s="28">
        <v>14</v>
      </c>
      <c r="H6" s="7" t="s">
        <v>71</v>
      </c>
      <c r="I6" s="28" t="s">
        <v>109</v>
      </c>
      <c r="J6" s="28" t="s">
        <v>130</v>
      </c>
      <c r="K6" s="28" t="s">
        <v>109</v>
      </c>
      <c r="L6" s="41">
        <v>0.83263888888888893</v>
      </c>
      <c r="M6" s="28" t="s">
        <v>109</v>
      </c>
      <c r="N6" s="28" t="s">
        <v>109</v>
      </c>
      <c r="O6" s="28" t="s">
        <v>61</v>
      </c>
      <c r="P6" s="28" t="s">
        <v>131</v>
      </c>
      <c r="Q6" s="28" t="s">
        <v>71</v>
      </c>
      <c r="R6" s="28" t="s">
        <v>62</v>
      </c>
      <c r="S6" s="28" t="s">
        <v>136</v>
      </c>
      <c r="T6" s="28" t="s">
        <v>480</v>
      </c>
      <c r="U6" s="28" t="str">
        <f t="shared" si="0"/>
        <v>Not Met</v>
      </c>
      <c r="V6" s="28" t="s">
        <v>889</v>
      </c>
    </row>
    <row r="7" spans="1:22" x14ac:dyDescent="0.3">
      <c r="A7" s="28">
        <v>6</v>
      </c>
      <c r="B7" s="28" t="s">
        <v>23</v>
      </c>
      <c r="C7" s="28" t="s">
        <v>754</v>
      </c>
      <c r="D7" s="28">
        <v>50126148</v>
      </c>
      <c r="E7" s="28">
        <v>75</v>
      </c>
      <c r="F7" s="28">
        <v>108</v>
      </c>
      <c r="G7" s="28">
        <v>81</v>
      </c>
      <c r="H7" s="7" t="s">
        <v>82</v>
      </c>
      <c r="I7" s="28" t="s">
        <v>109</v>
      </c>
      <c r="J7" s="28" t="s">
        <v>130</v>
      </c>
      <c r="K7" s="28" t="s">
        <v>109</v>
      </c>
      <c r="L7" s="41">
        <v>0.78125</v>
      </c>
      <c r="M7" s="28" t="s">
        <v>109</v>
      </c>
      <c r="N7" s="28" t="s">
        <v>109</v>
      </c>
      <c r="O7" s="28" t="s">
        <v>61</v>
      </c>
      <c r="P7" s="28" t="s">
        <v>131</v>
      </c>
      <c r="Q7" s="28" t="s">
        <v>82</v>
      </c>
      <c r="R7" s="28" t="s">
        <v>62</v>
      </c>
      <c r="S7" s="28" t="s">
        <v>136</v>
      </c>
      <c r="T7" s="28" t="s">
        <v>480</v>
      </c>
      <c r="U7" s="28" t="str">
        <f t="shared" si="0"/>
        <v>Not Met</v>
      </c>
      <c r="V7" s="28" t="s">
        <v>889</v>
      </c>
    </row>
    <row r="8" spans="1:22" x14ac:dyDescent="0.3">
      <c r="A8" s="28">
        <v>7</v>
      </c>
      <c r="B8" s="28" t="s">
        <v>23</v>
      </c>
      <c r="C8" s="28" t="s">
        <v>755</v>
      </c>
      <c r="D8" s="28">
        <v>50126149</v>
      </c>
      <c r="E8" s="28">
        <v>100</v>
      </c>
      <c r="F8" s="28">
        <v>165</v>
      </c>
      <c r="G8" s="28">
        <v>101</v>
      </c>
      <c r="H8" s="7" t="s">
        <v>274</v>
      </c>
      <c r="I8" s="28" t="s">
        <v>109</v>
      </c>
      <c r="J8" s="28" t="s">
        <v>130</v>
      </c>
      <c r="K8" s="28" t="s">
        <v>109</v>
      </c>
      <c r="L8" s="41">
        <v>0.79583333333333328</v>
      </c>
      <c r="M8" s="28" t="s">
        <v>109</v>
      </c>
      <c r="N8" s="28" t="s">
        <v>109</v>
      </c>
      <c r="O8" s="28" t="s">
        <v>61</v>
      </c>
      <c r="P8" s="28" t="s">
        <v>131</v>
      </c>
      <c r="Q8" s="28" t="s">
        <v>274</v>
      </c>
      <c r="R8" s="28" t="s">
        <v>62</v>
      </c>
      <c r="S8" s="28" t="s">
        <v>136</v>
      </c>
      <c r="T8" s="28" t="s">
        <v>480</v>
      </c>
      <c r="U8" s="28" t="str">
        <f t="shared" si="0"/>
        <v>Not Met</v>
      </c>
      <c r="V8" s="28" t="s">
        <v>889</v>
      </c>
    </row>
    <row r="9" spans="1:22" x14ac:dyDescent="0.3">
      <c r="A9" s="28">
        <v>8</v>
      </c>
      <c r="B9" s="28" t="s">
        <v>23</v>
      </c>
      <c r="C9" s="28" t="s">
        <v>756</v>
      </c>
      <c r="D9" s="28">
        <v>50126144</v>
      </c>
      <c r="E9" s="28">
        <v>110</v>
      </c>
      <c r="F9" s="28">
        <v>185</v>
      </c>
      <c r="G9" s="28">
        <v>114</v>
      </c>
      <c r="H9" s="7" t="s">
        <v>68</v>
      </c>
      <c r="I9" s="28" t="s">
        <v>109</v>
      </c>
      <c r="J9" s="28" t="s">
        <v>130</v>
      </c>
      <c r="K9" s="28" t="s">
        <v>109</v>
      </c>
      <c r="L9" s="41">
        <v>0.73263888888888884</v>
      </c>
      <c r="M9" s="28" t="s">
        <v>109</v>
      </c>
      <c r="N9" s="28" t="s">
        <v>109</v>
      </c>
      <c r="O9" s="28" t="s">
        <v>61</v>
      </c>
      <c r="P9" s="28" t="s">
        <v>131</v>
      </c>
      <c r="Q9" s="28" t="s">
        <v>68</v>
      </c>
      <c r="R9" s="28" t="s">
        <v>62</v>
      </c>
      <c r="S9" s="28" t="s">
        <v>136</v>
      </c>
      <c r="T9" s="28" t="s">
        <v>480</v>
      </c>
      <c r="U9" s="28" t="str">
        <f t="shared" si="0"/>
        <v>Met</v>
      </c>
      <c r="V9" s="28" t="s">
        <v>109</v>
      </c>
    </row>
    <row r="10" spans="1:22" x14ac:dyDescent="0.3">
      <c r="A10" s="28">
        <v>9</v>
      </c>
      <c r="B10" s="28" t="s">
        <v>23</v>
      </c>
      <c r="C10" s="28" t="s">
        <v>757</v>
      </c>
      <c r="D10" s="28">
        <v>50126145</v>
      </c>
      <c r="E10" s="28">
        <v>100</v>
      </c>
      <c r="F10" s="28">
        <v>179</v>
      </c>
      <c r="G10" s="28">
        <v>106</v>
      </c>
      <c r="H10" s="7" t="s">
        <v>196</v>
      </c>
      <c r="I10" s="28" t="s">
        <v>109</v>
      </c>
      <c r="J10" s="28" t="s">
        <v>130</v>
      </c>
      <c r="K10" s="41">
        <v>0.97291666666666665</v>
      </c>
      <c r="L10" s="28" t="s">
        <v>109</v>
      </c>
      <c r="M10" s="28" t="s">
        <v>109</v>
      </c>
      <c r="N10" s="28" t="s">
        <v>109</v>
      </c>
      <c r="O10" s="28" t="s">
        <v>61</v>
      </c>
      <c r="P10" s="28" t="s">
        <v>131</v>
      </c>
      <c r="Q10" s="28" t="s">
        <v>209</v>
      </c>
      <c r="R10" s="28" t="s">
        <v>62</v>
      </c>
      <c r="S10" s="28" t="s">
        <v>136</v>
      </c>
      <c r="T10" s="28" t="s">
        <v>480</v>
      </c>
      <c r="U10" s="28" t="str">
        <f t="shared" si="0"/>
        <v>Met</v>
      </c>
      <c r="V10" s="28" t="s">
        <v>109</v>
      </c>
    </row>
    <row r="11" spans="1:22" x14ac:dyDescent="0.3">
      <c r="A11" s="28">
        <v>10</v>
      </c>
      <c r="B11" s="28" t="s">
        <v>23</v>
      </c>
      <c r="C11" s="28" t="s">
        <v>758</v>
      </c>
      <c r="D11" s="28">
        <v>50126142</v>
      </c>
      <c r="E11" s="28">
        <v>150</v>
      </c>
      <c r="F11" s="28">
        <v>275</v>
      </c>
      <c r="G11" s="28">
        <v>159</v>
      </c>
      <c r="H11" s="7" t="s">
        <v>260</v>
      </c>
      <c r="I11" s="28" t="s">
        <v>109</v>
      </c>
      <c r="J11" s="28" t="s">
        <v>130</v>
      </c>
      <c r="K11" s="28" t="s">
        <v>109</v>
      </c>
      <c r="L11" s="41">
        <v>0.92013888888888884</v>
      </c>
      <c r="M11" s="28" t="s">
        <v>109</v>
      </c>
      <c r="N11" s="28" t="s">
        <v>109</v>
      </c>
      <c r="O11" s="28" t="s">
        <v>61</v>
      </c>
      <c r="P11" s="28" t="s">
        <v>131</v>
      </c>
      <c r="Q11" s="28" t="s">
        <v>93</v>
      </c>
      <c r="R11" s="28" t="s">
        <v>62</v>
      </c>
      <c r="S11" s="28" t="s">
        <v>136</v>
      </c>
      <c r="T11" s="28" t="s">
        <v>480</v>
      </c>
      <c r="U11" s="28" t="str">
        <f t="shared" si="0"/>
        <v>Not Met</v>
      </c>
      <c r="V11" s="28" t="s">
        <v>889</v>
      </c>
    </row>
    <row r="12" spans="1:22" x14ac:dyDescent="0.3">
      <c r="A12" s="28">
        <v>11</v>
      </c>
      <c r="B12" s="28" t="s">
        <v>23</v>
      </c>
      <c r="C12" s="28" t="s">
        <v>759</v>
      </c>
      <c r="D12" s="28">
        <v>50126147</v>
      </c>
      <c r="E12" s="28">
        <v>150</v>
      </c>
      <c r="F12" s="28">
        <v>211</v>
      </c>
      <c r="G12" s="28">
        <v>156</v>
      </c>
      <c r="H12" s="7" t="s">
        <v>102</v>
      </c>
      <c r="I12" s="28" t="s">
        <v>109</v>
      </c>
      <c r="J12" s="28" t="s">
        <v>130</v>
      </c>
      <c r="K12" s="28" t="s">
        <v>109</v>
      </c>
      <c r="L12" s="41">
        <v>0.8520833333333333</v>
      </c>
      <c r="M12" s="28" t="s">
        <v>109</v>
      </c>
      <c r="N12" s="28" t="s">
        <v>109</v>
      </c>
      <c r="O12" s="28" t="s">
        <v>61</v>
      </c>
      <c r="P12" s="28" t="s">
        <v>131</v>
      </c>
      <c r="Q12" s="28" t="s">
        <v>95</v>
      </c>
      <c r="R12" s="28" t="s">
        <v>62</v>
      </c>
      <c r="S12" s="28" t="s">
        <v>136</v>
      </c>
      <c r="T12" s="28" t="s">
        <v>480</v>
      </c>
      <c r="U12" s="28" t="str">
        <f t="shared" si="0"/>
        <v>Not Met</v>
      </c>
      <c r="V12" s="28" t="s">
        <v>889</v>
      </c>
    </row>
    <row r="13" spans="1:22" x14ac:dyDescent="0.3">
      <c r="A13" s="28">
        <v>12</v>
      </c>
      <c r="B13" s="28" t="s">
        <v>23</v>
      </c>
      <c r="C13" s="28" t="s">
        <v>466</v>
      </c>
      <c r="D13" s="28">
        <v>51225058</v>
      </c>
      <c r="E13" s="28">
        <v>10</v>
      </c>
      <c r="F13" s="28" t="s">
        <v>109</v>
      </c>
      <c r="G13" s="28" t="s">
        <v>109</v>
      </c>
      <c r="H13" s="7" t="s">
        <v>209</v>
      </c>
      <c r="I13" s="28" t="s">
        <v>109</v>
      </c>
      <c r="J13" s="28" t="s">
        <v>85</v>
      </c>
      <c r="K13" s="28" t="s">
        <v>109</v>
      </c>
      <c r="L13" s="28" t="s">
        <v>109</v>
      </c>
      <c r="M13" s="28" t="s">
        <v>109</v>
      </c>
      <c r="N13" s="28" t="s">
        <v>109</v>
      </c>
      <c r="O13" s="28" t="s">
        <v>61</v>
      </c>
      <c r="P13" s="28" t="s">
        <v>109</v>
      </c>
      <c r="Q13" s="28" t="s">
        <v>109</v>
      </c>
      <c r="R13" s="28" t="s">
        <v>62</v>
      </c>
      <c r="S13" s="28" t="s">
        <v>136</v>
      </c>
      <c r="T13" s="28" t="s">
        <v>197</v>
      </c>
      <c r="U13" s="28" t="str">
        <f t="shared" si="0"/>
        <v>Met</v>
      </c>
      <c r="V13" s="28" t="s">
        <v>109</v>
      </c>
    </row>
    <row r="14" spans="1:22" x14ac:dyDescent="0.3">
      <c r="A14" s="28">
        <v>13</v>
      </c>
      <c r="B14" s="28" t="s">
        <v>23</v>
      </c>
      <c r="C14" s="28" t="s">
        <v>470</v>
      </c>
      <c r="D14" s="28">
        <v>51225052</v>
      </c>
      <c r="E14" s="28">
        <v>40</v>
      </c>
      <c r="F14" s="28">
        <v>23</v>
      </c>
      <c r="G14" s="28">
        <v>18</v>
      </c>
      <c r="H14" s="7" t="s">
        <v>69</v>
      </c>
      <c r="I14" s="28" t="s">
        <v>109</v>
      </c>
      <c r="J14" s="28" t="s">
        <v>130</v>
      </c>
      <c r="K14" s="28" t="s">
        <v>109</v>
      </c>
      <c r="L14" s="41">
        <v>0.75</v>
      </c>
      <c r="M14" s="28" t="s">
        <v>109</v>
      </c>
      <c r="N14" s="28" t="s">
        <v>109</v>
      </c>
      <c r="O14" s="28" t="s">
        <v>61</v>
      </c>
      <c r="P14" s="28" t="s">
        <v>131</v>
      </c>
      <c r="Q14" s="28" t="s">
        <v>69</v>
      </c>
      <c r="R14" s="28" t="s">
        <v>62</v>
      </c>
      <c r="S14" s="28" t="s">
        <v>136</v>
      </c>
      <c r="T14" s="28" t="s">
        <v>197</v>
      </c>
      <c r="U14" s="28" t="str">
        <f t="shared" si="0"/>
        <v>Not Met</v>
      </c>
      <c r="V14" s="28" t="s">
        <v>889</v>
      </c>
    </row>
    <row r="15" spans="1:22" x14ac:dyDescent="0.3">
      <c r="A15" s="28">
        <v>14</v>
      </c>
      <c r="B15" s="28" t="s">
        <v>23</v>
      </c>
      <c r="C15" s="28" t="s">
        <v>689</v>
      </c>
      <c r="D15" s="28">
        <v>50126126</v>
      </c>
      <c r="E15" s="28">
        <v>125</v>
      </c>
      <c r="F15" s="28">
        <v>173</v>
      </c>
      <c r="G15" s="28">
        <v>108</v>
      </c>
      <c r="H15" s="7" t="s">
        <v>154</v>
      </c>
      <c r="I15" s="28" t="s">
        <v>109</v>
      </c>
      <c r="J15" s="28" t="s">
        <v>130</v>
      </c>
      <c r="K15" s="28" t="s">
        <v>109</v>
      </c>
      <c r="L15" s="41">
        <v>0.93958333333333333</v>
      </c>
      <c r="M15" s="28" t="s">
        <v>109</v>
      </c>
      <c r="N15" s="28" t="s">
        <v>109</v>
      </c>
      <c r="O15" s="28" t="s">
        <v>61</v>
      </c>
      <c r="P15" s="28" t="s">
        <v>131</v>
      </c>
      <c r="Q15" s="28" t="s">
        <v>154</v>
      </c>
      <c r="R15" s="28" t="s">
        <v>62</v>
      </c>
      <c r="S15" s="28" t="s">
        <v>136</v>
      </c>
      <c r="T15" s="28" t="s">
        <v>351</v>
      </c>
      <c r="U15" s="28" t="str">
        <f t="shared" si="0"/>
        <v>Met</v>
      </c>
      <c r="V15" s="28" t="s">
        <v>109</v>
      </c>
    </row>
    <row r="16" spans="1:22" x14ac:dyDescent="0.3">
      <c r="A16" s="28">
        <v>15</v>
      </c>
      <c r="B16" s="28" t="s">
        <v>23</v>
      </c>
      <c r="C16" s="28" t="s">
        <v>690</v>
      </c>
      <c r="D16" s="28">
        <v>50126127</v>
      </c>
      <c r="E16" s="28">
        <v>110</v>
      </c>
      <c r="F16" s="28">
        <v>207</v>
      </c>
      <c r="G16" s="28">
        <v>86</v>
      </c>
      <c r="H16" s="7" t="s">
        <v>64</v>
      </c>
      <c r="I16" s="28" t="s">
        <v>109</v>
      </c>
      <c r="J16" s="28" t="s">
        <v>130</v>
      </c>
      <c r="K16" s="28" t="s">
        <v>109</v>
      </c>
      <c r="L16" s="41">
        <v>0.92013888888888884</v>
      </c>
      <c r="M16" s="28" t="s">
        <v>109</v>
      </c>
      <c r="N16" s="28" t="s">
        <v>109</v>
      </c>
      <c r="O16" s="28" t="s">
        <v>61</v>
      </c>
      <c r="P16" s="28" t="s">
        <v>131</v>
      </c>
      <c r="Q16" s="28" t="s">
        <v>64</v>
      </c>
      <c r="R16" s="28" t="s">
        <v>62</v>
      </c>
      <c r="S16" s="28" t="s">
        <v>136</v>
      </c>
      <c r="T16" s="28" t="s">
        <v>351</v>
      </c>
      <c r="U16" s="28" t="str">
        <f t="shared" si="0"/>
        <v>Met</v>
      </c>
      <c r="V16" s="28" t="s">
        <v>109</v>
      </c>
    </row>
    <row r="17" spans="1:22" x14ac:dyDescent="0.3">
      <c r="A17" s="28">
        <v>16</v>
      </c>
      <c r="B17" s="28" t="s">
        <v>23</v>
      </c>
      <c r="C17" s="28" t="s">
        <v>692</v>
      </c>
      <c r="D17" s="28">
        <v>50126125</v>
      </c>
      <c r="E17" s="28">
        <v>120</v>
      </c>
      <c r="F17" s="28">
        <v>164</v>
      </c>
      <c r="G17" s="28">
        <v>123</v>
      </c>
      <c r="H17" s="7" t="s">
        <v>72</v>
      </c>
      <c r="I17" s="28" t="s">
        <v>109</v>
      </c>
      <c r="J17" s="28" t="s">
        <v>130</v>
      </c>
      <c r="K17" s="28" t="s">
        <v>109</v>
      </c>
      <c r="L17" s="41">
        <v>0.7104166666666667</v>
      </c>
      <c r="M17" s="28" t="s">
        <v>109</v>
      </c>
      <c r="N17" s="28" t="s">
        <v>109</v>
      </c>
      <c r="O17" s="28" t="s">
        <v>61</v>
      </c>
      <c r="P17" s="28" t="s">
        <v>131</v>
      </c>
      <c r="Q17" s="28" t="s">
        <v>72</v>
      </c>
      <c r="R17" s="28" t="s">
        <v>62</v>
      </c>
      <c r="S17" s="28" t="s">
        <v>136</v>
      </c>
      <c r="T17" s="28" t="s">
        <v>351</v>
      </c>
      <c r="U17" s="28" t="str">
        <f t="shared" si="0"/>
        <v>Met</v>
      </c>
      <c r="V17" s="28" t="s">
        <v>109</v>
      </c>
    </row>
    <row r="18" spans="1:22" x14ac:dyDescent="0.3">
      <c r="A18" s="28">
        <v>17</v>
      </c>
      <c r="B18" s="28" t="s">
        <v>25</v>
      </c>
      <c r="C18" s="28" t="s">
        <v>760</v>
      </c>
      <c r="D18" s="28">
        <v>40126016</v>
      </c>
      <c r="E18" s="28">
        <v>160</v>
      </c>
      <c r="F18" s="28">
        <v>292</v>
      </c>
      <c r="G18" s="28">
        <v>154</v>
      </c>
      <c r="H18" s="7" t="s">
        <v>230</v>
      </c>
      <c r="I18" s="28" t="s">
        <v>761</v>
      </c>
      <c r="J18" s="28" t="s">
        <v>130</v>
      </c>
      <c r="K18" s="41">
        <v>0.76458333333333328</v>
      </c>
      <c r="L18" s="41">
        <v>0.80486111111111114</v>
      </c>
      <c r="M18" s="28" t="s">
        <v>109</v>
      </c>
      <c r="N18" s="28" t="s">
        <v>298</v>
      </c>
      <c r="O18" s="28" t="s">
        <v>61</v>
      </c>
      <c r="P18" s="28" t="s">
        <v>131</v>
      </c>
      <c r="Q18" s="28" t="s">
        <v>744</v>
      </c>
      <c r="R18" s="28" t="s">
        <v>62</v>
      </c>
      <c r="S18" s="28" t="s">
        <v>136</v>
      </c>
      <c r="T18" s="28" t="s">
        <v>762</v>
      </c>
      <c r="U18" s="28" t="str">
        <f t="shared" si="0"/>
        <v>Met</v>
      </c>
      <c r="V18" s="28" t="s">
        <v>109</v>
      </c>
    </row>
    <row r="19" spans="1:22" x14ac:dyDescent="0.3">
      <c r="A19" s="52">
        <v>18</v>
      </c>
      <c r="B19" s="52" t="s">
        <v>163</v>
      </c>
      <c r="C19" s="52" t="s">
        <v>164</v>
      </c>
      <c r="D19" s="52">
        <v>40126008</v>
      </c>
      <c r="E19" s="52">
        <v>192</v>
      </c>
      <c r="F19" s="52">
        <v>197</v>
      </c>
      <c r="G19" s="52">
        <v>60</v>
      </c>
      <c r="H19" s="53" t="s">
        <v>763</v>
      </c>
      <c r="I19" s="52" t="s">
        <v>764</v>
      </c>
      <c r="J19" s="52" t="s">
        <v>130</v>
      </c>
      <c r="K19" s="54">
        <v>0.70625000000000004</v>
      </c>
      <c r="L19" s="54">
        <v>0.78055555555555556</v>
      </c>
      <c r="M19" s="52" t="s">
        <v>109</v>
      </c>
      <c r="N19" s="52" t="s">
        <v>165</v>
      </c>
      <c r="O19" s="52" t="s">
        <v>61</v>
      </c>
      <c r="P19" s="52" t="s">
        <v>131</v>
      </c>
      <c r="Q19" s="52" t="s">
        <v>94</v>
      </c>
      <c r="R19" s="52" t="s">
        <v>62</v>
      </c>
      <c r="S19" s="52" t="s">
        <v>136</v>
      </c>
      <c r="T19" s="52" t="s">
        <v>166</v>
      </c>
      <c r="U19" s="28" t="str">
        <f t="shared" si="0"/>
        <v>Met</v>
      </c>
      <c r="V19" s="52" t="s">
        <v>765</v>
      </c>
    </row>
    <row r="20" spans="1:22" x14ac:dyDescent="0.3">
      <c r="A20" s="28">
        <v>19</v>
      </c>
      <c r="B20" s="28" t="s">
        <v>163</v>
      </c>
      <c r="C20" s="28" t="s">
        <v>167</v>
      </c>
      <c r="D20" s="28">
        <v>40126007</v>
      </c>
      <c r="E20" s="28">
        <v>177</v>
      </c>
      <c r="F20" s="28">
        <v>337</v>
      </c>
      <c r="G20" s="28">
        <v>167</v>
      </c>
      <c r="H20" s="7" t="s">
        <v>204</v>
      </c>
      <c r="I20" s="28" t="s">
        <v>294</v>
      </c>
      <c r="J20" s="28" t="s">
        <v>130</v>
      </c>
      <c r="K20" s="41">
        <v>0.75416666666666665</v>
      </c>
      <c r="L20" s="41">
        <v>0.83402777777777781</v>
      </c>
      <c r="M20" s="28" t="s">
        <v>109</v>
      </c>
      <c r="N20" s="28" t="s">
        <v>165</v>
      </c>
      <c r="O20" s="28" t="s">
        <v>61</v>
      </c>
      <c r="P20" s="28" t="s">
        <v>131</v>
      </c>
      <c r="Q20" s="28" t="s">
        <v>605</v>
      </c>
      <c r="R20" s="28" t="s">
        <v>62</v>
      </c>
      <c r="S20" s="28" t="s">
        <v>136</v>
      </c>
      <c r="T20" s="28" t="s">
        <v>166</v>
      </c>
      <c r="U20" s="28" t="str">
        <f t="shared" si="0"/>
        <v>Not Met</v>
      </c>
      <c r="V20" s="28" t="s">
        <v>765</v>
      </c>
    </row>
    <row r="21" spans="1:22" x14ac:dyDescent="0.3">
      <c r="A21" s="28">
        <v>20</v>
      </c>
      <c r="B21" s="28" t="s">
        <v>26</v>
      </c>
      <c r="C21" s="28" t="s">
        <v>766</v>
      </c>
      <c r="D21" s="28">
        <v>40126004</v>
      </c>
      <c r="E21" s="28">
        <v>145</v>
      </c>
      <c r="F21" s="28">
        <v>296</v>
      </c>
      <c r="G21" s="28">
        <v>144</v>
      </c>
      <c r="H21" s="7" t="s">
        <v>192</v>
      </c>
      <c r="I21" s="28" t="s">
        <v>605</v>
      </c>
      <c r="J21" s="28" t="s">
        <v>130</v>
      </c>
      <c r="K21" s="41">
        <v>0.73888888888888893</v>
      </c>
      <c r="L21" s="41">
        <v>0.76041666666666663</v>
      </c>
      <c r="M21" s="28" t="s">
        <v>109</v>
      </c>
      <c r="N21" s="28" t="s">
        <v>109</v>
      </c>
      <c r="O21" s="28" t="s">
        <v>61</v>
      </c>
      <c r="P21" s="28" t="s">
        <v>131</v>
      </c>
      <c r="Q21" s="28" t="s">
        <v>605</v>
      </c>
      <c r="R21" s="28" t="s">
        <v>63</v>
      </c>
      <c r="S21" s="28" t="s">
        <v>136</v>
      </c>
      <c r="T21" s="28" t="s">
        <v>767</v>
      </c>
      <c r="U21" s="28" t="str">
        <f t="shared" si="0"/>
        <v>Met</v>
      </c>
      <c r="V21" s="28" t="s">
        <v>109</v>
      </c>
    </row>
    <row r="22" spans="1:22" x14ac:dyDescent="0.3">
      <c r="A22" s="28">
        <v>21</v>
      </c>
      <c r="B22" s="28" t="s">
        <v>26</v>
      </c>
      <c r="C22" s="28" t="s">
        <v>768</v>
      </c>
      <c r="D22" s="28">
        <v>40126005</v>
      </c>
      <c r="E22" s="28">
        <v>161</v>
      </c>
      <c r="F22" s="28">
        <v>291</v>
      </c>
      <c r="G22" s="28">
        <v>148</v>
      </c>
      <c r="H22" s="7" t="s">
        <v>156</v>
      </c>
      <c r="I22" s="28" t="s">
        <v>285</v>
      </c>
      <c r="J22" s="28" t="s">
        <v>130</v>
      </c>
      <c r="K22" s="41">
        <v>0.73819444444444449</v>
      </c>
      <c r="L22" s="41">
        <v>0.80625000000000002</v>
      </c>
      <c r="M22" s="28" t="s">
        <v>109</v>
      </c>
      <c r="N22" s="28" t="s">
        <v>109</v>
      </c>
      <c r="O22" s="28" t="s">
        <v>61</v>
      </c>
      <c r="P22" s="28" t="s">
        <v>131</v>
      </c>
      <c r="Q22" s="28" t="s">
        <v>93</v>
      </c>
      <c r="R22" s="28" t="s">
        <v>63</v>
      </c>
      <c r="S22" s="28" t="s">
        <v>136</v>
      </c>
      <c r="T22" s="28" t="s">
        <v>767</v>
      </c>
      <c r="U22" s="28" t="str">
        <f t="shared" si="0"/>
        <v>Met</v>
      </c>
      <c r="V22" s="28" t="s">
        <v>109</v>
      </c>
    </row>
    <row r="23" spans="1:22" x14ac:dyDescent="0.3">
      <c r="A23" s="28">
        <v>22</v>
      </c>
      <c r="B23" s="28" t="s">
        <v>26</v>
      </c>
      <c r="C23" s="28" t="s">
        <v>769</v>
      </c>
      <c r="D23" s="28">
        <v>40126006</v>
      </c>
      <c r="E23" s="28">
        <v>136</v>
      </c>
      <c r="F23" s="28">
        <v>208</v>
      </c>
      <c r="G23" s="28">
        <v>118</v>
      </c>
      <c r="H23" s="7" t="s">
        <v>294</v>
      </c>
      <c r="I23" s="28" t="s">
        <v>605</v>
      </c>
      <c r="J23" s="28" t="s">
        <v>130</v>
      </c>
      <c r="K23" s="41">
        <v>0.79027777777777775</v>
      </c>
      <c r="L23" s="41">
        <v>2.013888888888889E-2</v>
      </c>
      <c r="M23" s="28" t="s">
        <v>109</v>
      </c>
      <c r="N23" s="28" t="s">
        <v>109</v>
      </c>
      <c r="O23" s="28" t="s">
        <v>61</v>
      </c>
      <c r="P23" s="28" t="s">
        <v>131</v>
      </c>
      <c r="Q23" s="28" t="s">
        <v>605</v>
      </c>
      <c r="R23" s="28" t="s">
        <v>63</v>
      </c>
      <c r="S23" s="28" t="s">
        <v>136</v>
      </c>
      <c r="T23" s="28" t="s">
        <v>767</v>
      </c>
      <c r="U23" s="28" t="str">
        <f t="shared" si="0"/>
        <v>Not Met</v>
      </c>
      <c r="V23" s="28" t="s">
        <v>889</v>
      </c>
    </row>
    <row r="24" spans="1:22" x14ac:dyDescent="0.3">
      <c r="A24" s="28">
        <v>23</v>
      </c>
      <c r="B24" s="28" t="s">
        <v>26</v>
      </c>
      <c r="C24" s="28" t="s">
        <v>770</v>
      </c>
      <c r="D24" s="28">
        <v>40126003</v>
      </c>
      <c r="E24" s="28">
        <v>259</v>
      </c>
      <c r="F24" s="28">
        <v>460</v>
      </c>
      <c r="G24" s="28">
        <v>248</v>
      </c>
      <c r="H24" s="7" t="s">
        <v>771</v>
      </c>
      <c r="I24" s="28" t="s">
        <v>772</v>
      </c>
      <c r="J24" s="28" t="s">
        <v>130</v>
      </c>
      <c r="K24" s="41">
        <v>0.94652777777777775</v>
      </c>
      <c r="L24" s="41">
        <v>0.98124999999999996</v>
      </c>
      <c r="M24" s="28" t="s">
        <v>109</v>
      </c>
      <c r="N24" s="28" t="s">
        <v>109</v>
      </c>
      <c r="O24" s="28" t="s">
        <v>61</v>
      </c>
      <c r="P24" s="28" t="s">
        <v>131</v>
      </c>
      <c r="Q24" s="28" t="s">
        <v>86</v>
      </c>
      <c r="R24" s="28" t="s">
        <v>63</v>
      </c>
      <c r="S24" s="28" t="s">
        <v>136</v>
      </c>
      <c r="T24" s="28" t="s">
        <v>767</v>
      </c>
      <c r="U24" s="28" t="str">
        <f t="shared" si="0"/>
        <v>Met</v>
      </c>
      <c r="V24" s="28" t="s">
        <v>109</v>
      </c>
    </row>
    <row r="25" spans="1:22" x14ac:dyDescent="0.3">
      <c r="A25" s="52">
        <v>24</v>
      </c>
      <c r="B25" s="52" t="s">
        <v>26</v>
      </c>
      <c r="C25" s="52" t="s">
        <v>773</v>
      </c>
      <c r="D25" s="52">
        <v>40126002</v>
      </c>
      <c r="E25" s="52">
        <v>229</v>
      </c>
      <c r="F25" s="52">
        <v>354</v>
      </c>
      <c r="G25" s="52">
        <v>246</v>
      </c>
      <c r="H25" s="53" t="s">
        <v>873</v>
      </c>
      <c r="I25" s="52" t="s">
        <v>874</v>
      </c>
      <c r="J25" s="52" t="s">
        <v>130</v>
      </c>
      <c r="K25" s="54">
        <v>0.87222222222222223</v>
      </c>
      <c r="L25" s="55">
        <v>0.88541666666666663</v>
      </c>
      <c r="M25" s="52" t="s">
        <v>109</v>
      </c>
      <c r="N25" s="52" t="s">
        <v>109</v>
      </c>
      <c r="O25" s="52" t="s">
        <v>61</v>
      </c>
      <c r="P25" s="52" t="s">
        <v>131</v>
      </c>
      <c r="Q25" s="52" t="s">
        <v>209</v>
      </c>
      <c r="R25" s="52" t="s">
        <v>63</v>
      </c>
      <c r="S25" s="52" t="s">
        <v>136</v>
      </c>
      <c r="T25" s="52" t="s">
        <v>767</v>
      </c>
      <c r="U25" s="28" t="str">
        <f t="shared" si="0"/>
        <v>Met</v>
      </c>
      <c r="V25" s="52" t="s">
        <v>109</v>
      </c>
    </row>
    <row r="26" spans="1:22" x14ac:dyDescent="0.3">
      <c r="A26" s="28">
        <v>25</v>
      </c>
      <c r="B26" s="28" t="s">
        <v>26</v>
      </c>
      <c r="C26" s="28" t="s">
        <v>774</v>
      </c>
      <c r="D26" s="28">
        <v>40126001</v>
      </c>
      <c r="E26" s="28">
        <v>224</v>
      </c>
      <c r="F26" s="28">
        <v>311</v>
      </c>
      <c r="G26" s="28">
        <v>185</v>
      </c>
      <c r="H26" s="7" t="s">
        <v>633</v>
      </c>
      <c r="I26" s="28" t="s">
        <v>102</v>
      </c>
      <c r="J26" s="28" t="s">
        <v>130</v>
      </c>
      <c r="K26" s="41">
        <v>0.88958333333333328</v>
      </c>
      <c r="L26" s="41">
        <v>4.1666666666666666E-3</v>
      </c>
      <c r="M26" s="28" t="s">
        <v>109</v>
      </c>
      <c r="N26" s="28" t="s">
        <v>109</v>
      </c>
      <c r="O26" s="28" t="s">
        <v>61</v>
      </c>
      <c r="P26" s="28" t="s">
        <v>131</v>
      </c>
      <c r="Q26" s="28" t="s">
        <v>89</v>
      </c>
      <c r="R26" s="28" t="s">
        <v>63</v>
      </c>
      <c r="S26" s="28" t="s">
        <v>136</v>
      </c>
      <c r="T26" s="28" t="s">
        <v>767</v>
      </c>
      <c r="U26" s="28" t="str">
        <f t="shared" si="0"/>
        <v>Met</v>
      </c>
      <c r="V26" s="28" t="s">
        <v>109</v>
      </c>
    </row>
    <row r="27" spans="1:22" x14ac:dyDescent="0.3">
      <c r="A27" s="28">
        <v>26</v>
      </c>
      <c r="B27" s="28" t="s">
        <v>143</v>
      </c>
      <c r="C27" s="28" t="s">
        <v>185</v>
      </c>
      <c r="D27" s="28">
        <v>11125002</v>
      </c>
      <c r="E27" s="28">
        <v>100</v>
      </c>
      <c r="F27" s="28">
        <v>201</v>
      </c>
      <c r="G27" s="28">
        <v>102</v>
      </c>
      <c r="H27" s="7" t="s">
        <v>71</v>
      </c>
      <c r="I27" s="28" t="s">
        <v>87</v>
      </c>
      <c r="J27" s="28" t="s">
        <v>130</v>
      </c>
      <c r="K27" s="41">
        <v>0.9291666666666667</v>
      </c>
      <c r="L27" s="41">
        <v>0.97152777777777777</v>
      </c>
      <c r="M27" s="28" t="s">
        <v>109</v>
      </c>
      <c r="N27" s="28" t="s">
        <v>109</v>
      </c>
      <c r="O27" s="28" t="s">
        <v>61</v>
      </c>
      <c r="P27" s="28" t="s">
        <v>131</v>
      </c>
      <c r="Q27" s="28" t="s">
        <v>87</v>
      </c>
      <c r="R27" s="28" t="s">
        <v>62</v>
      </c>
      <c r="S27" s="28" t="s">
        <v>136</v>
      </c>
      <c r="T27" s="28" t="s">
        <v>116</v>
      </c>
      <c r="U27" s="28" t="str">
        <f t="shared" si="0"/>
        <v>Not Met</v>
      </c>
      <c r="V27" s="28" t="s">
        <v>889</v>
      </c>
    </row>
    <row r="28" spans="1:22" x14ac:dyDescent="0.3">
      <c r="A28" s="28">
        <v>27</v>
      </c>
      <c r="B28" s="28" t="s">
        <v>143</v>
      </c>
      <c r="C28" s="28" t="s">
        <v>347</v>
      </c>
      <c r="D28" s="28">
        <v>11225025</v>
      </c>
      <c r="E28" s="28">
        <v>100</v>
      </c>
      <c r="F28" s="28">
        <v>173</v>
      </c>
      <c r="G28" s="28">
        <v>113</v>
      </c>
      <c r="H28" s="7" t="s">
        <v>200</v>
      </c>
      <c r="I28" s="28" t="s">
        <v>91</v>
      </c>
      <c r="J28" s="28" t="s">
        <v>130</v>
      </c>
      <c r="K28" s="41">
        <v>0.71319444444444446</v>
      </c>
      <c r="L28" s="41">
        <v>0.81041666666666667</v>
      </c>
      <c r="M28" s="28" t="s">
        <v>109</v>
      </c>
      <c r="N28" s="28" t="s">
        <v>109</v>
      </c>
      <c r="O28" s="28" t="s">
        <v>61</v>
      </c>
      <c r="P28" s="28" t="s">
        <v>131</v>
      </c>
      <c r="Q28" s="28" t="s">
        <v>91</v>
      </c>
      <c r="R28" s="28" t="s">
        <v>62</v>
      </c>
      <c r="S28" s="28" t="s">
        <v>136</v>
      </c>
      <c r="T28" s="28" t="s">
        <v>116</v>
      </c>
      <c r="U28" s="28" t="str">
        <f t="shared" si="0"/>
        <v>Met</v>
      </c>
      <c r="V28" s="28" t="s">
        <v>109</v>
      </c>
    </row>
    <row r="29" spans="1:22" x14ac:dyDescent="0.3">
      <c r="A29" s="28">
        <v>28</v>
      </c>
      <c r="B29" s="28" t="s">
        <v>143</v>
      </c>
      <c r="C29" s="28" t="s">
        <v>775</v>
      </c>
      <c r="D29" s="28">
        <v>10126014</v>
      </c>
      <c r="E29" s="28">
        <v>50</v>
      </c>
      <c r="F29" s="28">
        <v>81</v>
      </c>
      <c r="G29" s="28">
        <v>50</v>
      </c>
      <c r="H29" s="7" t="s">
        <v>184</v>
      </c>
      <c r="I29" s="28" t="s">
        <v>154</v>
      </c>
      <c r="J29" s="28" t="s">
        <v>130</v>
      </c>
      <c r="K29" s="41">
        <v>0.90416666666666667</v>
      </c>
      <c r="L29" s="41">
        <v>0.9555555555555556</v>
      </c>
      <c r="M29" s="28" t="s">
        <v>109</v>
      </c>
      <c r="N29" s="28" t="s">
        <v>109</v>
      </c>
      <c r="O29" s="28" t="s">
        <v>61</v>
      </c>
      <c r="P29" s="28" t="s">
        <v>131</v>
      </c>
      <c r="Q29" s="28" t="s">
        <v>154</v>
      </c>
      <c r="R29" s="28" t="s">
        <v>62</v>
      </c>
      <c r="S29" s="28" t="s">
        <v>136</v>
      </c>
      <c r="T29" s="28" t="s">
        <v>351</v>
      </c>
      <c r="U29" s="28" t="str">
        <f t="shared" si="0"/>
        <v>Not Met</v>
      </c>
      <c r="V29" s="28" t="s">
        <v>889</v>
      </c>
    </row>
    <row r="30" spans="1:22" x14ac:dyDescent="0.3">
      <c r="A30" s="28">
        <v>29</v>
      </c>
      <c r="B30" s="28" t="s">
        <v>143</v>
      </c>
      <c r="C30" s="28" t="s">
        <v>776</v>
      </c>
      <c r="D30" s="28">
        <v>11125075</v>
      </c>
      <c r="E30" s="28">
        <v>120</v>
      </c>
      <c r="F30" s="28">
        <v>190</v>
      </c>
      <c r="G30" s="28">
        <v>47</v>
      </c>
      <c r="H30" s="7" t="s">
        <v>84</v>
      </c>
      <c r="I30" s="28" t="s">
        <v>179</v>
      </c>
      <c r="J30" s="28" t="s">
        <v>130</v>
      </c>
      <c r="K30" s="41">
        <v>0.83472222222222225</v>
      </c>
      <c r="L30" s="41">
        <v>3.8194444444444448E-2</v>
      </c>
      <c r="M30" s="28" t="s">
        <v>109</v>
      </c>
      <c r="N30" s="28" t="s">
        <v>109</v>
      </c>
      <c r="O30" s="28" t="s">
        <v>61</v>
      </c>
      <c r="P30" s="28" t="s">
        <v>131</v>
      </c>
      <c r="Q30" s="28" t="s">
        <v>91</v>
      </c>
      <c r="R30" s="28" t="s">
        <v>62</v>
      </c>
      <c r="S30" s="28" t="s">
        <v>136</v>
      </c>
      <c r="T30" s="28" t="s">
        <v>777</v>
      </c>
      <c r="U30" s="28" t="str">
        <f t="shared" si="0"/>
        <v>Met</v>
      </c>
      <c r="V30" s="28" t="s">
        <v>109</v>
      </c>
    </row>
    <row r="31" spans="1:22" x14ac:dyDescent="0.3">
      <c r="A31" s="28">
        <v>30</v>
      </c>
      <c r="B31" s="28" t="s">
        <v>143</v>
      </c>
      <c r="C31" s="28" t="s">
        <v>778</v>
      </c>
      <c r="D31" s="28">
        <v>11125063</v>
      </c>
      <c r="E31" s="28">
        <v>25</v>
      </c>
      <c r="F31" s="28">
        <v>10</v>
      </c>
      <c r="G31" s="28">
        <v>2</v>
      </c>
      <c r="H31" s="7" t="s">
        <v>65</v>
      </c>
      <c r="I31" s="28" t="s">
        <v>93</v>
      </c>
      <c r="J31" s="28" t="s">
        <v>130</v>
      </c>
      <c r="K31" s="41">
        <v>0.81527777777777777</v>
      </c>
      <c r="L31" s="41">
        <v>0.8208333333333333</v>
      </c>
      <c r="M31" s="28" t="s">
        <v>109</v>
      </c>
      <c r="N31" s="28" t="s">
        <v>109</v>
      </c>
      <c r="O31" s="28" t="s">
        <v>61</v>
      </c>
      <c r="P31" s="28" t="s">
        <v>131</v>
      </c>
      <c r="Q31" s="28" t="s">
        <v>93</v>
      </c>
      <c r="R31" s="28" t="s">
        <v>62</v>
      </c>
      <c r="S31" s="28" t="s">
        <v>136</v>
      </c>
      <c r="T31" s="28" t="s">
        <v>777</v>
      </c>
      <c r="U31" s="28" t="str">
        <f t="shared" si="0"/>
        <v>Met</v>
      </c>
      <c r="V31" s="28" t="s">
        <v>109</v>
      </c>
    </row>
    <row r="32" spans="1:22" x14ac:dyDescent="0.3">
      <c r="A32" s="28">
        <v>31</v>
      </c>
      <c r="B32" s="28" t="s">
        <v>143</v>
      </c>
      <c r="C32" s="28" t="s">
        <v>779</v>
      </c>
      <c r="D32" s="28">
        <v>10126010</v>
      </c>
      <c r="E32" s="28">
        <v>128</v>
      </c>
      <c r="F32" s="28">
        <v>262</v>
      </c>
      <c r="G32" s="28">
        <v>136</v>
      </c>
      <c r="H32" s="7" t="s">
        <v>93</v>
      </c>
      <c r="I32" s="28" t="s">
        <v>370</v>
      </c>
      <c r="J32" s="28" t="s">
        <v>130</v>
      </c>
      <c r="K32" s="28" t="s">
        <v>109</v>
      </c>
      <c r="L32" s="41">
        <v>2.7777777777777776E-2</v>
      </c>
      <c r="M32" s="28" t="s">
        <v>109</v>
      </c>
      <c r="N32" s="28" t="s">
        <v>109</v>
      </c>
      <c r="O32" s="28" t="s">
        <v>61</v>
      </c>
      <c r="P32" s="28" t="s">
        <v>131</v>
      </c>
      <c r="Q32" s="28" t="s">
        <v>370</v>
      </c>
      <c r="R32" s="28" t="s">
        <v>62</v>
      </c>
      <c r="S32" s="28" t="s">
        <v>136</v>
      </c>
      <c r="T32" s="28" t="s">
        <v>780</v>
      </c>
      <c r="U32" s="28" t="str">
        <f t="shared" si="0"/>
        <v>Met</v>
      </c>
      <c r="V32" s="28" t="s">
        <v>109</v>
      </c>
    </row>
    <row r="33" spans="1:22" x14ac:dyDescent="0.3">
      <c r="A33" s="28">
        <v>32</v>
      </c>
      <c r="B33" s="28" t="s">
        <v>143</v>
      </c>
      <c r="C33" s="28" t="s">
        <v>781</v>
      </c>
      <c r="D33" s="28">
        <v>10126009</v>
      </c>
      <c r="E33" s="28">
        <v>110</v>
      </c>
      <c r="F33" s="28">
        <v>228</v>
      </c>
      <c r="G33" s="28">
        <v>101</v>
      </c>
      <c r="H33" s="7" t="s">
        <v>782</v>
      </c>
      <c r="I33" s="28" t="s">
        <v>783</v>
      </c>
      <c r="J33" s="28" t="s">
        <v>130</v>
      </c>
      <c r="K33" s="41">
        <v>0.81527777777777777</v>
      </c>
      <c r="L33" s="41">
        <v>0.88124999999999998</v>
      </c>
      <c r="M33" s="28" t="s">
        <v>109</v>
      </c>
      <c r="N33" s="28" t="s">
        <v>109</v>
      </c>
      <c r="O33" s="28" t="s">
        <v>61</v>
      </c>
      <c r="P33" s="28" t="s">
        <v>131</v>
      </c>
      <c r="Q33" s="28" t="s">
        <v>603</v>
      </c>
      <c r="R33" s="28" t="s">
        <v>62</v>
      </c>
      <c r="S33" s="28" t="s">
        <v>136</v>
      </c>
      <c r="T33" s="28" t="s">
        <v>398</v>
      </c>
      <c r="U33" s="28" t="str">
        <f t="shared" si="0"/>
        <v>Met</v>
      </c>
      <c r="V33" s="28" t="s">
        <v>109</v>
      </c>
    </row>
    <row r="34" spans="1:22" x14ac:dyDescent="0.3">
      <c r="A34" s="28">
        <v>33</v>
      </c>
      <c r="B34" s="28" t="s">
        <v>143</v>
      </c>
      <c r="C34" s="28" t="s">
        <v>784</v>
      </c>
      <c r="D34" s="28">
        <v>10126012</v>
      </c>
      <c r="E34" s="28">
        <v>61</v>
      </c>
      <c r="F34" s="28">
        <v>147</v>
      </c>
      <c r="G34" s="28">
        <v>57</v>
      </c>
      <c r="H34" s="7" t="s">
        <v>86</v>
      </c>
      <c r="I34" s="28" t="s">
        <v>744</v>
      </c>
      <c r="J34" s="28" t="s">
        <v>130</v>
      </c>
      <c r="K34" s="41">
        <v>0.91874999999999996</v>
      </c>
      <c r="L34" s="41">
        <v>1.2500000000000001E-2</v>
      </c>
      <c r="M34" s="28" t="s">
        <v>109</v>
      </c>
      <c r="N34" s="28" t="s">
        <v>109</v>
      </c>
      <c r="O34" s="28" t="s">
        <v>61</v>
      </c>
      <c r="P34" s="28" t="s">
        <v>131</v>
      </c>
      <c r="Q34" s="28" t="s">
        <v>744</v>
      </c>
      <c r="R34" s="28" t="s">
        <v>62</v>
      </c>
      <c r="S34" s="28" t="s">
        <v>136</v>
      </c>
      <c r="T34" s="28" t="s">
        <v>398</v>
      </c>
      <c r="U34" s="28" t="str">
        <f t="shared" si="0"/>
        <v>Met</v>
      </c>
      <c r="V34" s="28" t="s">
        <v>109</v>
      </c>
    </row>
    <row r="35" spans="1:22" x14ac:dyDescent="0.3">
      <c r="A35" s="28">
        <v>34</v>
      </c>
      <c r="B35" s="28" t="s">
        <v>143</v>
      </c>
      <c r="C35" s="28" t="s">
        <v>785</v>
      </c>
      <c r="D35" s="28">
        <v>10126013</v>
      </c>
      <c r="E35" s="28">
        <v>82</v>
      </c>
      <c r="F35" s="28">
        <v>120</v>
      </c>
      <c r="G35" s="28">
        <v>57</v>
      </c>
      <c r="H35" s="7" t="s">
        <v>153</v>
      </c>
      <c r="I35" s="28" t="s">
        <v>154</v>
      </c>
      <c r="J35" s="28" t="s">
        <v>130</v>
      </c>
      <c r="K35" s="41">
        <v>0.92222222222222228</v>
      </c>
      <c r="L35" s="41">
        <v>9.0277777777777769E-3</v>
      </c>
      <c r="M35" s="28" t="s">
        <v>109</v>
      </c>
      <c r="N35" s="28" t="s">
        <v>109</v>
      </c>
      <c r="O35" s="28" t="s">
        <v>61</v>
      </c>
      <c r="P35" s="28" t="s">
        <v>131</v>
      </c>
      <c r="Q35" s="28" t="s">
        <v>154</v>
      </c>
      <c r="R35" s="28" t="s">
        <v>62</v>
      </c>
      <c r="S35" s="28" t="s">
        <v>136</v>
      </c>
      <c r="T35" s="28" t="s">
        <v>398</v>
      </c>
      <c r="U35" s="28" t="str">
        <f t="shared" si="0"/>
        <v>Met</v>
      </c>
      <c r="V35" s="28" t="s">
        <v>109</v>
      </c>
    </row>
    <row r="36" spans="1:22" x14ac:dyDescent="0.3">
      <c r="A36" s="28">
        <v>35</v>
      </c>
      <c r="B36" s="28" t="s">
        <v>143</v>
      </c>
      <c r="C36" s="28" t="s">
        <v>786</v>
      </c>
      <c r="D36" s="28">
        <v>10126011</v>
      </c>
      <c r="E36" s="28">
        <v>55</v>
      </c>
      <c r="F36" s="28">
        <v>110</v>
      </c>
      <c r="G36" s="28">
        <v>65</v>
      </c>
      <c r="H36" s="7" t="s">
        <v>95</v>
      </c>
      <c r="I36" s="28" t="s">
        <v>787</v>
      </c>
      <c r="J36" s="28" t="s">
        <v>130</v>
      </c>
      <c r="K36" s="28" t="s">
        <v>109</v>
      </c>
      <c r="L36" s="41">
        <v>0.9604166666666667</v>
      </c>
      <c r="M36" s="28" t="s">
        <v>109</v>
      </c>
      <c r="N36" s="28" t="s">
        <v>109</v>
      </c>
      <c r="O36" s="28" t="s">
        <v>61</v>
      </c>
      <c r="P36" s="28" t="s">
        <v>131</v>
      </c>
      <c r="Q36" s="28" t="s">
        <v>787</v>
      </c>
      <c r="R36" s="28" t="s">
        <v>62</v>
      </c>
      <c r="S36" s="28" t="s">
        <v>136</v>
      </c>
      <c r="T36" s="28" t="s">
        <v>398</v>
      </c>
      <c r="U36" s="28" t="str">
        <f t="shared" si="0"/>
        <v>Met</v>
      </c>
      <c r="V36" s="28" t="s">
        <v>109</v>
      </c>
    </row>
    <row r="37" spans="1:22" x14ac:dyDescent="0.3">
      <c r="A37" s="28">
        <v>36</v>
      </c>
      <c r="B37" s="28" t="s">
        <v>23</v>
      </c>
      <c r="C37" s="28" t="s">
        <v>788</v>
      </c>
      <c r="D37" s="28">
        <v>50126178</v>
      </c>
      <c r="E37" s="28">
        <v>50</v>
      </c>
      <c r="F37" s="28">
        <v>67</v>
      </c>
      <c r="G37" s="28">
        <v>59</v>
      </c>
      <c r="H37" s="7" t="s">
        <v>94</v>
      </c>
      <c r="I37" s="28" t="s">
        <v>109</v>
      </c>
      <c r="J37" s="28" t="s">
        <v>130</v>
      </c>
      <c r="K37" s="51" t="s">
        <v>109</v>
      </c>
      <c r="L37" s="51">
        <v>8.611111111111111E-2</v>
      </c>
      <c r="M37" s="28" t="s">
        <v>109</v>
      </c>
      <c r="N37" s="28" t="s">
        <v>109</v>
      </c>
      <c r="O37" s="28" t="s">
        <v>61</v>
      </c>
      <c r="P37" s="28" t="s">
        <v>131</v>
      </c>
      <c r="Q37" s="28" t="s">
        <v>888</v>
      </c>
      <c r="R37" s="28" t="s">
        <v>62</v>
      </c>
      <c r="S37" s="28" t="s">
        <v>136</v>
      </c>
      <c r="T37" s="28" t="s">
        <v>424</v>
      </c>
      <c r="U37" s="28" t="str">
        <f t="shared" si="0"/>
        <v>Not Met</v>
      </c>
      <c r="V37" s="28" t="s">
        <v>889</v>
      </c>
    </row>
    <row r="38" spans="1:22" x14ac:dyDescent="0.3">
      <c r="A38" s="28">
        <v>37</v>
      </c>
      <c r="B38" s="28" t="s">
        <v>23</v>
      </c>
      <c r="C38" s="28" t="s">
        <v>789</v>
      </c>
      <c r="D38" s="28">
        <v>50126191</v>
      </c>
      <c r="E38" s="28">
        <v>40</v>
      </c>
      <c r="F38" s="28">
        <v>36</v>
      </c>
      <c r="G38" s="28">
        <v>34</v>
      </c>
      <c r="H38" s="7" t="s">
        <v>67</v>
      </c>
      <c r="I38" s="28" t="s">
        <v>109</v>
      </c>
      <c r="J38" s="28" t="s">
        <v>130</v>
      </c>
      <c r="K38" s="28" t="s">
        <v>109</v>
      </c>
      <c r="L38" s="41">
        <v>0.73333333333333328</v>
      </c>
      <c r="M38" s="28" t="s">
        <v>109</v>
      </c>
      <c r="N38" s="28" t="s">
        <v>109</v>
      </c>
      <c r="O38" s="28" t="s">
        <v>61</v>
      </c>
      <c r="P38" s="28" t="s">
        <v>131</v>
      </c>
      <c r="Q38" s="28" t="s">
        <v>67</v>
      </c>
      <c r="R38" s="28" t="s">
        <v>62</v>
      </c>
      <c r="S38" s="28" t="s">
        <v>136</v>
      </c>
      <c r="T38" s="28" t="s">
        <v>424</v>
      </c>
      <c r="U38" s="28" t="str">
        <f t="shared" si="0"/>
        <v>Met</v>
      </c>
      <c r="V38" s="28" t="s">
        <v>109</v>
      </c>
    </row>
    <row r="39" spans="1:22" x14ac:dyDescent="0.3">
      <c r="A39" s="28">
        <v>38</v>
      </c>
      <c r="B39" s="28" t="s">
        <v>23</v>
      </c>
      <c r="C39" s="28" t="s">
        <v>790</v>
      </c>
      <c r="D39" s="28">
        <v>50126192</v>
      </c>
      <c r="E39" s="28">
        <v>40</v>
      </c>
      <c r="F39" s="28">
        <v>34</v>
      </c>
      <c r="G39" s="28">
        <v>13</v>
      </c>
      <c r="H39" s="7" t="s">
        <v>72</v>
      </c>
      <c r="I39" s="28" t="s">
        <v>109</v>
      </c>
      <c r="J39" s="28" t="s">
        <v>130</v>
      </c>
      <c r="K39" s="28" t="s">
        <v>109</v>
      </c>
      <c r="L39" s="41">
        <v>0.80486111111111114</v>
      </c>
      <c r="M39" s="28" t="s">
        <v>109</v>
      </c>
      <c r="N39" s="28" t="s">
        <v>109</v>
      </c>
      <c r="O39" s="28" t="s">
        <v>61</v>
      </c>
      <c r="P39" s="28" t="s">
        <v>131</v>
      </c>
      <c r="Q39" s="28" t="s">
        <v>87</v>
      </c>
      <c r="R39" s="28" t="s">
        <v>62</v>
      </c>
      <c r="S39" s="28" t="s">
        <v>136</v>
      </c>
      <c r="T39" s="28" t="s">
        <v>424</v>
      </c>
      <c r="U39" s="28" t="str">
        <f t="shared" si="0"/>
        <v>Not Met</v>
      </c>
      <c r="V39" s="28" t="s">
        <v>889</v>
      </c>
    </row>
    <row r="40" spans="1:22" x14ac:dyDescent="0.3">
      <c r="A40" s="28">
        <v>39</v>
      </c>
      <c r="B40" s="28" t="s">
        <v>23</v>
      </c>
      <c r="C40" s="28" t="s">
        <v>791</v>
      </c>
      <c r="D40" s="28">
        <v>50126179</v>
      </c>
      <c r="E40" s="28">
        <v>50</v>
      </c>
      <c r="F40" s="28">
        <v>73</v>
      </c>
      <c r="G40" s="28">
        <v>50</v>
      </c>
      <c r="H40" s="7" t="s">
        <v>179</v>
      </c>
      <c r="I40" s="28" t="s">
        <v>109</v>
      </c>
      <c r="J40" s="28" t="s">
        <v>130</v>
      </c>
      <c r="K40" s="28" t="s">
        <v>109</v>
      </c>
      <c r="L40" s="41">
        <v>0.91180555555555554</v>
      </c>
      <c r="M40" s="28" t="s">
        <v>109</v>
      </c>
      <c r="N40" s="28" t="s">
        <v>109</v>
      </c>
      <c r="O40" s="28" t="s">
        <v>61</v>
      </c>
      <c r="P40" s="28" t="s">
        <v>131</v>
      </c>
      <c r="Q40" s="28" t="s">
        <v>179</v>
      </c>
      <c r="R40" s="28" t="s">
        <v>62</v>
      </c>
      <c r="S40" s="28" t="s">
        <v>136</v>
      </c>
      <c r="T40" s="28" t="s">
        <v>424</v>
      </c>
      <c r="U40" s="28" t="str">
        <f t="shared" si="0"/>
        <v>Met</v>
      </c>
      <c r="V40" s="28" t="s">
        <v>109</v>
      </c>
    </row>
    <row r="41" spans="1:22" x14ac:dyDescent="0.3">
      <c r="A41" s="28">
        <v>40</v>
      </c>
      <c r="B41" s="28" t="s">
        <v>23</v>
      </c>
      <c r="C41" s="28" t="s">
        <v>792</v>
      </c>
      <c r="D41" s="28">
        <v>50126180</v>
      </c>
      <c r="E41" s="28">
        <v>40</v>
      </c>
      <c r="F41" s="28">
        <v>40</v>
      </c>
      <c r="G41" s="28">
        <v>17</v>
      </c>
      <c r="H41" s="7" t="s">
        <v>84</v>
      </c>
      <c r="I41" s="28" t="s">
        <v>109</v>
      </c>
      <c r="J41" s="28" t="s">
        <v>130</v>
      </c>
      <c r="K41" s="28" t="s">
        <v>109</v>
      </c>
      <c r="L41" s="41">
        <v>0.89097222222222228</v>
      </c>
      <c r="M41" s="28" t="s">
        <v>109</v>
      </c>
      <c r="N41" s="28" t="s">
        <v>109</v>
      </c>
      <c r="O41" s="28" t="s">
        <v>61</v>
      </c>
      <c r="P41" s="28" t="s">
        <v>131</v>
      </c>
      <c r="Q41" s="28" t="s">
        <v>84</v>
      </c>
      <c r="R41" s="28" t="s">
        <v>62</v>
      </c>
      <c r="S41" s="28" t="s">
        <v>136</v>
      </c>
      <c r="T41" s="28" t="s">
        <v>424</v>
      </c>
      <c r="U41" s="28" t="str">
        <f t="shared" si="0"/>
        <v>Met</v>
      </c>
      <c r="V41" s="28" t="s">
        <v>109</v>
      </c>
    </row>
    <row r="42" spans="1:22" x14ac:dyDescent="0.3">
      <c r="A42" s="28">
        <v>41</v>
      </c>
      <c r="B42" s="28" t="s">
        <v>23</v>
      </c>
      <c r="C42" s="28" t="s">
        <v>793</v>
      </c>
      <c r="D42" s="28">
        <v>50126181</v>
      </c>
      <c r="E42" s="28">
        <v>50</v>
      </c>
      <c r="F42" s="28">
        <v>103</v>
      </c>
      <c r="G42" s="28">
        <v>71</v>
      </c>
      <c r="H42" s="7" t="s">
        <v>86</v>
      </c>
      <c r="I42" s="28" t="s">
        <v>109</v>
      </c>
      <c r="J42" s="28" t="s">
        <v>130</v>
      </c>
      <c r="K42" s="28" t="s">
        <v>109</v>
      </c>
      <c r="L42" s="41">
        <v>0.96180555555555558</v>
      </c>
      <c r="M42" s="28" t="s">
        <v>109</v>
      </c>
      <c r="N42" s="28" t="s">
        <v>109</v>
      </c>
      <c r="O42" s="28" t="s">
        <v>61</v>
      </c>
      <c r="P42" s="28" t="s">
        <v>131</v>
      </c>
      <c r="Q42" s="28" t="s">
        <v>86</v>
      </c>
      <c r="R42" s="28" t="s">
        <v>62</v>
      </c>
      <c r="S42" s="28" t="s">
        <v>136</v>
      </c>
      <c r="T42" s="28" t="s">
        <v>424</v>
      </c>
      <c r="U42" s="28" t="str">
        <f t="shared" si="0"/>
        <v>Not Met</v>
      </c>
      <c r="V42" s="28" t="s">
        <v>889</v>
      </c>
    </row>
    <row r="43" spans="1:22" x14ac:dyDescent="0.3">
      <c r="A43" s="28">
        <v>42</v>
      </c>
      <c r="B43" s="28" t="s">
        <v>23</v>
      </c>
      <c r="C43" s="28" t="s">
        <v>794</v>
      </c>
      <c r="D43" s="28">
        <v>50126194</v>
      </c>
      <c r="E43" s="28">
        <v>40</v>
      </c>
      <c r="F43" s="28">
        <v>92</v>
      </c>
      <c r="G43" s="28">
        <v>50</v>
      </c>
      <c r="H43" s="7" t="s">
        <v>184</v>
      </c>
      <c r="I43" s="28" t="s">
        <v>109</v>
      </c>
      <c r="J43" s="28" t="s">
        <v>130</v>
      </c>
      <c r="K43" s="28" t="s">
        <v>109</v>
      </c>
      <c r="L43" s="41">
        <v>0.83888888888888891</v>
      </c>
      <c r="M43" s="28" t="s">
        <v>109</v>
      </c>
      <c r="N43" s="28" t="s">
        <v>109</v>
      </c>
      <c r="O43" s="28" t="s">
        <v>61</v>
      </c>
      <c r="P43" s="28" t="s">
        <v>131</v>
      </c>
      <c r="Q43" s="28" t="s">
        <v>184</v>
      </c>
      <c r="R43" s="28" t="s">
        <v>62</v>
      </c>
      <c r="S43" s="28" t="s">
        <v>136</v>
      </c>
      <c r="T43" s="28" t="s">
        <v>424</v>
      </c>
      <c r="U43" s="28" t="str">
        <f t="shared" si="0"/>
        <v>Met</v>
      </c>
      <c r="V43" s="28" t="s">
        <v>109</v>
      </c>
    </row>
    <row r="44" spans="1:22" x14ac:dyDescent="0.3">
      <c r="A44" s="28">
        <v>43</v>
      </c>
      <c r="B44" s="28" t="s">
        <v>23</v>
      </c>
      <c r="C44" s="28" t="s">
        <v>795</v>
      </c>
      <c r="D44" s="28">
        <v>50126182</v>
      </c>
      <c r="E44" s="28">
        <v>50</v>
      </c>
      <c r="F44" s="28">
        <v>74</v>
      </c>
      <c r="G44" s="28">
        <v>60</v>
      </c>
      <c r="H44" s="7" t="s">
        <v>241</v>
      </c>
      <c r="I44" s="28" t="s">
        <v>109</v>
      </c>
      <c r="J44" s="28" t="s">
        <v>130</v>
      </c>
      <c r="K44" s="28" t="s">
        <v>109</v>
      </c>
      <c r="L44" s="41">
        <v>0.97430555555555554</v>
      </c>
      <c r="M44" s="28" t="s">
        <v>109</v>
      </c>
      <c r="N44" s="28" t="s">
        <v>109</v>
      </c>
      <c r="O44" s="28" t="s">
        <v>61</v>
      </c>
      <c r="P44" s="28" t="s">
        <v>131</v>
      </c>
      <c r="Q44" s="28" t="s">
        <v>241</v>
      </c>
      <c r="R44" s="28" t="s">
        <v>62</v>
      </c>
      <c r="S44" s="28" t="s">
        <v>136</v>
      </c>
      <c r="T44" s="28" t="s">
        <v>424</v>
      </c>
      <c r="U44" s="28" t="str">
        <f t="shared" si="0"/>
        <v>Met</v>
      </c>
      <c r="V44" s="28" t="s">
        <v>109</v>
      </c>
    </row>
    <row r="45" spans="1:22" x14ac:dyDescent="0.3">
      <c r="A45" s="28">
        <v>44</v>
      </c>
      <c r="B45" s="28" t="s">
        <v>23</v>
      </c>
      <c r="C45" s="28" t="s">
        <v>796</v>
      </c>
      <c r="D45" s="28">
        <v>50126183</v>
      </c>
      <c r="E45" s="28">
        <v>50</v>
      </c>
      <c r="F45" s="28">
        <v>65</v>
      </c>
      <c r="G45" s="28">
        <v>59</v>
      </c>
      <c r="H45" s="7" t="s">
        <v>153</v>
      </c>
      <c r="I45" s="28" t="s">
        <v>109</v>
      </c>
      <c r="J45" s="28" t="s">
        <v>130</v>
      </c>
      <c r="K45" s="28" t="s">
        <v>109</v>
      </c>
      <c r="L45" s="41">
        <v>0.64652777777777781</v>
      </c>
      <c r="M45" s="28" t="s">
        <v>109</v>
      </c>
      <c r="N45" s="28" t="s">
        <v>109</v>
      </c>
      <c r="O45" s="28" t="s">
        <v>61</v>
      </c>
      <c r="P45" s="28" t="s">
        <v>131</v>
      </c>
      <c r="Q45" s="28" t="s">
        <v>153</v>
      </c>
      <c r="R45" s="28" t="s">
        <v>62</v>
      </c>
      <c r="S45" s="28" t="s">
        <v>136</v>
      </c>
      <c r="T45" s="28" t="s">
        <v>424</v>
      </c>
      <c r="U45" s="28" t="str">
        <f t="shared" si="0"/>
        <v>Met</v>
      </c>
      <c r="V45" s="28" t="s">
        <v>109</v>
      </c>
    </row>
    <row r="46" spans="1:22" x14ac:dyDescent="0.3">
      <c r="A46" s="28">
        <v>45</v>
      </c>
      <c r="B46" s="28" t="s">
        <v>23</v>
      </c>
      <c r="C46" s="28" t="s">
        <v>797</v>
      </c>
      <c r="D46" s="28">
        <v>50126195</v>
      </c>
      <c r="E46" s="28">
        <v>40</v>
      </c>
      <c r="F46" s="28">
        <v>70</v>
      </c>
      <c r="G46" s="28">
        <v>65</v>
      </c>
      <c r="H46" s="7" t="s">
        <v>70</v>
      </c>
      <c r="I46" s="28" t="s">
        <v>109</v>
      </c>
      <c r="J46" s="28" t="s">
        <v>130</v>
      </c>
      <c r="K46" s="28" t="s">
        <v>109</v>
      </c>
      <c r="L46" s="41">
        <v>0.77708333333333335</v>
      </c>
      <c r="M46" s="28" t="s">
        <v>109</v>
      </c>
      <c r="N46" s="28" t="s">
        <v>109</v>
      </c>
      <c r="O46" s="28" t="s">
        <v>61</v>
      </c>
      <c r="P46" s="28" t="s">
        <v>131</v>
      </c>
      <c r="Q46" s="28" t="s">
        <v>70</v>
      </c>
      <c r="R46" s="28" t="s">
        <v>62</v>
      </c>
      <c r="S46" s="28" t="s">
        <v>136</v>
      </c>
      <c r="T46" s="28" t="s">
        <v>424</v>
      </c>
      <c r="U46" s="28" t="str">
        <f t="shared" si="0"/>
        <v>Met</v>
      </c>
      <c r="V46" s="28" t="s">
        <v>109</v>
      </c>
    </row>
    <row r="47" spans="1:22" x14ac:dyDescent="0.3">
      <c r="A47" s="28">
        <v>46</v>
      </c>
      <c r="B47" s="28" t="s">
        <v>23</v>
      </c>
      <c r="C47" s="28" t="s">
        <v>798</v>
      </c>
      <c r="D47" s="28">
        <v>50126186</v>
      </c>
      <c r="E47" s="28">
        <v>50</v>
      </c>
      <c r="F47" s="28">
        <v>67</v>
      </c>
      <c r="G47" s="28">
        <v>45</v>
      </c>
      <c r="H47" s="7" t="s">
        <v>66</v>
      </c>
      <c r="I47" s="28" t="s">
        <v>109</v>
      </c>
      <c r="J47" s="28" t="s">
        <v>130</v>
      </c>
      <c r="K47" s="28" t="s">
        <v>109</v>
      </c>
      <c r="L47" s="41">
        <v>0.80347222222222225</v>
      </c>
      <c r="M47" s="28" t="s">
        <v>109</v>
      </c>
      <c r="N47" s="28" t="s">
        <v>109</v>
      </c>
      <c r="O47" s="28" t="s">
        <v>61</v>
      </c>
      <c r="P47" s="28" t="s">
        <v>131</v>
      </c>
      <c r="Q47" s="28" t="s">
        <v>66</v>
      </c>
      <c r="R47" s="28" t="s">
        <v>62</v>
      </c>
      <c r="S47" s="28" t="s">
        <v>136</v>
      </c>
      <c r="T47" s="28" t="s">
        <v>424</v>
      </c>
      <c r="U47" s="28" t="str">
        <f t="shared" si="0"/>
        <v>Met</v>
      </c>
      <c r="V47" s="28" t="s">
        <v>109</v>
      </c>
    </row>
    <row r="48" spans="1:22" x14ac:dyDescent="0.3">
      <c r="A48" s="28">
        <v>47</v>
      </c>
      <c r="B48" s="28" t="s">
        <v>23</v>
      </c>
      <c r="C48" s="28" t="s">
        <v>799</v>
      </c>
      <c r="D48" s="28">
        <v>50126184</v>
      </c>
      <c r="E48" s="28">
        <v>50</v>
      </c>
      <c r="F48" s="28">
        <v>86</v>
      </c>
      <c r="G48" s="28">
        <v>64</v>
      </c>
      <c r="H48" s="7" t="s">
        <v>214</v>
      </c>
      <c r="I48" s="28" t="s">
        <v>109</v>
      </c>
      <c r="J48" s="28" t="s">
        <v>130</v>
      </c>
      <c r="K48" s="28" t="s">
        <v>109</v>
      </c>
      <c r="L48" s="41">
        <v>0.68611111111111112</v>
      </c>
      <c r="M48" s="28" t="s">
        <v>109</v>
      </c>
      <c r="N48" s="28" t="s">
        <v>109</v>
      </c>
      <c r="O48" s="28" t="s">
        <v>61</v>
      </c>
      <c r="P48" s="28" t="s">
        <v>131</v>
      </c>
      <c r="Q48" s="28" t="s">
        <v>214</v>
      </c>
      <c r="R48" s="28" t="s">
        <v>62</v>
      </c>
      <c r="S48" s="28" t="s">
        <v>136</v>
      </c>
      <c r="T48" s="28" t="s">
        <v>424</v>
      </c>
      <c r="U48" s="28" t="str">
        <f t="shared" si="0"/>
        <v>Met</v>
      </c>
      <c r="V48" s="28" t="s">
        <v>109</v>
      </c>
    </row>
    <row r="49" spans="1:22" x14ac:dyDescent="0.3">
      <c r="A49" s="28">
        <v>48</v>
      </c>
      <c r="B49" s="28" t="s">
        <v>23</v>
      </c>
      <c r="C49" s="28" t="s">
        <v>800</v>
      </c>
      <c r="D49" s="28">
        <v>50126185</v>
      </c>
      <c r="E49" s="28">
        <v>50</v>
      </c>
      <c r="F49" s="28">
        <v>74</v>
      </c>
      <c r="G49" s="28">
        <v>64</v>
      </c>
      <c r="H49" s="7" t="s">
        <v>65</v>
      </c>
      <c r="I49" s="28" t="s">
        <v>109</v>
      </c>
      <c r="J49" s="28" t="s">
        <v>130</v>
      </c>
      <c r="K49" s="28" t="s">
        <v>109</v>
      </c>
      <c r="L49" s="41">
        <v>0.69305555555555554</v>
      </c>
      <c r="M49" s="28" t="s">
        <v>109</v>
      </c>
      <c r="N49" s="28" t="s">
        <v>109</v>
      </c>
      <c r="O49" s="28" t="s">
        <v>61</v>
      </c>
      <c r="P49" s="28" t="s">
        <v>131</v>
      </c>
      <c r="Q49" s="28" t="s">
        <v>65</v>
      </c>
      <c r="R49" s="28" t="s">
        <v>62</v>
      </c>
      <c r="S49" s="28" t="s">
        <v>136</v>
      </c>
      <c r="T49" s="28" t="s">
        <v>424</v>
      </c>
      <c r="U49" s="28" t="str">
        <f t="shared" si="0"/>
        <v>Met</v>
      </c>
      <c r="V49" s="28" t="s">
        <v>109</v>
      </c>
    </row>
    <row r="50" spans="1:22" x14ac:dyDescent="0.3">
      <c r="A50" s="28">
        <v>49</v>
      </c>
      <c r="B50" s="28" t="s">
        <v>23</v>
      </c>
      <c r="C50" s="28" t="s">
        <v>801</v>
      </c>
      <c r="D50" s="28">
        <v>50126196</v>
      </c>
      <c r="E50" s="28">
        <v>40</v>
      </c>
      <c r="F50" s="28">
        <v>34</v>
      </c>
      <c r="G50" s="28">
        <v>24</v>
      </c>
      <c r="H50" s="7" t="s">
        <v>82</v>
      </c>
      <c r="I50" s="28" t="s">
        <v>109</v>
      </c>
      <c r="J50" s="28" t="s">
        <v>130</v>
      </c>
      <c r="K50" s="28" t="s">
        <v>109</v>
      </c>
      <c r="L50" s="41">
        <v>0.95763888888888893</v>
      </c>
      <c r="M50" s="28" t="s">
        <v>109</v>
      </c>
      <c r="N50" s="28" t="s">
        <v>109</v>
      </c>
      <c r="O50" s="28" t="s">
        <v>61</v>
      </c>
      <c r="P50" s="28" t="s">
        <v>131</v>
      </c>
      <c r="Q50" s="28" t="s">
        <v>82</v>
      </c>
      <c r="R50" s="28" t="s">
        <v>62</v>
      </c>
      <c r="S50" s="28" t="s">
        <v>136</v>
      </c>
      <c r="T50" s="28" t="s">
        <v>424</v>
      </c>
      <c r="U50" s="28" t="str">
        <f t="shared" si="0"/>
        <v>Met</v>
      </c>
      <c r="V50" s="28" t="s">
        <v>109</v>
      </c>
    </row>
    <row r="51" spans="1:22" x14ac:dyDescent="0.3">
      <c r="A51" s="28">
        <v>50</v>
      </c>
      <c r="B51" s="28" t="s">
        <v>23</v>
      </c>
      <c r="C51" s="28" t="s">
        <v>802</v>
      </c>
      <c r="D51" s="28">
        <v>50126187</v>
      </c>
      <c r="E51" s="28">
        <v>50</v>
      </c>
      <c r="F51" s="28">
        <v>73</v>
      </c>
      <c r="G51" s="28">
        <v>54</v>
      </c>
      <c r="H51" s="7" t="s">
        <v>222</v>
      </c>
      <c r="I51" s="28" t="s">
        <v>109</v>
      </c>
      <c r="J51" s="28" t="s">
        <v>130</v>
      </c>
      <c r="K51" s="28" t="s">
        <v>109</v>
      </c>
      <c r="L51" s="41">
        <v>0.68472222222222223</v>
      </c>
      <c r="M51" s="28" t="s">
        <v>109</v>
      </c>
      <c r="N51" s="28" t="s">
        <v>109</v>
      </c>
      <c r="O51" s="28" t="s">
        <v>61</v>
      </c>
      <c r="P51" s="28" t="s">
        <v>131</v>
      </c>
      <c r="Q51" s="28" t="s">
        <v>222</v>
      </c>
      <c r="R51" s="28" t="s">
        <v>62</v>
      </c>
      <c r="S51" s="28" t="s">
        <v>136</v>
      </c>
      <c r="T51" s="28" t="s">
        <v>424</v>
      </c>
      <c r="U51" s="28" t="str">
        <f t="shared" si="0"/>
        <v>Met</v>
      </c>
      <c r="V51" s="28" t="s">
        <v>109</v>
      </c>
    </row>
    <row r="52" spans="1:22" x14ac:dyDescent="0.3">
      <c r="A52" s="28">
        <v>51</v>
      </c>
      <c r="B52" s="28" t="s">
        <v>23</v>
      </c>
      <c r="C52" s="28" t="s">
        <v>803</v>
      </c>
      <c r="D52" s="28">
        <v>50126188</v>
      </c>
      <c r="E52" s="28">
        <v>50</v>
      </c>
      <c r="F52" s="28">
        <v>80</v>
      </c>
      <c r="G52" s="28">
        <v>65</v>
      </c>
      <c r="H52" s="7" t="s">
        <v>274</v>
      </c>
      <c r="I52" s="28" t="s">
        <v>109</v>
      </c>
      <c r="J52" s="28" t="s">
        <v>130</v>
      </c>
      <c r="K52" s="28" t="s">
        <v>109</v>
      </c>
      <c r="L52" s="41">
        <v>0.92083333333333328</v>
      </c>
      <c r="M52" s="28" t="s">
        <v>109</v>
      </c>
      <c r="N52" s="28" t="s">
        <v>109</v>
      </c>
      <c r="O52" s="28" t="s">
        <v>61</v>
      </c>
      <c r="P52" s="28" t="s">
        <v>131</v>
      </c>
      <c r="Q52" s="28" t="s">
        <v>274</v>
      </c>
      <c r="R52" s="28" t="s">
        <v>62</v>
      </c>
      <c r="S52" s="28" t="s">
        <v>136</v>
      </c>
      <c r="T52" s="28" t="s">
        <v>424</v>
      </c>
      <c r="U52" s="28" t="str">
        <f t="shared" si="0"/>
        <v>Met</v>
      </c>
      <c r="V52" s="28" t="s">
        <v>109</v>
      </c>
    </row>
    <row r="53" spans="1:22" x14ac:dyDescent="0.3">
      <c r="A53" s="28">
        <v>52</v>
      </c>
      <c r="B53" s="28" t="s">
        <v>23</v>
      </c>
      <c r="C53" s="28" t="s">
        <v>804</v>
      </c>
      <c r="D53" s="28">
        <v>50126197</v>
      </c>
      <c r="E53" s="28">
        <v>40</v>
      </c>
      <c r="F53" s="28">
        <v>54</v>
      </c>
      <c r="G53" s="28">
        <v>46</v>
      </c>
      <c r="H53" s="7" t="s">
        <v>154</v>
      </c>
      <c r="I53" s="28" t="s">
        <v>109</v>
      </c>
      <c r="J53" s="28" t="s">
        <v>130</v>
      </c>
      <c r="K53" s="28" t="s">
        <v>109</v>
      </c>
      <c r="L53" s="41">
        <v>0.77569444444444446</v>
      </c>
      <c r="M53" s="28" t="s">
        <v>109</v>
      </c>
      <c r="N53" s="28" t="s">
        <v>109</v>
      </c>
      <c r="O53" s="28" t="s">
        <v>61</v>
      </c>
      <c r="P53" s="28" t="s">
        <v>131</v>
      </c>
      <c r="Q53" s="28" t="s">
        <v>154</v>
      </c>
      <c r="R53" s="28" t="s">
        <v>62</v>
      </c>
      <c r="S53" s="28" t="s">
        <v>136</v>
      </c>
      <c r="T53" s="28" t="s">
        <v>424</v>
      </c>
      <c r="U53" s="28" t="str">
        <f t="shared" si="0"/>
        <v>Met</v>
      </c>
      <c r="V53" s="28" t="s">
        <v>109</v>
      </c>
    </row>
    <row r="54" spans="1:22" x14ac:dyDescent="0.3">
      <c r="A54" s="28">
        <v>53</v>
      </c>
      <c r="B54" s="28" t="s">
        <v>23</v>
      </c>
      <c r="C54" s="28" t="s">
        <v>805</v>
      </c>
      <c r="D54" s="28">
        <v>50126189</v>
      </c>
      <c r="E54" s="28">
        <v>50</v>
      </c>
      <c r="F54" s="28">
        <v>56</v>
      </c>
      <c r="G54" s="28">
        <v>39</v>
      </c>
      <c r="H54" s="7" t="s">
        <v>196</v>
      </c>
      <c r="I54" s="28" t="s">
        <v>109</v>
      </c>
      <c r="J54" s="28" t="s">
        <v>130</v>
      </c>
      <c r="K54" s="28" t="s">
        <v>109</v>
      </c>
      <c r="L54" s="41">
        <v>0.71388888888888891</v>
      </c>
      <c r="M54" s="28" t="s">
        <v>109</v>
      </c>
      <c r="N54" s="28" t="s">
        <v>109</v>
      </c>
      <c r="O54" s="28" t="s">
        <v>61</v>
      </c>
      <c r="P54" s="28" t="s">
        <v>131</v>
      </c>
      <c r="Q54" s="28" t="s">
        <v>196</v>
      </c>
      <c r="R54" s="28" t="s">
        <v>62</v>
      </c>
      <c r="S54" s="28" t="s">
        <v>136</v>
      </c>
      <c r="T54" s="28" t="s">
        <v>424</v>
      </c>
      <c r="U54" s="28" t="str">
        <f t="shared" si="0"/>
        <v>Met</v>
      </c>
      <c r="V54" s="28" t="s">
        <v>109</v>
      </c>
    </row>
    <row r="55" spans="1:22" x14ac:dyDescent="0.3">
      <c r="A55" s="28">
        <v>54</v>
      </c>
      <c r="B55" s="28" t="s">
        <v>23</v>
      </c>
      <c r="C55" s="28" t="s">
        <v>806</v>
      </c>
      <c r="D55" s="28">
        <v>50126198</v>
      </c>
      <c r="E55" s="28">
        <v>40</v>
      </c>
      <c r="F55" s="28">
        <v>66</v>
      </c>
      <c r="G55" s="28">
        <v>47</v>
      </c>
      <c r="H55" s="7" t="s">
        <v>93</v>
      </c>
      <c r="I55" s="28" t="s">
        <v>109</v>
      </c>
      <c r="J55" s="28" t="s">
        <v>130</v>
      </c>
      <c r="K55" s="28" t="s">
        <v>109</v>
      </c>
      <c r="L55" s="41">
        <v>0.71458333333333335</v>
      </c>
      <c r="M55" s="28" t="s">
        <v>109</v>
      </c>
      <c r="N55" s="28" t="s">
        <v>109</v>
      </c>
      <c r="O55" s="28" t="s">
        <v>61</v>
      </c>
      <c r="P55" s="28" t="s">
        <v>131</v>
      </c>
      <c r="Q55" s="28" t="s">
        <v>93</v>
      </c>
      <c r="R55" s="28" t="s">
        <v>62</v>
      </c>
      <c r="S55" s="28" t="s">
        <v>136</v>
      </c>
      <c r="T55" s="28" t="s">
        <v>424</v>
      </c>
      <c r="U55" s="28" t="str">
        <f t="shared" si="0"/>
        <v>Met</v>
      </c>
      <c r="V55" s="28" t="s">
        <v>109</v>
      </c>
    </row>
    <row r="56" spans="1:22" x14ac:dyDescent="0.3">
      <c r="A56" s="28">
        <v>55</v>
      </c>
      <c r="B56" s="28" t="s">
        <v>23</v>
      </c>
      <c r="C56" s="28" t="s">
        <v>807</v>
      </c>
      <c r="D56" s="28">
        <v>50126199</v>
      </c>
      <c r="E56" s="28">
        <v>40</v>
      </c>
      <c r="F56" s="28">
        <v>51</v>
      </c>
      <c r="G56" s="28">
        <v>39</v>
      </c>
      <c r="H56" s="7" t="s">
        <v>88</v>
      </c>
      <c r="I56" s="28" t="s">
        <v>109</v>
      </c>
      <c r="J56" s="28" t="s">
        <v>130</v>
      </c>
      <c r="K56" s="28" t="s">
        <v>109</v>
      </c>
      <c r="L56" s="41">
        <v>0.88680555555555551</v>
      </c>
      <c r="M56" s="28" t="s">
        <v>109</v>
      </c>
      <c r="N56" s="28" t="s">
        <v>109</v>
      </c>
      <c r="O56" s="28" t="s">
        <v>61</v>
      </c>
      <c r="P56" s="28" t="s">
        <v>131</v>
      </c>
      <c r="Q56" s="28" t="s">
        <v>88</v>
      </c>
      <c r="R56" s="28" t="s">
        <v>62</v>
      </c>
      <c r="S56" s="28" t="s">
        <v>136</v>
      </c>
      <c r="T56" s="28" t="s">
        <v>424</v>
      </c>
      <c r="U56" s="28" t="str">
        <f t="shared" si="0"/>
        <v>Met</v>
      </c>
      <c r="V56" s="28" t="s">
        <v>109</v>
      </c>
    </row>
    <row r="57" spans="1:22" x14ac:dyDescent="0.3">
      <c r="A57" s="28">
        <v>56</v>
      </c>
      <c r="B57" s="28" t="s">
        <v>23</v>
      </c>
      <c r="C57" s="28" t="s">
        <v>808</v>
      </c>
      <c r="D57" s="28">
        <v>50126193</v>
      </c>
      <c r="E57" s="28">
        <v>40</v>
      </c>
      <c r="F57" s="28">
        <v>47</v>
      </c>
      <c r="G57" s="28">
        <v>40</v>
      </c>
      <c r="H57" s="7" t="s">
        <v>209</v>
      </c>
      <c r="I57" s="28" t="s">
        <v>109</v>
      </c>
      <c r="J57" s="28" t="s">
        <v>130</v>
      </c>
      <c r="K57" s="28" t="s">
        <v>109</v>
      </c>
      <c r="L57" s="41">
        <v>0.87222222222222223</v>
      </c>
      <c r="M57" s="28" t="s">
        <v>109</v>
      </c>
      <c r="N57" s="28" t="s">
        <v>109</v>
      </c>
      <c r="O57" s="28" t="s">
        <v>61</v>
      </c>
      <c r="P57" s="28" t="s">
        <v>131</v>
      </c>
      <c r="Q57" s="28" t="s">
        <v>209</v>
      </c>
      <c r="R57" s="28" t="s">
        <v>62</v>
      </c>
      <c r="S57" s="28" t="s">
        <v>136</v>
      </c>
      <c r="T57" s="28" t="s">
        <v>424</v>
      </c>
      <c r="U57" s="28" t="str">
        <f t="shared" si="0"/>
        <v>Met</v>
      </c>
      <c r="V57" s="28" t="s">
        <v>109</v>
      </c>
    </row>
    <row r="58" spans="1:22" x14ac:dyDescent="0.3">
      <c r="A58" s="28">
        <v>57</v>
      </c>
      <c r="B58" s="28" t="s">
        <v>23</v>
      </c>
      <c r="C58" s="28" t="s">
        <v>809</v>
      </c>
      <c r="D58" s="28">
        <v>50126190</v>
      </c>
      <c r="E58" s="28">
        <v>50</v>
      </c>
      <c r="F58" s="28">
        <v>60</v>
      </c>
      <c r="G58" s="28">
        <v>53</v>
      </c>
      <c r="H58" s="7" t="s">
        <v>71</v>
      </c>
      <c r="I58" s="28" t="s">
        <v>109</v>
      </c>
      <c r="J58" s="28" t="s">
        <v>130</v>
      </c>
      <c r="K58" s="28" t="s">
        <v>109</v>
      </c>
      <c r="L58" s="41">
        <v>0.67500000000000004</v>
      </c>
      <c r="M58" s="28" t="s">
        <v>109</v>
      </c>
      <c r="N58" s="28" t="s">
        <v>109</v>
      </c>
      <c r="O58" s="28" t="s">
        <v>61</v>
      </c>
      <c r="P58" s="28" t="s">
        <v>131</v>
      </c>
      <c r="Q58" s="28" t="s">
        <v>71</v>
      </c>
      <c r="R58" s="28" t="s">
        <v>62</v>
      </c>
      <c r="S58" s="28" t="s">
        <v>136</v>
      </c>
      <c r="T58" s="28" t="s">
        <v>424</v>
      </c>
      <c r="U58" s="28" t="str">
        <f t="shared" si="0"/>
        <v>Met</v>
      </c>
      <c r="V58" s="28" t="s">
        <v>109</v>
      </c>
    </row>
    <row r="59" spans="1:22" x14ac:dyDescent="0.3">
      <c r="A59" s="28">
        <v>58</v>
      </c>
      <c r="B59" s="28" t="s">
        <v>23</v>
      </c>
      <c r="C59" s="28" t="s">
        <v>810</v>
      </c>
      <c r="D59" s="28">
        <v>50126200</v>
      </c>
      <c r="E59" s="28">
        <v>40</v>
      </c>
      <c r="F59" s="28">
        <v>62</v>
      </c>
      <c r="G59" s="28">
        <v>44</v>
      </c>
      <c r="H59" s="7" t="s">
        <v>91</v>
      </c>
      <c r="I59" s="28" t="s">
        <v>109</v>
      </c>
      <c r="J59" s="28" t="s">
        <v>130</v>
      </c>
      <c r="K59" s="28" t="s">
        <v>109</v>
      </c>
      <c r="L59" s="41">
        <v>0.80694444444444446</v>
      </c>
      <c r="M59" s="28" t="s">
        <v>109</v>
      </c>
      <c r="N59" s="28" t="s">
        <v>109</v>
      </c>
      <c r="O59" s="28" t="s">
        <v>61</v>
      </c>
      <c r="P59" s="28" t="s">
        <v>131</v>
      </c>
      <c r="Q59" s="28" t="s">
        <v>91</v>
      </c>
      <c r="R59" s="28" t="s">
        <v>62</v>
      </c>
      <c r="S59" s="28" t="s">
        <v>136</v>
      </c>
      <c r="T59" s="28" t="s">
        <v>424</v>
      </c>
      <c r="U59" s="28" t="str">
        <f t="shared" si="0"/>
        <v>Met</v>
      </c>
      <c r="V59" s="28" t="s">
        <v>109</v>
      </c>
    </row>
    <row r="60" spans="1:22" x14ac:dyDescent="0.3">
      <c r="A60" s="28">
        <v>59</v>
      </c>
      <c r="B60" s="28" t="s">
        <v>23</v>
      </c>
      <c r="C60" s="28" t="s">
        <v>811</v>
      </c>
      <c r="D60" s="28">
        <v>50126222</v>
      </c>
      <c r="E60" s="28">
        <v>120</v>
      </c>
      <c r="F60" s="28">
        <v>141</v>
      </c>
      <c r="G60" s="28">
        <v>124</v>
      </c>
      <c r="H60" s="7" t="s">
        <v>184</v>
      </c>
      <c r="I60" s="28" t="s">
        <v>109</v>
      </c>
      <c r="J60" s="28" t="s">
        <v>130</v>
      </c>
      <c r="K60" s="28" t="s">
        <v>109</v>
      </c>
      <c r="L60" s="41">
        <v>0.74027777777777781</v>
      </c>
      <c r="M60" s="28" t="s">
        <v>109</v>
      </c>
      <c r="N60" s="28" t="s">
        <v>109</v>
      </c>
      <c r="O60" s="28" t="s">
        <v>61</v>
      </c>
      <c r="P60" s="28" t="s">
        <v>131</v>
      </c>
      <c r="Q60" s="28" t="s">
        <v>184</v>
      </c>
      <c r="R60" s="28" t="s">
        <v>62</v>
      </c>
      <c r="S60" s="28" t="s">
        <v>136</v>
      </c>
      <c r="T60" s="28" t="s">
        <v>424</v>
      </c>
      <c r="U60" s="28" t="str">
        <f t="shared" si="0"/>
        <v>Met</v>
      </c>
      <c r="V60" s="28" t="s">
        <v>109</v>
      </c>
    </row>
    <row r="61" spans="1:22" x14ac:dyDescent="0.3">
      <c r="A61" s="28">
        <v>60</v>
      </c>
      <c r="B61" s="28" t="s">
        <v>23</v>
      </c>
      <c r="C61" s="28" t="s">
        <v>812</v>
      </c>
      <c r="D61" s="28">
        <v>50126224</v>
      </c>
      <c r="E61" s="28">
        <v>50</v>
      </c>
      <c r="F61" s="28">
        <v>70</v>
      </c>
      <c r="G61" s="28">
        <v>65</v>
      </c>
      <c r="H61" s="7" t="s">
        <v>200</v>
      </c>
      <c r="I61" s="28" t="s">
        <v>109</v>
      </c>
      <c r="J61" s="28" t="s">
        <v>130</v>
      </c>
      <c r="K61" s="28" t="s">
        <v>109</v>
      </c>
      <c r="L61" s="41">
        <v>0.90347222222222223</v>
      </c>
      <c r="M61" s="28" t="s">
        <v>109</v>
      </c>
      <c r="N61" s="28" t="s">
        <v>109</v>
      </c>
      <c r="O61" s="28" t="s">
        <v>61</v>
      </c>
      <c r="P61" s="28" t="s">
        <v>131</v>
      </c>
      <c r="Q61" s="28" t="s">
        <v>200</v>
      </c>
      <c r="R61" s="28" t="s">
        <v>62</v>
      </c>
      <c r="S61" s="28" t="s">
        <v>136</v>
      </c>
      <c r="T61" s="28" t="s">
        <v>424</v>
      </c>
      <c r="U61" s="28" t="str">
        <f t="shared" si="0"/>
        <v>Met</v>
      </c>
      <c r="V61" s="28" t="s">
        <v>109</v>
      </c>
    </row>
    <row r="62" spans="1:22" x14ac:dyDescent="0.3">
      <c r="A62" s="28">
        <v>61</v>
      </c>
      <c r="B62" s="28" t="s">
        <v>23</v>
      </c>
      <c r="C62" s="28" t="s">
        <v>813</v>
      </c>
      <c r="D62" s="28">
        <v>50126225</v>
      </c>
      <c r="E62" s="28">
        <v>50</v>
      </c>
      <c r="F62" s="28">
        <v>77</v>
      </c>
      <c r="G62" s="28">
        <v>55</v>
      </c>
      <c r="H62" s="7" t="s">
        <v>68</v>
      </c>
      <c r="I62" s="28" t="s">
        <v>109</v>
      </c>
      <c r="J62" s="28" t="s">
        <v>130</v>
      </c>
      <c r="K62" s="28" t="s">
        <v>109</v>
      </c>
      <c r="L62" s="41">
        <v>0.82916666666666672</v>
      </c>
      <c r="M62" s="28" t="s">
        <v>109</v>
      </c>
      <c r="N62" s="28" t="s">
        <v>109</v>
      </c>
      <c r="O62" s="28" t="s">
        <v>61</v>
      </c>
      <c r="P62" s="28" t="s">
        <v>131</v>
      </c>
      <c r="Q62" s="28" t="s">
        <v>68</v>
      </c>
      <c r="R62" s="28" t="s">
        <v>62</v>
      </c>
      <c r="S62" s="28" t="s">
        <v>136</v>
      </c>
      <c r="T62" s="28" t="s">
        <v>424</v>
      </c>
      <c r="U62" s="28" t="str">
        <f t="shared" si="0"/>
        <v>Met</v>
      </c>
      <c r="V62" s="28" t="s">
        <v>109</v>
      </c>
    </row>
    <row r="63" spans="1:22" x14ac:dyDescent="0.3">
      <c r="A63" s="28">
        <v>62</v>
      </c>
      <c r="B63" s="28" t="s">
        <v>23</v>
      </c>
      <c r="C63" s="28" t="s">
        <v>814</v>
      </c>
      <c r="D63" s="28">
        <v>50126228</v>
      </c>
      <c r="E63" s="28">
        <v>75</v>
      </c>
      <c r="F63" s="28">
        <v>129</v>
      </c>
      <c r="G63" s="28">
        <v>82</v>
      </c>
      <c r="H63" s="7" t="s">
        <v>89</v>
      </c>
      <c r="I63" s="28" t="s">
        <v>109</v>
      </c>
      <c r="J63" s="28" t="s">
        <v>130</v>
      </c>
      <c r="K63" s="28" t="s">
        <v>109</v>
      </c>
      <c r="L63" s="41">
        <v>0.86736111111111114</v>
      </c>
      <c r="M63" s="28" t="s">
        <v>109</v>
      </c>
      <c r="N63" s="28" t="s">
        <v>109</v>
      </c>
      <c r="O63" s="28" t="s">
        <v>61</v>
      </c>
      <c r="P63" s="28" t="s">
        <v>131</v>
      </c>
      <c r="Q63" s="28" t="s">
        <v>89</v>
      </c>
      <c r="R63" s="28" t="s">
        <v>62</v>
      </c>
      <c r="S63" s="28" t="s">
        <v>136</v>
      </c>
      <c r="T63" s="28" t="s">
        <v>424</v>
      </c>
      <c r="U63" s="28" t="str">
        <f t="shared" si="0"/>
        <v>Met</v>
      </c>
      <c r="V63" s="28" t="s">
        <v>109</v>
      </c>
    </row>
    <row r="64" spans="1:22" x14ac:dyDescent="0.3">
      <c r="A64" s="28">
        <v>63</v>
      </c>
      <c r="B64" s="28" t="s">
        <v>23</v>
      </c>
      <c r="C64" s="28" t="s">
        <v>815</v>
      </c>
      <c r="D64" s="28">
        <v>50126216</v>
      </c>
      <c r="E64" s="28">
        <v>50</v>
      </c>
      <c r="F64" s="28">
        <v>103</v>
      </c>
      <c r="G64" s="28">
        <v>42</v>
      </c>
      <c r="H64" s="7" t="s">
        <v>64</v>
      </c>
      <c r="I64" s="28" t="s">
        <v>109</v>
      </c>
      <c r="J64" s="28" t="s">
        <v>130</v>
      </c>
      <c r="K64" s="28" t="s">
        <v>109</v>
      </c>
      <c r="L64" s="41">
        <v>0.71180555555555558</v>
      </c>
      <c r="M64" s="28" t="s">
        <v>109</v>
      </c>
      <c r="N64" s="28" t="s">
        <v>109</v>
      </c>
      <c r="O64" s="28" t="s">
        <v>61</v>
      </c>
      <c r="P64" s="28" t="s">
        <v>131</v>
      </c>
      <c r="Q64" s="28" t="s">
        <v>64</v>
      </c>
      <c r="R64" s="28" t="s">
        <v>62</v>
      </c>
      <c r="S64" s="28" t="s">
        <v>136</v>
      </c>
      <c r="T64" s="28" t="s">
        <v>424</v>
      </c>
      <c r="U64" s="28" t="str">
        <f t="shared" si="0"/>
        <v>Not Met</v>
      </c>
      <c r="V64" s="28" t="s">
        <v>889</v>
      </c>
    </row>
    <row r="65" spans="1:22" x14ac:dyDescent="0.3">
      <c r="A65" s="28">
        <v>64</v>
      </c>
      <c r="B65" s="28" t="s">
        <v>23</v>
      </c>
      <c r="C65" s="28" t="s">
        <v>816</v>
      </c>
      <c r="D65" s="28">
        <v>50126217</v>
      </c>
      <c r="E65" s="28">
        <v>50</v>
      </c>
      <c r="F65" s="28">
        <v>70</v>
      </c>
      <c r="G65" s="28">
        <v>58</v>
      </c>
      <c r="H65" s="7" t="s">
        <v>69</v>
      </c>
      <c r="I65" s="28" t="s">
        <v>109</v>
      </c>
      <c r="J65" s="28" t="s">
        <v>130</v>
      </c>
      <c r="K65" s="28" t="s">
        <v>109</v>
      </c>
      <c r="L65" s="41">
        <v>0.6743055555555556</v>
      </c>
      <c r="M65" s="28" t="s">
        <v>109</v>
      </c>
      <c r="N65" s="28" t="s">
        <v>109</v>
      </c>
      <c r="O65" s="28" t="s">
        <v>61</v>
      </c>
      <c r="P65" s="28" t="s">
        <v>131</v>
      </c>
      <c r="Q65" s="28" t="s">
        <v>69</v>
      </c>
      <c r="R65" s="28" t="s">
        <v>62</v>
      </c>
      <c r="S65" s="28" t="s">
        <v>136</v>
      </c>
      <c r="T65" s="28" t="s">
        <v>424</v>
      </c>
      <c r="U65" s="28" t="str">
        <f t="shared" si="0"/>
        <v>Not Met</v>
      </c>
      <c r="V65" s="28" t="s">
        <v>889</v>
      </c>
    </row>
    <row r="66" spans="1:22" x14ac:dyDescent="0.3">
      <c r="A66" s="28">
        <v>65</v>
      </c>
      <c r="B66" s="28" t="s">
        <v>23</v>
      </c>
      <c r="C66" s="28" t="s">
        <v>817</v>
      </c>
      <c r="D66" s="28">
        <v>50126218</v>
      </c>
      <c r="E66" s="28">
        <v>20</v>
      </c>
      <c r="F66" s="28">
        <v>36</v>
      </c>
      <c r="G66" s="28">
        <v>9</v>
      </c>
      <c r="H66" s="7" t="s">
        <v>86</v>
      </c>
      <c r="I66" s="28" t="s">
        <v>109</v>
      </c>
      <c r="J66" s="28" t="s">
        <v>130</v>
      </c>
      <c r="K66" s="28" t="s">
        <v>109</v>
      </c>
      <c r="L66" s="41">
        <v>0.80763888888888891</v>
      </c>
      <c r="M66" s="28" t="s">
        <v>109</v>
      </c>
      <c r="N66" s="28" t="s">
        <v>109</v>
      </c>
      <c r="O66" s="28" t="s">
        <v>61</v>
      </c>
      <c r="P66" s="28" t="s">
        <v>131</v>
      </c>
      <c r="Q66" s="28" t="s">
        <v>86</v>
      </c>
      <c r="R66" s="28" t="s">
        <v>62</v>
      </c>
      <c r="S66" s="28" t="s">
        <v>136</v>
      </c>
      <c r="T66" s="28" t="s">
        <v>424</v>
      </c>
      <c r="U66" s="28" t="str">
        <f t="shared" ref="U66:U129" si="1">IF(G93&gt;=E93, "Met", "Not Met")</f>
        <v>Met</v>
      </c>
      <c r="V66" s="28" t="s">
        <v>109</v>
      </c>
    </row>
    <row r="67" spans="1:22" x14ac:dyDescent="0.3">
      <c r="A67" s="28">
        <v>66</v>
      </c>
      <c r="B67" s="28" t="s">
        <v>23</v>
      </c>
      <c r="C67" s="28" t="s">
        <v>818</v>
      </c>
      <c r="D67" s="28">
        <v>50126219</v>
      </c>
      <c r="E67" s="28">
        <v>50</v>
      </c>
      <c r="F67" s="28">
        <v>58</v>
      </c>
      <c r="G67" s="28">
        <v>56</v>
      </c>
      <c r="H67" s="7" t="s">
        <v>67</v>
      </c>
      <c r="I67" s="28" t="s">
        <v>109</v>
      </c>
      <c r="J67" s="28" t="s">
        <v>130</v>
      </c>
      <c r="K67" s="28" t="s">
        <v>109</v>
      </c>
      <c r="L67" s="41">
        <v>0.68819444444444444</v>
      </c>
      <c r="M67" s="28" t="s">
        <v>109</v>
      </c>
      <c r="N67" s="28" t="s">
        <v>109</v>
      </c>
      <c r="O67" s="28" t="s">
        <v>61</v>
      </c>
      <c r="P67" s="28" t="s">
        <v>131</v>
      </c>
      <c r="Q67" s="28" t="s">
        <v>67</v>
      </c>
      <c r="R67" s="28" t="s">
        <v>62</v>
      </c>
      <c r="S67" s="28" t="s">
        <v>136</v>
      </c>
      <c r="T67" s="28" t="s">
        <v>424</v>
      </c>
      <c r="U67" s="28" t="str">
        <f t="shared" si="1"/>
        <v>Not Met</v>
      </c>
      <c r="V67" s="28" t="s">
        <v>889</v>
      </c>
    </row>
    <row r="68" spans="1:22" x14ac:dyDescent="0.3">
      <c r="A68" s="28">
        <v>67</v>
      </c>
      <c r="B68" s="28" t="s">
        <v>23</v>
      </c>
      <c r="C68" s="28" t="s">
        <v>819</v>
      </c>
      <c r="D68" s="28">
        <v>50126227</v>
      </c>
      <c r="E68" s="28">
        <v>75</v>
      </c>
      <c r="F68" s="28">
        <v>115</v>
      </c>
      <c r="G68" s="28">
        <v>88</v>
      </c>
      <c r="H68" s="7" t="s">
        <v>95</v>
      </c>
      <c r="I68" s="28" t="s">
        <v>109</v>
      </c>
      <c r="J68" s="28" t="s">
        <v>130</v>
      </c>
      <c r="K68" s="28" t="s">
        <v>109</v>
      </c>
      <c r="L68" s="41">
        <v>0.92083333333333328</v>
      </c>
      <c r="M68" s="28" t="s">
        <v>109</v>
      </c>
      <c r="N68" s="28" t="s">
        <v>109</v>
      </c>
      <c r="O68" s="28" t="s">
        <v>61</v>
      </c>
      <c r="P68" s="28" t="s">
        <v>131</v>
      </c>
      <c r="Q68" s="28" t="s">
        <v>95</v>
      </c>
      <c r="R68" s="28" t="s">
        <v>62</v>
      </c>
      <c r="S68" s="28" t="s">
        <v>136</v>
      </c>
      <c r="T68" s="28" t="s">
        <v>424</v>
      </c>
      <c r="U68" s="28" t="str">
        <f t="shared" si="1"/>
        <v>Not Met</v>
      </c>
      <c r="V68" s="28" t="s">
        <v>889</v>
      </c>
    </row>
    <row r="69" spans="1:22" x14ac:dyDescent="0.3">
      <c r="A69" s="28">
        <v>68</v>
      </c>
      <c r="B69" s="28" t="s">
        <v>23</v>
      </c>
      <c r="C69" s="28" t="s">
        <v>820</v>
      </c>
      <c r="D69" s="28">
        <v>50126223</v>
      </c>
      <c r="E69" s="28">
        <v>75</v>
      </c>
      <c r="F69" s="28">
        <v>66</v>
      </c>
      <c r="G69" s="28">
        <v>58</v>
      </c>
      <c r="H69" s="7" t="s">
        <v>94</v>
      </c>
      <c r="I69" s="28" t="s">
        <v>109</v>
      </c>
      <c r="J69" s="28" t="s">
        <v>130</v>
      </c>
      <c r="K69" s="51">
        <v>4.2361111111111113E-2</v>
      </c>
      <c r="L69" s="28" t="s">
        <v>109</v>
      </c>
      <c r="M69" s="28" t="s">
        <v>109</v>
      </c>
      <c r="N69" s="28" t="s">
        <v>109</v>
      </c>
      <c r="O69" s="28" t="s">
        <v>61</v>
      </c>
      <c r="P69" s="28" t="s">
        <v>131</v>
      </c>
      <c r="Q69" s="28" t="s">
        <v>94</v>
      </c>
      <c r="R69" s="28" t="s">
        <v>62</v>
      </c>
      <c r="S69" s="28" t="s">
        <v>136</v>
      </c>
      <c r="T69" s="28" t="s">
        <v>424</v>
      </c>
      <c r="U69" s="28" t="str">
        <f t="shared" si="1"/>
        <v>Met</v>
      </c>
      <c r="V69" s="28" t="s">
        <v>109</v>
      </c>
    </row>
    <row r="70" spans="1:22" x14ac:dyDescent="0.3">
      <c r="A70" s="28">
        <v>69</v>
      </c>
      <c r="B70" s="28" t="s">
        <v>23</v>
      </c>
      <c r="C70" s="28" t="s">
        <v>821</v>
      </c>
      <c r="D70" s="28">
        <v>50126226</v>
      </c>
      <c r="E70" s="28">
        <v>50</v>
      </c>
      <c r="F70" s="28">
        <v>99</v>
      </c>
      <c r="G70" s="28">
        <v>53</v>
      </c>
      <c r="H70" s="7" t="s">
        <v>72</v>
      </c>
      <c r="I70" s="28" t="s">
        <v>109</v>
      </c>
      <c r="J70" s="28" t="s">
        <v>130</v>
      </c>
      <c r="K70" s="28" t="s">
        <v>109</v>
      </c>
      <c r="L70" s="41">
        <v>0.79236111111111107</v>
      </c>
      <c r="M70" s="28" t="s">
        <v>109</v>
      </c>
      <c r="N70" s="28" t="s">
        <v>109</v>
      </c>
      <c r="O70" s="28" t="s">
        <v>61</v>
      </c>
      <c r="P70" s="28" t="s">
        <v>131</v>
      </c>
      <c r="Q70" s="28" t="s">
        <v>72</v>
      </c>
      <c r="R70" s="28" t="s">
        <v>62</v>
      </c>
      <c r="S70" s="28" t="s">
        <v>136</v>
      </c>
      <c r="T70" s="28" t="s">
        <v>424</v>
      </c>
      <c r="U70" s="28" t="str">
        <f t="shared" si="1"/>
        <v>Met</v>
      </c>
      <c r="V70" s="28" t="s">
        <v>109</v>
      </c>
    </row>
    <row r="71" spans="1:22" x14ac:dyDescent="0.3">
      <c r="A71" s="28">
        <v>70</v>
      </c>
      <c r="B71" s="28" t="s">
        <v>23</v>
      </c>
      <c r="C71" s="28" t="s">
        <v>822</v>
      </c>
      <c r="D71" s="28">
        <v>50126220</v>
      </c>
      <c r="E71" s="28">
        <v>50</v>
      </c>
      <c r="F71" s="28">
        <v>90</v>
      </c>
      <c r="G71" s="28">
        <v>53</v>
      </c>
      <c r="H71" s="7" t="s">
        <v>84</v>
      </c>
      <c r="I71" s="28" t="s">
        <v>109</v>
      </c>
      <c r="J71" s="28" t="s">
        <v>130</v>
      </c>
      <c r="K71" s="28" t="s">
        <v>109</v>
      </c>
      <c r="L71" s="41">
        <v>0.93819444444444444</v>
      </c>
      <c r="M71" s="28" t="s">
        <v>109</v>
      </c>
      <c r="N71" s="28" t="s">
        <v>109</v>
      </c>
      <c r="O71" s="28" t="s">
        <v>61</v>
      </c>
      <c r="P71" s="28" t="s">
        <v>131</v>
      </c>
      <c r="Q71" s="28" t="s">
        <v>84</v>
      </c>
      <c r="R71" s="28" t="s">
        <v>62</v>
      </c>
      <c r="S71" s="28" t="s">
        <v>136</v>
      </c>
      <c r="T71" s="28" t="s">
        <v>424</v>
      </c>
      <c r="U71" s="28" t="str">
        <f t="shared" si="1"/>
        <v>Met</v>
      </c>
      <c r="V71" s="28" t="s">
        <v>109</v>
      </c>
    </row>
    <row r="72" spans="1:22" x14ac:dyDescent="0.3">
      <c r="A72" s="28">
        <v>71</v>
      </c>
      <c r="B72" s="28" t="s">
        <v>23</v>
      </c>
      <c r="C72" s="28" t="s">
        <v>823</v>
      </c>
      <c r="D72" s="28">
        <v>50126221</v>
      </c>
      <c r="E72" s="28">
        <v>50</v>
      </c>
      <c r="F72" s="28">
        <v>75</v>
      </c>
      <c r="G72" s="28">
        <v>68</v>
      </c>
      <c r="H72" s="7" t="s">
        <v>95</v>
      </c>
      <c r="I72" s="28" t="s">
        <v>109</v>
      </c>
      <c r="J72" s="28" t="s">
        <v>130</v>
      </c>
      <c r="K72" s="28" t="s">
        <v>109</v>
      </c>
      <c r="L72" s="41">
        <v>0.94305555555555554</v>
      </c>
      <c r="M72" s="28" t="s">
        <v>109</v>
      </c>
      <c r="N72" s="28" t="s">
        <v>109</v>
      </c>
      <c r="O72" s="28" t="s">
        <v>61</v>
      </c>
      <c r="P72" s="28" t="s">
        <v>131</v>
      </c>
      <c r="Q72" s="28" t="s">
        <v>95</v>
      </c>
      <c r="R72" s="28" t="s">
        <v>62</v>
      </c>
      <c r="S72" s="28" t="s">
        <v>136</v>
      </c>
      <c r="T72" s="28" t="s">
        <v>424</v>
      </c>
      <c r="U72" s="28" t="str">
        <f t="shared" si="1"/>
        <v>Met</v>
      </c>
      <c r="V72" s="28" t="s">
        <v>109</v>
      </c>
    </row>
    <row r="73" spans="1:22" x14ac:dyDescent="0.3">
      <c r="A73" s="28">
        <v>72</v>
      </c>
      <c r="B73" s="28" t="s">
        <v>23</v>
      </c>
      <c r="C73" s="28" t="s">
        <v>824</v>
      </c>
      <c r="D73" s="28">
        <v>50126209</v>
      </c>
      <c r="E73" s="28">
        <v>70</v>
      </c>
      <c r="F73" s="28">
        <v>90</v>
      </c>
      <c r="G73" s="28">
        <v>80</v>
      </c>
      <c r="H73" s="7" t="s">
        <v>241</v>
      </c>
      <c r="I73" s="28" t="s">
        <v>109</v>
      </c>
      <c r="J73" s="28" t="s">
        <v>130</v>
      </c>
      <c r="K73" s="28" t="s">
        <v>109</v>
      </c>
      <c r="L73" s="41">
        <v>1.9444444444444445E-2</v>
      </c>
      <c r="M73" s="28" t="s">
        <v>109</v>
      </c>
      <c r="N73" s="28" t="s">
        <v>109</v>
      </c>
      <c r="O73" s="28" t="s">
        <v>61</v>
      </c>
      <c r="P73" s="28" t="s">
        <v>131</v>
      </c>
      <c r="Q73" s="28" t="s">
        <v>241</v>
      </c>
      <c r="R73" s="28" t="s">
        <v>62</v>
      </c>
      <c r="S73" s="28" t="s">
        <v>136</v>
      </c>
      <c r="T73" s="28" t="s">
        <v>424</v>
      </c>
      <c r="U73" s="28" t="str">
        <f t="shared" si="1"/>
        <v>Not Met</v>
      </c>
      <c r="V73" s="28" t="s">
        <v>889</v>
      </c>
    </row>
    <row r="74" spans="1:22" x14ac:dyDescent="0.3">
      <c r="A74" s="28">
        <v>73</v>
      </c>
      <c r="B74" s="28" t="s">
        <v>23</v>
      </c>
      <c r="C74" s="28" t="s">
        <v>825</v>
      </c>
      <c r="D74" s="28">
        <v>50126210</v>
      </c>
      <c r="E74" s="28">
        <v>70</v>
      </c>
      <c r="F74" s="28">
        <v>140</v>
      </c>
      <c r="G74" s="28">
        <v>80</v>
      </c>
      <c r="H74" s="7" t="s">
        <v>153</v>
      </c>
      <c r="I74" s="28" t="s">
        <v>109</v>
      </c>
      <c r="J74" s="28" t="s">
        <v>130</v>
      </c>
      <c r="K74" s="28" t="s">
        <v>109</v>
      </c>
      <c r="L74" s="41">
        <v>0.68333333333333335</v>
      </c>
      <c r="M74" s="28" t="s">
        <v>109</v>
      </c>
      <c r="N74" s="28" t="s">
        <v>109</v>
      </c>
      <c r="O74" s="28" t="s">
        <v>61</v>
      </c>
      <c r="P74" s="28" t="s">
        <v>131</v>
      </c>
      <c r="Q74" s="28" t="s">
        <v>153</v>
      </c>
      <c r="R74" s="28" t="s">
        <v>62</v>
      </c>
      <c r="S74" s="28" t="s">
        <v>136</v>
      </c>
      <c r="T74" s="28" t="s">
        <v>424</v>
      </c>
      <c r="U74" s="28" t="str">
        <f t="shared" si="1"/>
        <v>Met</v>
      </c>
      <c r="V74" s="28" t="s">
        <v>109</v>
      </c>
    </row>
    <row r="75" spans="1:22" x14ac:dyDescent="0.3">
      <c r="A75" s="28">
        <v>74</v>
      </c>
      <c r="B75" s="28" t="s">
        <v>23</v>
      </c>
      <c r="C75" s="28" t="s">
        <v>826</v>
      </c>
      <c r="D75" s="28">
        <v>50126174</v>
      </c>
      <c r="E75" s="28">
        <v>50</v>
      </c>
      <c r="F75" s="28">
        <v>58</v>
      </c>
      <c r="G75" s="28">
        <v>52</v>
      </c>
      <c r="H75" s="7" t="s">
        <v>89</v>
      </c>
      <c r="I75" s="28" t="s">
        <v>109</v>
      </c>
      <c r="J75" s="28" t="s">
        <v>130</v>
      </c>
      <c r="K75" s="28" t="s">
        <v>109</v>
      </c>
      <c r="L75" s="41">
        <v>0.95763888888888893</v>
      </c>
      <c r="M75" s="28" t="s">
        <v>109</v>
      </c>
      <c r="N75" s="28" t="s">
        <v>109</v>
      </c>
      <c r="O75" s="28" t="s">
        <v>61</v>
      </c>
      <c r="P75" s="28" t="s">
        <v>131</v>
      </c>
      <c r="Q75" s="28" t="s">
        <v>89</v>
      </c>
      <c r="R75" s="28" t="s">
        <v>62</v>
      </c>
      <c r="S75" s="28" t="s">
        <v>136</v>
      </c>
      <c r="T75" s="28" t="s">
        <v>424</v>
      </c>
      <c r="U75" s="28" t="str">
        <f t="shared" si="1"/>
        <v>Met</v>
      </c>
      <c r="V75" s="28" t="s">
        <v>109</v>
      </c>
    </row>
    <row r="76" spans="1:22" x14ac:dyDescent="0.3">
      <c r="A76" s="28">
        <v>75</v>
      </c>
      <c r="B76" s="28" t="s">
        <v>23</v>
      </c>
      <c r="C76" s="28" t="s">
        <v>827</v>
      </c>
      <c r="D76" s="28">
        <v>50126175</v>
      </c>
      <c r="E76" s="28">
        <v>50</v>
      </c>
      <c r="F76" s="28">
        <v>68</v>
      </c>
      <c r="G76" s="28">
        <v>52</v>
      </c>
      <c r="H76" s="7" t="s">
        <v>91</v>
      </c>
      <c r="I76" s="28" t="s">
        <v>109</v>
      </c>
      <c r="J76" s="28" t="s">
        <v>130</v>
      </c>
      <c r="K76" s="28" t="s">
        <v>109</v>
      </c>
      <c r="L76" s="41">
        <v>0.87569444444444444</v>
      </c>
      <c r="M76" s="28" t="s">
        <v>109</v>
      </c>
      <c r="N76" s="28" t="s">
        <v>109</v>
      </c>
      <c r="O76" s="28" t="s">
        <v>61</v>
      </c>
      <c r="P76" s="28" t="s">
        <v>131</v>
      </c>
      <c r="Q76" s="28" t="s">
        <v>91</v>
      </c>
      <c r="R76" s="28" t="s">
        <v>62</v>
      </c>
      <c r="S76" s="28" t="s">
        <v>136</v>
      </c>
      <c r="T76" s="28" t="s">
        <v>424</v>
      </c>
      <c r="U76" s="28" t="str">
        <f t="shared" si="1"/>
        <v>Not Met</v>
      </c>
      <c r="V76" s="28" t="s">
        <v>889</v>
      </c>
    </row>
    <row r="77" spans="1:22" x14ac:dyDescent="0.3">
      <c r="A77" s="28">
        <v>76</v>
      </c>
      <c r="B77" s="28" t="s">
        <v>23</v>
      </c>
      <c r="C77" s="28" t="s">
        <v>828</v>
      </c>
      <c r="D77" s="28">
        <v>50126177</v>
      </c>
      <c r="E77" s="28">
        <v>50</v>
      </c>
      <c r="F77" s="28">
        <v>80</v>
      </c>
      <c r="G77" s="28">
        <v>55</v>
      </c>
      <c r="H77" s="7" t="s">
        <v>154</v>
      </c>
      <c r="I77" s="28" t="s">
        <v>109</v>
      </c>
      <c r="J77" s="28" t="s">
        <v>130</v>
      </c>
      <c r="K77" s="28" t="s">
        <v>109</v>
      </c>
      <c r="L77" s="41">
        <v>0.94305555555555554</v>
      </c>
      <c r="M77" s="28" t="s">
        <v>109</v>
      </c>
      <c r="N77" s="28" t="s">
        <v>109</v>
      </c>
      <c r="O77" s="28" t="s">
        <v>61</v>
      </c>
      <c r="P77" s="28" t="s">
        <v>131</v>
      </c>
      <c r="Q77" s="28" t="s">
        <v>93</v>
      </c>
      <c r="R77" s="28" t="s">
        <v>62</v>
      </c>
      <c r="S77" s="28" t="s">
        <v>136</v>
      </c>
      <c r="T77" s="28" t="s">
        <v>424</v>
      </c>
      <c r="U77" s="28" t="str">
        <f t="shared" si="1"/>
        <v>Not Met</v>
      </c>
      <c r="V77" s="28" t="s">
        <v>889</v>
      </c>
    </row>
    <row r="78" spans="1:22" x14ac:dyDescent="0.3">
      <c r="A78" s="28">
        <v>77</v>
      </c>
      <c r="B78" s="28" t="s">
        <v>23</v>
      </c>
      <c r="C78" s="28" t="s">
        <v>829</v>
      </c>
      <c r="D78" s="28">
        <v>50126176</v>
      </c>
      <c r="E78" s="28">
        <v>50</v>
      </c>
      <c r="F78" s="28">
        <v>99</v>
      </c>
      <c r="G78" s="28">
        <v>53</v>
      </c>
      <c r="H78" s="7" t="s">
        <v>93</v>
      </c>
      <c r="I78" s="28" t="s">
        <v>109</v>
      </c>
      <c r="J78" s="28" t="s">
        <v>130</v>
      </c>
      <c r="K78" s="28" t="s">
        <v>109</v>
      </c>
      <c r="L78" s="41">
        <v>0.73611111111111116</v>
      </c>
      <c r="M78" s="28" t="s">
        <v>109</v>
      </c>
      <c r="N78" s="28" t="s">
        <v>109</v>
      </c>
      <c r="O78" s="28" t="s">
        <v>61</v>
      </c>
      <c r="P78" s="28" t="s">
        <v>131</v>
      </c>
      <c r="Q78" s="28" t="s">
        <v>93</v>
      </c>
      <c r="R78" s="28" t="s">
        <v>62</v>
      </c>
      <c r="S78" s="28" t="s">
        <v>136</v>
      </c>
      <c r="T78" s="28" t="s">
        <v>424</v>
      </c>
      <c r="U78" s="28" t="str">
        <f t="shared" si="1"/>
        <v>Met</v>
      </c>
      <c r="V78" s="28" t="s">
        <v>109</v>
      </c>
    </row>
    <row r="79" spans="1:22" x14ac:dyDescent="0.3">
      <c r="A79" s="28">
        <v>78</v>
      </c>
      <c r="B79" s="28" t="s">
        <v>23</v>
      </c>
      <c r="C79" s="28" t="s">
        <v>830</v>
      </c>
      <c r="D79" s="28">
        <v>50126173</v>
      </c>
      <c r="E79" s="28">
        <v>40</v>
      </c>
      <c r="F79" s="28">
        <v>54</v>
      </c>
      <c r="G79" s="28">
        <v>51</v>
      </c>
      <c r="H79" s="7" t="s">
        <v>87</v>
      </c>
      <c r="I79" s="28" t="s">
        <v>109</v>
      </c>
      <c r="J79" s="28" t="s">
        <v>130</v>
      </c>
      <c r="K79" s="28" t="s">
        <v>109</v>
      </c>
      <c r="L79" s="41">
        <v>3.9583333333333331E-2</v>
      </c>
      <c r="M79" s="28" t="s">
        <v>109</v>
      </c>
      <c r="N79" s="28" t="s">
        <v>109</v>
      </c>
      <c r="O79" s="28" t="s">
        <v>61</v>
      </c>
      <c r="P79" s="28" t="s">
        <v>131</v>
      </c>
      <c r="Q79" s="28" t="s">
        <v>87</v>
      </c>
      <c r="R79" s="28" t="s">
        <v>62</v>
      </c>
      <c r="S79" s="28" t="s">
        <v>136</v>
      </c>
      <c r="T79" s="28" t="s">
        <v>424</v>
      </c>
      <c r="U79" s="28" t="str">
        <f t="shared" si="1"/>
        <v>Met</v>
      </c>
      <c r="V79" s="28" t="s">
        <v>109</v>
      </c>
    </row>
    <row r="80" spans="1:22" x14ac:dyDescent="0.3">
      <c r="A80" s="28">
        <v>79</v>
      </c>
      <c r="B80" s="28" t="s">
        <v>23</v>
      </c>
      <c r="C80" s="28" t="s">
        <v>831</v>
      </c>
      <c r="D80" s="28">
        <v>50126107</v>
      </c>
      <c r="E80" s="28">
        <v>70</v>
      </c>
      <c r="F80" s="28">
        <v>83</v>
      </c>
      <c r="G80" s="28">
        <v>70</v>
      </c>
      <c r="H80" s="7" t="s">
        <v>66</v>
      </c>
      <c r="I80" s="28" t="s">
        <v>109</v>
      </c>
      <c r="J80" s="28" t="s">
        <v>130</v>
      </c>
      <c r="K80" s="28" t="s">
        <v>109</v>
      </c>
      <c r="L80" s="41">
        <v>0.83888888888888891</v>
      </c>
      <c r="M80" s="28" t="s">
        <v>109</v>
      </c>
      <c r="N80" s="28" t="s">
        <v>109</v>
      </c>
      <c r="O80" s="28" t="s">
        <v>61</v>
      </c>
      <c r="P80" s="28" t="s">
        <v>131</v>
      </c>
      <c r="Q80" s="28" t="s">
        <v>66</v>
      </c>
      <c r="R80" s="28" t="s">
        <v>62</v>
      </c>
      <c r="S80" s="28" t="s">
        <v>136</v>
      </c>
      <c r="T80" s="28" t="s">
        <v>424</v>
      </c>
      <c r="U80" s="28" t="str">
        <f t="shared" si="1"/>
        <v>Not Met</v>
      </c>
      <c r="V80" s="28" t="s">
        <v>889</v>
      </c>
    </row>
    <row r="81" spans="1:22" x14ac:dyDescent="0.3">
      <c r="A81" s="28">
        <v>80</v>
      </c>
      <c r="B81" s="28" t="s">
        <v>23</v>
      </c>
      <c r="C81" s="28" t="s">
        <v>832</v>
      </c>
      <c r="D81" s="28">
        <v>50126109</v>
      </c>
      <c r="E81" s="28">
        <v>70</v>
      </c>
      <c r="F81" s="28">
        <v>85</v>
      </c>
      <c r="G81" s="28">
        <v>72</v>
      </c>
      <c r="H81" s="7" t="s">
        <v>214</v>
      </c>
      <c r="I81" s="28" t="s">
        <v>109</v>
      </c>
      <c r="J81" s="28" t="s">
        <v>130</v>
      </c>
      <c r="K81" s="28" t="s">
        <v>109</v>
      </c>
      <c r="L81" s="41">
        <v>0.84097222222222223</v>
      </c>
      <c r="M81" s="28" t="s">
        <v>109</v>
      </c>
      <c r="N81" s="28" t="s">
        <v>109</v>
      </c>
      <c r="O81" s="28" t="s">
        <v>61</v>
      </c>
      <c r="P81" s="28" t="s">
        <v>131</v>
      </c>
      <c r="Q81" s="28" t="s">
        <v>214</v>
      </c>
      <c r="R81" s="28" t="s">
        <v>62</v>
      </c>
      <c r="S81" s="28" t="s">
        <v>136</v>
      </c>
      <c r="T81" s="28" t="s">
        <v>424</v>
      </c>
      <c r="U81" s="28" t="str">
        <f t="shared" si="1"/>
        <v>Met</v>
      </c>
      <c r="V81" s="28" t="s">
        <v>109</v>
      </c>
    </row>
    <row r="82" spans="1:22" x14ac:dyDescent="0.3">
      <c r="A82" s="28">
        <v>81</v>
      </c>
      <c r="B82" s="28" t="s">
        <v>23</v>
      </c>
      <c r="C82" s="28" t="s">
        <v>833</v>
      </c>
      <c r="D82" s="28">
        <v>50126108</v>
      </c>
      <c r="E82" s="28">
        <v>75</v>
      </c>
      <c r="F82" s="28">
        <v>106</v>
      </c>
      <c r="G82" s="28">
        <v>77</v>
      </c>
      <c r="H82" s="7" t="s">
        <v>179</v>
      </c>
      <c r="I82" s="28" t="s">
        <v>109</v>
      </c>
      <c r="J82" s="28" t="s">
        <v>130</v>
      </c>
      <c r="K82" s="28" t="s">
        <v>109</v>
      </c>
      <c r="L82" s="41">
        <v>0.84444444444444444</v>
      </c>
      <c r="M82" s="28" t="s">
        <v>109</v>
      </c>
      <c r="N82" s="28" t="s">
        <v>109</v>
      </c>
      <c r="O82" s="28" t="s">
        <v>61</v>
      </c>
      <c r="P82" s="28" t="s">
        <v>131</v>
      </c>
      <c r="Q82" s="28" t="s">
        <v>179</v>
      </c>
      <c r="R82" s="28" t="s">
        <v>62</v>
      </c>
      <c r="S82" s="28" t="s">
        <v>136</v>
      </c>
      <c r="T82" s="28" t="s">
        <v>424</v>
      </c>
      <c r="U82" s="28" t="str">
        <f t="shared" si="1"/>
        <v>Not Met</v>
      </c>
      <c r="V82" s="28" t="s">
        <v>889</v>
      </c>
    </row>
    <row r="83" spans="1:22" x14ac:dyDescent="0.3">
      <c r="A83" s="28">
        <v>82</v>
      </c>
      <c r="B83" s="28" t="s">
        <v>23</v>
      </c>
      <c r="C83" s="28" t="s">
        <v>547</v>
      </c>
      <c r="D83" s="28">
        <v>50126102</v>
      </c>
      <c r="E83" s="28">
        <v>70</v>
      </c>
      <c r="F83" s="28">
        <v>84</v>
      </c>
      <c r="G83" s="28">
        <v>77</v>
      </c>
      <c r="H83" s="7" t="s">
        <v>65</v>
      </c>
      <c r="I83" s="28" t="s">
        <v>109</v>
      </c>
      <c r="J83" s="28" t="s">
        <v>130</v>
      </c>
      <c r="K83" s="28" t="s">
        <v>109</v>
      </c>
      <c r="L83" s="41">
        <v>0.80208333333333337</v>
      </c>
      <c r="M83" s="28" t="s">
        <v>109</v>
      </c>
      <c r="N83" s="28" t="s">
        <v>109</v>
      </c>
      <c r="O83" s="28" t="s">
        <v>61</v>
      </c>
      <c r="P83" s="28" t="s">
        <v>131</v>
      </c>
      <c r="Q83" s="28" t="s">
        <v>65</v>
      </c>
      <c r="R83" s="28" t="s">
        <v>62</v>
      </c>
      <c r="S83" s="28" t="s">
        <v>136</v>
      </c>
      <c r="T83" s="28" t="s">
        <v>424</v>
      </c>
      <c r="U83" s="28" t="str">
        <f t="shared" si="1"/>
        <v>Met</v>
      </c>
      <c r="V83" s="28" t="s">
        <v>109</v>
      </c>
    </row>
    <row r="84" spans="1:22" x14ac:dyDescent="0.3">
      <c r="A84" s="28">
        <v>83</v>
      </c>
      <c r="B84" s="28" t="s">
        <v>23</v>
      </c>
      <c r="C84" s="28" t="s">
        <v>834</v>
      </c>
      <c r="D84" s="28">
        <v>50126111</v>
      </c>
      <c r="E84" s="28">
        <v>70</v>
      </c>
      <c r="F84" s="28">
        <v>122</v>
      </c>
      <c r="G84" s="28">
        <v>102</v>
      </c>
      <c r="H84" s="7" t="s">
        <v>222</v>
      </c>
      <c r="I84" s="28" t="s">
        <v>109</v>
      </c>
      <c r="J84" s="28" t="s">
        <v>130</v>
      </c>
      <c r="K84" s="28" t="s">
        <v>109</v>
      </c>
      <c r="L84" s="41">
        <v>0.72569444444444442</v>
      </c>
      <c r="M84" s="28" t="s">
        <v>109</v>
      </c>
      <c r="N84" s="28" t="s">
        <v>109</v>
      </c>
      <c r="O84" s="28" t="s">
        <v>61</v>
      </c>
      <c r="P84" s="28" t="s">
        <v>131</v>
      </c>
      <c r="Q84" s="28" t="s">
        <v>153</v>
      </c>
      <c r="R84" s="28" t="s">
        <v>62</v>
      </c>
      <c r="S84" s="28" t="s">
        <v>136</v>
      </c>
      <c r="T84" s="28" t="s">
        <v>424</v>
      </c>
      <c r="U84" s="28" t="str">
        <f t="shared" si="1"/>
        <v>Not Met</v>
      </c>
      <c r="V84" s="28" t="s">
        <v>889</v>
      </c>
    </row>
    <row r="85" spans="1:22" x14ac:dyDescent="0.3">
      <c r="A85" s="28">
        <v>84</v>
      </c>
      <c r="B85" s="28" t="s">
        <v>23</v>
      </c>
      <c r="C85" s="28" t="s">
        <v>835</v>
      </c>
      <c r="D85" s="28">
        <v>50126103</v>
      </c>
      <c r="E85" s="28">
        <v>70</v>
      </c>
      <c r="F85" s="28">
        <v>98</v>
      </c>
      <c r="G85" s="28">
        <v>78</v>
      </c>
      <c r="H85" s="7" t="s">
        <v>274</v>
      </c>
      <c r="I85" s="28" t="s">
        <v>109</v>
      </c>
      <c r="J85" s="28" t="s">
        <v>130</v>
      </c>
      <c r="K85" s="28" t="s">
        <v>109</v>
      </c>
      <c r="L85" s="41">
        <v>0.98888888888888893</v>
      </c>
      <c r="M85" s="28" t="s">
        <v>109</v>
      </c>
      <c r="N85" s="28" t="s">
        <v>109</v>
      </c>
      <c r="O85" s="28" t="s">
        <v>61</v>
      </c>
      <c r="P85" s="28" t="s">
        <v>131</v>
      </c>
      <c r="Q85" s="28" t="s">
        <v>274</v>
      </c>
      <c r="R85" s="28" t="s">
        <v>62</v>
      </c>
      <c r="S85" s="28" t="s">
        <v>136</v>
      </c>
      <c r="T85" s="28" t="s">
        <v>424</v>
      </c>
      <c r="U85" s="28" t="str">
        <f t="shared" si="1"/>
        <v>Met</v>
      </c>
      <c r="V85" s="28" t="s">
        <v>109</v>
      </c>
    </row>
    <row r="86" spans="1:22" x14ac:dyDescent="0.3">
      <c r="A86" s="28">
        <v>85</v>
      </c>
      <c r="B86" s="28" t="s">
        <v>23</v>
      </c>
      <c r="C86" s="28" t="s">
        <v>836</v>
      </c>
      <c r="D86" s="28">
        <v>50126104</v>
      </c>
      <c r="E86" s="28">
        <v>70</v>
      </c>
      <c r="F86" s="28">
        <v>132</v>
      </c>
      <c r="G86" s="28">
        <v>70</v>
      </c>
      <c r="H86" s="7" t="s">
        <v>196</v>
      </c>
      <c r="I86" s="28" t="s">
        <v>109</v>
      </c>
      <c r="J86" s="28" t="s">
        <v>130</v>
      </c>
      <c r="K86" s="28" t="s">
        <v>109</v>
      </c>
      <c r="L86" s="41">
        <v>0.75069444444444444</v>
      </c>
      <c r="M86" s="28" t="s">
        <v>109</v>
      </c>
      <c r="N86" s="28" t="s">
        <v>109</v>
      </c>
      <c r="O86" s="28" t="s">
        <v>61</v>
      </c>
      <c r="P86" s="28" t="s">
        <v>131</v>
      </c>
      <c r="Q86" s="28" t="s">
        <v>196</v>
      </c>
      <c r="R86" s="28" t="s">
        <v>62</v>
      </c>
      <c r="S86" s="28" t="s">
        <v>136</v>
      </c>
      <c r="T86" s="28" t="s">
        <v>424</v>
      </c>
      <c r="U86" s="28" t="str">
        <f t="shared" si="1"/>
        <v>Not Met</v>
      </c>
      <c r="V86" s="28" t="s">
        <v>889</v>
      </c>
    </row>
    <row r="87" spans="1:22" x14ac:dyDescent="0.3">
      <c r="A87" s="28">
        <v>86</v>
      </c>
      <c r="B87" s="28" t="s">
        <v>23</v>
      </c>
      <c r="C87" s="28" t="s">
        <v>837</v>
      </c>
      <c r="D87" s="28">
        <v>50126110</v>
      </c>
      <c r="E87" s="28">
        <v>70</v>
      </c>
      <c r="F87" s="28">
        <v>102</v>
      </c>
      <c r="G87" s="28">
        <v>71</v>
      </c>
      <c r="H87" s="7" t="s">
        <v>71</v>
      </c>
      <c r="I87" s="28" t="s">
        <v>109</v>
      </c>
      <c r="J87" s="28" t="s">
        <v>130</v>
      </c>
      <c r="K87" s="28" t="s">
        <v>109</v>
      </c>
      <c r="L87" s="41">
        <v>0.76666666666666672</v>
      </c>
      <c r="M87" s="28" t="s">
        <v>109</v>
      </c>
      <c r="N87" s="28" t="s">
        <v>109</v>
      </c>
      <c r="O87" s="28" t="s">
        <v>61</v>
      </c>
      <c r="P87" s="28" t="s">
        <v>131</v>
      </c>
      <c r="Q87" s="28" t="s">
        <v>71</v>
      </c>
      <c r="R87" s="28" t="s">
        <v>62</v>
      </c>
      <c r="S87" s="28" t="s">
        <v>136</v>
      </c>
      <c r="T87" s="28" t="s">
        <v>424</v>
      </c>
      <c r="U87" s="28" t="str">
        <f t="shared" si="1"/>
        <v>Met</v>
      </c>
      <c r="V87" s="28" t="s">
        <v>109</v>
      </c>
    </row>
    <row r="88" spans="1:22" x14ac:dyDescent="0.3">
      <c r="A88" s="28">
        <v>87</v>
      </c>
      <c r="B88" s="28" t="s">
        <v>23</v>
      </c>
      <c r="C88" s="28" t="s">
        <v>838</v>
      </c>
      <c r="D88" s="28">
        <v>50126105</v>
      </c>
      <c r="E88" s="28">
        <v>70</v>
      </c>
      <c r="F88" s="28">
        <v>161</v>
      </c>
      <c r="G88" s="28">
        <v>81</v>
      </c>
      <c r="H88" s="7" t="s">
        <v>200</v>
      </c>
      <c r="I88" s="28" t="s">
        <v>109</v>
      </c>
      <c r="J88" s="28" t="s">
        <v>130</v>
      </c>
      <c r="K88" s="28" t="s">
        <v>109</v>
      </c>
      <c r="L88" s="41">
        <v>0.875</v>
      </c>
      <c r="M88" s="28" t="s">
        <v>109</v>
      </c>
      <c r="N88" s="28" t="s">
        <v>109</v>
      </c>
      <c r="O88" s="28" t="s">
        <v>61</v>
      </c>
      <c r="P88" s="28" t="s">
        <v>131</v>
      </c>
      <c r="Q88" s="28" t="s">
        <v>200</v>
      </c>
      <c r="R88" s="28" t="s">
        <v>62</v>
      </c>
      <c r="S88" s="28" t="s">
        <v>136</v>
      </c>
      <c r="T88" s="28" t="s">
        <v>424</v>
      </c>
      <c r="U88" s="28" t="str">
        <f t="shared" si="1"/>
        <v>Met</v>
      </c>
      <c r="V88" s="28" t="s">
        <v>109</v>
      </c>
    </row>
    <row r="89" spans="1:22" x14ac:dyDescent="0.3">
      <c r="A89" s="28">
        <v>88</v>
      </c>
      <c r="B89" s="28" t="s">
        <v>23</v>
      </c>
      <c r="C89" s="28" t="s">
        <v>839</v>
      </c>
      <c r="D89" s="28">
        <v>50126106</v>
      </c>
      <c r="E89" s="28">
        <v>70</v>
      </c>
      <c r="F89" s="28">
        <v>118</v>
      </c>
      <c r="G89" s="28">
        <v>70</v>
      </c>
      <c r="H89" s="7" t="s">
        <v>68</v>
      </c>
      <c r="I89" s="28" t="s">
        <v>109</v>
      </c>
      <c r="J89" s="28" t="s">
        <v>130</v>
      </c>
      <c r="K89" s="28" t="s">
        <v>109</v>
      </c>
      <c r="L89" s="41">
        <v>0.91527777777777775</v>
      </c>
      <c r="M89" s="28" t="s">
        <v>109</v>
      </c>
      <c r="N89" s="28" t="s">
        <v>109</v>
      </c>
      <c r="O89" s="28" t="s">
        <v>61</v>
      </c>
      <c r="P89" s="28" t="s">
        <v>131</v>
      </c>
      <c r="Q89" s="28" t="s">
        <v>68</v>
      </c>
      <c r="R89" s="28" t="s">
        <v>62</v>
      </c>
      <c r="S89" s="28" t="s">
        <v>136</v>
      </c>
      <c r="T89" s="28" t="s">
        <v>424</v>
      </c>
      <c r="U89" s="28" t="str">
        <f t="shared" si="1"/>
        <v>Met</v>
      </c>
      <c r="V89" s="28" t="s">
        <v>109</v>
      </c>
    </row>
    <row r="90" spans="1:22" x14ac:dyDescent="0.3">
      <c r="A90" s="28">
        <v>89</v>
      </c>
      <c r="B90" s="28" t="s">
        <v>23</v>
      </c>
      <c r="C90" s="28" t="s">
        <v>840</v>
      </c>
      <c r="D90" s="28">
        <v>50126075</v>
      </c>
      <c r="E90" s="28">
        <v>120</v>
      </c>
      <c r="F90" s="28">
        <v>145</v>
      </c>
      <c r="G90" s="28">
        <v>135</v>
      </c>
      <c r="H90" s="7" t="s">
        <v>70</v>
      </c>
      <c r="I90" s="28" t="s">
        <v>109</v>
      </c>
      <c r="J90" s="28" t="s">
        <v>130</v>
      </c>
      <c r="K90" s="28" t="s">
        <v>109</v>
      </c>
      <c r="L90" s="41">
        <v>0.74861111111111112</v>
      </c>
      <c r="M90" s="28" t="s">
        <v>109</v>
      </c>
      <c r="N90" s="28" t="s">
        <v>109</v>
      </c>
      <c r="O90" s="28" t="s">
        <v>61</v>
      </c>
      <c r="P90" s="28" t="s">
        <v>131</v>
      </c>
      <c r="Q90" s="28" t="s">
        <v>70</v>
      </c>
      <c r="R90" s="28" t="s">
        <v>62</v>
      </c>
      <c r="S90" s="28" t="s">
        <v>136</v>
      </c>
      <c r="T90" s="28" t="s">
        <v>424</v>
      </c>
      <c r="U90" s="28" t="str">
        <f t="shared" si="1"/>
        <v>Not Met</v>
      </c>
      <c r="V90" s="28" t="s">
        <v>889</v>
      </c>
    </row>
    <row r="91" spans="1:22" x14ac:dyDescent="0.3">
      <c r="A91" s="28">
        <v>90</v>
      </c>
      <c r="B91" s="28" t="s">
        <v>23</v>
      </c>
      <c r="C91" s="28" t="s">
        <v>423</v>
      </c>
      <c r="D91" s="28">
        <v>50126026</v>
      </c>
      <c r="E91" s="28">
        <v>70</v>
      </c>
      <c r="F91" s="28">
        <v>111</v>
      </c>
      <c r="G91" s="28">
        <v>19</v>
      </c>
      <c r="H91" s="7" t="s">
        <v>64</v>
      </c>
      <c r="I91" s="28" t="s">
        <v>109</v>
      </c>
      <c r="J91" s="28" t="s">
        <v>130</v>
      </c>
      <c r="K91" s="28" t="s">
        <v>109</v>
      </c>
      <c r="L91" s="41">
        <v>0.67152777777777772</v>
      </c>
      <c r="M91" s="28" t="s">
        <v>109</v>
      </c>
      <c r="N91" s="28" t="s">
        <v>109</v>
      </c>
      <c r="O91" s="28" t="s">
        <v>61</v>
      </c>
      <c r="P91" s="28" t="s">
        <v>131</v>
      </c>
      <c r="Q91" s="28" t="s">
        <v>64</v>
      </c>
      <c r="R91" s="28" t="s">
        <v>62</v>
      </c>
      <c r="S91" s="28" t="s">
        <v>136</v>
      </c>
      <c r="T91" s="28" t="s">
        <v>424</v>
      </c>
      <c r="U91" s="28" t="str">
        <f t="shared" si="1"/>
        <v>Not Met</v>
      </c>
      <c r="V91" s="28" t="s">
        <v>889</v>
      </c>
    </row>
    <row r="92" spans="1:22" x14ac:dyDescent="0.3">
      <c r="A92" s="28">
        <v>91</v>
      </c>
      <c r="B92" s="28" t="s">
        <v>23</v>
      </c>
      <c r="C92" s="28" t="s">
        <v>432</v>
      </c>
      <c r="D92" s="28">
        <v>50126040</v>
      </c>
      <c r="E92" s="28">
        <v>70</v>
      </c>
      <c r="F92" s="28">
        <v>140</v>
      </c>
      <c r="G92" s="28">
        <v>61</v>
      </c>
      <c r="H92" s="7" t="s">
        <v>69</v>
      </c>
      <c r="I92" s="28" t="s">
        <v>109</v>
      </c>
      <c r="J92" s="28" t="s">
        <v>130</v>
      </c>
      <c r="K92" s="28" t="s">
        <v>109</v>
      </c>
      <c r="L92" s="41">
        <v>0.71527777777777779</v>
      </c>
      <c r="M92" s="28" t="s">
        <v>109</v>
      </c>
      <c r="N92" s="28" t="s">
        <v>109</v>
      </c>
      <c r="O92" s="28" t="s">
        <v>61</v>
      </c>
      <c r="P92" s="28" t="s">
        <v>131</v>
      </c>
      <c r="Q92" s="28" t="s">
        <v>69</v>
      </c>
      <c r="R92" s="28" t="s">
        <v>62</v>
      </c>
      <c r="S92" s="28" t="s">
        <v>136</v>
      </c>
      <c r="T92" s="28" t="s">
        <v>424</v>
      </c>
      <c r="U92" s="28" t="str">
        <f t="shared" si="1"/>
        <v>Not Met</v>
      </c>
      <c r="V92" s="28" t="s">
        <v>889</v>
      </c>
    </row>
    <row r="93" spans="1:22" x14ac:dyDescent="0.3">
      <c r="A93" s="28">
        <v>92</v>
      </c>
      <c r="B93" s="28" t="s">
        <v>23</v>
      </c>
      <c r="C93" s="28" t="s">
        <v>431</v>
      </c>
      <c r="D93" s="28">
        <v>50126041</v>
      </c>
      <c r="E93" s="28">
        <v>70</v>
      </c>
      <c r="F93" s="28">
        <v>88</v>
      </c>
      <c r="G93" s="28">
        <v>77</v>
      </c>
      <c r="H93" s="7" t="s">
        <v>67</v>
      </c>
      <c r="I93" s="28" t="s">
        <v>109</v>
      </c>
      <c r="J93" s="28" t="s">
        <v>130</v>
      </c>
      <c r="K93" s="28" t="s">
        <v>109</v>
      </c>
      <c r="L93" s="41">
        <v>0.71805555555555556</v>
      </c>
      <c r="M93" s="28" t="s">
        <v>109</v>
      </c>
      <c r="N93" s="28" t="s">
        <v>109</v>
      </c>
      <c r="O93" s="28" t="s">
        <v>61</v>
      </c>
      <c r="P93" s="28" t="s">
        <v>131</v>
      </c>
      <c r="Q93" s="28" t="s">
        <v>67</v>
      </c>
      <c r="R93" s="28" t="s">
        <v>62</v>
      </c>
      <c r="S93" s="28" t="s">
        <v>136</v>
      </c>
      <c r="T93" s="28" t="s">
        <v>424</v>
      </c>
      <c r="U93" s="28" t="str">
        <f t="shared" si="1"/>
        <v>Not Met</v>
      </c>
      <c r="V93" s="28" t="s">
        <v>889</v>
      </c>
    </row>
    <row r="94" spans="1:22" x14ac:dyDescent="0.3">
      <c r="A94" s="28">
        <v>93</v>
      </c>
      <c r="B94" s="28" t="s">
        <v>23</v>
      </c>
      <c r="C94" s="28" t="s">
        <v>430</v>
      </c>
      <c r="D94" s="28">
        <v>50126042</v>
      </c>
      <c r="E94" s="28">
        <v>70</v>
      </c>
      <c r="F94" s="28">
        <v>150</v>
      </c>
      <c r="G94" s="28">
        <v>52</v>
      </c>
      <c r="H94" s="7" t="s">
        <v>72</v>
      </c>
      <c r="I94" s="28" t="s">
        <v>109</v>
      </c>
      <c r="J94" s="28" t="s">
        <v>130</v>
      </c>
      <c r="K94" s="28" t="s">
        <v>109</v>
      </c>
      <c r="L94" s="41">
        <v>0.76041666666666663</v>
      </c>
      <c r="M94" s="28" t="s">
        <v>109</v>
      </c>
      <c r="N94" s="28" t="s">
        <v>109</v>
      </c>
      <c r="O94" s="28" t="s">
        <v>61</v>
      </c>
      <c r="P94" s="28" t="s">
        <v>131</v>
      </c>
      <c r="Q94" s="28" t="s">
        <v>72</v>
      </c>
      <c r="R94" s="28" t="s">
        <v>62</v>
      </c>
      <c r="S94" s="28" t="s">
        <v>136</v>
      </c>
      <c r="T94" s="28" t="s">
        <v>424</v>
      </c>
      <c r="U94" s="28" t="str">
        <f t="shared" si="1"/>
        <v>Not Met</v>
      </c>
      <c r="V94" s="28" t="s">
        <v>889</v>
      </c>
    </row>
    <row r="95" spans="1:22" x14ac:dyDescent="0.3">
      <c r="A95" s="28">
        <v>94</v>
      </c>
      <c r="B95" s="28" t="s">
        <v>23</v>
      </c>
      <c r="C95" s="28" t="s">
        <v>429</v>
      </c>
      <c r="D95" s="28">
        <v>50126043</v>
      </c>
      <c r="E95" s="28">
        <v>70</v>
      </c>
      <c r="F95" s="28">
        <v>80</v>
      </c>
      <c r="G95" s="28">
        <v>0</v>
      </c>
      <c r="H95" s="7" t="s">
        <v>84</v>
      </c>
      <c r="I95" s="28" t="s">
        <v>109</v>
      </c>
      <c r="J95" s="28" t="s">
        <v>130</v>
      </c>
      <c r="K95" s="28" t="s">
        <v>109</v>
      </c>
      <c r="L95" s="41">
        <v>0.96250000000000002</v>
      </c>
      <c r="M95" s="28" t="s">
        <v>109</v>
      </c>
      <c r="N95" s="28" t="s">
        <v>109</v>
      </c>
      <c r="O95" s="28" t="s">
        <v>61</v>
      </c>
      <c r="P95" s="28" t="s">
        <v>131</v>
      </c>
      <c r="Q95" s="28" t="s">
        <v>84</v>
      </c>
      <c r="R95" s="28" t="s">
        <v>62</v>
      </c>
      <c r="S95" s="28" t="s">
        <v>136</v>
      </c>
      <c r="T95" s="28" t="s">
        <v>424</v>
      </c>
      <c r="U95" s="28" t="str">
        <f t="shared" si="1"/>
        <v>Not Met</v>
      </c>
      <c r="V95" s="28" t="s">
        <v>889</v>
      </c>
    </row>
    <row r="96" spans="1:22" x14ac:dyDescent="0.3">
      <c r="A96" s="28">
        <v>95</v>
      </c>
      <c r="B96" s="28" t="s">
        <v>23</v>
      </c>
      <c r="C96" s="28" t="s">
        <v>841</v>
      </c>
      <c r="D96" s="28">
        <v>50126201</v>
      </c>
      <c r="E96" s="28">
        <v>70</v>
      </c>
      <c r="F96" s="28">
        <v>77</v>
      </c>
      <c r="G96" s="28">
        <v>70</v>
      </c>
      <c r="H96" s="7" t="s">
        <v>184</v>
      </c>
      <c r="I96" s="28" t="s">
        <v>109</v>
      </c>
      <c r="J96" s="28" t="s">
        <v>130</v>
      </c>
      <c r="K96" s="28" t="s">
        <v>109</v>
      </c>
      <c r="L96" s="41">
        <v>0.76597222222222228</v>
      </c>
      <c r="M96" s="28" t="s">
        <v>109</v>
      </c>
      <c r="N96" s="28" t="s">
        <v>109</v>
      </c>
      <c r="O96" s="28" t="s">
        <v>61</v>
      </c>
      <c r="P96" s="28" t="s">
        <v>131</v>
      </c>
      <c r="Q96" s="28" t="s">
        <v>184</v>
      </c>
      <c r="R96" s="28" t="s">
        <v>62</v>
      </c>
      <c r="S96" s="28" t="s">
        <v>136</v>
      </c>
      <c r="T96" s="28" t="s">
        <v>424</v>
      </c>
      <c r="U96" s="28" t="str">
        <f t="shared" si="1"/>
        <v>Not Met</v>
      </c>
      <c r="V96" s="28" t="s">
        <v>889</v>
      </c>
    </row>
    <row r="97" spans="1:22" x14ac:dyDescent="0.3">
      <c r="A97" s="28">
        <v>96</v>
      </c>
      <c r="B97" s="28" t="s">
        <v>23</v>
      </c>
      <c r="C97" s="28" t="s">
        <v>842</v>
      </c>
      <c r="D97" s="28">
        <v>50126202</v>
      </c>
      <c r="E97" s="28">
        <v>70</v>
      </c>
      <c r="F97" s="28">
        <v>106</v>
      </c>
      <c r="G97" s="28">
        <v>87</v>
      </c>
      <c r="H97" s="7" t="s">
        <v>70</v>
      </c>
      <c r="I97" s="28" t="s">
        <v>109</v>
      </c>
      <c r="J97" s="28" t="s">
        <v>130</v>
      </c>
      <c r="K97" s="28" t="s">
        <v>109</v>
      </c>
      <c r="L97" s="41">
        <v>0.68680555555555556</v>
      </c>
      <c r="M97" s="28" t="s">
        <v>109</v>
      </c>
      <c r="N97" s="28" t="s">
        <v>109</v>
      </c>
      <c r="O97" s="28" t="s">
        <v>61</v>
      </c>
      <c r="P97" s="28" t="s">
        <v>131</v>
      </c>
      <c r="Q97" s="28" t="s">
        <v>70</v>
      </c>
      <c r="R97" s="28" t="s">
        <v>62</v>
      </c>
      <c r="S97" s="28" t="s">
        <v>136</v>
      </c>
      <c r="T97" s="28" t="s">
        <v>424</v>
      </c>
      <c r="U97" s="28" t="str">
        <f t="shared" si="1"/>
        <v>Not Met</v>
      </c>
      <c r="V97" s="28" t="s">
        <v>889</v>
      </c>
    </row>
    <row r="98" spans="1:22" x14ac:dyDescent="0.3">
      <c r="A98" s="28">
        <v>97</v>
      </c>
      <c r="B98" s="28" t="s">
        <v>23</v>
      </c>
      <c r="C98" s="28" t="s">
        <v>843</v>
      </c>
      <c r="D98" s="28">
        <v>50126203</v>
      </c>
      <c r="E98" s="28">
        <v>70</v>
      </c>
      <c r="F98" s="28">
        <v>91</v>
      </c>
      <c r="G98" s="28">
        <v>72</v>
      </c>
      <c r="H98" s="7" t="s">
        <v>87</v>
      </c>
      <c r="I98" s="28" t="s">
        <v>109</v>
      </c>
      <c r="J98" s="28" t="s">
        <v>130</v>
      </c>
      <c r="K98" s="28" t="s">
        <v>109</v>
      </c>
      <c r="L98" s="41">
        <v>0.70833333333333337</v>
      </c>
      <c r="M98" s="28" t="s">
        <v>109</v>
      </c>
      <c r="N98" s="28" t="s">
        <v>109</v>
      </c>
      <c r="O98" s="28" t="s">
        <v>61</v>
      </c>
      <c r="P98" s="28" t="s">
        <v>131</v>
      </c>
      <c r="Q98" s="28" t="s">
        <v>87</v>
      </c>
      <c r="R98" s="28" t="s">
        <v>62</v>
      </c>
      <c r="S98" s="28" t="s">
        <v>136</v>
      </c>
      <c r="T98" s="28" t="s">
        <v>424</v>
      </c>
      <c r="U98" s="28" t="str">
        <f t="shared" si="1"/>
        <v>Not Met</v>
      </c>
      <c r="V98" s="28" t="s">
        <v>889</v>
      </c>
    </row>
    <row r="99" spans="1:22" x14ac:dyDescent="0.3">
      <c r="A99" s="28">
        <v>98</v>
      </c>
      <c r="B99" s="28" t="s">
        <v>23</v>
      </c>
      <c r="C99" s="28" t="s">
        <v>844</v>
      </c>
      <c r="D99" s="28">
        <v>50126204</v>
      </c>
      <c r="E99" s="28">
        <v>70</v>
      </c>
      <c r="F99" s="28">
        <v>128</v>
      </c>
      <c r="G99" s="28">
        <v>72</v>
      </c>
      <c r="H99" s="7" t="s">
        <v>154</v>
      </c>
      <c r="I99" s="28" t="s">
        <v>109</v>
      </c>
      <c r="J99" s="28" t="s">
        <v>130</v>
      </c>
      <c r="K99" s="28" t="s">
        <v>109</v>
      </c>
      <c r="L99" s="41">
        <v>0.81874999999999998</v>
      </c>
      <c r="M99" s="28" t="s">
        <v>109</v>
      </c>
      <c r="N99" s="28" t="s">
        <v>109</v>
      </c>
      <c r="O99" s="28" t="s">
        <v>61</v>
      </c>
      <c r="P99" s="28" t="s">
        <v>131</v>
      </c>
      <c r="Q99" s="28" t="s">
        <v>154</v>
      </c>
      <c r="R99" s="28" t="s">
        <v>62</v>
      </c>
      <c r="S99" s="28" t="s">
        <v>136</v>
      </c>
      <c r="T99" s="28" t="s">
        <v>424</v>
      </c>
      <c r="U99" s="28" t="str">
        <f t="shared" si="1"/>
        <v>Not Met</v>
      </c>
      <c r="V99" s="28" t="s">
        <v>889</v>
      </c>
    </row>
    <row r="100" spans="1:22" x14ac:dyDescent="0.3">
      <c r="A100" s="28">
        <v>99</v>
      </c>
      <c r="B100" s="28" t="s">
        <v>23</v>
      </c>
      <c r="C100" s="28" t="s">
        <v>845</v>
      </c>
      <c r="D100" s="28">
        <v>50126206</v>
      </c>
      <c r="E100" s="28">
        <v>70</v>
      </c>
      <c r="F100" s="28">
        <v>129</v>
      </c>
      <c r="G100" s="28">
        <v>69</v>
      </c>
      <c r="H100" s="7" t="s">
        <v>93</v>
      </c>
      <c r="I100" s="28" t="s">
        <v>109</v>
      </c>
      <c r="J100" s="28" t="s">
        <v>130</v>
      </c>
      <c r="K100" s="28" t="s">
        <v>109</v>
      </c>
      <c r="L100" s="41">
        <v>0.8569444444444444</v>
      </c>
      <c r="M100" s="28" t="s">
        <v>109</v>
      </c>
      <c r="N100" s="28" t="s">
        <v>109</v>
      </c>
      <c r="O100" s="28" t="s">
        <v>61</v>
      </c>
      <c r="P100" s="28" t="s">
        <v>131</v>
      </c>
      <c r="Q100" s="28" t="s">
        <v>93</v>
      </c>
      <c r="R100" s="28" t="s">
        <v>62</v>
      </c>
      <c r="S100" s="28" t="s">
        <v>136</v>
      </c>
      <c r="T100" s="28" t="s">
        <v>424</v>
      </c>
      <c r="U100" s="28" t="str">
        <f t="shared" si="1"/>
        <v>Met</v>
      </c>
      <c r="V100" s="28" t="s">
        <v>109</v>
      </c>
    </row>
    <row r="101" spans="1:22" x14ac:dyDescent="0.3">
      <c r="A101" s="28">
        <v>100</v>
      </c>
      <c r="B101" s="28" t="s">
        <v>23</v>
      </c>
      <c r="C101" s="28" t="s">
        <v>846</v>
      </c>
      <c r="D101" s="28">
        <v>50126172</v>
      </c>
      <c r="E101" s="28">
        <v>70</v>
      </c>
      <c r="F101" s="28">
        <v>100</v>
      </c>
      <c r="G101" s="28">
        <v>89</v>
      </c>
      <c r="H101" s="7" t="s">
        <v>88</v>
      </c>
      <c r="I101" s="28" t="s">
        <v>109</v>
      </c>
      <c r="J101" s="28" t="s">
        <v>130</v>
      </c>
      <c r="K101" s="28" t="s">
        <v>109</v>
      </c>
      <c r="L101" s="41">
        <v>0.9194444444444444</v>
      </c>
      <c r="M101" s="28" t="s">
        <v>109</v>
      </c>
      <c r="N101" s="28" t="s">
        <v>109</v>
      </c>
      <c r="O101" s="28" t="s">
        <v>61</v>
      </c>
      <c r="P101" s="28" t="s">
        <v>131</v>
      </c>
      <c r="Q101" s="28" t="s">
        <v>88</v>
      </c>
      <c r="R101" s="28" t="s">
        <v>62</v>
      </c>
      <c r="S101" s="28" t="s">
        <v>136</v>
      </c>
      <c r="T101" s="28" t="s">
        <v>424</v>
      </c>
      <c r="U101" s="28" t="str">
        <f t="shared" si="1"/>
        <v>Met</v>
      </c>
      <c r="V101" s="28" t="s">
        <v>109</v>
      </c>
    </row>
    <row r="102" spans="1:22" x14ac:dyDescent="0.3">
      <c r="A102" s="28">
        <v>101</v>
      </c>
      <c r="B102" s="28" t="s">
        <v>23</v>
      </c>
      <c r="C102" s="28" t="s">
        <v>847</v>
      </c>
      <c r="D102" s="28">
        <v>50126171</v>
      </c>
      <c r="E102" s="28">
        <v>70</v>
      </c>
      <c r="F102" s="28">
        <v>95</v>
      </c>
      <c r="G102" s="28">
        <v>78</v>
      </c>
      <c r="H102" s="7" t="s">
        <v>209</v>
      </c>
      <c r="I102" s="28" t="s">
        <v>109</v>
      </c>
      <c r="J102" s="28" t="s">
        <v>130</v>
      </c>
      <c r="K102" s="28" t="s">
        <v>109</v>
      </c>
      <c r="L102" s="41">
        <v>0.97291666666666665</v>
      </c>
      <c r="M102" s="28" t="s">
        <v>109</v>
      </c>
      <c r="N102" s="28" t="s">
        <v>109</v>
      </c>
      <c r="O102" s="28" t="s">
        <v>61</v>
      </c>
      <c r="P102" s="28" t="s">
        <v>131</v>
      </c>
      <c r="Q102" s="28" t="s">
        <v>209</v>
      </c>
      <c r="R102" s="28" t="s">
        <v>62</v>
      </c>
      <c r="S102" s="28" t="s">
        <v>136</v>
      </c>
      <c r="T102" s="28" t="s">
        <v>424</v>
      </c>
      <c r="U102" s="28" t="str">
        <f t="shared" si="1"/>
        <v>Met</v>
      </c>
      <c r="V102" s="28" t="s">
        <v>109</v>
      </c>
    </row>
    <row r="103" spans="1:22" x14ac:dyDescent="0.3">
      <c r="A103" s="28">
        <v>102</v>
      </c>
      <c r="B103" s="28" t="s">
        <v>23</v>
      </c>
      <c r="C103" s="28" t="s">
        <v>848</v>
      </c>
      <c r="D103" s="28">
        <v>50126212</v>
      </c>
      <c r="E103" s="28">
        <v>75</v>
      </c>
      <c r="F103" s="28">
        <v>46</v>
      </c>
      <c r="G103" s="28">
        <v>17</v>
      </c>
      <c r="H103" s="7" t="s">
        <v>86</v>
      </c>
      <c r="I103" s="28" t="s">
        <v>109</v>
      </c>
      <c r="J103" s="28" t="s">
        <v>130</v>
      </c>
      <c r="K103" s="28" t="s">
        <v>109</v>
      </c>
      <c r="L103" s="41">
        <v>6.9444444444444447E-4</v>
      </c>
      <c r="M103" s="28" t="s">
        <v>109</v>
      </c>
      <c r="N103" s="28" t="s">
        <v>109</v>
      </c>
      <c r="O103" s="28" t="s">
        <v>61</v>
      </c>
      <c r="P103" s="28" t="s">
        <v>131</v>
      </c>
      <c r="Q103" s="28" t="s">
        <v>86</v>
      </c>
      <c r="R103" s="28" t="s">
        <v>62</v>
      </c>
      <c r="S103" s="28" t="s">
        <v>136</v>
      </c>
      <c r="T103" s="28" t="s">
        <v>424</v>
      </c>
      <c r="U103" s="28" t="str">
        <f t="shared" si="1"/>
        <v>Met</v>
      </c>
      <c r="V103" s="28" t="s">
        <v>109</v>
      </c>
    </row>
    <row r="104" spans="1:22" x14ac:dyDescent="0.3">
      <c r="A104" s="28">
        <v>103</v>
      </c>
      <c r="B104" s="28" t="s">
        <v>23</v>
      </c>
      <c r="C104" s="28" t="s">
        <v>849</v>
      </c>
      <c r="D104" s="28">
        <v>50126213</v>
      </c>
      <c r="E104" s="28">
        <v>60</v>
      </c>
      <c r="F104" s="28">
        <v>99</v>
      </c>
      <c r="G104" s="28">
        <v>56</v>
      </c>
      <c r="H104" s="7" t="s">
        <v>94</v>
      </c>
      <c r="I104" s="28" t="s">
        <v>109</v>
      </c>
      <c r="J104" s="28" t="s">
        <v>130</v>
      </c>
      <c r="K104" s="51">
        <v>6.458333333333334E-2</v>
      </c>
      <c r="L104" s="28" t="s">
        <v>109</v>
      </c>
      <c r="M104" s="28" t="s">
        <v>109</v>
      </c>
      <c r="N104" s="28" t="s">
        <v>109</v>
      </c>
      <c r="O104" s="28" t="s">
        <v>61</v>
      </c>
      <c r="P104" s="28" t="s">
        <v>131</v>
      </c>
      <c r="Q104" s="28" t="s">
        <v>94</v>
      </c>
      <c r="R104" s="28" t="s">
        <v>62</v>
      </c>
      <c r="S104" s="28" t="s">
        <v>136</v>
      </c>
      <c r="T104" s="28" t="s">
        <v>424</v>
      </c>
      <c r="U104" s="28" t="str">
        <f t="shared" si="1"/>
        <v>Met</v>
      </c>
      <c r="V104" s="28" t="s">
        <v>109</v>
      </c>
    </row>
    <row r="105" spans="1:22" x14ac:dyDescent="0.3">
      <c r="A105" s="28">
        <v>104</v>
      </c>
      <c r="B105" s="28" t="s">
        <v>23</v>
      </c>
      <c r="C105" s="28" t="s">
        <v>850</v>
      </c>
      <c r="D105" s="28">
        <v>50126214</v>
      </c>
      <c r="E105" s="28">
        <v>120</v>
      </c>
      <c r="F105" s="28">
        <v>153</v>
      </c>
      <c r="G105" s="28">
        <v>135</v>
      </c>
      <c r="H105" s="7" t="s">
        <v>82</v>
      </c>
      <c r="I105" s="28" t="s">
        <v>109</v>
      </c>
      <c r="J105" s="28" t="s">
        <v>130</v>
      </c>
      <c r="K105" s="28" t="s">
        <v>109</v>
      </c>
      <c r="L105" s="41">
        <v>0.82986111111111116</v>
      </c>
      <c r="M105" s="28" t="s">
        <v>109</v>
      </c>
      <c r="N105" s="28" t="s">
        <v>109</v>
      </c>
      <c r="O105" s="28" t="s">
        <v>61</v>
      </c>
      <c r="P105" s="28" t="s">
        <v>131</v>
      </c>
      <c r="Q105" s="28" t="s">
        <v>82</v>
      </c>
      <c r="R105" s="28" t="s">
        <v>62</v>
      </c>
      <c r="S105" s="28" t="s">
        <v>136</v>
      </c>
      <c r="T105" s="28" t="s">
        <v>424</v>
      </c>
      <c r="U105" s="28" t="str">
        <f t="shared" si="1"/>
        <v>Met</v>
      </c>
      <c r="V105" s="28" t="s">
        <v>109</v>
      </c>
    </row>
    <row r="106" spans="1:22" x14ac:dyDescent="0.3">
      <c r="A106" s="28">
        <v>105</v>
      </c>
      <c r="B106" s="28" t="s">
        <v>23</v>
      </c>
      <c r="C106" s="28" t="s">
        <v>659</v>
      </c>
      <c r="D106" s="28">
        <v>50126153</v>
      </c>
      <c r="E106" s="28">
        <v>50</v>
      </c>
      <c r="F106" s="28">
        <v>67</v>
      </c>
      <c r="G106" s="28">
        <v>63</v>
      </c>
      <c r="H106" s="7" t="s">
        <v>88</v>
      </c>
      <c r="I106" s="28" t="s">
        <v>109</v>
      </c>
      <c r="J106" s="28" t="s">
        <v>130</v>
      </c>
      <c r="K106" s="28" t="s">
        <v>109</v>
      </c>
      <c r="L106" s="41">
        <v>0.97291666666666665</v>
      </c>
      <c r="M106" s="28" t="s">
        <v>109</v>
      </c>
      <c r="N106" s="28" t="s">
        <v>851</v>
      </c>
      <c r="O106" s="28" t="s">
        <v>61</v>
      </c>
      <c r="P106" s="28" t="s">
        <v>131</v>
      </c>
      <c r="Q106" s="28" t="s">
        <v>88</v>
      </c>
      <c r="R106" s="28" t="s">
        <v>62</v>
      </c>
      <c r="S106" s="28" t="s">
        <v>136</v>
      </c>
      <c r="T106" s="28" t="s">
        <v>661</v>
      </c>
      <c r="U106" s="28" t="str">
        <f t="shared" si="1"/>
        <v>Met</v>
      </c>
      <c r="V106" s="28" t="s">
        <v>109</v>
      </c>
    </row>
    <row r="107" spans="1:22" x14ac:dyDescent="0.3">
      <c r="A107" s="28">
        <v>106</v>
      </c>
      <c r="B107" s="28" t="s">
        <v>23</v>
      </c>
      <c r="C107" s="28" t="s">
        <v>662</v>
      </c>
      <c r="D107" s="28">
        <v>50126152</v>
      </c>
      <c r="E107" s="28">
        <v>50</v>
      </c>
      <c r="F107" s="28">
        <v>117</v>
      </c>
      <c r="G107" s="28">
        <v>49</v>
      </c>
      <c r="H107" s="7" t="s">
        <v>209</v>
      </c>
      <c r="I107" s="28" t="s">
        <v>109</v>
      </c>
      <c r="J107" s="28" t="s">
        <v>130</v>
      </c>
      <c r="K107" s="28" t="s">
        <v>109</v>
      </c>
      <c r="L107" s="41">
        <v>2.5694444444444443E-2</v>
      </c>
      <c r="M107" s="28" t="s">
        <v>109</v>
      </c>
      <c r="N107" s="28" t="s">
        <v>851</v>
      </c>
      <c r="O107" s="28" t="s">
        <v>61</v>
      </c>
      <c r="P107" s="28" t="s">
        <v>131</v>
      </c>
      <c r="Q107" s="28" t="s">
        <v>209</v>
      </c>
      <c r="R107" s="28" t="s">
        <v>62</v>
      </c>
      <c r="S107" s="28" t="s">
        <v>136</v>
      </c>
      <c r="T107" s="28" t="s">
        <v>661</v>
      </c>
      <c r="U107" s="28" t="str">
        <f t="shared" si="1"/>
        <v>Not Met</v>
      </c>
      <c r="V107" s="28" t="s">
        <v>889</v>
      </c>
    </row>
    <row r="108" spans="1:22" x14ac:dyDescent="0.3">
      <c r="A108" s="28">
        <v>107</v>
      </c>
      <c r="B108" s="28" t="s">
        <v>23</v>
      </c>
      <c r="C108" s="28" t="s">
        <v>643</v>
      </c>
      <c r="D108" s="28">
        <v>50126116</v>
      </c>
      <c r="E108" s="28">
        <v>20</v>
      </c>
      <c r="F108" s="28">
        <v>26</v>
      </c>
      <c r="G108" s="28">
        <v>24</v>
      </c>
      <c r="H108" s="7" t="s">
        <v>241</v>
      </c>
      <c r="I108" s="28" t="s">
        <v>109</v>
      </c>
      <c r="J108" s="28" t="s">
        <v>130</v>
      </c>
      <c r="K108" s="28" t="s">
        <v>109</v>
      </c>
      <c r="L108" s="41">
        <v>0.82708333333333328</v>
      </c>
      <c r="M108" s="28" t="s">
        <v>109</v>
      </c>
      <c r="N108" s="28" t="s">
        <v>640</v>
      </c>
      <c r="O108" s="28" t="s">
        <v>61</v>
      </c>
      <c r="P108" s="28" t="s">
        <v>131</v>
      </c>
      <c r="Q108" s="28" t="s">
        <v>241</v>
      </c>
      <c r="R108" s="28" t="s">
        <v>62</v>
      </c>
      <c r="S108" s="28" t="s">
        <v>136</v>
      </c>
      <c r="T108" s="28" t="s">
        <v>275</v>
      </c>
      <c r="U108" s="28" t="str">
        <f t="shared" si="1"/>
        <v>Met</v>
      </c>
      <c r="V108" s="28" t="s">
        <v>109</v>
      </c>
    </row>
    <row r="109" spans="1:22" x14ac:dyDescent="0.3">
      <c r="A109" s="28">
        <v>108</v>
      </c>
      <c r="B109" s="28" t="s">
        <v>23</v>
      </c>
      <c r="C109" s="28" t="s">
        <v>644</v>
      </c>
      <c r="D109" s="28">
        <v>50126117</v>
      </c>
      <c r="E109" s="28">
        <v>20</v>
      </c>
      <c r="F109" s="28">
        <v>69</v>
      </c>
      <c r="G109" s="28">
        <v>12</v>
      </c>
      <c r="H109" s="7" t="s">
        <v>153</v>
      </c>
      <c r="I109" s="28" t="s">
        <v>109</v>
      </c>
      <c r="J109" s="28" t="s">
        <v>130</v>
      </c>
      <c r="K109" s="28" t="s">
        <v>109</v>
      </c>
      <c r="L109" s="41">
        <v>0.82638888888888884</v>
      </c>
      <c r="M109" s="28" t="s">
        <v>109</v>
      </c>
      <c r="N109" s="28" t="s">
        <v>640</v>
      </c>
      <c r="O109" s="28" t="s">
        <v>61</v>
      </c>
      <c r="P109" s="28" t="s">
        <v>131</v>
      </c>
      <c r="Q109" s="28" t="s">
        <v>153</v>
      </c>
      <c r="R109" s="28" t="s">
        <v>62</v>
      </c>
      <c r="S109" s="28" t="s">
        <v>136</v>
      </c>
      <c r="T109" s="28" t="s">
        <v>275</v>
      </c>
      <c r="U109" s="28" t="str">
        <f t="shared" si="1"/>
        <v>Met</v>
      </c>
      <c r="V109" s="28" t="s">
        <v>109</v>
      </c>
    </row>
    <row r="110" spans="1:22" x14ac:dyDescent="0.3">
      <c r="A110" s="28">
        <v>109</v>
      </c>
      <c r="B110" s="28" t="s">
        <v>23</v>
      </c>
      <c r="C110" s="28" t="s">
        <v>253</v>
      </c>
      <c r="D110" s="28">
        <v>51225084</v>
      </c>
      <c r="E110" s="28">
        <v>10</v>
      </c>
      <c r="F110" s="28" t="s">
        <v>109</v>
      </c>
      <c r="G110" s="28" t="s">
        <v>109</v>
      </c>
      <c r="H110" s="7" t="s">
        <v>91</v>
      </c>
      <c r="I110" s="28" t="s">
        <v>109</v>
      </c>
      <c r="J110" s="28" t="s">
        <v>85</v>
      </c>
      <c r="K110" s="28" t="s">
        <v>109</v>
      </c>
      <c r="L110" s="28" t="s">
        <v>109</v>
      </c>
      <c r="M110" s="28" t="s">
        <v>109</v>
      </c>
      <c r="N110" s="28" t="s">
        <v>109</v>
      </c>
      <c r="O110" s="28" t="s">
        <v>61</v>
      </c>
      <c r="P110" s="28" t="s">
        <v>109</v>
      </c>
      <c r="Q110" s="28" t="s">
        <v>109</v>
      </c>
      <c r="R110" s="28" t="s">
        <v>62</v>
      </c>
      <c r="S110" s="28" t="s">
        <v>136</v>
      </c>
      <c r="T110" s="28" t="s">
        <v>252</v>
      </c>
      <c r="U110" s="28" t="str">
        <f t="shared" si="1"/>
        <v>Met</v>
      </c>
      <c r="V110" s="28" t="s">
        <v>109</v>
      </c>
    </row>
    <row r="111" spans="1:22" x14ac:dyDescent="0.3">
      <c r="A111" s="28">
        <v>110</v>
      </c>
      <c r="B111" s="28" t="s">
        <v>23</v>
      </c>
      <c r="C111" s="28" t="s">
        <v>268</v>
      </c>
      <c r="D111" s="28">
        <v>50126004</v>
      </c>
      <c r="E111" s="28">
        <v>60</v>
      </c>
      <c r="F111" s="28">
        <v>133</v>
      </c>
      <c r="G111" s="28">
        <v>43</v>
      </c>
      <c r="H111" s="7" t="s">
        <v>179</v>
      </c>
      <c r="I111" s="28" t="s">
        <v>109</v>
      </c>
      <c r="J111" s="28" t="s">
        <v>130</v>
      </c>
      <c r="K111" s="28" t="s">
        <v>109</v>
      </c>
      <c r="L111" s="41">
        <v>0.76041666666666663</v>
      </c>
      <c r="M111" s="28" t="s">
        <v>109</v>
      </c>
      <c r="N111" s="28" t="s">
        <v>109</v>
      </c>
      <c r="O111" s="28" t="s">
        <v>61</v>
      </c>
      <c r="P111" s="28" t="s">
        <v>131</v>
      </c>
      <c r="Q111" s="28" t="s">
        <v>179</v>
      </c>
      <c r="R111" s="28" t="s">
        <v>62</v>
      </c>
      <c r="S111" s="28" t="s">
        <v>136</v>
      </c>
      <c r="T111" s="28" t="s">
        <v>266</v>
      </c>
      <c r="U111" s="28" t="str">
        <f t="shared" si="1"/>
        <v>Met</v>
      </c>
      <c r="V111" s="28" t="s">
        <v>109</v>
      </c>
    </row>
    <row r="112" spans="1:22" x14ac:dyDescent="0.3">
      <c r="A112" s="28">
        <v>111</v>
      </c>
      <c r="B112" s="28" t="s">
        <v>23</v>
      </c>
      <c r="C112" s="28" t="s">
        <v>265</v>
      </c>
      <c r="D112" s="28">
        <v>50126006</v>
      </c>
      <c r="E112" s="28">
        <v>50</v>
      </c>
      <c r="F112" s="28">
        <v>80</v>
      </c>
      <c r="G112" s="28">
        <v>61</v>
      </c>
      <c r="H112" s="7" t="s">
        <v>82</v>
      </c>
      <c r="I112" s="28" t="s">
        <v>109</v>
      </c>
      <c r="J112" s="28" t="s">
        <v>130</v>
      </c>
      <c r="K112" s="28" t="s">
        <v>109</v>
      </c>
      <c r="L112" s="41">
        <v>0.71736111111111112</v>
      </c>
      <c r="M112" s="28" t="s">
        <v>109</v>
      </c>
      <c r="N112" s="28" t="s">
        <v>109</v>
      </c>
      <c r="O112" s="28" t="s">
        <v>61</v>
      </c>
      <c r="P112" s="28" t="s">
        <v>131</v>
      </c>
      <c r="Q112" s="28" t="s">
        <v>82</v>
      </c>
      <c r="R112" s="28" t="s">
        <v>62</v>
      </c>
      <c r="S112" s="28" t="s">
        <v>136</v>
      </c>
      <c r="T112" s="28" t="s">
        <v>266</v>
      </c>
      <c r="U112" s="28" t="str">
        <f t="shared" si="1"/>
        <v>Met</v>
      </c>
      <c r="V112" s="28" t="s">
        <v>109</v>
      </c>
    </row>
    <row r="113" spans="1:22" x14ac:dyDescent="0.3">
      <c r="A113" s="28">
        <v>112</v>
      </c>
      <c r="B113" s="28" t="s">
        <v>23</v>
      </c>
      <c r="C113" s="28" t="s">
        <v>267</v>
      </c>
      <c r="D113" s="28">
        <v>50126005</v>
      </c>
      <c r="E113" s="28">
        <v>70</v>
      </c>
      <c r="F113" s="28">
        <v>150</v>
      </c>
      <c r="G113" s="28">
        <v>60</v>
      </c>
      <c r="H113" s="7" t="s">
        <v>91</v>
      </c>
      <c r="I113" s="28" t="s">
        <v>109</v>
      </c>
      <c r="J113" s="28" t="s">
        <v>130</v>
      </c>
      <c r="K113" s="28" t="s">
        <v>109</v>
      </c>
      <c r="L113" s="41">
        <v>2.361111111111111E-2</v>
      </c>
      <c r="M113" s="28" t="s">
        <v>109</v>
      </c>
      <c r="N113" s="28" t="s">
        <v>109</v>
      </c>
      <c r="O113" s="28" t="s">
        <v>61</v>
      </c>
      <c r="P113" s="28" t="s">
        <v>131</v>
      </c>
      <c r="Q113" s="28" t="s">
        <v>91</v>
      </c>
      <c r="R113" s="28" t="s">
        <v>62</v>
      </c>
      <c r="S113" s="28" t="s">
        <v>136</v>
      </c>
      <c r="T113" s="28" t="s">
        <v>266</v>
      </c>
      <c r="U113" s="28" t="str">
        <f t="shared" si="1"/>
        <v>Met</v>
      </c>
      <c r="V113" s="28" t="s">
        <v>109</v>
      </c>
    </row>
    <row r="114" spans="1:22" x14ac:dyDescent="0.3">
      <c r="A114" s="28">
        <v>113</v>
      </c>
      <c r="B114" s="28" t="s">
        <v>23</v>
      </c>
      <c r="C114" s="28" t="s">
        <v>852</v>
      </c>
      <c r="D114" s="28">
        <v>50126207</v>
      </c>
      <c r="E114" s="28">
        <v>150</v>
      </c>
      <c r="F114" s="28">
        <v>245</v>
      </c>
      <c r="G114" s="28">
        <v>184</v>
      </c>
      <c r="H114" s="7" t="s">
        <v>97</v>
      </c>
      <c r="I114" s="28" t="s">
        <v>109</v>
      </c>
      <c r="J114" s="28" t="s">
        <v>130</v>
      </c>
      <c r="K114" s="28" t="s">
        <v>109</v>
      </c>
      <c r="L114" s="41">
        <v>0.82708333333333328</v>
      </c>
      <c r="M114" s="28" t="s">
        <v>109</v>
      </c>
      <c r="N114" s="28" t="s">
        <v>109</v>
      </c>
      <c r="O114" s="28" t="s">
        <v>61</v>
      </c>
      <c r="P114" s="28" t="s">
        <v>131</v>
      </c>
      <c r="Q114" s="28" t="s">
        <v>95</v>
      </c>
      <c r="R114" s="28" t="s">
        <v>62</v>
      </c>
      <c r="S114" s="28" t="s">
        <v>136</v>
      </c>
      <c r="T114" s="28" t="s">
        <v>853</v>
      </c>
      <c r="U114" s="28" t="str">
        <f t="shared" si="1"/>
        <v>Not Met</v>
      </c>
      <c r="V114" s="28" t="s">
        <v>889</v>
      </c>
    </row>
    <row r="115" spans="1:22" x14ac:dyDescent="0.3">
      <c r="A115" s="28">
        <v>114</v>
      </c>
      <c r="B115" s="28" t="s">
        <v>23</v>
      </c>
      <c r="C115" s="28" t="s">
        <v>854</v>
      </c>
      <c r="D115" s="28">
        <v>50126208</v>
      </c>
      <c r="E115" s="28">
        <v>200</v>
      </c>
      <c r="F115" s="28">
        <v>323</v>
      </c>
      <c r="G115" s="28">
        <v>200</v>
      </c>
      <c r="H115" s="7" t="s">
        <v>159</v>
      </c>
      <c r="I115" s="28" t="s">
        <v>109</v>
      </c>
      <c r="J115" s="28" t="s">
        <v>130</v>
      </c>
      <c r="K115" s="28" t="s">
        <v>109</v>
      </c>
      <c r="L115" s="41">
        <v>0.8666666666666667</v>
      </c>
      <c r="M115" s="28" t="s">
        <v>109</v>
      </c>
      <c r="N115" s="28" t="s">
        <v>109</v>
      </c>
      <c r="O115" s="28" t="s">
        <v>61</v>
      </c>
      <c r="P115" s="28" t="s">
        <v>131</v>
      </c>
      <c r="Q115" s="28" t="s">
        <v>196</v>
      </c>
      <c r="R115" s="28" t="s">
        <v>62</v>
      </c>
      <c r="S115" s="28" t="s">
        <v>136</v>
      </c>
      <c r="T115" s="28" t="s">
        <v>853</v>
      </c>
      <c r="U115" s="28" t="str">
        <f t="shared" si="1"/>
        <v>Not Met</v>
      </c>
      <c r="V115" s="28" t="s">
        <v>889</v>
      </c>
    </row>
    <row r="116" spans="1:22" x14ac:dyDescent="0.3">
      <c r="A116" s="28">
        <v>115</v>
      </c>
      <c r="B116" s="28" t="s">
        <v>23</v>
      </c>
      <c r="C116" s="28" t="s">
        <v>249</v>
      </c>
      <c r="D116" s="28">
        <v>51025415</v>
      </c>
      <c r="E116" s="28">
        <v>36</v>
      </c>
      <c r="F116" s="28">
        <v>67</v>
      </c>
      <c r="G116" s="28">
        <v>37</v>
      </c>
      <c r="H116" s="7" t="s">
        <v>64</v>
      </c>
      <c r="I116" s="28" t="s">
        <v>109</v>
      </c>
      <c r="J116" s="28" t="s">
        <v>130</v>
      </c>
      <c r="K116" s="28" t="s">
        <v>109</v>
      </c>
      <c r="L116" s="41">
        <v>0.75069444444444444</v>
      </c>
      <c r="M116" s="28" t="s">
        <v>109</v>
      </c>
      <c r="N116" s="28" t="s">
        <v>109</v>
      </c>
      <c r="O116" s="28" t="s">
        <v>61</v>
      </c>
      <c r="P116" s="28" t="s">
        <v>131</v>
      </c>
      <c r="Q116" s="28" t="s">
        <v>64</v>
      </c>
      <c r="R116" s="28" t="s">
        <v>62</v>
      </c>
      <c r="S116" s="28" t="s">
        <v>136</v>
      </c>
      <c r="T116" s="28" t="s">
        <v>250</v>
      </c>
      <c r="U116" s="28" t="str">
        <f t="shared" si="1"/>
        <v>Not Met</v>
      </c>
      <c r="V116" s="28" t="s">
        <v>889</v>
      </c>
    </row>
    <row r="117" spans="1:22" x14ac:dyDescent="0.3">
      <c r="A117" s="28">
        <v>116</v>
      </c>
      <c r="B117" s="28" t="s">
        <v>23</v>
      </c>
      <c r="C117" s="28" t="s">
        <v>572</v>
      </c>
      <c r="D117" s="28">
        <v>51225071</v>
      </c>
      <c r="E117" s="28">
        <v>50</v>
      </c>
      <c r="F117" s="28">
        <v>45</v>
      </c>
      <c r="G117" s="28">
        <v>9</v>
      </c>
      <c r="H117" s="7" t="s">
        <v>87</v>
      </c>
      <c r="I117" s="28" t="s">
        <v>109</v>
      </c>
      <c r="J117" s="28" t="s">
        <v>130</v>
      </c>
      <c r="K117" s="28" t="s">
        <v>109</v>
      </c>
      <c r="L117" s="41">
        <v>0.73958333333333337</v>
      </c>
      <c r="M117" s="28" t="s">
        <v>109</v>
      </c>
      <c r="N117" s="28" t="s">
        <v>109</v>
      </c>
      <c r="O117" s="28" t="s">
        <v>61</v>
      </c>
      <c r="P117" s="28" t="s">
        <v>131</v>
      </c>
      <c r="Q117" s="28" t="s">
        <v>87</v>
      </c>
      <c r="R117" s="28" t="s">
        <v>62</v>
      </c>
      <c r="S117" s="28" t="s">
        <v>136</v>
      </c>
      <c r="T117" s="28" t="s">
        <v>611</v>
      </c>
      <c r="U117" s="28" t="str">
        <f t="shared" si="1"/>
        <v>Not Met</v>
      </c>
      <c r="V117" s="28" t="s">
        <v>889</v>
      </c>
    </row>
    <row r="118" spans="1:22" x14ac:dyDescent="0.3">
      <c r="A118" s="28">
        <v>117</v>
      </c>
      <c r="B118" s="28" t="s">
        <v>23</v>
      </c>
      <c r="C118" s="28" t="s">
        <v>855</v>
      </c>
      <c r="D118" s="28">
        <v>50126229</v>
      </c>
      <c r="E118" s="28">
        <v>75</v>
      </c>
      <c r="F118" s="28">
        <v>53</v>
      </c>
      <c r="G118" s="28">
        <v>30</v>
      </c>
      <c r="H118" s="7" t="s">
        <v>241</v>
      </c>
      <c r="I118" s="28" t="s">
        <v>109</v>
      </c>
      <c r="J118" s="28" t="s">
        <v>130</v>
      </c>
      <c r="K118" s="28" t="s">
        <v>109</v>
      </c>
      <c r="L118" s="41">
        <v>0.85624999999999996</v>
      </c>
      <c r="M118" s="28" t="s">
        <v>109</v>
      </c>
      <c r="N118" s="28" t="s">
        <v>660</v>
      </c>
      <c r="O118" s="28" t="s">
        <v>61</v>
      </c>
      <c r="P118" s="28" t="s">
        <v>131</v>
      </c>
      <c r="Q118" s="28" t="s">
        <v>241</v>
      </c>
      <c r="R118" s="28" t="s">
        <v>62</v>
      </c>
      <c r="S118" s="28" t="s">
        <v>136</v>
      </c>
      <c r="T118" s="28" t="s">
        <v>856</v>
      </c>
      <c r="U118" s="28" t="str">
        <f t="shared" si="1"/>
        <v>Not Met</v>
      </c>
      <c r="V118" s="28" t="s">
        <v>889</v>
      </c>
    </row>
    <row r="119" spans="1:22" x14ac:dyDescent="0.3">
      <c r="A119" s="28">
        <v>118</v>
      </c>
      <c r="B119" s="28" t="s">
        <v>170</v>
      </c>
      <c r="C119" s="28" t="s">
        <v>857</v>
      </c>
      <c r="D119" s="28">
        <v>41225009</v>
      </c>
      <c r="E119" s="28">
        <v>85</v>
      </c>
      <c r="F119" s="28">
        <v>30</v>
      </c>
      <c r="G119" s="28">
        <v>10</v>
      </c>
      <c r="H119" s="7" t="s">
        <v>66</v>
      </c>
      <c r="I119" s="28" t="s">
        <v>89</v>
      </c>
      <c r="J119" s="28" t="s">
        <v>130</v>
      </c>
      <c r="K119" s="41">
        <v>0.96736111111111112</v>
      </c>
      <c r="L119" s="41">
        <v>0.98472222222222228</v>
      </c>
      <c r="M119" s="28" t="s">
        <v>109</v>
      </c>
      <c r="N119" s="28" t="s">
        <v>858</v>
      </c>
      <c r="O119" s="28" t="s">
        <v>61</v>
      </c>
      <c r="P119" s="28" t="s">
        <v>131</v>
      </c>
      <c r="Q119" s="28" t="s">
        <v>89</v>
      </c>
      <c r="R119" s="28" t="s">
        <v>62</v>
      </c>
      <c r="S119" s="28" t="s">
        <v>136</v>
      </c>
      <c r="T119" s="28" t="s">
        <v>859</v>
      </c>
      <c r="U119" s="28" t="str">
        <f t="shared" si="1"/>
        <v>Not Met</v>
      </c>
      <c r="V119" s="28" t="s">
        <v>889</v>
      </c>
    </row>
    <row r="120" spans="1:22" x14ac:dyDescent="0.3">
      <c r="A120" s="28">
        <v>119</v>
      </c>
      <c r="B120" s="28" t="s">
        <v>170</v>
      </c>
      <c r="C120" s="28" t="s">
        <v>860</v>
      </c>
      <c r="D120" s="28">
        <v>41225010</v>
      </c>
      <c r="E120" s="28">
        <v>110</v>
      </c>
      <c r="F120" s="28">
        <v>36</v>
      </c>
      <c r="G120" s="28">
        <v>26</v>
      </c>
      <c r="H120" s="7" t="s">
        <v>67</v>
      </c>
      <c r="I120" s="28" t="s">
        <v>95</v>
      </c>
      <c r="J120" s="28" t="s">
        <v>130</v>
      </c>
      <c r="K120" s="41">
        <v>0.78888888888888886</v>
      </c>
      <c r="L120" s="41">
        <v>0.99097222222222225</v>
      </c>
      <c r="M120" s="28" t="s">
        <v>109</v>
      </c>
      <c r="N120" s="28" t="s">
        <v>858</v>
      </c>
      <c r="O120" s="28" t="s">
        <v>61</v>
      </c>
      <c r="P120" s="28" t="s">
        <v>131</v>
      </c>
      <c r="Q120" s="28" t="s">
        <v>95</v>
      </c>
      <c r="R120" s="28" t="s">
        <v>62</v>
      </c>
      <c r="S120" s="28" t="s">
        <v>136</v>
      </c>
      <c r="T120" s="28" t="s">
        <v>859</v>
      </c>
      <c r="U120" s="28" t="str">
        <f t="shared" si="1"/>
        <v>Met</v>
      </c>
      <c r="V120" s="28" t="s">
        <v>109</v>
      </c>
    </row>
    <row r="121" spans="1:22" x14ac:dyDescent="0.3">
      <c r="A121" s="28">
        <v>120</v>
      </c>
      <c r="B121" s="28" t="s">
        <v>170</v>
      </c>
      <c r="C121" s="28" t="s">
        <v>861</v>
      </c>
      <c r="D121" s="28">
        <v>41225011</v>
      </c>
      <c r="E121" s="28">
        <v>150</v>
      </c>
      <c r="F121" s="28">
        <v>254</v>
      </c>
      <c r="G121" s="28">
        <v>144</v>
      </c>
      <c r="H121" s="7" t="s">
        <v>764</v>
      </c>
      <c r="I121" s="28" t="s">
        <v>510</v>
      </c>
      <c r="J121" s="28" t="s">
        <v>130</v>
      </c>
      <c r="K121" s="41">
        <v>0.83333333333333337</v>
      </c>
      <c r="L121" s="41">
        <v>0.91527777777777775</v>
      </c>
      <c r="M121" s="28" t="s">
        <v>109</v>
      </c>
      <c r="N121" s="28" t="s">
        <v>858</v>
      </c>
      <c r="O121" s="28" t="s">
        <v>61</v>
      </c>
      <c r="P121" s="28" t="s">
        <v>131</v>
      </c>
      <c r="Q121" s="28" t="s">
        <v>510</v>
      </c>
      <c r="R121" s="28" t="s">
        <v>62</v>
      </c>
      <c r="S121" s="28" t="s">
        <v>136</v>
      </c>
      <c r="T121" s="28" t="s">
        <v>859</v>
      </c>
      <c r="U121" s="28" t="str">
        <f t="shared" si="1"/>
        <v>Met</v>
      </c>
      <c r="V121" s="28" t="s">
        <v>109</v>
      </c>
    </row>
    <row r="122" spans="1:22" x14ac:dyDescent="0.3">
      <c r="A122" s="28">
        <v>121</v>
      </c>
      <c r="B122" s="28" t="s">
        <v>170</v>
      </c>
      <c r="C122" s="28" t="s">
        <v>862</v>
      </c>
      <c r="D122" s="28">
        <v>41225012</v>
      </c>
      <c r="E122" s="28">
        <v>210</v>
      </c>
      <c r="F122" s="28">
        <v>361</v>
      </c>
      <c r="G122" s="28">
        <v>153</v>
      </c>
      <c r="H122" s="7" t="s">
        <v>863</v>
      </c>
      <c r="I122" s="28" t="s">
        <v>764</v>
      </c>
      <c r="J122" s="28" t="s">
        <v>130</v>
      </c>
      <c r="K122" s="41">
        <v>0.90416666666666667</v>
      </c>
      <c r="L122" s="41">
        <v>0.94513888888888886</v>
      </c>
      <c r="M122" s="28" t="s">
        <v>109</v>
      </c>
      <c r="N122" s="28" t="s">
        <v>858</v>
      </c>
      <c r="O122" s="28" t="s">
        <v>61</v>
      </c>
      <c r="P122" s="28" t="s">
        <v>131</v>
      </c>
      <c r="Q122" s="28" t="s">
        <v>179</v>
      </c>
      <c r="R122" s="28" t="s">
        <v>62</v>
      </c>
      <c r="S122" s="28" t="s">
        <v>136</v>
      </c>
      <c r="T122" s="28" t="s">
        <v>859</v>
      </c>
      <c r="U122" s="28" t="str">
        <f t="shared" si="1"/>
        <v>Not Met</v>
      </c>
      <c r="V122" s="28" t="s">
        <v>889</v>
      </c>
    </row>
    <row r="123" spans="1:22" x14ac:dyDescent="0.3">
      <c r="A123" s="28">
        <v>122</v>
      </c>
      <c r="B123" s="28" t="s">
        <v>414</v>
      </c>
      <c r="C123" s="28" t="s">
        <v>421</v>
      </c>
      <c r="D123" s="28">
        <v>40126013</v>
      </c>
      <c r="E123" s="28">
        <v>250</v>
      </c>
      <c r="F123" s="28">
        <v>284</v>
      </c>
      <c r="G123" s="28">
        <v>36</v>
      </c>
      <c r="H123" s="7" t="s">
        <v>864</v>
      </c>
      <c r="I123" s="28" t="s">
        <v>865</v>
      </c>
      <c r="J123" s="28" t="s">
        <v>130</v>
      </c>
      <c r="K123" s="41">
        <v>0.76736111111111116</v>
      </c>
      <c r="L123" s="41">
        <v>0.84722222222222221</v>
      </c>
      <c r="M123" s="28" t="s">
        <v>109</v>
      </c>
      <c r="N123" s="28" t="s">
        <v>109</v>
      </c>
      <c r="O123" s="28" t="s">
        <v>61</v>
      </c>
      <c r="P123" s="28" t="s">
        <v>131</v>
      </c>
      <c r="Q123" s="28" t="s">
        <v>86</v>
      </c>
      <c r="R123" s="28" t="s">
        <v>62</v>
      </c>
      <c r="S123" s="28" t="s">
        <v>136</v>
      </c>
      <c r="T123" s="28" t="s">
        <v>416</v>
      </c>
      <c r="U123" s="28" t="str">
        <f t="shared" si="1"/>
        <v>Met</v>
      </c>
      <c r="V123" s="28" t="s">
        <v>109</v>
      </c>
    </row>
    <row r="124" spans="1:22" x14ac:dyDescent="0.3">
      <c r="A124" s="28">
        <v>123</v>
      </c>
      <c r="B124" s="28" t="s">
        <v>414</v>
      </c>
      <c r="C124" s="28" t="s">
        <v>415</v>
      </c>
      <c r="D124" s="28">
        <v>40126009</v>
      </c>
      <c r="E124" s="28">
        <v>150</v>
      </c>
      <c r="F124" s="28">
        <v>362</v>
      </c>
      <c r="G124" s="28">
        <v>117</v>
      </c>
      <c r="H124" s="7" t="s">
        <v>866</v>
      </c>
      <c r="I124" s="28" t="s">
        <v>510</v>
      </c>
      <c r="J124" s="28" t="s">
        <v>130</v>
      </c>
      <c r="K124" s="41">
        <v>0.9916666666666667</v>
      </c>
      <c r="L124" s="41">
        <v>1.2500000000000001E-2</v>
      </c>
      <c r="M124" s="28" t="s">
        <v>109</v>
      </c>
      <c r="N124" s="28" t="s">
        <v>867</v>
      </c>
      <c r="O124" s="28" t="s">
        <v>61</v>
      </c>
      <c r="P124" s="28" t="s">
        <v>131</v>
      </c>
      <c r="Q124" s="28" t="s">
        <v>510</v>
      </c>
      <c r="R124" s="28" t="s">
        <v>62</v>
      </c>
      <c r="S124" s="28" t="s">
        <v>136</v>
      </c>
      <c r="T124" s="28" t="s">
        <v>416</v>
      </c>
      <c r="U124" s="28" t="str">
        <f t="shared" si="1"/>
        <v>Not Met</v>
      </c>
      <c r="V124" s="28" t="s">
        <v>889</v>
      </c>
    </row>
    <row r="125" spans="1:22" x14ac:dyDescent="0.3">
      <c r="A125" s="28">
        <v>124</v>
      </c>
      <c r="B125" s="28" t="s">
        <v>414</v>
      </c>
      <c r="C125" s="28" t="s">
        <v>422</v>
      </c>
      <c r="D125" s="28">
        <v>40126014</v>
      </c>
      <c r="E125" s="28">
        <v>175</v>
      </c>
      <c r="F125" s="28">
        <v>35</v>
      </c>
      <c r="G125" s="28">
        <v>8</v>
      </c>
      <c r="H125" s="7" t="s">
        <v>186</v>
      </c>
      <c r="I125" s="28" t="s">
        <v>192</v>
      </c>
      <c r="J125" s="28" t="s">
        <v>130</v>
      </c>
      <c r="K125" s="41">
        <v>0.9916666666666667</v>
      </c>
      <c r="L125" s="41">
        <v>3.2638888888888891E-2</v>
      </c>
      <c r="M125" s="28" t="s">
        <v>109</v>
      </c>
      <c r="N125" s="28" t="s">
        <v>109</v>
      </c>
      <c r="O125" s="28" t="s">
        <v>61</v>
      </c>
      <c r="P125" s="28" t="s">
        <v>131</v>
      </c>
      <c r="Q125" s="28" t="s">
        <v>209</v>
      </c>
      <c r="R125" s="28" t="s">
        <v>62</v>
      </c>
      <c r="S125" s="28" t="s">
        <v>136</v>
      </c>
      <c r="T125" s="28" t="s">
        <v>416</v>
      </c>
      <c r="U125" s="28" t="str">
        <f t="shared" si="1"/>
        <v>Not Met</v>
      </c>
      <c r="V125" s="28" t="s">
        <v>889</v>
      </c>
    </row>
    <row r="126" spans="1:22" x14ac:dyDescent="0.3">
      <c r="A126" s="28">
        <v>125</v>
      </c>
      <c r="B126" s="28" t="s">
        <v>414</v>
      </c>
      <c r="C126" s="28" t="s">
        <v>417</v>
      </c>
      <c r="D126" s="28">
        <v>40126010</v>
      </c>
      <c r="E126" s="28">
        <v>200</v>
      </c>
      <c r="F126" s="28">
        <v>304</v>
      </c>
      <c r="G126" s="28">
        <v>67</v>
      </c>
      <c r="H126" s="7" t="s">
        <v>257</v>
      </c>
      <c r="I126" s="28" t="s">
        <v>750</v>
      </c>
      <c r="J126" s="28" t="s">
        <v>130</v>
      </c>
      <c r="K126" s="41">
        <v>1.0416666666666666E-2</v>
      </c>
      <c r="L126" s="28">
        <v>40126010</v>
      </c>
      <c r="M126" s="28" t="s">
        <v>109</v>
      </c>
      <c r="N126" s="28" t="s">
        <v>867</v>
      </c>
      <c r="O126" s="28" t="s">
        <v>61</v>
      </c>
      <c r="P126" s="28" t="s">
        <v>131</v>
      </c>
      <c r="Q126" s="28" t="s">
        <v>91</v>
      </c>
      <c r="R126" s="28" t="s">
        <v>62</v>
      </c>
      <c r="S126" s="28" t="s">
        <v>136</v>
      </c>
      <c r="T126" s="28" t="s">
        <v>416</v>
      </c>
      <c r="U126" s="28" t="str">
        <f t="shared" si="1"/>
        <v>Not Met</v>
      </c>
      <c r="V126" s="28" t="s">
        <v>889</v>
      </c>
    </row>
    <row r="127" spans="1:22" x14ac:dyDescent="0.3">
      <c r="A127" s="28">
        <v>126</v>
      </c>
      <c r="B127" s="28" t="s">
        <v>23</v>
      </c>
      <c r="C127" s="28" t="s">
        <v>474</v>
      </c>
      <c r="D127" s="28">
        <v>50126027</v>
      </c>
      <c r="E127" s="28">
        <v>25</v>
      </c>
      <c r="F127" s="28">
        <v>33</v>
      </c>
      <c r="G127" s="28">
        <v>31</v>
      </c>
      <c r="H127" s="7" t="s">
        <v>222</v>
      </c>
      <c r="I127" s="28" t="s">
        <v>109</v>
      </c>
      <c r="J127" s="28" t="s">
        <v>130</v>
      </c>
      <c r="K127" s="28" t="s">
        <v>109</v>
      </c>
      <c r="L127" s="41">
        <v>0.65416666666666667</v>
      </c>
      <c r="M127" s="28" t="s">
        <v>109</v>
      </c>
      <c r="N127" s="28" t="s">
        <v>109</v>
      </c>
      <c r="O127" s="28" t="s">
        <v>868</v>
      </c>
      <c r="P127" s="28" t="s">
        <v>131</v>
      </c>
      <c r="Q127" s="28" t="s">
        <v>222</v>
      </c>
      <c r="R127" s="28" t="s">
        <v>62</v>
      </c>
      <c r="S127" s="28" t="s">
        <v>136</v>
      </c>
      <c r="T127" s="28" t="s">
        <v>477</v>
      </c>
      <c r="U127" s="28" t="str">
        <f t="shared" si="1"/>
        <v>Not Met</v>
      </c>
      <c r="V127" s="28" t="s">
        <v>889</v>
      </c>
    </row>
    <row r="128" spans="1:22" x14ac:dyDescent="0.3">
      <c r="A128" s="28">
        <v>127</v>
      </c>
      <c r="B128" s="28" t="s">
        <v>23</v>
      </c>
      <c r="C128" s="28" t="s">
        <v>478</v>
      </c>
      <c r="D128" s="28">
        <v>50126028</v>
      </c>
      <c r="E128" s="28">
        <v>25</v>
      </c>
      <c r="F128" s="28">
        <v>84</v>
      </c>
      <c r="G128" s="28">
        <v>27</v>
      </c>
      <c r="H128" s="7" t="s">
        <v>274</v>
      </c>
      <c r="I128" s="28" t="s">
        <v>109</v>
      </c>
      <c r="J128" s="28" t="s">
        <v>130</v>
      </c>
      <c r="K128" s="28" t="s">
        <v>109</v>
      </c>
      <c r="L128" s="41">
        <v>0.69652777777777775</v>
      </c>
      <c r="M128" s="28" t="s">
        <v>109</v>
      </c>
      <c r="N128" s="28" t="s">
        <v>109</v>
      </c>
      <c r="O128" s="28" t="s">
        <v>868</v>
      </c>
      <c r="P128" s="28" t="s">
        <v>131</v>
      </c>
      <c r="Q128" s="28" t="s">
        <v>274</v>
      </c>
      <c r="R128" s="28" t="s">
        <v>62</v>
      </c>
      <c r="S128" s="28" t="s">
        <v>136</v>
      </c>
      <c r="T128" s="28" t="s">
        <v>477</v>
      </c>
      <c r="U128" s="28" t="str">
        <f t="shared" si="1"/>
        <v>Not Met</v>
      </c>
      <c r="V128" s="28" t="s">
        <v>889</v>
      </c>
    </row>
    <row r="129" spans="1:22" x14ac:dyDescent="0.3">
      <c r="A129" s="28">
        <v>128</v>
      </c>
      <c r="B129" s="28" t="s">
        <v>23</v>
      </c>
      <c r="C129" s="28" t="s">
        <v>273</v>
      </c>
      <c r="D129" s="28">
        <v>51225012</v>
      </c>
      <c r="E129" s="28">
        <v>10</v>
      </c>
      <c r="F129" s="28">
        <v>22</v>
      </c>
      <c r="G129" s="28">
        <v>15</v>
      </c>
      <c r="H129" s="7" t="s">
        <v>87</v>
      </c>
      <c r="I129" s="28" t="s">
        <v>109</v>
      </c>
      <c r="J129" s="28" t="s">
        <v>130</v>
      </c>
      <c r="K129" s="28" t="s">
        <v>109</v>
      </c>
      <c r="L129" s="41">
        <v>0.77013888888888893</v>
      </c>
      <c r="M129" s="28" t="s">
        <v>109</v>
      </c>
      <c r="N129" s="28" t="s">
        <v>109</v>
      </c>
      <c r="O129" s="28" t="s">
        <v>868</v>
      </c>
      <c r="P129" s="28" t="s">
        <v>131</v>
      </c>
      <c r="Q129" s="28" t="s">
        <v>87</v>
      </c>
      <c r="R129" s="28" t="s">
        <v>62</v>
      </c>
      <c r="S129" s="28" t="s">
        <v>136</v>
      </c>
      <c r="T129" s="28" t="s">
        <v>275</v>
      </c>
      <c r="U129" s="28" t="str">
        <f t="shared" si="1"/>
        <v>Not Met</v>
      </c>
      <c r="V129" s="28" t="s">
        <v>889</v>
      </c>
    </row>
    <row r="130" spans="1:22" x14ac:dyDescent="0.3">
      <c r="A130" s="28">
        <v>129</v>
      </c>
      <c r="B130" s="28" t="s">
        <v>23</v>
      </c>
      <c r="C130" s="28" t="s">
        <v>276</v>
      </c>
      <c r="D130" s="28">
        <v>51225008</v>
      </c>
      <c r="E130" s="28">
        <v>6</v>
      </c>
      <c r="F130" s="28">
        <v>17</v>
      </c>
      <c r="G130" s="28">
        <v>11</v>
      </c>
      <c r="H130" s="7" t="s">
        <v>88</v>
      </c>
      <c r="I130" s="28" t="s">
        <v>109</v>
      </c>
      <c r="J130" s="28" t="s">
        <v>130</v>
      </c>
      <c r="K130" s="28" t="s">
        <v>109</v>
      </c>
      <c r="L130" s="41">
        <v>0.85</v>
      </c>
      <c r="M130" s="28" t="s">
        <v>109</v>
      </c>
      <c r="N130" s="28" t="s">
        <v>109</v>
      </c>
      <c r="O130" s="28" t="s">
        <v>868</v>
      </c>
      <c r="P130" s="28" t="s">
        <v>131</v>
      </c>
      <c r="Q130" s="28" t="s">
        <v>88</v>
      </c>
      <c r="R130" s="28" t="s">
        <v>62</v>
      </c>
      <c r="S130" s="28" t="s">
        <v>136</v>
      </c>
      <c r="T130" s="28" t="s">
        <v>275</v>
      </c>
      <c r="U130" s="28" t="str">
        <f t="shared" ref="U130:U158" si="2">IF(G157&gt;=E157, "Met", "Not Met")</f>
        <v>Met</v>
      </c>
      <c r="V130" s="28" t="s">
        <v>109</v>
      </c>
    </row>
    <row r="131" spans="1:22" x14ac:dyDescent="0.3">
      <c r="A131" s="28">
        <v>130</v>
      </c>
      <c r="B131" s="28" t="s">
        <v>23</v>
      </c>
      <c r="C131" s="28" t="s">
        <v>137</v>
      </c>
      <c r="D131" s="28">
        <v>51225033</v>
      </c>
      <c r="E131" s="28">
        <v>30</v>
      </c>
      <c r="F131" s="28">
        <v>63</v>
      </c>
      <c r="G131" s="28">
        <v>40</v>
      </c>
      <c r="H131" s="7" t="s">
        <v>200</v>
      </c>
      <c r="I131" s="28" t="s">
        <v>109</v>
      </c>
      <c r="J131" s="28" t="s">
        <v>130</v>
      </c>
      <c r="K131" s="28" t="s">
        <v>109</v>
      </c>
      <c r="L131" s="41">
        <v>0.82499999999999996</v>
      </c>
      <c r="M131" s="28" t="s">
        <v>109</v>
      </c>
      <c r="N131" s="28" t="s">
        <v>109</v>
      </c>
      <c r="O131" s="28" t="s">
        <v>868</v>
      </c>
      <c r="P131" s="28" t="s">
        <v>131</v>
      </c>
      <c r="Q131" s="28" t="s">
        <v>200</v>
      </c>
      <c r="R131" s="28" t="s">
        <v>62</v>
      </c>
      <c r="S131" s="28" t="s">
        <v>136</v>
      </c>
      <c r="T131" s="28" t="s">
        <v>142</v>
      </c>
      <c r="U131" s="28" t="str">
        <f t="shared" si="2"/>
        <v>Not Met</v>
      </c>
      <c r="V131" s="28" t="s">
        <v>889</v>
      </c>
    </row>
    <row r="132" spans="1:22" x14ac:dyDescent="0.3">
      <c r="A132" s="28">
        <v>131</v>
      </c>
      <c r="B132" s="28" t="s">
        <v>23</v>
      </c>
      <c r="C132" s="28" t="s">
        <v>139</v>
      </c>
      <c r="D132" s="28">
        <v>51225032</v>
      </c>
      <c r="E132" s="28">
        <v>20</v>
      </c>
      <c r="F132" s="28">
        <v>28</v>
      </c>
      <c r="G132" s="28">
        <v>21</v>
      </c>
      <c r="H132" s="7" t="s">
        <v>66</v>
      </c>
      <c r="I132" s="28" t="s">
        <v>109</v>
      </c>
      <c r="J132" s="28" t="s">
        <v>130</v>
      </c>
      <c r="K132" s="28" t="s">
        <v>109</v>
      </c>
      <c r="L132" s="41">
        <v>0.65416666666666667</v>
      </c>
      <c r="M132" s="28" t="s">
        <v>109</v>
      </c>
      <c r="N132" s="28" t="s">
        <v>109</v>
      </c>
      <c r="O132" s="28" t="s">
        <v>868</v>
      </c>
      <c r="P132" s="28" t="s">
        <v>131</v>
      </c>
      <c r="Q132" s="28" t="s">
        <v>66</v>
      </c>
      <c r="R132" s="28" t="s">
        <v>62</v>
      </c>
      <c r="S132" s="28" t="s">
        <v>136</v>
      </c>
      <c r="T132" s="28" t="s">
        <v>142</v>
      </c>
      <c r="U132" s="28" t="str">
        <f t="shared" si="2"/>
        <v>Met</v>
      </c>
      <c r="V132" s="28" t="s">
        <v>109</v>
      </c>
    </row>
    <row r="133" spans="1:22" x14ac:dyDescent="0.3">
      <c r="A133" s="28">
        <v>132</v>
      </c>
      <c r="B133" s="28" t="s">
        <v>23</v>
      </c>
      <c r="C133" s="28" t="s">
        <v>269</v>
      </c>
      <c r="D133" s="28">
        <v>51125123</v>
      </c>
      <c r="E133" s="28">
        <v>10</v>
      </c>
      <c r="F133" s="28" t="s">
        <v>109</v>
      </c>
      <c r="G133" s="28" t="s">
        <v>109</v>
      </c>
      <c r="H133" s="7" t="s">
        <v>89</v>
      </c>
      <c r="I133" s="28" t="s">
        <v>109</v>
      </c>
      <c r="J133" s="28" t="s">
        <v>85</v>
      </c>
      <c r="K133" s="28" t="s">
        <v>109</v>
      </c>
      <c r="L133" s="28" t="s">
        <v>109</v>
      </c>
      <c r="M133" s="28" t="s">
        <v>109</v>
      </c>
      <c r="N133" s="28" t="s">
        <v>109</v>
      </c>
      <c r="O133" s="28" t="s">
        <v>868</v>
      </c>
      <c r="P133" s="28" t="s">
        <v>109</v>
      </c>
      <c r="Q133" s="28" t="s">
        <v>109</v>
      </c>
      <c r="R133" s="28" t="s">
        <v>62</v>
      </c>
      <c r="S133" s="28" t="s">
        <v>136</v>
      </c>
      <c r="T133" s="28" t="s">
        <v>270</v>
      </c>
      <c r="U133" s="28" t="str">
        <f t="shared" si="2"/>
        <v>Met</v>
      </c>
      <c r="V133" s="28" t="s">
        <v>109</v>
      </c>
    </row>
    <row r="134" spans="1:22" x14ac:dyDescent="0.3">
      <c r="A134" s="28">
        <v>133</v>
      </c>
      <c r="B134" s="28" t="s">
        <v>23</v>
      </c>
      <c r="C134" s="28" t="s">
        <v>583</v>
      </c>
      <c r="D134" s="28">
        <v>51125122</v>
      </c>
      <c r="E134" s="28">
        <v>10</v>
      </c>
      <c r="F134" s="28">
        <v>2</v>
      </c>
      <c r="G134" s="28">
        <v>0</v>
      </c>
      <c r="H134" s="7" t="s">
        <v>95</v>
      </c>
      <c r="I134" s="28" t="s">
        <v>109</v>
      </c>
      <c r="J134" s="28" t="s">
        <v>130</v>
      </c>
      <c r="K134" s="41">
        <v>0.98055555555555551</v>
      </c>
      <c r="L134" s="28" t="s">
        <v>109</v>
      </c>
      <c r="M134" s="28" t="s">
        <v>109</v>
      </c>
      <c r="N134" s="28" t="s">
        <v>109</v>
      </c>
      <c r="O134" s="28" t="s">
        <v>868</v>
      </c>
      <c r="P134" s="28" t="s">
        <v>131</v>
      </c>
      <c r="Q134" s="28" t="s">
        <v>95</v>
      </c>
      <c r="R134" s="28" t="s">
        <v>62</v>
      </c>
      <c r="S134" s="28" t="s">
        <v>136</v>
      </c>
      <c r="T134" s="28" t="s">
        <v>270</v>
      </c>
      <c r="U134" s="28" t="str">
        <f t="shared" si="2"/>
        <v>Met</v>
      </c>
      <c r="V134" s="28" t="s">
        <v>109</v>
      </c>
    </row>
    <row r="135" spans="1:22" x14ac:dyDescent="0.3">
      <c r="A135" s="28">
        <v>134</v>
      </c>
      <c r="B135" s="28" t="s">
        <v>23</v>
      </c>
      <c r="C135" s="28" t="s">
        <v>405</v>
      </c>
      <c r="D135" s="28">
        <v>51125121</v>
      </c>
      <c r="E135" s="28">
        <v>10</v>
      </c>
      <c r="F135" s="28">
        <v>34</v>
      </c>
      <c r="G135" s="28">
        <v>21</v>
      </c>
      <c r="H135" s="7" t="s">
        <v>94</v>
      </c>
      <c r="I135" s="28" t="s">
        <v>109</v>
      </c>
      <c r="J135" s="28" t="s">
        <v>130</v>
      </c>
      <c r="K135" s="28" t="s">
        <v>109</v>
      </c>
      <c r="L135" s="41">
        <v>0.70694444444444449</v>
      </c>
      <c r="M135" s="28" t="s">
        <v>109</v>
      </c>
      <c r="N135" s="28" t="s">
        <v>109</v>
      </c>
      <c r="O135" s="28" t="s">
        <v>868</v>
      </c>
      <c r="P135" s="28" t="s">
        <v>131</v>
      </c>
      <c r="Q135" s="28" t="s">
        <v>94</v>
      </c>
      <c r="R135" s="28" t="s">
        <v>62</v>
      </c>
      <c r="S135" s="28" t="s">
        <v>136</v>
      </c>
      <c r="T135" s="28" t="s">
        <v>270</v>
      </c>
      <c r="U135" s="28" t="str">
        <f t="shared" si="2"/>
        <v>Met</v>
      </c>
      <c r="V135" s="28" t="s">
        <v>109</v>
      </c>
    </row>
    <row r="136" spans="1:22" x14ac:dyDescent="0.3">
      <c r="A136" s="28">
        <v>135</v>
      </c>
      <c r="B136" s="28" t="s">
        <v>23</v>
      </c>
      <c r="C136" s="28" t="s">
        <v>281</v>
      </c>
      <c r="D136" s="28">
        <v>51125145</v>
      </c>
      <c r="E136" s="28">
        <v>5</v>
      </c>
      <c r="F136" s="28" t="s">
        <v>109</v>
      </c>
      <c r="G136" s="28" t="s">
        <v>109</v>
      </c>
      <c r="H136" s="7" t="s">
        <v>93</v>
      </c>
      <c r="I136" s="28" t="s">
        <v>109</v>
      </c>
      <c r="J136" s="28" t="s">
        <v>85</v>
      </c>
      <c r="K136" s="28" t="s">
        <v>109</v>
      </c>
      <c r="L136" s="28" t="s">
        <v>109</v>
      </c>
      <c r="M136" s="28" t="s">
        <v>109</v>
      </c>
      <c r="N136" s="28" t="s">
        <v>109</v>
      </c>
      <c r="O136" s="28" t="s">
        <v>868</v>
      </c>
      <c r="P136" s="28" t="s">
        <v>109</v>
      </c>
      <c r="Q136" s="28" t="s">
        <v>109</v>
      </c>
      <c r="R136" s="28" t="s">
        <v>62</v>
      </c>
      <c r="S136" s="28" t="s">
        <v>136</v>
      </c>
      <c r="T136" s="28" t="s">
        <v>270</v>
      </c>
      <c r="U136" s="28" t="str">
        <f t="shared" si="2"/>
        <v>Met</v>
      </c>
      <c r="V136" s="28" t="s">
        <v>109</v>
      </c>
    </row>
    <row r="137" spans="1:22" x14ac:dyDescent="0.3">
      <c r="A137" s="28">
        <v>136</v>
      </c>
      <c r="B137" s="28" t="s">
        <v>23</v>
      </c>
      <c r="C137" s="28" t="s">
        <v>407</v>
      </c>
      <c r="D137" s="28">
        <v>51125119</v>
      </c>
      <c r="E137" s="28">
        <v>25</v>
      </c>
      <c r="F137" s="28">
        <v>90</v>
      </c>
      <c r="G137" s="28">
        <v>25</v>
      </c>
      <c r="H137" s="7" t="s">
        <v>196</v>
      </c>
      <c r="I137" s="28" t="s">
        <v>109</v>
      </c>
      <c r="J137" s="28" t="s">
        <v>130</v>
      </c>
      <c r="K137" s="28" t="s">
        <v>109</v>
      </c>
      <c r="L137" s="41">
        <v>0.6958333333333333</v>
      </c>
      <c r="M137" s="28" t="s">
        <v>109</v>
      </c>
      <c r="N137" s="28" t="s">
        <v>109</v>
      </c>
      <c r="O137" s="28" t="s">
        <v>868</v>
      </c>
      <c r="P137" s="28" t="s">
        <v>131</v>
      </c>
      <c r="Q137" s="28" t="s">
        <v>196</v>
      </c>
      <c r="R137" s="28" t="s">
        <v>62</v>
      </c>
      <c r="S137" s="28" t="s">
        <v>136</v>
      </c>
      <c r="T137" s="28" t="s">
        <v>270</v>
      </c>
      <c r="U137" s="28" t="str">
        <f t="shared" si="2"/>
        <v>Met</v>
      </c>
      <c r="V137" s="28" t="s">
        <v>109</v>
      </c>
    </row>
    <row r="138" spans="1:22" x14ac:dyDescent="0.3">
      <c r="A138" s="28">
        <v>137</v>
      </c>
      <c r="B138" s="28" t="s">
        <v>23</v>
      </c>
      <c r="C138" s="28" t="s">
        <v>271</v>
      </c>
      <c r="D138" s="28">
        <v>51125117</v>
      </c>
      <c r="E138" s="28">
        <v>10</v>
      </c>
      <c r="F138" s="28" t="s">
        <v>109</v>
      </c>
      <c r="G138" s="28" t="s">
        <v>109</v>
      </c>
      <c r="H138" s="7" t="s">
        <v>179</v>
      </c>
      <c r="I138" s="28" t="s">
        <v>109</v>
      </c>
      <c r="J138" s="28" t="s">
        <v>85</v>
      </c>
      <c r="K138" s="28" t="s">
        <v>109</v>
      </c>
      <c r="L138" s="28" t="s">
        <v>109</v>
      </c>
      <c r="M138" s="28" t="s">
        <v>109</v>
      </c>
      <c r="N138" s="28" t="s">
        <v>109</v>
      </c>
      <c r="O138" s="28" t="s">
        <v>868</v>
      </c>
      <c r="P138" s="28" t="s">
        <v>109</v>
      </c>
      <c r="Q138" s="28" t="s">
        <v>109</v>
      </c>
      <c r="R138" s="28" t="s">
        <v>62</v>
      </c>
      <c r="S138" s="28" t="s">
        <v>136</v>
      </c>
      <c r="T138" s="28" t="s">
        <v>270</v>
      </c>
      <c r="U138" s="28" t="str">
        <f t="shared" si="2"/>
        <v>Met</v>
      </c>
      <c r="V138" s="28" t="s">
        <v>109</v>
      </c>
    </row>
    <row r="139" spans="1:22" x14ac:dyDescent="0.3">
      <c r="A139" s="28">
        <v>138</v>
      </c>
      <c r="B139" s="28" t="s">
        <v>23</v>
      </c>
      <c r="C139" s="28" t="s">
        <v>638</v>
      </c>
      <c r="D139" s="28">
        <v>51025321</v>
      </c>
      <c r="E139" s="28">
        <v>1</v>
      </c>
      <c r="F139" s="28">
        <v>1</v>
      </c>
      <c r="G139" s="28">
        <v>1</v>
      </c>
      <c r="H139" s="7" t="s">
        <v>154</v>
      </c>
      <c r="I139" s="28" t="s">
        <v>109</v>
      </c>
      <c r="J139" s="28" t="s">
        <v>130</v>
      </c>
      <c r="K139" s="28" t="s">
        <v>109</v>
      </c>
      <c r="L139" s="41">
        <v>0.73750000000000004</v>
      </c>
      <c r="M139" s="28" t="s">
        <v>109</v>
      </c>
      <c r="N139" s="28" t="s">
        <v>109</v>
      </c>
      <c r="O139" s="28" t="s">
        <v>868</v>
      </c>
      <c r="P139" s="28" t="s">
        <v>131</v>
      </c>
      <c r="Q139" s="28" t="s">
        <v>154</v>
      </c>
      <c r="R139" s="28" t="s">
        <v>62</v>
      </c>
      <c r="S139" s="28" t="s">
        <v>136</v>
      </c>
      <c r="T139" s="28" t="s">
        <v>480</v>
      </c>
      <c r="U139" s="28" t="str">
        <f t="shared" si="2"/>
        <v>Met</v>
      </c>
      <c r="V139" s="28" t="s">
        <v>109</v>
      </c>
    </row>
    <row r="140" spans="1:22" x14ac:dyDescent="0.3">
      <c r="A140" s="28">
        <v>139</v>
      </c>
      <c r="B140" s="28" t="s">
        <v>23</v>
      </c>
      <c r="C140" s="28" t="s">
        <v>869</v>
      </c>
      <c r="D140" s="28">
        <v>50126215</v>
      </c>
      <c r="E140" s="28">
        <v>30</v>
      </c>
      <c r="F140" s="28" t="s">
        <v>109</v>
      </c>
      <c r="G140" s="28" t="s">
        <v>109</v>
      </c>
      <c r="H140" s="7" t="s">
        <v>68</v>
      </c>
      <c r="I140" s="28" t="s">
        <v>109</v>
      </c>
      <c r="J140" s="28" t="s">
        <v>85</v>
      </c>
      <c r="K140" s="28" t="s">
        <v>109</v>
      </c>
      <c r="L140" s="28" t="s">
        <v>109</v>
      </c>
      <c r="M140" s="28" t="s">
        <v>109</v>
      </c>
      <c r="N140" s="28" t="s">
        <v>109</v>
      </c>
      <c r="O140" s="28" t="s">
        <v>868</v>
      </c>
      <c r="P140" s="28" t="s">
        <v>109</v>
      </c>
      <c r="Q140" s="28" t="s">
        <v>109</v>
      </c>
      <c r="R140" s="28" t="s">
        <v>62</v>
      </c>
      <c r="S140" s="28" t="s">
        <v>136</v>
      </c>
      <c r="T140" s="28" t="s">
        <v>870</v>
      </c>
      <c r="U140" s="28" t="str">
        <f t="shared" si="2"/>
        <v>Met</v>
      </c>
      <c r="V140" s="28" t="s">
        <v>109</v>
      </c>
    </row>
    <row r="141" spans="1:22" x14ac:dyDescent="0.3">
      <c r="A141" s="28">
        <v>140</v>
      </c>
      <c r="B141" s="28" t="s">
        <v>23</v>
      </c>
      <c r="C141" s="28" t="s">
        <v>871</v>
      </c>
      <c r="D141" s="28">
        <v>51125110</v>
      </c>
      <c r="E141" s="28">
        <v>210</v>
      </c>
      <c r="F141" s="28">
        <v>388</v>
      </c>
      <c r="G141" s="28">
        <v>118</v>
      </c>
      <c r="H141" s="7" t="s">
        <v>74</v>
      </c>
      <c r="I141" s="28" t="s">
        <v>109</v>
      </c>
      <c r="J141" s="28" t="s">
        <v>130</v>
      </c>
      <c r="K141" s="28" t="s">
        <v>109</v>
      </c>
      <c r="L141" s="41">
        <v>0.9375</v>
      </c>
      <c r="M141" s="28" t="s">
        <v>109</v>
      </c>
      <c r="N141" s="28" t="s">
        <v>872</v>
      </c>
      <c r="O141" s="28" t="s">
        <v>61</v>
      </c>
      <c r="P141" s="28" t="s">
        <v>131</v>
      </c>
      <c r="Q141" s="28" t="s">
        <v>67</v>
      </c>
      <c r="R141" s="28" t="s">
        <v>62</v>
      </c>
      <c r="S141" s="28" t="s">
        <v>136</v>
      </c>
      <c r="T141" s="28" t="s">
        <v>121</v>
      </c>
      <c r="U141" s="28" t="str">
        <f t="shared" si="2"/>
        <v>Met</v>
      </c>
      <c r="V141" s="28" t="s">
        <v>109</v>
      </c>
    </row>
    <row r="142" spans="1:22" x14ac:dyDescent="0.3">
      <c r="A142" s="28">
        <v>141</v>
      </c>
      <c r="B142" s="28" t="s">
        <v>23</v>
      </c>
      <c r="C142" s="28" t="s">
        <v>59</v>
      </c>
      <c r="D142" s="28">
        <v>51225117</v>
      </c>
      <c r="E142" s="28">
        <v>42</v>
      </c>
      <c r="F142" s="28">
        <v>14</v>
      </c>
      <c r="G142" s="28">
        <v>2</v>
      </c>
      <c r="H142" s="7" t="s">
        <v>89</v>
      </c>
      <c r="I142" s="28" t="s">
        <v>109</v>
      </c>
      <c r="J142" s="28" t="s">
        <v>130</v>
      </c>
      <c r="K142" s="28" t="s">
        <v>109</v>
      </c>
      <c r="L142" s="41">
        <v>0.71388888888888891</v>
      </c>
      <c r="M142" s="28" t="s">
        <v>109</v>
      </c>
      <c r="N142" s="28" t="s">
        <v>872</v>
      </c>
      <c r="O142" s="28" t="s">
        <v>61</v>
      </c>
      <c r="P142" s="28" t="s">
        <v>131</v>
      </c>
      <c r="Q142" s="28" t="s">
        <v>89</v>
      </c>
      <c r="R142" s="28" t="s">
        <v>62</v>
      </c>
      <c r="S142" s="28" t="s">
        <v>136</v>
      </c>
      <c r="T142" s="28" t="s">
        <v>122</v>
      </c>
      <c r="U142" s="28" t="str">
        <f t="shared" si="2"/>
        <v>Met</v>
      </c>
      <c r="V142" s="28" t="s">
        <v>109</v>
      </c>
    </row>
    <row r="143" spans="1:22" x14ac:dyDescent="0.3">
      <c r="A143" s="28">
        <v>142</v>
      </c>
      <c r="B143" s="28" t="s">
        <v>23</v>
      </c>
      <c r="C143" s="28" t="s">
        <v>57</v>
      </c>
      <c r="D143" s="28">
        <v>51225119</v>
      </c>
      <c r="E143" s="28">
        <v>200</v>
      </c>
      <c r="F143" s="28">
        <v>39</v>
      </c>
      <c r="G143" s="28">
        <v>8</v>
      </c>
      <c r="H143" s="7" t="s">
        <v>172</v>
      </c>
      <c r="I143" s="28" t="s">
        <v>109</v>
      </c>
      <c r="J143" s="28" t="s">
        <v>130</v>
      </c>
      <c r="K143" s="28" t="s">
        <v>109</v>
      </c>
      <c r="L143" s="41">
        <v>0.96875</v>
      </c>
      <c r="M143" s="28" t="s">
        <v>109</v>
      </c>
      <c r="N143" s="28" t="s">
        <v>872</v>
      </c>
      <c r="O143" s="28" t="s">
        <v>61</v>
      </c>
      <c r="P143" s="28" t="s">
        <v>131</v>
      </c>
      <c r="Q143" s="28" t="s">
        <v>71</v>
      </c>
      <c r="R143" s="28" t="s">
        <v>62</v>
      </c>
      <c r="S143" s="28" t="s">
        <v>136</v>
      </c>
      <c r="T143" s="28" t="s">
        <v>122</v>
      </c>
      <c r="U143" s="28" t="str">
        <f t="shared" si="2"/>
        <v>Met</v>
      </c>
      <c r="V143" s="28" t="s">
        <v>109</v>
      </c>
    </row>
    <row r="144" spans="1:22" x14ac:dyDescent="0.3">
      <c r="A144" s="28">
        <v>143</v>
      </c>
      <c r="B144" s="28" t="s">
        <v>23</v>
      </c>
      <c r="C144" s="28" t="s">
        <v>55</v>
      </c>
      <c r="D144" s="28">
        <v>51225120</v>
      </c>
      <c r="E144" s="28">
        <v>93</v>
      </c>
      <c r="F144" s="28">
        <v>90</v>
      </c>
      <c r="G144" s="28">
        <v>12</v>
      </c>
      <c r="H144" s="7" t="s">
        <v>214</v>
      </c>
      <c r="I144" s="28" t="s">
        <v>109</v>
      </c>
      <c r="J144" s="28" t="s">
        <v>130</v>
      </c>
      <c r="K144" s="28" t="s">
        <v>109</v>
      </c>
      <c r="L144" s="41">
        <v>0.90625</v>
      </c>
      <c r="M144" s="28" t="s">
        <v>109</v>
      </c>
      <c r="N144" s="28" t="s">
        <v>872</v>
      </c>
      <c r="O144" s="28" t="s">
        <v>61</v>
      </c>
      <c r="P144" s="28" t="s">
        <v>131</v>
      </c>
      <c r="Q144" s="28" t="s">
        <v>214</v>
      </c>
      <c r="R144" s="28" t="s">
        <v>62</v>
      </c>
      <c r="S144" s="28" t="s">
        <v>136</v>
      </c>
      <c r="T144" s="28" t="s">
        <v>122</v>
      </c>
      <c r="U144" s="28" t="str">
        <f t="shared" si="2"/>
        <v>Met</v>
      </c>
      <c r="V144" s="28" t="s">
        <v>109</v>
      </c>
    </row>
    <row r="145" spans="1:22" x14ac:dyDescent="0.3">
      <c r="A145" s="28">
        <v>144</v>
      </c>
      <c r="B145" s="28" t="s">
        <v>23</v>
      </c>
      <c r="C145" s="28" t="s">
        <v>239</v>
      </c>
      <c r="D145" s="28">
        <v>51225101</v>
      </c>
      <c r="E145" s="28">
        <v>180</v>
      </c>
      <c r="F145" s="28">
        <v>102</v>
      </c>
      <c r="G145" s="28">
        <v>24</v>
      </c>
      <c r="H145" s="7" t="s">
        <v>262</v>
      </c>
      <c r="I145" s="28" t="s">
        <v>109</v>
      </c>
      <c r="J145" s="28" t="s">
        <v>130</v>
      </c>
      <c r="K145" s="28" t="s">
        <v>109</v>
      </c>
      <c r="L145" s="28" t="s">
        <v>109</v>
      </c>
      <c r="M145" s="28" t="s">
        <v>109</v>
      </c>
      <c r="N145" s="28" t="s">
        <v>872</v>
      </c>
      <c r="O145" s="28" t="s">
        <v>61</v>
      </c>
      <c r="P145" s="28" t="s">
        <v>131</v>
      </c>
      <c r="Q145" s="28" t="s">
        <v>222</v>
      </c>
      <c r="R145" s="28" t="s">
        <v>62</v>
      </c>
      <c r="S145" s="28" t="s">
        <v>136</v>
      </c>
      <c r="T145" s="28" t="s">
        <v>121</v>
      </c>
      <c r="U145" s="28" t="str">
        <f t="shared" si="2"/>
        <v>Met</v>
      </c>
      <c r="V145" s="28" t="s">
        <v>109</v>
      </c>
    </row>
    <row r="146" spans="1:22" x14ac:dyDescent="0.3">
      <c r="A146" s="28">
        <v>145</v>
      </c>
      <c r="B146" s="28" t="s">
        <v>23</v>
      </c>
      <c r="C146" s="28" t="s">
        <v>240</v>
      </c>
      <c r="D146" s="28">
        <v>51225102</v>
      </c>
      <c r="E146" s="28">
        <v>50</v>
      </c>
      <c r="F146" s="28">
        <v>179</v>
      </c>
      <c r="G146" s="28">
        <v>41</v>
      </c>
      <c r="H146" s="7" t="s">
        <v>70</v>
      </c>
      <c r="I146" s="28" t="s">
        <v>109</v>
      </c>
      <c r="J146" s="28" t="s">
        <v>130</v>
      </c>
      <c r="K146" s="28" t="s">
        <v>109</v>
      </c>
      <c r="L146" s="41">
        <v>1.3888888888888888E-2</v>
      </c>
      <c r="M146" s="28" t="s">
        <v>109</v>
      </c>
      <c r="N146" s="28" t="s">
        <v>872</v>
      </c>
      <c r="O146" s="28" t="s">
        <v>61</v>
      </c>
      <c r="P146" s="28" t="s">
        <v>131</v>
      </c>
      <c r="Q146" s="28" t="s">
        <v>70</v>
      </c>
      <c r="R146" s="28" t="s">
        <v>62</v>
      </c>
      <c r="S146" s="28" t="s">
        <v>136</v>
      </c>
      <c r="T146" s="28" t="s">
        <v>121</v>
      </c>
      <c r="U146" s="28" t="str">
        <f t="shared" si="2"/>
        <v>Met</v>
      </c>
      <c r="V146" s="28" t="s">
        <v>109</v>
      </c>
    </row>
    <row r="147" spans="1:22" x14ac:dyDescent="0.3">
      <c r="A147" s="28">
        <v>146</v>
      </c>
      <c r="B147" s="28" t="s">
        <v>23</v>
      </c>
      <c r="C147" s="28" t="s">
        <v>338</v>
      </c>
      <c r="D147" s="28">
        <v>50126001</v>
      </c>
      <c r="E147" s="28">
        <v>170</v>
      </c>
      <c r="F147" s="28">
        <v>278</v>
      </c>
      <c r="G147" s="28">
        <v>173</v>
      </c>
      <c r="H147" s="7" t="s">
        <v>232</v>
      </c>
      <c r="I147" s="28" t="s">
        <v>109</v>
      </c>
      <c r="J147" s="28" t="s">
        <v>130</v>
      </c>
      <c r="K147" s="28" t="s">
        <v>109</v>
      </c>
      <c r="L147" s="41">
        <v>0.94444444444444442</v>
      </c>
      <c r="M147" s="28" t="s">
        <v>109</v>
      </c>
      <c r="N147" s="28" t="s">
        <v>109</v>
      </c>
      <c r="O147" s="28" t="s">
        <v>61</v>
      </c>
      <c r="P147" s="28" t="s">
        <v>131</v>
      </c>
      <c r="Q147" s="28" t="s">
        <v>241</v>
      </c>
      <c r="R147" s="28" t="s">
        <v>62</v>
      </c>
      <c r="S147" s="28" t="s">
        <v>136</v>
      </c>
      <c r="T147" s="28" t="s">
        <v>341</v>
      </c>
      <c r="U147" s="28" t="str">
        <f t="shared" si="2"/>
        <v>Met</v>
      </c>
      <c r="V147" s="28" t="s">
        <v>109</v>
      </c>
    </row>
    <row r="148" spans="1:22" x14ac:dyDescent="0.3">
      <c r="A148" s="28">
        <v>147</v>
      </c>
      <c r="B148" s="28" t="s">
        <v>23</v>
      </c>
      <c r="C148" s="28" t="s">
        <v>342</v>
      </c>
      <c r="D148" s="28">
        <v>50126002</v>
      </c>
      <c r="E148" s="28">
        <v>200</v>
      </c>
      <c r="F148" s="28">
        <v>279</v>
      </c>
      <c r="G148" s="28">
        <v>214</v>
      </c>
      <c r="H148" s="7" t="s">
        <v>259</v>
      </c>
      <c r="I148" s="28" t="s">
        <v>109</v>
      </c>
      <c r="J148" s="28" t="s">
        <v>130</v>
      </c>
      <c r="K148" s="28" t="s">
        <v>109</v>
      </c>
      <c r="L148" s="41">
        <v>0.75972222222222219</v>
      </c>
      <c r="M148" s="28" t="s">
        <v>109</v>
      </c>
      <c r="N148" s="28" t="s">
        <v>109</v>
      </c>
      <c r="O148" s="28" t="s">
        <v>61</v>
      </c>
      <c r="P148" s="28" t="s">
        <v>131</v>
      </c>
      <c r="Q148" s="28" t="s">
        <v>200</v>
      </c>
      <c r="R148" s="28" t="s">
        <v>62</v>
      </c>
      <c r="S148" s="28" t="s">
        <v>136</v>
      </c>
      <c r="T148" s="28" t="s">
        <v>341</v>
      </c>
      <c r="U148" s="28" t="str">
        <f t="shared" si="2"/>
        <v>Met</v>
      </c>
      <c r="V148" s="28" t="s">
        <v>109</v>
      </c>
    </row>
    <row r="149" spans="1:22" x14ac:dyDescent="0.3">
      <c r="A149" s="28">
        <v>148</v>
      </c>
      <c r="B149" s="28" t="s">
        <v>23</v>
      </c>
      <c r="C149" s="28" t="s">
        <v>345</v>
      </c>
      <c r="D149" s="28">
        <v>50126003</v>
      </c>
      <c r="E149" s="28">
        <v>200</v>
      </c>
      <c r="F149" s="28">
        <v>375</v>
      </c>
      <c r="G149" s="28">
        <v>184</v>
      </c>
      <c r="H149" s="7" t="s">
        <v>229</v>
      </c>
      <c r="I149" s="28" t="s">
        <v>109</v>
      </c>
      <c r="J149" s="28" t="s">
        <v>130</v>
      </c>
      <c r="K149" s="28" t="s">
        <v>109</v>
      </c>
      <c r="L149" s="41">
        <v>0.90763888888888888</v>
      </c>
      <c r="M149" s="28" t="s">
        <v>109</v>
      </c>
      <c r="N149" s="28" t="s">
        <v>109</v>
      </c>
      <c r="O149" s="28" t="s">
        <v>61</v>
      </c>
      <c r="P149" s="28" t="s">
        <v>131</v>
      </c>
      <c r="Q149" s="28" t="s">
        <v>64</v>
      </c>
      <c r="R149" s="28" t="s">
        <v>62</v>
      </c>
      <c r="S149" s="28" t="s">
        <v>136</v>
      </c>
      <c r="T149" s="28" t="s">
        <v>341</v>
      </c>
      <c r="U149" s="28" t="str">
        <f t="shared" si="2"/>
        <v>Met</v>
      </c>
      <c r="V149" s="28" t="s">
        <v>109</v>
      </c>
    </row>
    <row r="150" spans="1:22" x14ac:dyDescent="0.3">
      <c r="A150" s="28">
        <v>149</v>
      </c>
      <c r="B150" s="28" t="s">
        <v>23</v>
      </c>
      <c r="C150" s="28" t="s">
        <v>242</v>
      </c>
      <c r="D150" s="28">
        <v>51025001</v>
      </c>
      <c r="E150" s="28">
        <v>200</v>
      </c>
      <c r="F150" s="28" t="s">
        <v>109</v>
      </c>
      <c r="G150" s="28" t="s">
        <v>109</v>
      </c>
      <c r="H150" s="7" t="s">
        <v>73</v>
      </c>
      <c r="I150" s="28" t="s">
        <v>109</v>
      </c>
      <c r="J150" s="28" t="s">
        <v>85</v>
      </c>
      <c r="K150" s="28" t="s">
        <v>109</v>
      </c>
      <c r="L150" s="28" t="s">
        <v>109</v>
      </c>
      <c r="M150" s="28" t="s">
        <v>109</v>
      </c>
      <c r="N150" s="28" t="s">
        <v>872</v>
      </c>
      <c r="O150" s="28" t="s">
        <v>61</v>
      </c>
      <c r="P150" s="28" t="s">
        <v>109</v>
      </c>
      <c r="Q150" s="28" t="s">
        <v>109</v>
      </c>
      <c r="R150" s="28" t="s">
        <v>62</v>
      </c>
      <c r="S150" s="28" t="s">
        <v>136</v>
      </c>
      <c r="T150" s="28" t="s">
        <v>243</v>
      </c>
      <c r="U150" s="28" t="str">
        <f t="shared" si="2"/>
        <v>Met</v>
      </c>
      <c r="V150" s="28" t="s">
        <v>109</v>
      </c>
    </row>
    <row r="151" spans="1:22" x14ac:dyDescent="0.3">
      <c r="A151" s="28">
        <v>150</v>
      </c>
      <c r="B151" s="28" t="s">
        <v>23</v>
      </c>
      <c r="C151" s="28" t="s">
        <v>52</v>
      </c>
      <c r="D151" s="28">
        <v>51125133</v>
      </c>
      <c r="E151" s="28">
        <v>200</v>
      </c>
      <c r="F151" s="28">
        <v>286</v>
      </c>
      <c r="G151" s="28">
        <v>145</v>
      </c>
      <c r="H151" s="7" t="s">
        <v>875</v>
      </c>
      <c r="I151" s="28" t="s">
        <v>109</v>
      </c>
      <c r="J151" s="28" t="s">
        <v>130</v>
      </c>
      <c r="K151" s="28" t="s">
        <v>109</v>
      </c>
      <c r="L151" s="41">
        <v>0.84027777777777779</v>
      </c>
      <c r="M151" s="28" t="s">
        <v>109</v>
      </c>
      <c r="N151" s="28" t="s">
        <v>109</v>
      </c>
      <c r="O151" s="28" t="s">
        <v>61</v>
      </c>
      <c r="P151" s="28" t="s">
        <v>131</v>
      </c>
      <c r="Q151" s="28" t="s">
        <v>67</v>
      </c>
      <c r="R151" s="28" t="s">
        <v>62</v>
      </c>
      <c r="S151" s="28" t="s">
        <v>876</v>
      </c>
      <c r="T151" s="28" t="s">
        <v>116</v>
      </c>
      <c r="U151" s="28" t="str">
        <f t="shared" si="2"/>
        <v>Met</v>
      </c>
      <c r="V151" s="28" t="s">
        <v>109</v>
      </c>
    </row>
    <row r="152" spans="1:22" x14ac:dyDescent="0.3">
      <c r="A152" s="28">
        <v>151</v>
      </c>
      <c r="B152" s="28" t="s">
        <v>23</v>
      </c>
      <c r="C152" s="28" t="s">
        <v>279</v>
      </c>
      <c r="D152" s="28">
        <v>51125228</v>
      </c>
      <c r="E152" s="28">
        <v>30</v>
      </c>
      <c r="F152" s="28">
        <v>3</v>
      </c>
      <c r="G152" s="28">
        <v>1</v>
      </c>
      <c r="H152" s="7" t="s">
        <v>154</v>
      </c>
      <c r="I152" s="28" t="s">
        <v>109</v>
      </c>
      <c r="J152" s="28" t="s">
        <v>130</v>
      </c>
      <c r="K152" s="28" t="s">
        <v>109</v>
      </c>
      <c r="L152" s="41">
        <v>3.2638888888888891E-2</v>
      </c>
      <c r="M152" s="28" t="s">
        <v>109</v>
      </c>
      <c r="N152" s="28" t="s">
        <v>109</v>
      </c>
      <c r="O152" s="28" t="s">
        <v>61</v>
      </c>
      <c r="P152" s="28" t="s">
        <v>131</v>
      </c>
      <c r="Q152" s="28" t="s">
        <v>154</v>
      </c>
      <c r="R152" s="28" t="s">
        <v>62</v>
      </c>
      <c r="S152" s="28" t="s">
        <v>141</v>
      </c>
      <c r="T152" s="28" t="s">
        <v>278</v>
      </c>
      <c r="U152" s="28" t="str">
        <f t="shared" si="2"/>
        <v>Met</v>
      </c>
      <c r="V152" s="28" t="s">
        <v>109</v>
      </c>
    </row>
    <row r="153" spans="1:22" x14ac:dyDescent="0.3">
      <c r="A153" s="28">
        <v>152</v>
      </c>
      <c r="B153" s="28" t="s">
        <v>23</v>
      </c>
      <c r="C153" s="28" t="s">
        <v>877</v>
      </c>
      <c r="D153" s="28">
        <v>11125073</v>
      </c>
      <c r="E153" s="28">
        <v>55</v>
      </c>
      <c r="F153" s="28">
        <v>120</v>
      </c>
      <c r="G153" s="28">
        <v>32</v>
      </c>
      <c r="H153" s="7" t="s">
        <v>70</v>
      </c>
      <c r="I153" s="28" t="s">
        <v>109</v>
      </c>
      <c r="J153" s="28" t="s">
        <v>130</v>
      </c>
      <c r="K153" s="28" t="s">
        <v>109</v>
      </c>
      <c r="L153" s="41">
        <v>3.2638888888888891E-2</v>
      </c>
      <c r="M153" s="28" t="s">
        <v>109</v>
      </c>
      <c r="N153" s="28" t="s">
        <v>109</v>
      </c>
      <c r="O153" s="28" t="s">
        <v>61</v>
      </c>
      <c r="P153" s="28" t="s">
        <v>131</v>
      </c>
      <c r="Q153" s="28" t="s">
        <v>70</v>
      </c>
      <c r="R153" s="28" t="s">
        <v>62</v>
      </c>
      <c r="S153" s="28" t="s">
        <v>878</v>
      </c>
      <c r="T153" s="28" t="s">
        <v>879</v>
      </c>
      <c r="U153" s="28" t="str">
        <f t="shared" si="2"/>
        <v>Met</v>
      </c>
      <c r="V153" s="28" t="s">
        <v>109</v>
      </c>
    </row>
    <row r="154" spans="1:22" x14ac:dyDescent="0.3">
      <c r="A154" s="28">
        <v>153</v>
      </c>
      <c r="B154" s="28" t="s">
        <v>143</v>
      </c>
      <c r="C154" s="28" t="s">
        <v>880</v>
      </c>
      <c r="D154" s="28">
        <v>10126007</v>
      </c>
      <c r="E154" s="28">
        <v>41</v>
      </c>
      <c r="F154" s="28">
        <v>29</v>
      </c>
      <c r="G154" s="28">
        <v>5</v>
      </c>
      <c r="H154" s="7" t="s">
        <v>66</v>
      </c>
      <c r="I154" s="28" t="s">
        <v>87</v>
      </c>
      <c r="J154" s="28" t="s">
        <v>130</v>
      </c>
      <c r="K154" s="41">
        <v>0.95347222222222228</v>
      </c>
      <c r="L154" s="41">
        <v>0.99791666666666667</v>
      </c>
      <c r="M154" s="28" t="s">
        <v>109</v>
      </c>
      <c r="N154" s="28" t="s">
        <v>109</v>
      </c>
      <c r="O154" s="28" t="s">
        <v>61</v>
      </c>
      <c r="P154" s="28" t="s">
        <v>131</v>
      </c>
      <c r="Q154" s="28" t="s">
        <v>87</v>
      </c>
      <c r="R154" s="28" t="s">
        <v>62</v>
      </c>
      <c r="S154" s="28" t="s">
        <v>878</v>
      </c>
      <c r="T154" s="28" t="s">
        <v>398</v>
      </c>
      <c r="U154" s="28" t="str">
        <f t="shared" si="2"/>
        <v>Met</v>
      </c>
      <c r="V154" s="28" t="s">
        <v>109</v>
      </c>
    </row>
    <row r="155" spans="1:22" x14ac:dyDescent="0.3">
      <c r="A155" s="28">
        <v>153</v>
      </c>
      <c r="B155" s="28" t="s">
        <v>143</v>
      </c>
      <c r="C155" s="28" t="s">
        <v>881</v>
      </c>
      <c r="D155" s="28">
        <v>10126001</v>
      </c>
      <c r="E155" s="28">
        <v>60</v>
      </c>
      <c r="F155" s="28">
        <v>60</v>
      </c>
      <c r="G155" s="28">
        <v>21</v>
      </c>
      <c r="H155" s="7" t="s">
        <v>95</v>
      </c>
      <c r="I155" s="28" t="s">
        <v>787</v>
      </c>
      <c r="J155" s="28" t="s">
        <v>130</v>
      </c>
      <c r="K155" s="41">
        <v>0.99513888888888891</v>
      </c>
      <c r="L155" s="41">
        <v>3.4027777777777775E-2</v>
      </c>
      <c r="M155" s="28" t="s">
        <v>109</v>
      </c>
      <c r="N155" s="28" t="s">
        <v>109</v>
      </c>
      <c r="O155" s="28" t="s">
        <v>61</v>
      </c>
      <c r="P155" s="28" t="s">
        <v>131</v>
      </c>
      <c r="Q155" s="28" t="s">
        <v>787</v>
      </c>
      <c r="R155" s="28" t="s">
        <v>62</v>
      </c>
      <c r="S155" s="28" t="s">
        <v>878</v>
      </c>
      <c r="T155" s="28" t="s">
        <v>189</v>
      </c>
      <c r="U155" s="28" t="str">
        <f t="shared" si="2"/>
        <v>Met</v>
      </c>
      <c r="V155" s="28" t="s">
        <v>109</v>
      </c>
    </row>
    <row r="156" spans="1:22" x14ac:dyDescent="0.3">
      <c r="A156" s="28">
        <v>154</v>
      </c>
      <c r="B156" s="28" t="s">
        <v>883</v>
      </c>
      <c r="C156" s="28" t="s">
        <v>882</v>
      </c>
      <c r="D156" s="28">
        <v>61025015</v>
      </c>
      <c r="E156" s="28">
        <v>349</v>
      </c>
      <c r="F156" s="28">
        <v>451</v>
      </c>
      <c r="G156" s="28">
        <v>198</v>
      </c>
      <c r="H156" s="7" t="s">
        <v>884</v>
      </c>
      <c r="I156" s="28" t="s">
        <v>885</v>
      </c>
      <c r="J156" s="28" t="s">
        <v>130</v>
      </c>
      <c r="K156" s="51">
        <v>5.5555555555555552E-2</v>
      </c>
      <c r="L156" s="28" t="s">
        <v>109</v>
      </c>
      <c r="M156" s="28" t="s">
        <v>109</v>
      </c>
      <c r="N156" s="28" t="s">
        <v>109</v>
      </c>
      <c r="O156" s="28" t="s">
        <v>61</v>
      </c>
      <c r="P156" s="28" t="s">
        <v>131</v>
      </c>
      <c r="Q156" s="28" t="s">
        <v>603</v>
      </c>
      <c r="R156" s="28" t="s">
        <v>62</v>
      </c>
      <c r="S156" s="28" t="s">
        <v>878</v>
      </c>
      <c r="T156" s="28" t="s">
        <v>189</v>
      </c>
      <c r="U156" s="28" t="str">
        <f t="shared" si="2"/>
        <v>Met</v>
      </c>
      <c r="V156" s="28" t="s">
        <v>109</v>
      </c>
    </row>
    <row r="157" spans="1:22" x14ac:dyDescent="0.3">
      <c r="A157" s="28">
        <v>155</v>
      </c>
      <c r="B157" s="28" t="s">
        <v>143</v>
      </c>
      <c r="C157" s="47" t="s">
        <v>637</v>
      </c>
      <c r="D157" s="28">
        <v>10126007</v>
      </c>
      <c r="E157" s="28">
        <v>134</v>
      </c>
      <c r="F157" s="28" t="s">
        <v>109</v>
      </c>
      <c r="G157" s="28" t="s">
        <v>109</v>
      </c>
      <c r="H157" s="28" t="s">
        <v>886</v>
      </c>
      <c r="I157" s="28" t="s">
        <v>109</v>
      </c>
      <c r="J157" s="28" t="s">
        <v>109</v>
      </c>
      <c r="K157" s="28" t="s">
        <v>109</v>
      </c>
      <c r="L157" s="28" t="s">
        <v>109</v>
      </c>
      <c r="M157" s="28" t="s">
        <v>109</v>
      </c>
      <c r="N157" s="28" t="s">
        <v>109</v>
      </c>
      <c r="O157" s="28" t="s">
        <v>606</v>
      </c>
      <c r="P157" s="28" t="s">
        <v>109</v>
      </c>
      <c r="Q157" s="28" t="s">
        <v>109</v>
      </c>
      <c r="R157" s="28" t="s">
        <v>62</v>
      </c>
      <c r="S157" s="28" t="s">
        <v>109</v>
      </c>
      <c r="T157" s="28" t="s">
        <v>398</v>
      </c>
      <c r="U157" s="28" t="str">
        <f t="shared" si="2"/>
        <v>Met</v>
      </c>
      <c r="V157" s="28" t="s">
        <v>109</v>
      </c>
    </row>
    <row r="158" spans="1:22" x14ac:dyDescent="0.3">
      <c r="A158" s="28">
        <v>156</v>
      </c>
      <c r="B158" s="28" t="s">
        <v>23</v>
      </c>
      <c r="C158" s="28" t="s">
        <v>887</v>
      </c>
      <c r="D158" s="7">
        <v>50925073</v>
      </c>
      <c r="E158" s="28">
        <v>18</v>
      </c>
      <c r="F158" s="28">
        <v>8</v>
      </c>
      <c r="G158" s="28">
        <v>10</v>
      </c>
      <c r="H158" s="7" t="s">
        <v>603</v>
      </c>
      <c r="I158" s="28" t="s">
        <v>109</v>
      </c>
      <c r="J158" s="28" t="s">
        <v>130</v>
      </c>
      <c r="K158" s="51">
        <v>8.611111111111111E-2</v>
      </c>
      <c r="L158" s="28" t="s">
        <v>109</v>
      </c>
      <c r="M158" s="28" t="s">
        <v>109</v>
      </c>
      <c r="N158" s="28" t="s">
        <v>109</v>
      </c>
      <c r="O158" s="28" t="s">
        <v>606</v>
      </c>
      <c r="P158" s="28" t="s">
        <v>131</v>
      </c>
      <c r="Q158" s="28" t="s">
        <v>603</v>
      </c>
      <c r="R158" s="28" t="s">
        <v>62</v>
      </c>
      <c r="S158" s="28" t="s">
        <v>109</v>
      </c>
      <c r="T158" s="56" t="s">
        <v>304</v>
      </c>
      <c r="U158" s="28" t="str">
        <f t="shared" si="2"/>
        <v>Met</v>
      </c>
      <c r="V158" s="28" t="s">
        <v>109</v>
      </c>
    </row>
  </sheetData>
  <conditionalFormatting sqref="D1">
    <cfRule type="duplicateValues" dxfId="106"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7CDFB-4408-4606-BF50-AE959FD69681}">
  <sheetPr codeName="Sheet8"/>
  <dimension ref="A1:W113"/>
  <sheetViews>
    <sheetView topLeftCell="N1" workbookViewId="0">
      <pane ySplit="1" topLeftCell="A2" activePane="bottomLeft" state="frozen"/>
      <selection pane="bottomLeft" activeCell="U10" sqref="U10"/>
    </sheetView>
  </sheetViews>
  <sheetFormatPr defaultRowHeight="14.4" x14ac:dyDescent="0.3"/>
  <cols>
    <col min="1" max="1" width="7.5546875" bestFit="1" customWidth="1"/>
    <col min="2" max="2" width="13.109375" bestFit="1" customWidth="1"/>
    <col min="3" max="3" width="88.88671875" bestFit="1" customWidth="1"/>
    <col min="4" max="4" width="14.88671875" bestFit="1" customWidth="1"/>
    <col min="5" max="5" width="18.33203125" bestFit="1" customWidth="1"/>
    <col min="6" max="6" width="19.5546875" bestFit="1" customWidth="1"/>
    <col min="7" max="7" width="13" bestFit="1" customWidth="1"/>
    <col min="8" max="8" width="40" bestFit="1" customWidth="1"/>
    <col min="9" max="9" width="32" bestFit="1" customWidth="1"/>
    <col min="10" max="10" width="10.6640625" bestFit="1" customWidth="1"/>
    <col min="11" max="12" width="20.33203125" bestFit="1" customWidth="1"/>
    <col min="13" max="13" width="8.33203125" bestFit="1" customWidth="1"/>
    <col min="14" max="14" width="33.88671875" bestFit="1" customWidth="1"/>
    <col min="15" max="15" width="11.21875" bestFit="1" customWidth="1"/>
    <col min="16" max="16" width="18.77734375" bestFit="1" customWidth="1"/>
    <col min="17" max="17" width="16.21875" bestFit="1" customWidth="1"/>
    <col min="18" max="18" width="18.77734375" bestFit="1" customWidth="1"/>
    <col min="19" max="19" width="20.33203125" bestFit="1" customWidth="1"/>
    <col min="20" max="20" width="10.21875" bestFit="1" customWidth="1"/>
    <col min="21" max="21" width="41.88671875" bestFit="1" customWidth="1"/>
    <col min="22" max="22" width="14.5546875" bestFit="1" customWidth="1"/>
    <col min="23" max="23" width="16.77734375" bestFit="1" customWidth="1"/>
  </cols>
  <sheetData>
    <row r="1" spans="1:23" x14ac:dyDescent="0.3">
      <c r="A1" s="22" t="s">
        <v>0</v>
      </c>
      <c r="B1" s="22" t="s">
        <v>1</v>
      </c>
      <c r="C1" s="22" t="s">
        <v>2</v>
      </c>
      <c r="D1" s="22" t="s">
        <v>3</v>
      </c>
      <c r="E1" s="22" t="s">
        <v>4</v>
      </c>
      <c r="F1" s="22" t="s">
        <v>5</v>
      </c>
      <c r="G1" s="22" t="s">
        <v>6</v>
      </c>
      <c r="H1" s="22" t="s">
        <v>7</v>
      </c>
      <c r="I1" s="22" t="s">
        <v>8</v>
      </c>
      <c r="J1" s="22" t="s">
        <v>9</v>
      </c>
      <c r="K1" s="23" t="s">
        <v>10</v>
      </c>
      <c r="L1" s="23" t="s">
        <v>11</v>
      </c>
      <c r="M1" s="24" t="s">
        <v>12</v>
      </c>
      <c r="N1" s="25" t="s">
        <v>13</v>
      </c>
      <c r="O1" s="22" t="s">
        <v>14</v>
      </c>
      <c r="P1" s="22" t="s">
        <v>15</v>
      </c>
      <c r="Q1" s="22" t="s">
        <v>16</v>
      </c>
      <c r="R1" s="22" t="s">
        <v>17</v>
      </c>
      <c r="S1" s="22" t="s">
        <v>18</v>
      </c>
      <c r="T1" s="22" t="s">
        <v>19</v>
      </c>
      <c r="U1" s="22" t="s">
        <v>20</v>
      </c>
      <c r="V1" s="22" t="s">
        <v>21</v>
      </c>
      <c r="W1" s="26" t="s">
        <v>22</v>
      </c>
    </row>
    <row r="2" spans="1:23" x14ac:dyDescent="0.3">
      <c r="A2" s="7">
        <v>1</v>
      </c>
      <c r="B2" s="29" t="s">
        <v>24</v>
      </c>
      <c r="C2" s="29" t="s">
        <v>41</v>
      </c>
      <c r="D2" s="29">
        <v>61125005</v>
      </c>
      <c r="E2" s="29">
        <v>149</v>
      </c>
      <c r="F2" s="7">
        <v>289</v>
      </c>
      <c r="G2" s="7">
        <v>124</v>
      </c>
      <c r="H2" s="53" t="s">
        <v>99</v>
      </c>
      <c r="I2" s="7" t="s">
        <v>603</v>
      </c>
      <c r="J2" s="7" t="s">
        <v>130</v>
      </c>
      <c r="K2" s="11">
        <v>0.77361111111111114</v>
      </c>
      <c r="L2" s="58">
        <v>0.82708333333333328</v>
      </c>
      <c r="M2" s="7" t="s">
        <v>109</v>
      </c>
      <c r="N2" s="29" t="s">
        <v>109</v>
      </c>
      <c r="O2" s="29" t="s">
        <v>61</v>
      </c>
      <c r="P2" s="7" t="s">
        <v>131</v>
      </c>
      <c r="Q2" s="7" t="s">
        <v>603</v>
      </c>
      <c r="R2" s="7" t="s">
        <v>63</v>
      </c>
      <c r="S2" s="7" t="s">
        <v>109</v>
      </c>
      <c r="T2" s="7" t="s">
        <v>109</v>
      </c>
      <c r="U2" s="28" t="str">
        <f t="shared" ref="U2:U39" si="0">IF(G29&gt;=E29, "Met", "Not Met")</f>
        <v>Met</v>
      </c>
      <c r="V2" s="7" t="s">
        <v>109</v>
      </c>
      <c r="W2" s="29" t="s">
        <v>117</v>
      </c>
    </row>
    <row r="3" spans="1:23" x14ac:dyDescent="0.3">
      <c r="A3" s="7">
        <v>2</v>
      </c>
      <c r="B3" s="29" t="s">
        <v>24</v>
      </c>
      <c r="C3" s="29" t="s">
        <v>890</v>
      </c>
      <c r="D3" s="29">
        <v>60126003</v>
      </c>
      <c r="E3" s="29">
        <v>42</v>
      </c>
      <c r="F3" s="7">
        <v>66</v>
      </c>
      <c r="G3" s="7">
        <v>43</v>
      </c>
      <c r="H3" s="53" t="s">
        <v>71</v>
      </c>
      <c r="I3" s="7" t="s">
        <v>87</v>
      </c>
      <c r="J3" s="7" t="s">
        <v>130</v>
      </c>
      <c r="K3" s="11">
        <v>0.71319444444444446</v>
      </c>
      <c r="L3" s="58">
        <v>0.76111111111111107</v>
      </c>
      <c r="M3" s="7" t="s">
        <v>109</v>
      </c>
      <c r="N3" s="29" t="s">
        <v>109</v>
      </c>
      <c r="O3" s="29" t="s">
        <v>61</v>
      </c>
      <c r="P3" s="7" t="s">
        <v>131</v>
      </c>
      <c r="Q3" s="7" t="s">
        <v>87</v>
      </c>
      <c r="R3" s="7" t="s">
        <v>63</v>
      </c>
      <c r="S3" s="7" t="s">
        <v>109</v>
      </c>
      <c r="T3" s="7" t="s">
        <v>109</v>
      </c>
      <c r="U3" s="28" t="str">
        <f t="shared" si="0"/>
        <v>Met</v>
      </c>
      <c r="V3" s="7" t="s">
        <v>109</v>
      </c>
      <c r="W3" s="29" t="s">
        <v>891</v>
      </c>
    </row>
    <row r="4" spans="1:23" x14ac:dyDescent="0.3">
      <c r="A4" s="7">
        <v>3</v>
      </c>
      <c r="B4" s="29" t="s">
        <v>24</v>
      </c>
      <c r="C4" s="29" t="s">
        <v>892</v>
      </c>
      <c r="D4" s="29">
        <v>60126002</v>
      </c>
      <c r="E4" s="29">
        <v>49</v>
      </c>
      <c r="F4" s="7">
        <v>65</v>
      </c>
      <c r="G4" s="7">
        <v>49</v>
      </c>
      <c r="H4" s="53" t="s">
        <v>68</v>
      </c>
      <c r="I4" s="7" t="s">
        <v>86</v>
      </c>
      <c r="J4" s="7" t="s">
        <v>130</v>
      </c>
      <c r="K4" s="11">
        <v>0.97916666666666663</v>
      </c>
      <c r="L4" s="58">
        <v>0.99097222222222225</v>
      </c>
      <c r="M4" s="7" t="s">
        <v>109</v>
      </c>
      <c r="N4" s="29" t="s">
        <v>109</v>
      </c>
      <c r="O4" s="29" t="s">
        <v>61</v>
      </c>
      <c r="P4" s="7" t="s">
        <v>131</v>
      </c>
      <c r="Q4" s="7" t="s">
        <v>86</v>
      </c>
      <c r="R4" s="7" t="s">
        <v>63</v>
      </c>
      <c r="S4" s="7" t="s">
        <v>109</v>
      </c>
      <c r="T4" s="7" t="s">
        <v>109</v>
      </c>
      <c r="U4" s="28" t="str">
        <f t="shared" si="0"/>
        <v>Met</v>
      </c>
      <c r="V4" s="7" t="s">
        <v>109</v>
      </c>
      <c r="W4" s="29" t="s">
        <v>891</v>
      </c>
    </row>
    <row r="5" spans="1:23" x14ac:dyDescent="0.3">
      <c r="A5" s="7">
        <v>4</v>
      </c>
      <c r="B5" s="29" t="s">
        <v>24</v>
      </c>
      <c r="C5" s="29" t="s">
        <v>893</v>
      </c>
      <c r="D5" s="29">
        <v>60126004</v>
      </c>
      <c r="E5" s="29">
        <v>55</v>
      </c>
      <c r="F5" s="7">
        <v>74</v>
      </c>
      <c r="G5" s="7">
        <v>63</v>
      </c>
      <c r="H5" s="53" t="s">
        <v>200</v>
      </c>
      <c r="I5" s="7" t="s">
        <v>91</v>
      </c>
      <c r="J5" s="7" t="s">
        <v>130</v>
      </c>
      <c r="K5" s="11">
        <v>0.68888888888888888</v>
      </c>
      <c r="L5" s="58">
        <v>0.77708333333333335</v>
      </c>
      <c r="M5" s="7" t="s">
        <v>109</v>
      </c>
      <c r="N5" s="29" t="s">
        <v>109</v>
      </c>
      <c r="O5" s="29" t="s">
        <v>61</v>
      </c>
      <c r="P5" s="7" t="s">
        <v>131</v>
      </c>
      <c r="Q5" s="7" t="s">
        <v>91</v>
      </c>
      <c r="R5" s="7" t="s">
        <v>63</v>
      </c>
      <c r="S5" s="7" t="s">
        <v>109</v>
      </c>
      <c r="T5" s="7" t="s">
        <v>109</v>
      </c>
      <c r="U5" s="28" t="str">
        <f t="shared" si="0"/>
        <v>Not Met</v>
      </c>
      <c r="V5" s="7" t="s">
        <v>109</v>
      </c>
      <c r="W5" s="29" t="s">
        <v>891</v>
      </c>
    </row>
    <row r="6" spans="1:23" x14ac:dyDescent="0.3">
      <c r="A6" s="7">
        <v>5</v>
      </c>
      <c r="B6" s="29" t="s">
        <v>24</v>
      </c>
      <c r="C6" s="29" t="s">
        <v>894</v>
      </c>
      <c r="D6" s="29">
        <v>60126005</v>
      </c>
      <c r="E6" s="29">
        <v>47</v>
      </c>
      <c r="F6" s="7">
        <v>60</v>
      </c>
      <c r="G6" s="7">
        <v>47</v>
      </c>
      <c r="H6" s="53" t="s">
        <v>67</v>
      </c>
      <c r="I6" s="7" t="s">
        <v>89</v>
      </c>
      <c r="J6" s="7" t="s">
        <v>130</v>
      </c>
      <c r="K6" s="11">
        <v>0.68611111111111112</v>
      </c>
      <c r="L6" s="58">
        <v>0.7319444444444444</v>
      </c>
      <c r="M6" s="7" t="s">
        <v>109</v>
      </c>
      <c r="N6" s="29" t="s">
        <v>109</v>
      </c>
      <c r="O6" s="29" t="s">
        <v>61</v>
      </c>
      <c r="P6" s="7" t="s">
        <v>131</v>
      </c>
      <c r="Q6" s="7" t="s">
        <v>89</v>
      </c>
      <c r="R6" s="7" t="s">
        <v>63</v>
      </c>
      <c r="S6" s="7" t="s">
        <v>109</v>
      </c>
      <c r="T6" s="7" t="s">
        <v>109</v>
      </c>
      <c r="U6" s="28" t="str">
        <f t="shared" si="0"/>
        <v>Not Met</v>
      </c>
      <c r="V6" s="7" t="s">
        <v>109</v>
      </c>
      <c r="W6" s="29" t="s">
        <v>891</v>
      </c>
    </row>
    <row r="7" spans="1:23" x14ac:dyDescent="0.3">
      <c r="A7" s="7">
        <v>6</v>
      </c>
      <c r="B7" s="29" t="s">
        <v>24</v>
      </c>
      <c r="C7" s="29" t="s">
        <v>895</v>
      </c>
      <c r="D7" s="29">
        <v>60126006</v>
      </c>
      <c r="E7" s="29">
        <v>88</v>
      </c>
      <c r="F7" s="7">
        <v>160</v>
      </c>
      <c r="G7" s="7">
        <v>88</v>
      </c>
      <c r="H7" s="53" t="s">
        <v>64</v>
      </c>
      <c r="I7" s="53" t="s">
        <v>93</v>
      </c>
      <c r="J7" s="7" t="s">
        <v>130</v>
      </c>
      <c r="K7" s="11">
        <v>0.99444444444444446</v>
      </c>
      <c r="L7" s="58">
        <v>1.8055555555555554E-2</v>
      </c>
      <c r="M7" s="7" t="s">
        <v>109</v>
      </c>
      <c r="N7" s="29" t="s">
        <v>109</v>
      </c>
      <c r="O7" s="29" t="s">
        <v>61</v>
      </c>
      <c r="P7" s="7" t="s">
        <v>131</v>
      </c>
      <c r="Q7" s="7" t="s">
        <v>93</v>
      </c>
      <c r="R7" s="7" t="s">
        <v>63</v>
      </c>
      <c r="S7" s="7" t="s">
        <v>109</v>
      </c>
      <c r="T7" s="7" t="s">
        <v>109</v>
      </c>
      <c r="U7" s="28" t="str">
        <f t="shared" si="0"/>
        <v>Met</v>
      </c>
      <c r="V7" s="7" t="s">
        <v>109</v>
      </c>
      <c r="W7" s="29" t="s">
        <v>891</v>
      </c>
    </row>
    <row r="8" spans="1:23" x14ac:dyDescent="0.3">
      <c r="A8" s="7">
        <v>7</v>
      </c>
      <c r="B8" s="29" t="s">
        <v>24</v>
      </c>
      <c r="C8" s="29" t="s">
        <v>896</v>
      </c>
      <c r="D8" s="29">
        <v>60126008</v>
      </c>
      <c r="E8" s="29">
        <v>56</v>
      </c>
      <c r="F8" s="7">
        <v>66</v>
      </c>
      <c r="G8" s="7">
        <v>58</v>
      </c>
      <c r="H8" s="53" t="s">
        <v>66</v>
      </c>
      <c r="I8" s="7" t="s">
        <v>88</v>
      </c>
      <c r="J8" s="7" t="s">
        <v>130</v>
      </c>
      <c r="K8" s="11">
        <v>0.67569444444444449</v>
      </c>
      <c r="L8" s="58">
        <v>0.69930555555555551</v>
      </c>
      <c r="M8" s="7" t="s">
        <v>109</v>
      </c>
      <c r="N8" s="29" t="s">
        <v>109</v>
      </c>
      <c r="O8" s="29" t="s">
        <v>61</v>
      </c>
      <c r="P8" s="7" t="s">
        <v>131</v>
      </c>
      <c r="Q8" s="7" t="s">
        <v>88</v>
      </c>
      <c r="R8" s="7" t="s">
        <v>63</v>
      </c>
      <c r="S8" s="7" t="s">
        <v>109</v>
      </c>
      <c r="T8" s="7" t="s">
        <v>109</v>
      </c>
      <c r="U8" s="28" t="str">
        <f t="shared" si="0"/>
        <v>Met</v>
      </c>
      <c r="V8" s="7" t="s">
        <v>109</v>
      </c>
      <c r="W8" s="29" t="s">
        <v>891</v>
      </c>
    </row>
    <row r="9" spans="1:23" x14ac:dyDescent="0.3">
      <c r="A9" s="7">
        <v>8</v>
      </c>
      <c r="B9" s="29" t="s">
        <v>24</v>
      </c>
      <c r="C9" s="29" t="s">
        <v>897</v>
      </c>
      <c r="D9" s="29">
        <v>60126007</v>
      </c>
      <c r="E9" s="29">
        <v>461</v>
      </c>
      <c r="F9" s="7">
        <v>752</v>
      </c>
      <c r="G9" s="7">
        <v>463</v>
      </c>
      <c r="H9" s="7" t="s">
        <v>898</v>
      </c>
      <c r="I9" s="7" t="s">
        <v>899</v>
      </c>
      <c r="J9" s="7" t="s">
        <v>130</v>
      </c>
      <c r="K9" s="11">
        <v>0.73750000000000004</v>
      </c>
      <c r="L9" s="58">
        <v>0.79027777777777775</v>
      </c>
      <c r="M9" s="7" t="s">
        <v>109</v>
      </c>
      <c r="N9" s="29" t="s">
        <v>109</v>
      </c>
      <c r="O9" s="29" t="s">
        <v>61</v>
      </c>
      <c r="P9" s="7" t="s">
        <v>131</v>
      </c>
      <c r="Q9" s="7" t="s">
        <v>86</v>
      </c>
      <c r="R9" s="7" t="s">
        <v>63</v>
      </c>
      <c r="S9" s="7" t="s">
        <v>109</v>
      </c>
      <c r="T9" s="7" t="s">
        <v>109</v>
      </c>
      <c r="U9" s="28" t="str">
        <f t="shared" si="0"/>
        <v>Met</v>
      </c>
      <c r="V9" s="7" t="s">
        <v>109</v>
      </c>
      <c r="W9" s="29" t="s">
        <v>891</v>
      </c>
    </row>
    <row r="10" spans="1:23" x14ac:dyDescent="0.3">
      <c r="A10" s="7">
        <v>9</v>
      </c>
      <c r="B10" s="29" t="s">
        <v>25</v>
      </c>
      <c r="C10" s="29" t="s">
        <v>42</v>
      </c>
      <c r="D10" s="29">
        <v>41225025</v>
      </c>
      <c r="E10" s="29">
        <v>296</v>
      </c>
      <c r="F10" s="7">
        <v>28</v>
      </c>
      <c r="G10" s="7">
        <v>9</v>
      </c>
      <c r="H10" s="53" t="s">
        <v>994</v>
      </c>
      <c r="I10" s="7" t="s">
        <v>900</v>
      </c>
      <c r="J10" s="7" t="s">
        <v>130</v>
      </c>
      <c r="K10" s="11">
        <v>0.8569444444444444</v>
      </c>
      <c r="L10" s="58">
        <v>0.89097222222222228</v>
      </c>
      <c r="M10" s="7" t="s">
        <v>109</v>
      </c>
      <c r="N10" s="32" t="s">
        <v>110</v>
      </c>
      <c r="O10" s="29" t="s">
        <v>61</v>
      </c>
      <c r="P10" s="7" t="s">
        <v>131</v>
      </c>
      <c r="Q10" s="7" t="s">
        <v>88</v>
      </c>
      <c r="R10" s="7" t="s">
        <v>62</v>
      </c>
      <c r="S10" s="7" t="s">
        <v>109</v>
      </c>
      <c r="T10" s="7" t="s">
        <v>109</v>
      </c>
      <c r="U10" s="28" t="str">
        <f t="shared" si="0"/>
        <v>Not Met</v>
      </c>
      <c r="V10" s="7" t="s">
        <v>109</v>
      </c>
      <c r="W10" s="29" t="s">
        <v>118</v>
      </c>
    </row>
    <row r="11" spans="1:23" x14ac:dyDescent="0.3">
      <c r="A11" s="7">
        <v>10</v>
      </c>
      <c r="B11" s="29" t="s">
        <v>24</v>
      </c>
      <c r="C11" s="29" t="s">
        <v>882</v>
      </c>
      <c r="D11" s="29">
        <v>61025015</v>
      </c>
      <c r="E11" s="29">
        <v>403</v>
      </c>
      <c r="F11" s="7">
        <v>232</v>
      </c>
      <c r="G11" s="7">
        <v>93</v>
      </c>
      <c r="H11" s="7" t="s">
        <v>995</v>
      </c>
      <c r="I11" s="7" t="s">
        <v>901</v>
      </c>
      <c r="J11" s="7" t="s">
        <v>130</v>
      </c>
      <c r="K11" s="11">
        <v>0.89166666666666672</v>
      </c>
      <c r="L11" s="58">
        <v>0.91597222222222219</v>
      </c>
      <c r="M11" s="7" t="s">
        <v>109</v>
      </c>
      <c r="N11" s="32" t="s">
        <v>110</v>
      </c>
      <c r="O11" s="29" t="s">
        <v>61</v>
      </c>
      <c r="P11" s="7" t="s">
        <v>131</v>
      </c>
      <c r="Q11" s="7" t="s">
        <v>94</v>
      </c>
      <c r="R11" s="7" t="s">
        <v>63</v>
      </c>
      <c r="S11" s="7" t="s">
        <v>109</v>
      </c>
      <c r="T11" s="7" t="s">
        <v>109</v>
      </c>
      <c r="U11" s="28" t="str">
        <f t="shared" si="0"/>
        <v>Met</v>
      </c>
      <c r="V11" s="7" t="s">
        <v>109</v>
      </c>
      <c r="W11" s="29" t="s">
        <v>116</v>
      </c>
    </row>
    <row r="12" spans="1:23" x14ac:dyDescent="0.3">
      <c r="A12" s="7">
        <v>11</v>
      </c>
      <c r="B12" s="29" t="s">
        <v>23</v>
      </c>
      <c r="C12" s="29" t="s">
        <v>902</v>
      </c>
      <c r="D12" s="29">
        <v>50126258</v>
      </c>
      <c r="E12" s="29">
        <v>100</v>
      </c>
      <c r="F12" s="7">
        <v>120</v>
      </c>
      <c r="G12" s="7">
        <v>81</v>
      </c>
      <c r="H12" s="53" t="s">
        <v>84</v>
      </c>
      <c r="I12" s="7" t="s">
        <v>109</v>
      </c>
      <c r="J12" s="7" t="s">
        <v>130</v>
      </c>
      <c r="K12" s="11">
        <v>2.9861111111111113E-2</v>
      </c>
      <c r="L12" s="7" t="s">
        <v>109</v>
      </c>
      <c r="M12" s="7" t="s">
        <v>109</v>
      </c>
      <c r="N12" s="29" t="s">
        <v>109</v>
      </c>
      <c r="O12" s="29" t="s">
        <v>61</v>
      </c>
      <c r="P12" s="7" t="s">
        <v>131</v>
      </c>
      <c r="Q12" s="7" t="s">
        <v>84</v>
      </c>
      <c r="R12" s="7" t="s">
        <v>62</v>
      </c>
      <c r="S12" s="7" t="s">
        <v>109</v>
      </c>
      <c r="T12" s="7" t="s">
        <v>109</v>
      </c>
      <c r="U12" s="28" t="str">
        <f t="shared" si="0"/>
        <v>Met</v>
      </c>
      <c r="V12" s="7" t="s">
        <v>109</v>
      </c>
      <c r="W12" s="29" t="s">
        <v>424</v>
      </c>
    </row>
    <row r="13" spans="1:23" x14ac:dyDescent="0.3">
      <c r="A13" s="7">
        <v>12</v>
      </c>
      <c r="B13" s="29" t="s">
        <v>23</v>
      </c>
      <c r="C13" s="29" t="s">
        <v>903</v>
      </c>
      <c r="D13" s="29">
        <v>50126242</v>
      </c>
      <c r="E13" s="29">
        <v>100</v>
      </c>
      <c r="F13" s="7">
        <v>120</v>
      </c>
      <c r="G13" s="7">
        <v>98</v>
      </c>
      <c r="H13" s="53" t="s">
        <v>66</v>
      </c>
      <c r="I13" s="7" t="s">
        <v>109</v>
      </c>
      <c r="J13" s="7" t="s">
        <v>130</v>
      </c>
      <c r="K13" s="11">
        <v>0.72499999999999998</v>
      </c>
      <c r="L13" s="7" t="s">
        <v>109</v>
      </c>
      <c r="M13" s="7" t="s">
        <v>109</v>
      </c>
      <c r="N13" s="29" t="s">
        <v>109</v>
      </c>
      <c r="O13" s="29" t="s">
        <v>61</v>
      </c>
      <c r="P13" s="7" t="s">
        <v>131</v>
      </c>
      <c r="Q13" s="7" t="s">
        <v>66</v>
      </c>
      <c r="R13" s="7" t="s">
        <v>62</v>
      </c>
      <c r="S13" s="7" t="s">
        <v>109</v>
      </c>
      <c r="T13" s="7" t="s">
        <v>109</v>
      </c>
      <c r="U13" s="28" t="str">
        <f t="shared" si="0"/>
        <v>Met</v>
      </c>
      <c r="V13" s="7" t="s">
        <v>109</v>
      </c>
      <c r="W13" s="29" t="s">
        <v>424</v>
      </c>
    </row>
    <row r="14" spans="1:23" x14ac:dyDescent="0.3">
      <c r="A14" s="7">
        <v>13</v>
      </c>
      <c r="B14" s="29" t="s">
        <v>23</v>
      </c>
      <c r="C14" s="29" t="s">
        <v>904</v>
      </c>
      <c r="D14" s="29">
        <v>50126243</v>
      </c>
      <c r="E14" s="29">
        <v>100</v>
      </c>
      <c r="F14" s="7">
        <v>111</v>
      </c>
      <c r="G14" s="7">
        <v>100</v>
      </c>
      <c r="H14" s="7" t="s">
        <v>70</v>
      </c>
      <c r="I14" s="7" t="s">
        <v>109</v>
      </c>
      <c r="J14" s="7" t="s">
        <v>130</v>
      </c>
      <c r="K14" s="11">
        <v>0.82152777777777775</v>
      </c>
      <c r="L14" s="7" t="s">
        <v>109</v>
      </c>
      <c r="M14" s="7" t="s">
        <v>109</v>
      </c>
      <c r="N14" s="29" t="s">
        <v>109</v>
      </c>
      <c r="O14" s="29" t="s">
        <v>61</v>
      </c>
      <c r="P14" s="7" t="s">
        <v>131</v>
      </c>
      <c r="Q14" s="7" t="s">
        <v>70</v>
      </c>
      <c r="R14" s="7" t="s">
        <v>62</v>
      </c>
      <c r="S14" s="7" t="s">
        <v>109</v>
      </c>
      <c r="T14" s="7" t="s">
        <v>109</v>
      </c>
      <c r="U14" s="28" t="str">
        <f t="shared" si="0"/>
        <v>Not Met</v>
      </c>
      <c r="V14" s="7" t="s">
        <v>109</v>
      </c>
      <c r="W14" s="29" t="s">
        <v>424</v>
      </c>
    </row>
    <row r="15" spans="1:23" x14ac:dyDescent="0.3">
      <c r="A15" s="7">
        <v>14</v>
      </c>
      <c r="B15" s="29" t="s">
        <v>23</v>
      </c>
      <c r="C15" s="29" t="s">
        <v>905</v>
      </c>
      <c r="D15" s="29">
        <v>50126244</v>
      </c>
      <c r="E15" s="29">
        <v>100</v>
      </c>
      <c r="F15" s="7">
        <v>155</v>
      </c>
      <c r="G15" s="7">
        <v>112</v>
      </c>
      <c r="H15" s="7" t="s">
        <v>153</v>
      </c>
      <c r="I15" s="7" t="s">
        <v>109</v>
      </c>
      <c r="J15" s="7" t="s">
        <v>130</v>
      </c>
      <c r="K15" s="11">
        <v>0.69930555555555551</v>
      </c>
      <c r="L15" s="7" t="s">
        <v>109</v>
      </c>
      <c r="M15" s="7" t="s">
        <v>109</v>
      </c>
      <c r="N15" s="29" t="s">
        <v>109</v>
      </c>
      <c r="O15" s="29" t="s">
        <v>61</v>
      </c>
      <c r="P15" s="7" t="s">
        <v>131</v>
      </c>
      <c r="Q15" s="7" t="s">
        <v>153</v>
      </c>
      <c r="R15" s="7" t="s">
        <v>62</v>
      </c>
      <c r="S15" s="7" t="s">
        <v>109</v>
      </c>
      <c r="T15" s="7" t="s">
        <v>109</v>
      </c>
      <c r="U15" s="28" t="str">
        <f t="shared" si="0"/>
        <v>Met</v>
      </c>
      <c r="V15" s="7" t="s">
        <v>109</v>
      </c>
      <c r="W15" s="29" t="s">
        <v>424</v>
      </c>
    </row>
    <row r="16" spans="1:23" x14ac:dyDescent="0.3">
      <c r="A16" s="7">
        <v>15</v>
      </c>
      <c r="B16" s="29" t="s">
        <v>23</v>
      </c>
      <c r="C16" s="29" t="s">
        <v>906</v>
      </c>
      <c r="D16" s="29">
        <v>50126311</v>
      </c>
      <c r="E16" s="29">
        <v>75</v>
      </c>
      <c r="F16" s="7">
        <v>104</v>
      </c>
      <c r="G16" s="7">
        <v>82</v>
      </c>
      <c r="H16" s="53" t="s">
        <v>65</v>
      </c>
      <c r="I16" s="7" t="s">
        <v>109</v>
      </c>
      <c r="J16" s="7" t="s">
        <v>130</v>
      </c>
      <c r="K16" s="11">
        <v>0.92986111111111114</v>
      </c>
      <c r="L16" s="7" t="s">
        <v>109</v>
      </c>
      <c r="M16" s="7" t="s">
        <v>109</v>
      </c>
      <c r="N16" s="29" t="s">
        <v>109</v>
      </c>
      <c r="O16" s="29" t="s">
        <v>61</v>
      </c>
      <c r="P16" s="7" t="s">
        <v>131</v>
      </c>
      <c r="Q16" s="7" t="s">
        <v>65</v>
      </c>
      <c r="R16" s="7" t="s">
        <v>62</v>
      </c>
      <c r="S16" s="7" t="s">
        <v>109</v>
      </c>
      <c r="T16" s="7" t="s">
        <v>109</v>
      </c>
      <c r="U16" s="28" t="str">
        <f t="shared" si="0"/>
        <v>Met</v>
      </c>
      <c r="V16" s="7" t="s">
        <v>109</v>
      </c>
      <c r="W16" s="29" t="s">
        <v>424</v>
      </c>
    </row>
    <row r="17" spans="1:23" x14ac:dyDescent="0.3">
      <c r="A17" s="7">
        <v>16</v>
      </c>
      <c r="B17" s="29" t="s">
        <v>23</v>
      </c>
      <c r="C17" s="29" t="s">
        <v>907</v>
      </c>
      <c r="D17" s="29">
        <v>50126250</v>
      </c>
      <c r="E17" s="29">
        <v>100</v>
      </c>
      <c r="F17" s="7">
        <v>247</v>
      </c>
      <c r="G17" s="7">
        <v>66</v>
      </c>
      <c r="H17" s="53" t="s">
        <v>222</v>
      </c>
      <c r="I17" s="7" t="s">
        <v>109</v>
      </c>
      <c r="J17" s="7" t="s">
        <v>130</v>
      </c>
      <c r="K17" s="11">
        <v>0.88194444444444442</v>
      </c>
      <c r="L17" s="7" t="s">
        <v>109</v>
      </c>
      <c r="M17" s="7" t="s">
        <v>109</v>
      </c>
      <c r="N17" s="29" t="s">
        <v>109</v>
      </c>
      <c r="O17" s="29" t="s">
        <v>61</v>
      </c>
      <c r="P17" s="7" t="s">
        <v>131</v>
      </c>
      <c r="Q17" s="7" t="s">
        <v>222</v>
      </c>
      <c r="R17" s="7" t="s">
        <v>62</v>
      </c>
      <c r="S17" s="7" t="s">
        <v>109</v>
      </c>
      <c r="T17" s="7" t="s">
        <v>109</v>
      </c>
      <c r="U17" s="28" t="str">
        <f t="shared" si="0"/>
        <v>Met</v>
      </c>
      <c r="V17" s="7" t="s">
        <v>109</v>
      </c>
      <c r="W17" s="29" t="s">
        <v>424</v>
      </c>
    </row>
    <row r="18" spans="1:23" x14ac:dyDescent="0.3">
      <c r="A18" s="7">
        <v>17</v>
      </c>
      <c r="B18" s="29" t="s">
        <v>23</v>
      </c>
      <c r="C18" s="29" t="s">
        <v>908</v>
      </c>
      <c r="D18" s="29">
        <v>50126251</v>
      </c>
      <c r="E18" s="29">
        <v>100</v>
      </c>
      <c r="F18" s="7">
        <v>134</v>
      </c>
      <c r="G18" s="7">
        <v>98</v>
      </c>
      <c r="H18" s="53" t="s">
        <v>82</v>
      </c>
      <c r="I18" s="7" t="s">
        <v>109</v>
      </c>
      <c r="J18" s="7" t="s">
        <v>130</v>
      </c>
      <c r="K18" s="11">
        <v>0.93541666666666667</v>
      </c>
      <c r="L18" s="7" t="s">
        <v>109</v>
      </c>
      <c r="M18" s="7" t="s">
        <v>109</v>
      </c>
      <c r="N18" s="29" t="s">
        <v>109</v>
      </c>
      <c r="O18" s="29" t="s">
        <v>61</v>
      </c>
      <c r="P18" s="7" t="s">
        <v>131</v>
      </c>
      <c r="Q18" s="7" t="s">
        <v>82</v>
      </c>
      <c r="R18" s="7" t="s">
        <v>62</v>
      </c>
      <c r="S18" s="7" t="s">
        <v>109</v>
      </c>
      <c r="T18" s="7" t="s">
        <v>109</v>
      </c>
      <c r="U18" s="28" t="str">
        <f t="shared" si="0"/>
        <v>Met</v>
      </c>
      <c r="V18" s="7" t="s">
        <v>109</v>
      </c>
      <c r="W18" s="29" t="s">
        <v>424</v>
      </c>
    </row>
    <row r="19" spans="1:23" x14ac:dyDescent="0.3">
      <c r="A19" s="7">
        <v>18</v>
      </c>
      <c r="B19" s="29" t="s">
        <v>23</v>
      </c>
      <c r="C19" s="29" t="s">
        <v>909</v>
      </c>
      <c r="D19" s="29">
        <v>50126252</v>
      </c>
      <c r="E19" s="29">
        <v>100</v>
      </c>
      <c r="F19" s="7">
        <v>138</v>
      </c>
      <c r="G19" s="7">
        <v>107</v>
      </c>
      <c r="H19" s="53" t="s">
        <v>71</v>
      </c>
      <c r="I19" s="7" t="s">
        <v>109</v>
      </c>
      <c r="J19" s="7" t="s">
        <v>130</v>
      </c>
      <c r="K19" s="11">
        <v>0.84930555555555554</v>
      </c>
      <c r="L19" s="7" t="s">
        <v>109</v>
      </c>
      <c r="M19" s="7" t="s">
        <v>109</v>
      </c>
      <c r="N19" s="29" t="s">
        <v>109</v>
      </c>
      <c r="O19" s="29" t="s">
        <v>61</v>
      </c>
      <c r="P19" s="7" t="s">
        <v>131</v>
      </c>
      <c r="Q19" s="7" t="s">
        <v>71</v>
      </c>
      <c r="R19" s="7" t="s">
        <v>62</v>
      </c>
      <c r="S19" s="7" t="s">
        <v>109</v>
      </c>
      <c r="T19" s="7" t="s">
        <v>109</v>
      </c>
      <c r="U19" s="28" t="str">
        <f t="shared" si="0"/>
        <v>Met</v>
      </c>
      <c r="V19" s="7" t="s">
        <v>109</v>
      </c>
      <c r="W19" s="29" t="s">
        <v>424</v>
      </c>
    </row>
    <row r="20" spans="1:23" x14ac:dyDescent="0.3">
      <c r="A20" s="7">
        <v>19</v>
      </c>
      <c r="B20" s="29" t="s">
        <v>23</v>
      </c>
      <c r="C20" s="29" t="s">
        <v>910</v>
      </c>
      <c r="D20" s="29">
        <v>50126245</v>
      </c>
      <c r="E20" s="29">
        <v>85</v>
      </c>
      <c r="F20" s="7">
        <v>123</v>
      </c>
      <c r="G20" s="7">
        <v>91</v>
      </c>
      <c r="H20" s="53" t="s">
        <v>68</v>
      </c>
      <c r="I20" s="7" t="s">
        <v>109</v>
      </c>
      <c r="J20" s="7" t="s">
        <v>130</v>
      </c>
      <c r="K20" s="11">
        <v>0.96944444444444444</v>
      </c>
      <c r="L20" s="7" t="s">
        <v>109</v>
      </c>
      <c r="M20" s="7" t="s">
        <v>109</v>
      </c>
      <c r="N20" s="29" t="s">
        <v>109</v>
      </c>
      <c r="O20" s="29" t="s">
        <v>61</v>
      </c>
      <c r="P20" s="7" t="s">
        <v>131</v>
      </c>
      <c r="Q20" s="7" t="s">
        <v>68</v>
      </c>
      <c r="R20" s="7" t="s">
        <v>62</v>
      </c>
      <c r="S20" s="7" t="s">
        <v>109</v>
      </c>
      <c r="T20" s="7" t="s">
        <v>109</v>
      </c>
      <c r="U20" s="28" t="str">
        <f t="shared" si="0"/>
        <v>Met</v>
      </c>
      <c r="V20" s="7" t="s">
        <v>109</v>
      </c>
      <c r="W20" s="29" t="s">
        <v>424</v>
      </c>
    </row>
    <row r="21" spans="1:23" x14ac:dyDescent="0.3">
      <c r="A21" s="7">
        <v>20</v>
      </c>
      <c r="B21" s="29" t="s">
        <v>23</v>
      </c>
      <c r="C21" s="29" t="s">
        <v>911</v>
      </c>
      <c r="D21" s="29">
        <v>50126246</v>
      </c>
      <c r="E21" s="29">
        <v>85</v>
      </c>
      <c r="F21" s="7">
        <v>102</v>
      </c>
      <c r="G21" s="7">
        <v>91</v>
      </c>
      <c r="H21" s="53" t="s">
        <v>241</v>
      </c>
      <c r="I21" s="7" t="s">
        <v>109</v>
      </c>
      <c r="J21" s="7" t="s">
        <v>130</v>
      </c>
      <c r="K21" s="11">
        <v>0.98611111111111116</v>
      </c>
      <c r="L21" s="7" t="s">
        <v>109</v>
      </c>
      <c r="M21" s="7" t="s">
        <v>109</v>
      </c>
      <c r="N21" s="29" t="s">
        <v>109</v>
      </c>
      <c r="O21" s="29" t="s">
        <v>61</v>
      </c>
      <c r="P21" s="7" t="s">
        <v>131</v>
      </c>
      <c r="Q21" s="7" t="s">
        <v>241</v>
      </c>
      <c r="R21" s="7" t="s">
        <v>62</v>
      </c>
      <c r="S21" s="7" t="s">
        <v>109</v>
      </c>
      <c r="T21" s="7" t="s">
        <v>109</v>
      </c>
      <c r="U21" s="28" t="str">
        <f t="shared" si="0"/>
        <v>Met</v>
      </c>
      <c r="V21" s="7" t="s">
        <v>109</v>
      </c>
      <c r="W21" s="29" t="s">
        <v>424</v>
      </c>
    </row>
    <row r="22" spans="1:23" x14ac:dyDescent="0.3">
      <c r="A22" s="7">
        <v>21</v>
      </c>
      <c r="B22" s="29" t="s">
        <v>23</v>
      </c>
      <c r="C22" s="29" t="s">
        <v>912</v>
      </c>
      <c r="D22" s="29">
        <v>50126253</v>
      </c>
      <c r="E22" s="29">
        <v>100</v>
      </c>
      <c r="F22" s="7">
        <v>145</v>
      </c>
      <c r="G22" s="7">
        <v>107</v>
      </c>
      <c r="H22" s="53" t="s">
        <v>200</v>
      </c>
      <c r="I22" s="7" t="s">
        <v>109</v>
      </c>
      <c r="J22" s="7" t="s">
        <v>130</v>
      </c>
      <c r="K22" s="11">
        <v>0.83333333333333337</v>
      </c>
      <c r="L22" s="7" t="s">
        <v>109</v>
      </c>
      <c r="M22" s="7" t="s">
        <v>109</v>
      </c>
      <c r="N22" s="29" t="s">
        <v>109</v>
      </c>
      <c r="O22" s="29" t="s">
        <v>61</v>
      </c>
      <c r="P22" s="7" t="s">
        <v>131</v>
      </c>
      <c r="Q22" s="7" t="s">
        <v>200</v>
      </c>
      <c r="R22" s="7" t="s">
        <v>62</v>
      </c>
      <c r="S22" s="7" t="s">
        <v>109</v>
      </c>
      <c r="T22" s="7" t="s">
        <v>109</v>
      </c>
      <c r="U22" s="28" t="str">
        <f t="shared" si="0"/>
        <v>Not Met</v>
      </c>
      <c r="V22" s="7" t="s">
        <v>109</v>
      </c>
      <c r="W22" s="29" t="s">
        <v>424</v>
      </c>
    </row>
    <row r="23" spans="1:23" x14ac:dyDescent="0.3">
      <c r="A23" s="7">
        <v>22</v>
      </c>
      <c r="B23" s="29" t="s">
        <v>23</v>
      </c>
      <c r="C23" s="29" t="s">
        <v>913</v>
      </c>
      <c r="D23" s="29">
        <v>50126254</v>
      </c>
      <c r="E23" s="29">
        <v>100</v>
      </c>
      <c r="F23" s="7">
        <v>81</v>
      </c>
      <c r="G23" s="7">
        <v>61</v>
      </c>
      <c r="H23" s="53" t="s">
        <v>68</v>
      </c>
      <c r="I23" s="7" t="s">
        <v>109</v>
      </c>
      <c r="J23" s="7" t="s">
        <v>130</v>
      </c>
      <c r="K23" s="11">
        <v>0.94027777777777777</v>
      </c>
      <c r="L23" s="7" t="s">
        <v>109</v>
      </c>
      <c r="M23" s="7" t="s">
        <v>109</v>
      </c>
      <c r="N23" s="29" t="s">
        <v>109</v>
      </c>
      <c r="O23" s="29" t="s">
        <v>61</v>
      </c>
      <c r="P23" s="7" t="s">
        <v>131</v>
      </c>
      <c r="Q23" s="7" t="s">
        <v>68</v>
      </c>
      <c r="R23" s="7" t="s">
        <v>62</v>
      </c>
      <c r="S23" s="7" t="s">
        <v>109</v>
      </c>
      <c r="T23" s="7" t="s">
        <v>109</v>
      </c>
      <c r="U23" s="28" t="str">
        <f t="shared" si="0"/>
        <v>Met</v>
      </c>
      <c r="V23" s="7" t="s">
        <v>109</v>
      </c>
      <c r="W23" s="29" t="s">
        <v>424</v>
      </c>
    </row>
    <row r="24" spans="1:23" x14ac:dyDescent="0.3">
      <c r="A24" s="7">
        <v>23</v>
      </c>
      <c r="B24" s="29" t="s">
        <v>23</v>
      </c>
      <c r="C24" s="29" t="s">
        <v>914</v>
      </c>
      <c r="D24" s="29">
        <v>50126248</v>
      </c>
      <c r="E24" s="29">
        <v>85</v>
      </c>
      <c r="F24" s="7">
        <v>141</v>
      </c>
      <c r="G24" s="7">
        <v>68</v>
      </c>
      <c r="H24" s="53" t="s">
        <v>64</v>
      </c>
      <c r="I24" s="7" t="s">
        <v>109</v>
      </c>
      <c r="J24" s="7" t="s">
        <v>130</v>
      </c>
      <c r="K24" s="11">
        <v>0.84236111111111112</v>
      </c>
      <c r="L24" s="7" t="s">
        <v>109</v>
      </c>
      <c r="M24" s="7" t="s">
        <v>109</v>
      </c>
      <c r="N24" s="29" t="s">
        <v>109</v>
      </c>
      <c r="O24" s="29" t="s">
        <v>61</v>
      </c>
      <c r="P24" s="7" t="s">
        <v>131</v>
      </c>
      <c r="Q24" s="7" t="s">
        <v>64</v>
      </c>
      <c r="R24" s="7" t="s">
        <v>62</v>
      </c>
      <c r="S24" s="7" t="s">
        <v>109</v>
      </c>
      <c r="T24" s="7" t="s">
        <v>109</v>
      </c>
      <c r="U24" s="28" t="str">
        <f t="shared" si="0"/>
        <v>Not Met</v>
      </c>
      <c r="V24" s="7" t="s">
        <v>109</v>
      </c>
      <c r="W24" s="29" t="s">
        <v>424</v>
      </c>
    </row>
    <row r="25" spans="1:23" x14ac:dyDescent="0.3">
      <c r="A25" s="7">
        <v>24</v>
      </c>
      <c r="B25" s="29" t="s">
        <v>23</v>
      </c>
      <c r="C25" s="29" t="s">
        <v>915</v>
      </c>
      <c r="D25" s="29">
        <v>50126247</v>
      </c>
      <c r="E25" s="29">
        <v>85</v>
      </c>
      <c r="F25" s="7">
        <v>130</v>
      </c>
      <c r="G25" s="7">
        <v>93</v>
      </c>
      <c r="H25" s="53" t="s">
        <v>67</v>
      </c>
      <c r="I25" s="7" t="s">
        <v>109</v>
      </c>
      <c r="J25" s="7" t="s">
        <v>130</v>
      </c>
      <c r="K25" s="11">
        <v>0.82430555555555551</v>
      </c>
      <c r="L25" s="7" t="s">
        <v>109</v>
      </c>
      <c r="M25" s="7" t="s">
        <v>109</v>
      </c>
      <c r="N25" s="29" t="s">
        <v>109</v>
      </c>
      <c r="O25" s="29" t="s">
        <v>61</v>
      </c>
      <c r="P25" s="7" t="s">
        <v>131</v>
      </c>
      <c r="Q25" s="7" t="s">
        <v>67</v>
      </c>
      <c r="R25" s="7" t="s">
        <v>62</v>
      </c>
      <c r="S25" s="7" t="s">
        <v>109</v>
      </c>
      <c r="T25" s="7" t="s">
        <v>109</v>
      </c>
      <c r="U25" s="28" t="str">
        <f t="shared" si="0"/>
        <v>Not Met</v>
      </c>
      <c r="V25" s="7" t="s">
        <v>109</v>
      </c>
      <c r="W25" s="29" t="s">
        <v>424</v>
      </c>
    </row>
    <row r="26" spans="1:23" x14ac:dyDescent="0.3">
      <c r="A26" s="7">
        <v>25</v>
      </c>
      <c r="B26" s="29" t="s">
        <v>23</v>
      </c>
      <c r="C26" s="29" t="s">
        <v>916</v>
      </c>
      <c r="D26" s="29">
        <v>50126312</v>
      </c>
      <c r="E26" s="29">
        <v>75</v>
      </c>
      <c r="F26" s="7">
        <v>162</v>
      </c>
      <c r="G26" s="7">
        <v>37</v>
      </c>
      <c r="H26" s="53" t="s">
        <v>95</v>
      </c>
      <c r="I26" s="7" t="s">
        <v>109</v>
      </c>
      <c r="J26" s="7" t="s">
        <v>130</v>
      </c>
      <c r="K26" s="11">
        <v>0.96944444444444444</v>
      </c>
      <c r="L26" s="7" t="s">
        <v>109</v>
      </c>
      <c r="M26" s="7" t="s">
        <v>109</v>
      </c>
      <c r="N26" s="29" t="s">
        <v>109</v>
      </c>
      <c r="O26" s="29" t="s">
        <v>61</v>
      </c>
      <c r="P26" s="7" t="s">
        <v>131</v>
      </c>
      <c r="Q26" s="7" t="s">
        <v>95</v>
      </c>
      <c r="R26" s="7" t="s">
        <v>62</v>
      </c>
      <c r="S26" s="7" t="s">
        <v>109</v>
      </c>
      <c r="T26" s="7" t="s">
        <v>109</v>
      </c>
      <c r="U26" s="28" t="str">
        <f t="shared" si="0"/>
        <v>Not Met</v>
      </c>
      <c r="V26" s="7" t="s">
        <v>109</v>
      </c>
      <c r="W26" s="29" t="s">
        <v>424</v>
      </c>
    </row>
    <row r="27" spans="1:23" x14ac:dyDescent="0.3">
      <c r="A27" s="7">
        <v>26</v>
      </c>
      <c r="B27" s="29" t="s">
        <v>23</v>
      </c>
      <c r="C27" s="29" t="s">
        <v>917</v>
      </c>
      <c r="D27" s="29">
        <v>50126255</v>
      </c>
      <c r="E27" s="29">
        <v>85</v>
      </c>
      <c r="F27" s="7">
        <v>108</v>
      </c>
      <c r="G27" s="7">
        <v>91</v>
      </c>
      <c r="H27" s="53" t="s">
        <v>214</v>
      </c>
      <c r="I27" s="7" t="s">
        <v>109</v>
      </c>
      <c r="J27" s="7" t="s">
        <v>130</v>
      </c>
      <c r="K27" s="11">
        <v>1.3888888888888889E-3</v>
      </c>
      <c r="L27" s="7" t="s">
        <v>109</v>
      </c>
      <c r="M27" s="7" t="s">
        <v>109</v>
      </c>
      <c r="N27" s="29" t="s">
        <v>109</v>
      </c>
      <c r="O27" s="29" t="s">
        <v>61</v>
      </c>
      <c r="P27" s="7" t="s">
        <v>131</v>
      </c>
      <c r="Q27" s="7" t="s">
        <v>214</v>
      </c>
      <c r="R27" s="7" t="s">
        <v>62</v>
      </c>
      <c r="S27" s="7" t="s">
        <v>109</v>
      </c>
      <c r="T27" s="7" t="s">
        <v>109</v>
      </c>
      <c r="U27" s="28" t="str">
        <f t="shared" si="0"/>
        <v>Met</v>
      </c>
      <c r="V27" s="7" t="s">
        <v>109</v>
      </c>
      <c r="W27" s="29" t="s">
        <v>424</v>
      </c>
    </row>
    <row r="28" spans="1:23" x14ac:dyDescent="0.3">
      <c r="A28" s="7">
        <v>27</v>
      </c>
      <c r="B28" s="29" t="s">
        <v>23</v>
      </c>
      <c r="C28" s="29" t="s">
        <v>918</v>
      </c>
      <c r="D28" s="29">
        <v>50126256</v>
      </c>
      <c r="E28" s="29">
        <v>85</v>
      </c>
      <c r="F28" s="7">
        <v>170</v>
      </c>
      <c r="G28" s="7">
        <v>72</v>
      </c>
      <c r="H28" s="53" t="s">
        <v>69</v>
      </c>
      <c r="I28" s="7" t="s">
        <v>109</v>
      </c>
      <c r="J28" s="7" t="s">
        <v>130</v>
      </c>
      <c r="K28" s="11">
        <v>0.70972222222222225</v>
      </c>
      <c r="L28" s="7" t="s">
        <v>109</v>
      </c>
      <c r="M28" s="7" t="s">
        <v>109</v>
      </c>
      <c r="N28" s="29" t="s">
        <v>109</v>
      </c>
      <c r="O28" s="29" t="s">
        <v>61</v>
      </c>
      <c r="P28" s="7" t="s">
        <v>131</v>
      </c>
      <c r="Q28" s="7" t="s">
        <v>69</v>
      </c>
      <c r="R28" s="7" t="s">
        <v>62</v>
      </c>
      <c r="S28" s="7" t="s">
        <v>109</v>
      </c>
      <c r="T28" s="7" t="s">
        <v>109</v>
      </c>
      <c r="U28" s="28" t="str">
        <f t="shared" si="0"/>
        <v>Not Met</v>
      </c>
      <c r="V28" s="7" t="s">
        <v>109</v>
      </c>
      <c r="W28" s="29" t="s">
        <v>424</v>
      </c>
    </row>
    <row r="29" spans="1:23" x14ac:dyDescent="0.3">
      <c r="A29" s="7">
        <v>28</v>
      </c>
      <c r="B29" s="29" t="s">
        <v>23</v>
      </c>
      <c r="C29" s="29" t="s">
        <v>919</v>
      </c>
      <c r="D29" s="29">
        <v>50126257</v>
      </c>
      <c r="E29" s="29">
        <v>120</v>
      </c>
      <c r="F29" s="7">
        <v>183</v>
      </c>
      <c r="G29" s="7">
        <v>136</v>
      </c>
      <c r="H29" s="53" t="s">
        <v>920</v>
      </c>
      <c r="I29" s="7" t="s">
        <v>109</v>
      </c>
      <c r="J29" s="7" t="s">
        <v>130</v>
      </c>
      <c r="K29" s="11">
        <v>0.99930555555555556</v>
      </c>
      <c r="L29" s="7" t="s">
        <v>109</v>
      </c>
      <c r="M29" s="7" t="s">
        <v>109</v>
      </c>
      <c r="N29" s="29" t="s">
        <v>109</v>
      </c>
      <c r="O29" s="29" t="s">
        <v>61</v>
      </c>
      <c r="P29" s="7" t="s">
        <v>131</v>
      </c>
      <c r="Q29" s="7" t="s">
        <v>82</v>
      </c>
      <c r="R29" s="7" t="s">
        <v>62</v>
      </c>
      <c r="S29" s="7" t="s">
        <v>109</v>
      </c>
      <c r="T29" s="7" t="s">
        <v>109</v>
      </c>
      <c r="U29" s="28" t="str">
        <f t="shared" si="0"/>
        <v>Not Met</v>
      </c>
      <c r="V29" s="7" t="s">
        <v>109</v>
      </c>
      <c r="W29" s="29" t="s">
        <v>424</v>
      </c>
    </row>
    <row r="30" spans="1:23" x14ac:dyDescent="0.3">
      <c r="A30" s="7">
        <v>29</v>
      </c>
      <c r="B30" s="29" t="s">
        <v>23</v>
      </c>
      <c r="C30" s="29" t="s">
        <v>921</v>
      </c>
      <c r="D30" s="29">
        <v>50126260</v>
      </c>
      <c r="E30" s="29">
        <v>120</v>
      </c>
      <c r="F30" s="7">
        <v>151</v>
      </c>
      <c r="G30" s="7">
        <v>122</v>
      </c>
      <c r="H30" s="7" t="s">
        <v>922</v>
      </c>
      <c r="I30" s="7" t="s">
        <v>109</v>
      </c>
      <c r="J30" s="7" t="s">
        <v>130</v>
      </c>
      <c r="K30" s="11">
        <v>0.95416666666666672</v>
      </c>
      <c r="L30" s="7" t="s">
        <v>109</v>
      </c>
      <c r="M30" s="7" t="s">
        <v>109</v>
      </c>
      <c r="N30" s="29" t="s">
        <v>109</v>
      </c>
      <c r="O30" s="29" t="s">
        <v>61</v>
      </c>
      <c r="P30" s="7" t="s">
        <v>131</v>
      </c>
      <c r="Q30" s="7" t="s">
        <v>200</v>
      </c>
      <c r="R30" s="7" t="s">
        <v>62</v>
      </c>
      <c r="S30" s="7" t="s">
        <v>109</v>
      </c>
      <c r="T30" s="7" t="s">
        <v>109</v>
      </c>
      <c r="U30" s="28" t="str">
        <f t="shared" si="0"/>
        <v>Met</v>
      </c>
      <c r="V30" s="7" t="s">
        <v>109</v>
      </c>
      <c r="W30" s="29" t="s">
        <v>424</v>
      </c>
    </row>
    <row r="31" spans="1:23" x14ac:dyDescent="0.3">
      <c r="A31" s="7">
        <v>30</v>
      </c>
      <c r="B31" s="29" t="s">
        <v>23</v>
      </c>
      <c r="C31" s="29" t="s">
        <v>923</v>
      </c>
      <c r="D31" s="29">
        <v>50126259</v>
      </c>
      <c r="E31" s="29">
        <v>180</v>
      </c>
      <c r="F31" s="7">
        <v>210</v>
      </c>
      <c r="G31" s="7">
        <v>189</v>
      </c>
      <c r="H31" s="53" t="s">
        <v>924</v>
      </c>
      <c r="I31" s="7" t="s">
        <v>109</v>
      </c>
      <c r="J31" s="7" t="s">
        <v>130</v>
      </c>
      <c r="K31" s="11">
        <v>0.96666666666666667</v>
      </c>
      <c r="L31" s="7" t="s">
        <v>109</v>
      </c>
      <c r="M31" s="7" t="s">
        <v>109</v>
      </c>
      <c r="N31" s="29" t="s">
        <v>109</v>
      </c>
      <c r="O31" s="29" t="s">
        <v>61</v>
      </c>
      <c r="P31" s="7" t="s">
        <v>131</v>
      </c>
      <c r="Q31" s="7" t="s">
        <v>241</v>
      </c>
      <c r="R31" s="7" t="s">
        <v>62</v>
      </c>
      <c r="S31" s="7" t="s">
        <v>109</v>
      </c>
      <c r="T31" s="7" t="s">
        <v>109</v>
      </c>
      <c r="U31" s="28" t="str">
        <f t="shared" si="0"/>
        <v>Not Met</v>
      </c>
      <c r="V31" s="7" t="s">
        <v>109</v>
      </c>
      <c r="W31" s="29" t="s">
        <v>424</v>
      </c>
    </row>
    <row r="32" spans="1:23" x14ac:dyDescent="0.3">
      <c r="A32" s="7">
        <v>31</v>
      </c>
      <c r="B32" s="29" t="s">
        <v>23</v>
      </c>
      <c r="C32" s="29" t="s">
        <v>925</v>
      </c>
      <c r="D32" s="29">
        <v>50126261</v>
      </c>
      <c r="E32" s="29">
        <v>120</v>
      </c>
      <c r="F32" s="7">
        <v>228</v>
      </c>
      <c r="G32" s="7">
        <v>101</v>
      </c>
      <c r="H32" s="7" t="s">
        <v>924</v>
      </c>
      <c r="I32" s="7" t="s">
        <v>109</v>
      </c>
      <c r="J32" s="7" t="s">
        <v>130</v>
      </c>
      <c r="K32" s="11">
        <v>0.82847222222222228</v>
      </c>
      <c r="L32" s="7" t="s">
        <v>109</v>
      </c>
      <c r="M32" s="7" t="s">
        <v>109</v>
      </c>
      <c r="N32" s="29" t="s">
        <v>109</v>
      </c>
      <c r="O32" s="29" t="s">
        <v>61</v>
      </c>
      <c r="P32" s="7" t="s">
        <v>131</v>
      </c>
      <c r="Q32" s="7" t="s">
        <v>241</v>
      </c>
      <c r="R32" s="7" t="s">
        <v>62</v>
      </c>
      <c r="S32" s="7" t="s">
        <v>109</v>
      </c>
      <c r="T32" s="7" t="s">
        <v>109</v>
      </c>
      <c r="U32" s="28" t="str">
        <f t="shared" si="0"/>
        <v>Not Met</v>
      </c>
      <c r="V32" s="7" t="s">
        <v>109</v>
      </c>
      <c r="W32" s="29" t="s">
        <v>424</v>
      </c>
    </row>
    <row r="33" spans="1:23" x14ac:dyDescent="0.3">
      <c r="A33" s="7">
        <v>32</v>
      </c>
      <c r="B33" s="29" t="s">
        <v>23</v>
      </c>
      <c r="C33" s="29" t="s">
        <v>926</v>
      </c>
      <c r="D33" s="29">
        <v>50126265</v>
      </c>
      <c r="E33" s="29">
        <v>140</v>
      </c>
      <c r="F33" s="7">
        <v>256</v>
      </c>
      <c r="G33" s="7">
        <v>120</v>
      </c>
      <c r="H33" s="7" t="s">
        <v>927</v>
      </c>
      <c r="I33" s="7" t="s">
        <v>109</v>
      </c>
      <c r="J33" s="7" t="s">
        <v>130</v>
      </c>
      <c r="K33" s="11">
        <v>0.96319444444444446</v>
      </c>
      <c r="L33" s="7" t="s">
        <v>109</v>
      </c>
      <c r="M33" s="7" t="s">
        <v>109</v>
      </c>
      <c r="N33" s="29" t="s">
        <v>109</v>
      </c>
      <c r="O33" s="29" t="s">
        <v>61</v>
      </c>
      <c r="P33" s="7" t="s">
        <v>131</v>
      </c>
      <c r="Q33" s="7" t="s">
        <v>84</v>
      </c>
      <c r="R33" s="7" t="s">
        <v>62</v>
      </c>
      <c r="S33" s="7" t="s">
        <v>109</v>
      </c>
      <c r="T33" s="7" t="s">
        <v>109</v>
      </c>
      <c r="U33" s="28" t="str">
        <f t="shared" si="0"/>
        <v>Not Met</v>
      </c>
      <c r="V33" s="7" t="s">
        <v>109</v>
      </c>
      <c r="W33" s="29" t="s">
        <v>424</v>
      </c>
    </row>
    <row r="34" spans="1:23" x14ac:dyDescent="0.3">
      <c r="A34" s="7">
        <v>33</v>
      </c>
      <c r="B34" s="29" t="s">
        <v>23</v>
      </c>
      <c r="C34" s="29" t="s">
        <v>928</v>
      </c>
      <c r="D34" s="29">
        <v>50126264</v>
      </c>
      <c r="E34" s="29">
        <v>180</v>
      </c>
      <c r="F34" s="7">
        <v>183</v>
      </c>
      <c r="G34" s="7">
        <v>180</v>
      </c>
      <c r="H34" s="53" t="s">
        <v>929</v>
      </c>
      <c r="I34" s="7" t="s">
        <v>109</v>
      </c>
      <c r="J34" s="7" t="s">
        <v>130</v>
      </c>
      <c r="K34" s="11">
        <v>0.90347222222222223</v>
      </c>
      <c r="L34" s="7" t="s">
        <v>109</v>
      </c>
      <c r="M34" s="7" t="s">
        <v>109</v>
      </c>
      <c r="N34" s="29" t="s">
        <v>109</v>
      </c>
      <c r="O34" s="29" t="s">
        <v>61</v>
      </c>
      <c r="P34" s="7" t="s">
        <v>131</v>
      </c>
      <c r="Q34" s="7" t="s">
        <v>222</v>
      </c>
      <c r="R34" s="7" t="s">
        <v>62</v>
      </c>
      <c r="S34" s="7" t="s">
        <v>109</v>
      </c>
      <c r="T34" s="7" t="s">
        <v>109</v>
      </c>
      <c r="U34" s="28" t="str">
        <f t="shared" si="0"/>
        <v>Not Met</v>
      </c>
      <c r="V34" s="7" t="s">
        <v>109</v>
      </c>
      <c r="W34" s="29" t="s">
        <v>424</v>
      </c>
    </row>
    <row r="35" spans="1:23" x14ac:dyDescent="0.3">
      <c r="A35" s="7">
        <v>34</v>
      </c>
      <c r="B35" s="29" t="s">
        <v>23</v>
      </c>
      <c r="C35" s="29" t="s">
        <v>930</v>
      </c>
      <c r="D35" s="29">
        <v>50126074</v>
      </c>
      <c r="E35" s="29">
        <v>120</v>
      </c>
      <c r="F35" s="7">
        <v>219</v>
      </c>
      <c r="G35" s="7">
        <v>133</v>
      </c>
      <c r="H35" s="7" t="s">
        <v>931</v>
      </c>
      <c r="I35" s="7" t="s">
        <v>109</v>
      </c>
      <c r="J35" s="7" t="s">
        <v>130</v>
      </c>
      <c r="K35" s="11">
        <v>0.98819444444444449</v>
      </c>
      <c r="L35" s="7" t="s">
        <v>109</v>
      </c>
      <c r="M35" s="7" t="s">
        <v>109</v>
      </c>
      <c r="N35" s="29" t="s">
        <v>109</v>
      </c>
      <c r="O35" s="29" t="s">
        <v>61</v>
      </c>
      <c r="P35" s="7" t="s">
        <v>131</v>
      </c>
      <c r="Q35" s="7" t="s">
        <v>214</v>
      </c>
      <c r="R35" s="7" t="s">
        <v>62</v>
      </c>
      <c r="S35" s="7" t="s">
        <v>109</v>
      </c>
      <c r="T35" s="7" t="s">
        <v>109</v>
      </c>
      <c r="U35" s="28" t="str">
        <f t="shared" si="0"/>
        <v>Not Met</v>
      </c>
      <c r="V35" s="7" t="s">
        <v>109</v>
      </c>
      <c r="W35" s="29" t="s">
        <v>424</v>
      </c>
    </row>
    <row r="36" spans="1:23" x14ac:dyDescent="0.3">
      <c r="A36" s="7">
        <v>35</v>
      </c>
      <c r="B36" s="29" t="s">
        <v>23</v>
      </c>
      <c r="C36" s="29" t="s">
        <v>932</v>
      </c>
      <c r="D36" s="29">
        <v>50126263</v>
      </c>
      <c r="E36" s="29">
        <v>140</v>
      </c>
      <c r="F36" s="7">
        <v>225</v>
      </c>
      <c r="G36" s="7">
        <v>149</v>
      </c>
      <c r="H36" s="7" t="s">
        <v>933</v>
      </c>
      <c r="I36" s="7" t="s">
        <v>109</v>
      </c>
      <c r="J36" s="7" t="s">
        <v>130</v>
      </c>
      <c r="K36" s="11">
        <v>0.89722222222222225</v>
      </c>
      <c r="L36" s="7" t="s">
        <v>109</v>
      </c>
      <c r="M36" s="7" t="s">
        <v>109</v>
      </c>
      <c r="N36" s="29" t="s">
        <v>109</v>
      </c>
      <c r="O36" s="29" t="s">
        <v>61</v>
      </c>
      <c r="P36" s="7" t="s">
        <v>131</v>
      </c>
      <c r="Q36" s="7" t="s">
        <v>82</v>
      </c>
      <c r="R36" s="7" t="s">
        <v>62</v>
      </c>
      <c r="S36" s="7" t="s">
        <v>109</v>
      </c>
      <c r="T36" s="7" t="s">
        <v>109</v>
      </c>
      <c r="U36" s="28" t="str">
        <f t="shared" si="0"/>
        <v>Met</v>
      </c>
      <c r="V36" s="7" t="s">
        <v>109</v>
      </c>
      <c r="W36" s="29" t="s">
        <v>424</v>
      </c>
    </row>
    <row r="37" spans="1:23" x14ac:dyDescent="0.3">
      <c r="A37" s="7">
        <v>36</v>
      </c>
      <c r="B37" s="29" t="s">
        <v>23</v>
      </c>
      <c r="C37" s="29" t="s">
        <v>934</v>
      </c>
      <c r="D37" s="29">
        <v>50126262</v>
      </c>
      <c r="E37" s="29">
        <v>120</v>
      </c>
      <c r="F37" s="7">
        <v>254</v>
      </c>
      <c r="G37" s="7">
        <v>67</v>
      </c>
      <c r="H37" s="7" t="s">
        <v>996</v>
      </c>
      <c r="I37" s="7" t="s">
        <v>109</v>
      </c>
      <c r="J37" s="7" t="s">
        <v>130</v>
      </c>
      <c r="K37" s="11">
        <v>0.8354166666666667</v>
      </c>
      <c r="L37" s="7" t="s">
        <v>109</v>
      </c>
      <c r="M37" s="7" t="s">
        <v>109</v>
      </c>
      <c r="N37" s="29" t="s">
        <v>109</v>
      </c>
      <c r="O37" s="29" t="s">
        <v>61</v>
      </c>
      <c r="P37" s="7" t="s">
        <v>131</v>
      </c>
      <c r="Q37" s="7" t="s">
        <v>196</v>
      </c>
      <c r="R37" s="7" t="s">
        <v>62</v>
      </c>
      <c r="S37" s="7" t="s">
        <v>109</v>
      </c>
      <c r="T37" s="7" t="s">
        <v>109</v>
      </c>
      <c r="U37" s="28" t="str">
        <f t="shared" si="0"/>
        <v>Met</v>
      </c>
      <c r="V37" s="7" t="s">
        <v>109</v>
      </c>
      <c r="W37" s="29" t="s">
        <v>424</v>
      </c>
    </row>
    <row r="38" spans="1:23" x14ac:dyDescent="0.3">
      <c r="A38" s="7">
        <v>37</v>
      </c>
      <c r="B38" s="29" t="s">
        <v>23</v>
      </c>
      <c r="C38" s="29" t="s">
        <v>935</v>
      </c>
      <c r="D38" s="29">
        <v>50126266</v>
      </c>
      <c r="E38" s="29">
        <v>180</v>
      </c>
      <c r="F38" s="7">
        <v>214</v>
      </c>
      <c r="G38" s="7">
        <v>196</v>
      </c>
      <c r="H38" s="53" t="s">
        <v>936</v>
      </c>
      <c r="I38" s="7" t="s">
        <v>109</v>
      </c>
      <c r="J38" s="7" t="s">
        <v>130</v>
      </c>
      <c r="K38" s="11">
        <v>0.91041666666666665</v>
      </c>
      <c r="L38" s="7" t="s">
        <v>109</v>
      </c>
      <c r="M38" s="7" t="s">
        <v>109</v>
      </c>
      <c r="N38" s="29" t="s">
        <v>109</v>
      </c>
      <c r="O38" s="29" t="s">
        <v>61</v>
      </c>
      <c r="P38" s="7" t="s">
        <v>131</v>
      </c>
      <c r="Q38" s="7" t="s">
        <v>72</v>
      </c>
      <c r="R38" s="7" t="s">
        <v>62</v>
      </c>
      <c r="S38" s="7" t="s">
        <v>109</v>
      </c>
      <c r="T38" s="7" t="s">
        <v>109</v>
      </c>
      <c r="U38" s="28" t="str">
        <f t="shared" si="0"/>
        <v>Not Met</v>
      </c>
      <c r="V38" s="7" t="s">
        <v>109</v>
      </c>
      <c r="W38" s="29" t="s">
        <v>424</v>
      </c>
    </row>
    <row r="39" spans="1:23" x14ac:dyDescent="0.3">
      <c r="A39" s="7">
        <v>38</v>
      </c>
      <c r="B39" s="29" t="s">
        <v>23</v>
      </c>
      <c r="C39" s="29" t="s">
        <v>937</v>
      </c>
      <c r="D39" s="29">
        <v>50126267</v>
      </c>
      <c r="E39" s="29">
        <v>180</v>
      </c>
      <c r="F39" s="7">
        <v>235</v>
      </c>
      <c r="G39" s="7">
        <v>188</v>
      </c>
      <c r="H39" s="7" t="s">
        <v>938</v>
      </c>
      <c r="I39" s="7" t="s">
        <v>109</v>
      </c>
      <c r="J39" s="7" t="s">
        <v>130</v>
      </c>
      <c r="K39" s="11">
        <v>0.82638888888888884</v>
      </c>
      <c r="L39" s="7" t="s">
        <v>109</v>
      </c>
      <c r="M39" s="7" t="s">
        <v>109</v>
      </c>
      <c r="N39" s="29" t="s">
        <v>109</v>
      </c>
      <c r="O39" s="29" t="s">
        <v>61</v>
      </c>
      <c r="P39" s="7" t="s">
        <v>131</v>
      </c>
      <c r="Q39" s="7" t="s">
        <v>84</v>
      </c>
      <c r="R39" s="7" t="s">
        <v>62</v>
      </c>
      <c r="S39" s="7" t="s">
        <v>109</v>
      </c>
      <c r="T39" s="7" t="s">
        <v>109</v>
      </c>
      <c r="U39" s="28" t="str">
        <f t="shared" si="0"/>
        <v>Met</v>
      </c>
      <c r="V39" s="7" t="s">
        <v>109</v>
      </c>
      <c r="W39" s="29" t="s">
        <v>424</v>
      </c>
    </row>
    <row r="40" spans="1:23" x14ac:dyDescent="0.3">
      <c r="A40" s="7">
        <v>39</v>
      </c>
      <c r="B40" s="29" t="s">
        <v>23</v>
      </c>
      <c r="C40" s="29" t="s">
        <v>723</v>
      </c>
      <c r="D40" s="29">
        <v>50126101</v>
      </c>
      <c r="E40" s="29">
        <v>30</v>
      </c>
      <c r="F40" s="7" t="s">
        <v>109</v>
      </c>
      <c r="G40" s="7" t="s">
        <v>109</v>
      </c>
      <c r="H40" s="53" t="s">
        <v>72</v>
      </c>
      <c r="I40" s="7" t="s">
        <v>109</v>
      </c>
      <c r="J40" s="18" t="s">
        <v>85</v>
      </c>
      <c r="K40" s="7" t="s">
        <v>109</v>
      </c>
      <c r="L40" s="7" t="s">
        <v>109</v>
      </c>
      <c r="M40" s="7" t="s">
        <v>109</v>
      </c>
      <c r="N40" s="29" t="s">
        <v>109</v>
      </c>
      <c r="O40" s="29" t="s">
        <v>61</v>
      </c>
      <c r="P40" s="7" t="s">
        <v>109</v>
      </c>
      <c r="Q40" s="7" t="s">
        <v>109</v>
      </c>
      <c r="R40" s="7" t="s">
        <v>62</v>
      </c>
      <c r="S40" s="7" t="s">
        <v>109</v>
      </c>
      <c r="T40" s="7" t="s">
        <v>109</v>
      </c>
      <c r="U40" s="28" t="s">
        <v>109</v>
      </c>
      <c r="V40" s="7" t="s">
        <v>109</v>
      </c>
      <c r="W40" s="29" t="s">
        <v>424</v>
      </c>
    </row>
    <row r="41" spans="1:23" x14ac:dyDescent="0.3">
      <c r="A41" s="7">
        <v>40</v>
      </c>
      <c r="B41" s="29" t="s">
        <v>23</v>
      </c>
      <c r="C41" s="29" t="s">
        <v>939</v>
      </c>
      <c r="D41" s="29">
        <v>50126270</v>
      </c>
      <c r="E41" s="29">
        <v>40</v>
      </c>
      <c r="F41" s="7">
        <v>65</v>
      </c>
      <c r="G41" s="7">
        <v>34</v>
      </c>
      <c r="H41" s="53" t="s">
        <v>71</v>
      </c>
      <c r="I41" s="7" t="s">
        <v>109</v>
      </c>
      <c r="J41" s="7" t="s">
        <v>130</v>
      </c>
      <c r="K41" s="11">
        <v>0.68194444444444446</v>
      </c>
      <c r="L41" s="7" t="s">
        <v>109</v>
      </c>
      <c r="M41" s="7" t="s">
        <v>109</v>
      </c>
      <c r="N41" s="29" t="s">
        <v>109</v>
      </c>
      <c r="O41" s="29" t="s">
        <v>61</v>
      </c>
      <c r="P41" s="7" t="s">
        <v>131</v>
      </c>
      <c r="Q41" s="7" t="s">
        <v>71</v>
      </c>
      <c r="R41" s="7" t="s">
        <v>62</v>
      </c>
      <c r="S41" s="7" t="s">
        <v>109</v>
      </c>
      <c r="T41" s="7" t="s">
        <v>109</v>
      </c>
      <c r="U41" s="28" t="str">
        <f t="shared" ref="U41:U67" si="1">IF(G68&gt;=E68, "Met", "Not Met")</f>
        <v>Met</v>
      </c>
      <c r="V41" s="7" t="s">
        <v>109</v>
      </c>
      <c r="W41" s="29" t="s">
        <v>424</v>
      </c>
    </row>
    <row r="42" spans="1:23" x14ac:dyDescent="0.3">
      <c r="A42" s="7">
        <v>41</v>
      </c>
      <c r="B42" s="29" t="s">
        <v>23</v>
      </c>
      <c r="C42" s="29" t="s">
        <v>940</v>
      </c>
      <c r="D42" s="29">
        <v>50126249</v>
      </c>
      <c r="E42" s="29">
        <v>180</v>
      </c>
      <c r="F42" s="7">
        <v>220</v>
      </c>
      <c r="G42" s="7">
        <v>185</v>
      </c>
      <c r="H42" s="7" t="s">
        <v>941</v>
      </c>
      <c r="I42" s="7" t="s">
        <v>109</v>
      </c>
      <c r="J42" s="7" t="s">
        <v>130</v>
      </c>
      <c r="K42" s="11">
        <v>0.85486111111111107</v>
      </c>
      <c r="L42" s="7" t="s">
        <v>109</v>
      </c>
      <c r="M42" s="7" t="s">
        <v>109</v>
      </c>
      <c r="N42" s="29" t="s">
        <v>109</v>
      </c>
      <c r="O42" s="29" t="s">
        <v>61</v>
      </c>
      <c r="P42" s="7" t="s">
        <v>131</v>
      </c>
      <c r="Q42" s="7" t="s">
        <v>70</v>
      </c>
      <c r="R42" s="7" t="s">
        <v>62</v>
      </c>
      <c r="S42" s="7" t="s">
        <v>109</v>
      </c>
      <c r="T42" s="7" t="s">
        <v>109</v>
      </c>
      <c r="U42" s="28" t="str">
        <f t="shared" si="1"/>
        <v>Met</v>
      </c>
      <c r="V42" s="7" t="s">
        <v>109</v>
      </c>
      <c r="W42" s="29" t="s">
        <v>424</v>
      </c>
    </row>
    <row r="43" spans="1:23" x14ac:dyDescent="0.3">
      <c r="A43" s="7">
        <v>42</v>
      </c>
      <c r="B43" s="29" t="s">
        <v>23</v>
      </c>
      <c r="C43" s="29" t="s">
        <v>942</v>
      </c>
      <c r="D43" s="29">
        <v>50126233</v>
      </c>
      <c r="E43" s="29">
        <v>75</v>
      </c>
      <c r="F43" s="7">
        <v>117</v>
      </c>
      <c r="G43" s="7">
        <v>80</v>
      </c>
      <c r="H43" s="53" t="s">
        <v>200</v>
      </c>
      <c r="I43" s="7" t="s">
        <v>109</v>
      </c>
      <c r="J43" s="7" t="s">
        <v>130</v>
      </c>
      <c r="K43" s="11">
        <v>0.9916666666666667</v>
      </c>
      <c r="L43" s="7" t="s">
        <v>109</v>
      </c>
      <c r="M43" s="7" t="s">
        <v>109</v>
      </c>
      <c r="N43" s="29" t="s">
        <v>109</v>
      </c>
      <c r="O43" s="29" t="s">
        <v>61</v>
      </c>
      <c r="P43" s="7" t="s">
        <v>131</v>
      </c>
      <c r="Q43" s="7" t="s">
        <v>200</v>
      </c>
      <c r="R43" s="7" t="s">
        <v>62</v>
      </c>
      <c r="S43" s="7" t="s">
        <v>109</v>
      </c>
      <c r="T43" s="7" t="s">
        <v>109</v>
      </c>
      <c r="U43" s="28" t="str">
        <f t="shared" si="1"/>
        <v>Not Met</v>
      </c>
      <c r="V43" s="7" t="s">
        <v>109</v>
      </c>
      <c r="W43" s="29" t="s">
        <v>424</v>
      </c>
    </row>
    <row r="44" spans="1:23" x14ac:dyDescent="0.3">
      <c r="A44" s="7">
        <v>43</v>
      </c>
      <c r="B44" s="29" t="s">
        <v>23</v>
      </c>
      <c r="C44" s="29" t="s">
        <v>943</v>
      </c>
      <c r="D44" s="29">
        <v>50126234</v>
      </c>
      <c r="E44" s="29">
        <v>75</v>
      </c>
      <c r="F44" s="7">
        <v>98</v>
      </c>
      <c r="G44" s="7">
        <v>75</v>
      </c>
      <c r="H44" s="53" t="s">
        <v>222</v>
      </c>
      <c r="I44" s="7" t="s">
        <v>109</v>
      </c>
      <c r="J44" s="7" t="s">
        <v>130</v>
      </c>
      <c r="K44" s="11">
        <v>0.71944444444444444</v>
      </c>
      <c r="L44" s="7" t="s">
        <v>109</v>
      </c>
      <c r="M44" s="7" t="s">
        <v>109</v>
      </c>
      <c r="N44" s="29" t="s">
        <v>109</v>
      </c>
      <c r="O44" s="29" t="s">
        <v>61</v>
      </c>
      <c r="P44" s="7" t="s">
        <v>131</v>
      </c>
      <c r="Q44" s="7" t="s">
        <v>222</v>
      </c>
      <c r="R44" s="7" t="s">
        <v>62</v>
      </c>
      <c r="S44" s="7" t="s">
        <v>109</v>
      </c>
      <c r="T44" s="7" t="s">
        <v>109</v>
      </c>
      <c r="U44" s="28" t="str">
        <f t="shared" si="1"/>
        <v>Met</v>
      </c>
      <c r="V44" s="7" t="s">
        <v>109</v>
      </c>
      <c r="W44" s="29" t="s">
        <v>424</v>
      </c>
    </row>
    <row r="45" spans="1:23" x14ac:dyDescent="0.3">
      <c r="A45" s="7">
        <v>44</v>
      </c>
      <c r="B45" s="29" t="s">
        <v>23</v>
      </c>
      <c r="C45" s="29" t="s">
        <v>944</v>
      </c>
      <c r="D45" s="29">
        <v>50126235</v>
      </c>
      <c r="E45" s="29">
        <v>75</v>
      </c>
      <c r="F45" s="7">
        <v>109</v>
      </c>
      <c r="G45" s="7">
        <v>75</v>
      </c>
      <c r="H45" s="53" t="s">
        <v>70</v>
      </c>
      <c r="I45" s="7" t="s">
        <v>109</v>
      </c>
      <c r="J45" s="7" t="s">
        <v>130</v>
      </c>
      <c r="K45" s="11">
        <v>0.9506944444444444</v>
      </c>
      <c r="L45" s="7" t="s">
        <v>109</v>
      </c>
      <c r="M45" s="7" t="s">
        <v>109</v>
      </c>
      <c r="N45" s="29" t="s">
        <v>109</v>
      </c>
      <c r="O45" s="29" t="s">
        <v>61</v>
      </c>
      <c r="P45" s="7" t="s">
        <v>131</v>
      </c>
      <c r="Q45" s="7" t="s">
        <v>70</v>
      </c>
      <c r="R45" s="7" t="s">
        <v>62</v>
      </c>
      <c r="S45" s="7" t="s">
        <v>109</v>
      </c>
      <c r="T45" s="7" t="s">
        <v>109</v>
      </c>
      <c r="U45" s="28" t="str">
        <f t="shared" si="1"/>
        <v>Met</v>
      </c>
      <c r="V45" s="7" t="s">
        <v>109</v>
      </c>
      <c r="W45" s="29" t="s">
        <v>424</v>
      </c>
    </row>
    <row r="46" spans="1:23" x14ac:dyDescent="0.3">
      <c r="A46" s="7">
        <v>45</v>
      </c>
      <c r="B46" s="29" t="s">
        <v>23</v>
      </c>
      <c r="C46" s="29" t="s">
        <v>945</v>
      </c>
      <c r="D46" s="29">
        <v>50126230</v>
      </c>
      <c r="E46" s="29">
        <v>75</v>
      </c>
      <c r="F46" s="7">
        <v>122</v>
      </c>
      <c r="G46" s="7">
        <v>75</v>
      </c>
      <c r="H46" s="53" t="s">
        <v>69</v>
      </c>
      <c r="I46" s="7" t="s">
        <v>109</v>
      </c>
      <c r="J46" s="7" t="s">
        <v>130</v>
      </c>
      <c r="K46" s="11">
        <v>0.85486111111111107</v>
      </c>
      <c r="L46" s="7" t="s">
        <v>109</v>
      </c>
      <c r="M46" s="7" t="s">
        <v>109</v>
      </c>
      <c r="N46" s="29" t="s">
        <v>109</v>
      </c>
      <c r="O46" s="29" t="s">
        <v>61</v>
      </c>
      <c r="P46" s="7" t="s">
        <v>131</v>
      </c>
      <c r="Q46" s="7" t="s">
        <v>69</v>
      </c>
      <c r="R46" s="7" t="s">
        <v>62</v>
      </c>
      <c r="S46" s="7" t="s">
        <v>109</v>
      </c>
      <c r="T46" s="7" t="s">
        <v>109</v>
      </c>
      <c r="U46" s="28" t="str">
        <f t="shared" si="1"/>
        <v>Not Met</v>
      </c>
      <c r="V46" s="7" t="s">
        <v>109</v>
      </c>
      <c r="W46" s="29" t="s">
        <v>424</v>
      </c>
    </row>
    <row r="47" spans="1:23" x14ac:dyDescent="0.3">
      <c r="A47" s="7">
        <v>46</v>
      </c>
      <c r="B47" s="29" t="s">
        <v>23</v>
      </c>
      <c r="C47" s="29" t="s">
        <v>946</v>
      </c>
      <c r="D47" s="29">
        <v>50126236</v>
      </c>
      <c r="E47" s="29">
        <v>75</v>
      </c>
      <c r="F47" s="7">
        <v>124</v>
      </c>
      <c r="G47" s="7">
        <v>79</v>
      </c>
      <c r="H47" s="53" t="s">
        <v>154</v>
      </c>
      <c r="I47" s="7" t="s">
        <v>109</v>
      </c>
      <c r="J47" s="7" t="s">
        <v>130</v>
      </c>
      <c r="K47" s="11">
        <v>0.7319444444444444</v>
      </c>
      <c r="L47" s="7" t="s">
        <v>109</v>
      </c>
      <c r="M47" s="7" t="s">
        <v>109</v>
      </c>
      <c r="N47" s="29" t="s">
        <v>109</v>
      </c>
      <c r="O47" s="29" t="s">
        <v>61</v>
      </c>
      <c r="P47" s="7" t="s">
        <v>131</v>
      </c>
      <c r="Q47" s="7" t="s">
        <v>154</v>
      </c>
      <c r="R47" s="7" t="s">
        <v>62</v>
      </c>
      <c r="S47" s="7" t="s">
        <v>109</v>
      </c>
      <c r="T47" s="7" t="s">
        <v>109</v>
      </c>
      <c r="U47" s="28" t="str">
        <f t="shared" si="1"/>
        <v>Not Met</v>
      </c>
      <c r="V47" s="7" t="s">
        <v>109</v>
      </c>
      <c r="W47" s="29" t="s">
        <v>424</v>
      </c>
    </row>
    <row r="48" spans="1:23" x14ac:dyDescent="0.3">
      <c r="A48" s="7">
        <v>47</v>
      </c>
      <c r="B48" s="29" t="s">
        <v>23</v>
      </c>
      <c r="C48" s="29" t="s">
        <v>947</v>
      </c>
      <c r="D48" s="29">
        <v>50126237</v>
      </c>
      <c r="E48" s="29">
        <v>75</v>
      </c>
      <c r="F48" s="7">
        <v>126</v>
      </c>
      <c r="G48" s="7">
        <v>75</v>
      </c>
      <c r="H48" s="53" t="s">
        <v>93</v>
      </c>
      <c r="I48" s="7" t="s">
        <v>109</v>
      </c>
      <c r="J48" s="7" t="s">
        <v>130</v>
      </c>
      <c r="K48" s="11">
        <v>0.75277777777777777</v>
      </c>
      <c r="L48" s="7" t="s">
        <v>109</v>
      </c>
      <c r="M48" s="7" t="s">
        <v>109</v>
      </c>
      <c r="N48" s="29" t="s">
        <v>109</v>
      </c>
      <c r="O48" s="29" t="s">
        <v>61</v>
      </c>
      <c r="P48" s="7" t="s">
        <v>131</v>
      </c>
      <c r="Q48" s="7" t="s">
        <v>93</v>
      </c>
      <c r="R48" s="7" t="s">
        <v>62</v>
      </c>
      <c r="S48" s="7" t="s">
        <v>109</v>
      </c>
      <c r="T48" s="7" t="s">
        <v>109</v>
      </c>
      <c r="U48" s="28" t="str">
        <f t="shared" si="1"/>
        <v>Met</v>
      </c>
      <c r="V48" s="7" t="s">
        <v>109</v>
      </c>
      <c r="W48" s="29" t="s">
        <v>424</v>
      </c>
    </row>
    <row r="49" spans="1:23" x14ac:dyDescent="0.3">
      <c r="A49" s="7">
        <v>48</v>
      </c>
      <c r="B49" s="29" t="s">
        <v>23</v>
      </c>
      <c r="C49" s="29" t="s">
        <v>948</v>
      </c>
      <c r="D49" s="29">
        <v>50126231</v>
      </c>
      <c r="E49" s="29">
        <v>75</v>
      </c>
      <c r="F49" s="7">
        <v>225</v>
      </c>
      <c r="G49" s="7">
        <v>48</v>
      </c>
      <c r="H49" s="7" t="s">
        <v>86</v>
      </c>
      <c r="I49" s="7" t="s">
        <v>109</v>
      </c>
      <c r="J49" s="7" t="s">
        <v>130</v>
      </c>
      <c r="K49" s="11">
        <v>0.9506944444444444</v>
      </c>
      <c r="L49" s="7" t="s">
        <v>109</v>
      </c>
      <c r="M49" s="7" t="s">
        <v>109</v>
      </c>
      <c r="N49" s="29" t="s">
        <v>109</v>
      </c>
      <c r="O49" s="29" t="s">
        <v>61</v>
      </c>
      <c r="P49" s="7" t="s">
        <v>131</v>
      </c>
      <c r="Q49" s="7" t="s">
        <v>86</v>
      </c>
      <c r="R49" s="7" t="s">
        <v>62</v>
      </c>
      <c r="S49" s="7" t="s">
        <v>109</v>
      </c>
      <c r="T49" s="7" t="s">
        <v>109</v>
      </c>
      <c r="U49" s="28" t="str">
        <f t="shared" si="1"/>
        <v>Not Met</v>
      </c>
      <c r="V49" s="7" t="s">
        <v>109</v>
      </c>
      <c r="W49" s="29" t="s">
        <v>424</v>
      </c>
    </row>
    <row r="50" spans="1:23" x14ac:dyDescent="0.3">
      <c r="A50" s="7">
        <v>49</v>
      </c>
      <c r="B50" s="29" t="s">
        <v>23</v>
      </c>
      <c r="C50" s="29" t="s">
        <v>949</v>
      </c>
      <c r="D50" s="29">
        <v>50126238</v>
      </c>
      <c r="E50" s="29">
        <v>75</v>
      </c>
      <c r="F50" s="7">
        <v>112</v>
      </c>
      <c r="G50" s="7">
        <v>88</v>
      </c>
      <c r="H50" s="53" t="s">
        <v>196</v>
      </c>
      <c r="I50" s="7" t="s">
        <v>109</v>
      </c>
      <c r="J50" s="7" t="s">
        <v>130</v>
      </c>
      <c r="K50" s="11">
        <v>0.74236111111111114</v>
      </c>
      <c r="L50" s="7" t="s">
        <v>109</v>
      </c>
      <c r="M50" s="7" t="s">
        <v>109</v>
      </c>
      <c r="N50" s="29" t="s">
        <v>109</v>
      </c>
      <c r="O50" s="29" t="s">
        <v>61</v>
      </c>
      <c r="P50" s="7" t="s">
        <v>131</v>
      </c>
      <c r="Q50" s="7" t="s">
        <v>196</v>
      </c>
      <c r="R50" s="7" t="s">
        <v>62</v>
      </c>
      <c r="S50" s="7" t="s">
        <v>109</v>
      </c>
      <c r="T50" s="7" t="s">
        <v>109</v>
      </c>
      <c r="U50" s="28" t="str">
        <f t="shared" si="1"/>
        <v>Not Met</v>
      </c>
      <c r="V50" s="7" t="s">
        <v>109</v>
      </c>
      <c r="W50" s="29" t="s">
        <v>424</v>
      </c>
    </row>
    <row r="51" spans="1:23" x14ac:dyDescent="0.3">
      <c r="A51" s="7">
        <v>50</v>
      </c>
      <c r="B51" s="29" t="s">
        <v>23</v>
      </c>
      <c r="C51" s="29" t="s">
        <v>950</v>
      </c>
      <c r="D51" s="29">
        <v>50126239</v>
      </c>
      <c r="E51" s="29">
        <v>75</v>
      </c>
      <c r="F51" s="7">
        <v>99</v>
      </c>
      <c r="G51" s="7">
        <v>70</v>
      </c>
      <c r="H51" s="53" t="s">
        <v>65</v>
      </c>
      <c r="I51" s="7" t="s">
        <v>109</v>
      </c>
      <c r="J51" s="7" t="s">
        <v>130</v>
      </c>
      <c r="K51" s="11">
        <v>0.95208333333333328</v>
      </c>
      <c r="L51" s="7" t="s">
        <v>109</v>
      </c>
      <c r="M51" s="7" t="s">
        <v>109</v>
      </c>
      <c r="N51" s="29" t="s">
        <v>109</v>
      </c>
      <c r="O51" s="29" t="s">
        <v>61</v>
      </c>
      <c r="P51" s="7" t="s">
        <v>131</v>
      </c>
      <c r="Q51" s="7" t="s">
        <v>65</v>
      </c>
      <c r="R51" s="7" t="s">
        <v>62</v>
      </c>
      <c r="S51" s="7" t="s">
        <v>109</v>
      </c>
      <c r="T51" s="7" t="s">
        <v>109</v>
      </c>
      <c r="U51" s="28" t="str">
        <f t="shared" si="1"/>
        <v>Not Met</v>
      </c>
      <c r="V51" s="7" t="s">
        <v>109</v>
      </c>
      <c r="W51" s="29" t="s">
        <v>424</v>
      </c>
    </row>
    <row r="52" spans="1:23" x14ac:dyDescent="0.3">
      <c r="A52" s="7">
        <v>51</v>
      </c>
      <c r="B52" s="29" t="s">
        <v>23</v>
      </c>
      <c r="C52" s="29" t="s">
        <v>951</v>
      </c>
      <c r="D52" s="29">
        <v>50126232</v>
      </c>
      <c r="E52" s="29">
        <v>75</v>
      </c>
      <c r="F52" s="7">
        <v>150</v>
      </c>
      <c r="G52" s="7">
        <v>44</v>
      </c>
      <c r="H52" s="53" t="s">
        <v>72</v>
      </c>
      <c r="I52" s="7" t="s">
        <v>109</v>
      </c>
      <c r="J52" s="7" t="s">
        <v>130</v>
      </c>
      <c r="K52" s="11">
        <v>0.77152777777777781</v>
      </c>
      <c r="L52" s="7" t="s">
        <v>109</v>
      </c>
      <c r="M52" s="7" t="s">
        <v>109</v>
      </c>
      <c r="N52" s="29" t="s">
        <v>109</v>
      </c>
      <c r="O52" s="29" t="s">
        <v>61</v>
      </c>
      <c r="P52" s="7" t="s">
        <v>131</v>
      </c>
      <c r="Q52" s="7" t="s">
        <v>72</v>
      </c>
      <c r="R52" s="7" t="s">
        <v>62</v>
      </c>
      <c r="S52" s="7" t="s">
        <v>109</v>
      </c>
      <c r="T52" s="7" t="s">
        <v>109</v>
      </c>
      <c r="U52" s="28" t="str">
        <f t="shared" si="1"/>
        <v>Not Met</v>
      </c>
      <c r="V52" s="7" t="s">
        <v>109</v>
      </c>
      <c r="W52" s="29" t="s">
        <v>424</v>
      </c>
    </row>
    <row r="53" spans="1:23" x14ac:dyDescent="0.3">
      <c r="A53" s="7">
        <v>52</v>
      </c>
      <c r="B53" s="29" t="s">
        <v>23</v>
      </c>
      <c r="C53" s="29" t="s">
        <v>952</v>
      </c>
      <c r="D53" s="29">
        <v>50126240</v>
      </c>
      <c r="E53" s="29">
        <v>75</v>
      </c>
      <c r="F53" s="7">
        <v>123</v>
      </c>
      <c r="G53" s="7">
        <v>71</v>
      </c>
      <c r="H53" s="7" t="s">
        <v>184</v>
      </c>
      <c r="I53" s="7" t="s">
        <v>109</v>
      </c>
      <c r="J53" s="7" t="s">
        <v>130</v>
      </c>
      <c r="K53" s="11">
        <v>0.97013888888888888</v>
      </c>
      <c r="L53" s="7" t="s">
        <v>109</v>
      </c>
      <c r="M53" s="7" t="s">
        <v>109</v>
      </c>
      <c r="N53" s="29" t="s">
        <v>109</v>
      </c>
      <c r="O53" s="29" t="s">
        <v>61</v>
      </c>
      <c r="P53" s="7" t="s">
        <v>131</v>
      </c>
      <c r="Q53" s="7" t="s">
        <v>184</v>
      </c>
      <c r="R53" s="7" t="s">
        <v>62</v>
      </c>
      <c r="S53" s="7" t="s">
        <v>109</v>
      </c>
      <c r="T53" s="7" t="s">
        <v>109</v>
      </c>
      <c r="U53" s="28" t="str">
        <f t="shared" si="1"/>
        <v>Not Met</v>
      </c>
      <c r="V53" s="7" t="s">
        <v>109</v>
      </c>
      <c r="W53" s="29" t="s">
        <v>424</v>
      </c>
    </row>
    <row r="54" spans="1:23" x14ac:dyDescent="0.3">
      <c r="A54" s="7">
        <v>53</v>
      </c>
      <c r="B54" s="29" t="s">
        <v>23</v>
      </c>
      <c r="C54" s="29" t="s">
        <v>953</v>
      </c>
      <c r="D54" s="29">
        <v>50126241</v>
      </c>
      <c r="E54" s="29">
        <v>180</v>
      </c>
      <c r="F54" s="7">
        <v>227</v>
      </c>
      <c r="G54" s="7">
        <v>192</v>
      </c>
      <c r="H54" s="7" t="s">
        <v>997</v>
      </c>
      <c r="I54" s="7" t="s">
        <v>109</v>
      </c>
      <c r="J54" s="7" t="s">
        <v>130</v>
      </c>
      <c r="K54" s="11">
        <v>0.93958333333333333</v>
      </c>
      <c r="L54" s="7" t="s">
        <v>109</v>
      </c>
      <c r="M54" s="7" t="s">
        <v>109</v>
      </c>
      <c r="N54" s="29" t="s">
        <v>109</v>
      </c>
      <c r="O54" s="29" t="s">
        <v>61</v>
      </c>
      <c r="P54" s="7" t="s">
        <v>131</v>
      </c>
      <c r="Q54" s="7" t="s">
        <v>71</v>
      </c>
      <c r="R54" s="7" t="s">
        <v>62</v>
      </c>
      <c r="S54" s="7" t="s">
        <v>109</v>
      </c>
      <c r="T54" s="7" t="s">
        <v>109</v>
      </c>
      <c r="U54" s="28" t="str">
        <f t="shared" si="1"/>
        <v>Not Met</v>
      </c>
      <c r="V54" s="7" t="s">
        <v>109</v>
      </c>
      <c r="W54" s="29" t="s">
        <v>424</v>
      </c>
    </row>
    <row r="55" spans="1:23" x14ac:dyDescent="0.3">
      <c r="A55" s="7">
        <v>54</v>
      </c>
      <c r="B55" s="29" t="s">
        <v>23</v>
      </c>
      <c r="C55" s="29" t="s">
        <v>322</v>
      </c>
      <c r="D55" s="29">
        <v>50126008</v>
      </c>
      <c r="E55" s="29">
        <v>75</v>
      </c>
      <c r="F55" s="7">
        <v>60</v>
      </c>
      <c r="G55" s="7">
        <v>8</v>
      </c>
      <c r="H55" s="53" t="s">
        <v>214</v>
      </c>
      <c r="I55" s="7" t="s">
        <v>109</v>
      </c>
      <c r="J55" s="7" t="s">
        <v>130</v>
      </c>
      <c r="K55" s="11">
        <v>0.83750000000000002</v>
      </c>
      <c r="L55" s="7" t="s">
        <v>109</v>
      </c>
      <c r="M55" s="7" t="s">
        <v>109</v>
      </c>
      <c r="N55" s="29" t="s">
        <v>109</v>
      </c>
      <c r="O55" s="29" t="s">
        <v>61</v>
      </c>
      <c r="P55" s="7" t="s">
        <v>131</v>
      </c>
      <c r="Q55" s="7" t="s">
        <v>214</v>
      </c>
      <c r="R55" s="7" t="s">
        <v>62</v>
      </c>
      <c r="S55" s="7" t="s">
        <v>109</v>
      </c>
      <c r="T55" s="7" t="s">
        <v>109</v>
      </c>
      <c r="U55" s="28" t="str">
        <f t="shared" si="1"/>
        <v>Met</v>
      </c>
      <c r="V55" s="7" t="s">
        <v>109</v>
      </c>
      <c r="W55" s="29" t="s">
        <v>325</v>
      </c>
    </row>
    <row r="56" spans="1:23" x14ac:dyDescent="0.3">
      <c r="A56" s="7">
        <v>55</v>
      </c>
      <c r="B56" s="29" t="s">
        <v>23</v>
      </c>
      <c r="C56" s="29" t="s">
        <v>52</v>
      </c>
      <c r="D56" s="29">
        <v>51125133</v>
      </c>
      <c r="E56" s="29">
        <v>100</v>
      </c>
      <c r="F56" s="7">
        <v>211</v>
      </c>
      <c r="G56" s="7">
        <v>94</v>
      </c>
      <c r="H56" s="7" t="s">
        <v>82</v>
      </c>
      <c r="I56" s="7" t="s">
        <v>109</v>
      </c>
      <c r="J56" s="7" t="s">
        <v>130</v>
      </c>
      <c r="K56" s="11">
        <v>0.80625000000000002</v>
      </c>
      <c r="L56" s="7" t="s">
        <v>109</v>
      </c>
      <c r="M56" s="7" t="s">
        <v>109</v>
      </c>
      <c r="N56" s="29" t="s">
        <v>109</v>
      </c>
      <c r="O56" s="29" t="s">
        <v>61</v>
      </c>
      <c r="P56" s="7" t="s">
        <v>131</v>
      </c>
      <c r="Q56" s="7" t="s">
        <v>82</v>
      </c>
      <c r="R56" s="7" t="s">
        <v>62</v>
      </c>
      <c r="S56" s="7" t="s">
        <v>109</v>
      </c>
      <c r="T56" s="7" t="s">
        <v>109</v>
      </c>
      <c r="U56" s="28" t="str">
        <f t="shared" si="1"/>
        <v>Not Met</v>
      </c>
      <c r="V56" s="7" t="s">
        <v>109</v>
      </c>
      <c r="W56" s="29" t="s">
        <v>116</v>
      </c>
    </row>
    <row r="57" spans="1:23" x14ac:dyDescent="0.3">
      <c r="A57" s="7">
        <v>56</v>
      </c>
      <c r="B57" s="29" t="s">
        <v>23</v>
      </c>
      <c r="C57" s="29" t="s">
        <v>645</v>
      </c>
      <c r="D57" s="29">
        <v>50126115</v>
      </c>
      <c r="E57" s="29">
        <v>50</v>
      </c>
      <c r="F57" s="7">
        <v>74</v>
      </c>
      <c r="G57" s="7">
        <v>53</v>
      </c>
      <c r="H57" s="53" t="s">
        <v>64</v>
      </c>
      <c r="I57" s="7" t="s">
        <v>109</v>
      </c>
      <c r="J57" s="7" t="s">
        <v>130</v>
      </c>
      <c r="K57" s="11">
        <v>0.78749999999999998</v>
      </c>
      <c r="L57" s="7" t="s">
        <v>109</v>
      </c>
      <c r="M57" s="7" t="s">
        <v>109</v>
      </c>
      <c r="N57" s="29" t="s">
        <v>109</v>
      </c>
      <c r="O57" s="29" t="s">
        <v>61</v>
      </c>
      <c r="P57" s="7" t="s">
        <v>131</v>
      </c>
      <c r="Q57" s="7" t="s">
        <v>64</v>
      </c>
      <c r="R57" s="7" t="s">
        <v>62</v>
      </c>
      <c r="S57" s="7" t="s">
        <v>109</v>
      </c>
      <c r="T57" s="7" t="s">
        <v>109</v>
      </c>
      <c r="U57" s="28" t="str">
        <f t="shared" si="1"/>
        <v>Not Met</v>
      </c>
      <c r="V57" s="7" t="s">
        <v>109</v>
      </c>
      <c r="W57" s="29" t="s">
        <v>275</v>
      </c>
    </row>
    <row r="58" spans="1:23" x14ac:dyDescent="0.3">
      <c r="A58" s="7">
        <v>57</v>
      </c>
      <c r="B58" s="29" t="s">
        <v>23</v>
      </c>
      <c r="C58" s="29" t="s">
        <v>53</v>
      </c>
      <c r="D58" s="29">
        <v>51125142</v>
      </c>
      <c r="E58" s="29">
        <v>200</v>
      </c>
      <c r="F58" s="7">
        <v>320</v>
      </c>
      <c r="G58" s="7">
        <v>46</v>
      </c>
      <c r="H58" s="7" t="s">
        <v>998</v>
      </c>
      <c r="I58" s="7" t="s">
        <v>109</v>
      </c>
      <c r="J58" s="7" t="s">
        <v>130</v>
      </c>
      <c r="K58" s="11">
        <v>2.7083333333333334E-2</v>
      </c>
      <c r="L58" s="7" t="s">
        <v>109</v>
      </c>
      <c r="M58" s="7" t="s">
        <v>109</v>
      </c>
      <c r="N58" s="29" t="s">
        <v>109</v>
      </c>
      <c r="O58" s="29" t="s">
        <v>61</v>
      </c>
      <c r="P58" s="7" t="s">
        <v>131</v>
      </c>
      <c r="Q58" s="7" t="s">
        <v>64</v>
      </c>
      <c r="R58" s="7" t="s">
        <v>62</v>
      </c>
      <c r="S58" s="7" t="s">
        <v>109</v>
      </c>
      <c r="T58" s="7" t="s">
        <v>109</v>
      </c>
      <c r="U58" s="28" t="str">
        <f t="shared" si="1"/>
        <v>Not Met</v>
      </c>
      <c r="V58" s="7" t="s">
        <v>109</v>
      </c>
      <c r="W58" s="29" t="s">
        <v>116</v>
      </c>
    </row>
    <row r="59" spans="1:23" x14ac:dyDescent="0.3">
      <c r="A59" s="7">
        <v>58</v>
      </c>
      <c r="B59" s="29" t="s">
        <v>143</v>
      </c>
      <c r="C59" s="29" t="s">
        <v>188</v>
      </c>
      <c r="D59" s="29">
        <v>10126001</v>
      </c>
      <c r="E59" s="29">
        <v>70</v>
      </c>
      <c r="F59" s="7">
        <v>148</v>
      </c>
      <c r="G59" s="7">
        <v>55</v>
      </c>
      <c r="H59" s="53" t="s">
        <v>214</v>
      </c>
      <c r="I59" s="7" t="s">
        <v>209</v>
      </c>
      <c r="J59" s="7" t="s">
        <v>130</v>
      </c>
      <c r="K59" s="11">
        <v>0.75694444444444442</v>
      </c>
      <c r="L59" s="58">
        <v>0.81944444444444442</v>
      </c>
      <c r="M59" s="7" t="s">
        <v>109</v>
      </c>
      <c r="N59" s="29" t="s">
        <v>109</v>
      </c>
      <c r="O59" s="29" t="s">
        <v>61</v>
      </c>
      <c r="P59" s="7" t="s">
        <v>131</v>
      </c>
      <c r="Q59" s="7" t="s">
        <v>209</v>
      </c>
      <c r="R59" s="7" t="s">
        <v>62</v>
      </c>
      <c r="S59" s="7" t="s">
        <v>109</v>
      </c>
      <c r="T59" s="7" t="s">
        <v>109</v>
      </c>
      <c r="U59" s="28" t="str">
        <f t="shared" si="1"/>
        <v>Not Met</v>
      </c>
      <c r="V59" s="7" t="s">
        <v>109</v>
      </c>
      <c r="W59" s="29" t="s">
        <v>189</v>
      </c>
    </row>
    <row r="60" spans="1:23" x14ac:dyDescent="0.3">
      <c r="A60" s="7">
        <v>59</v>
      </c>
      <c r="B60" s="29" t="s">
        <v>143</v>
      </c>
      <c r="C60" s="29" t="s">
        <v>185</v>
      </c>
      <c r="D60" s="29">
        <v>11125002</v>
      </c>
      <c r="E60" s="29">
        <v>60</v>
      </c>
      <c r="F60" s="7">
        <v>109</v>
      </c>
      <c r="G60" s="7">
        <v>52</v>
      </c>
      <c r="H60" s="53" t="s">
        <v>72</v>
      </c>
      <c r="I60" s="7" t="s">
        <v>89</v>
      </c>
      <c r="J60" s="7" t="s">
        <v>130</v>
      </c>
      <c r="K60" s="11">
        <v>0.98124999999999996</v>
      </c>
      <c r="L60" s="58">
        <v>2.0833333333333333E-3</v>
      </c>
      <c r="M60" s="7" t="s">
        <v>109</v>
      </c>
      <c r="N60" s="29" t="s">
        <v>109</v>
      </c>
      <c r="O60" s="29" t="s">
        <v>61</v>
      </c>
      <c r="P60" s="7" t="s">
        <v>131</v>
      </c>
      <c r="Q60" s="7" t="s">
        <v>89</v>
      </c>
      <c r="R60" s="7" t="s">
        <v>62</v>
      </c>
      <c r="S60" s="7" t="s">
        <v>109</v>
      </c>
      <c r="T60" s="7" t="s">
        <v>109</v>
      </c>
      <c r="U60" s="28" t="str">
        <f t="shared" si="1"/>
        <v>Not Met</v>
      </c>
      <c r="V60" s="7" t="s">
        <v>109</v>
      </c>
      <c r="W60" s="29" t="s">
        <v>116</v>
      </c>
    </row>
    <row r="61" spans="1:23" x14ac:dyDescent="0.3">
      <c r="A61" s="7">
        <v>60</v>
      </c>
      <c r="B61" s="29" t="s">
        <v>143</v>
      </c>
      <c r="C61" s="29" t="s">
        <v>954</v>
      </c>
      <c r="D61" s="29">
        <v>11125024</v>
      </c>
      <c r="E61" s="29">
        <v>100</v>
      </c>
      <c r="F61" s="7">
        <v>160</v>
      </c>
      <c r="G61" s="7">
        <v>78</v>
      </c>
      <c r="H61" s="53" t="s">
        <v>241</v>
      </c>
      <c r="I61" s="7" t="s">
        <v>154</v>
      </c>
      <c r="J61" s="7" t="s">
        <v>130</v>
      </c>
      <c r="K61" s="11">
        <v>0.79722222222222228</v>
      </c>
      <c r="L61" s="58">
        <v>0.92222222222222228</v>
      </c>
      <c r="M61" s="7" t="s">
        <v>109</v>
      </c>
      <c r="N61" s="29" t="s">
        <v>109</v>
      </c>
      <c r="O61" s="29" t="s">
        <v>61</v>
      </c>
      <c r="P61" s="7" t="s">
        <v>131</v>
      </c>
      <c r="Q61" s="7" t="s">
        <v>154</v>
      </c>
      <c r="R61" s="7" t="s">
        <v>62</v>
      </c>
      <c r="S61" s="7" t="s">
        <v>109</v>
      </c>
      <c r="T61" s="7" t="s">
        <v>109</v>
      </c>
      <c r="U61" s="28" t="str">
        <f t="shared" si="1"/>
        <v>Not Met</v>
      </c>
      <c r="V61" s="7" t="s">
        <v>109</v>
      </c>
      <c r="W61" s="29" t="s">
        <v>116</v>
      </c>
    </row>
    <row r="62" spans="1:23" x14ac:dyDescent="0.3">
      <c r="A62" s="7">
        <v>61</v>
      </c>
      <c r="B62" s="29" t="s">
        <v>143</v>
      </c>
      <c r="C62" s="29" t="s">
        <v>775</v>
      </c>
      <c r="D62" s="29">
        <v>10126014</v>
      </c>
      <c r="E62" s="29">
        <v>66</v>
      </c>
      <c r="F62" s="7">
        <v>110</v>
      </c>
      <c r="G62" s="7">
        <v>43</v>
      </c>
      <c r="H62" s="53" t="s">
        <v>64</v>
      </c>
      <c r="I62" s="7" t="s">
        <v>86</v>
      </c>
      <c r="J62" s="7" t="s">
        <v>130</v>
      </c>
      <c r="K62" s="11">
        <v>0.75486111111111109</v>
      </c>
      <c r="L62" s="58">
        <v>0.96944444444444444</v>
      </c>
      <c r="M62" s="7" t="s">
        <v>109</v>
      </c>
      <c r="N62" s="29" t="s">
        <v>109</v>
      </c>
      <c r="O62" s="29" t="s">
        <v>61</v>
      </c>
      <c r="P62" s="7" t="s">
        <v>131</v>
      </c>
      <c r="Q62" s="7" t="s">
        <v>86</v>
      </c>
      <c r="R62" s="7" t="s">
        <v>62</v>
      </c>
      <c r="S62" s="7" t="s">
        <v>109</v>
      </c>
      <c r="T62" s="7" t="s">
        <v>109</v>
      </c>
      <c r="U62" s="28" t="str">
        <f t="shared" si="1"/>
        <v>Met</v>
      </c>
      <c r="V62" s="7" t="s">
        <v>109</v>
      </c>
      <c r="W62" s="29" t="s">
        <v>351</v>
      </c>
    </row>
    <row r="63" spans="1:23" x14ac:dyDescent="0.3">
      <c r="A63" s="7">
        <v>62</v>
      </c>
      <c r="B63" s="29" t="s">
        <v>143</v>
      </c>
      <c r="C63" s="29" t="s">
        <v>955</v>
      </c>
      <c r="D63" s="57">
        <v>10126015</v>
      </c>
      <c r="E63" s="29">
        <v>100</v>
      </c>
      <c r="F63" s="7">
        <v>137</v>
      </c>
      <c r="G63" s="7">
        <v>101</v>
      </c>
      <c r="H63" s="53" t="s">
        <v>196</v>
      </c>
      <c r="I63" s="7" t="s">
        <v>91</v>
      </c>
      <c r="J63" s="7" t="s">
        <v>130</v>
      </c>
      <c r="K63" s="11">
        <v>6.9444444444444447E-4</v>
      </c>
      <c r="L63" s="58">
        <v>2.8472222222222222E-2</v>
      </c>
      <c r="M63" s="7" t="s">
        <v>109</v>
      </c>
      <c r="N63" s="29" t="s">
        <v>109</v>
      </c>
      <c r="O63" s="29" t="s">
        <v>61</v>
      </c>
      <c r="P63" s="7" t="s">
        <v>131</v>
      </c>
      <c r="Q63" s="7" t="s">
        <v>91</v>
      </c>
      <c r="R63" s="7" t="s">
        <v>62</v>
      </c>
      <c r="S63" s="7" t="s">
        <v>109</v>
      </c>
      <c r="T63" s="7" t="s">
        <v>109</v>
      </c>
      <c r="U63" s="28" t="str">
        <f t="shared" si="1"/>
        <v>Met</v>
      </c>
      <c r="V63" s="7" t="s">
        <v>109</v>
      </c>
      <c r="W63" s="29" t="s">
        <v>956</v>
      </c>
    </row>
    <row r="64" spans="1:23" x14ac:dyDescent="0.3">
      <c r="A64" s="7">
        <v>63</v>
      </c>
      <c r="B64" s="29" t="s">
        <v>143</v>
      </c>
      <c r="C64" s="29" t="s">
        <v>353</v>
      </c>
      <c r="D64" s="29">
        <v>11125083</v>
      </c>
      <c r="E64" s="29">
        <v>8</v>
      </c>
      <c r="F64" s="7">
        <v>30</v>
      </c>
      <c r="G64" s="7">
        <v>9</v>
      </c>
      <c r="H64" s="53" t="s">
        <v>82</v>
      </c>
      <c r="I64" s="7" t="s">
        <v>95</v>
      </c>
      <c r="J64" s="7" t="s">
        <v>130</v>
      </c>
      <c r="K64" s="11">
        <v>0.65902777777777777</v>
      </c>
      <c r="L64" s="58">
        <v>0.96944444444444444</v>
      </c>
      <c r="M64" s="7" t="s">
        <v>109</v>
      </c>
      <c r="N64" s="29" t="s">
        <v>109</v>
      </c>
      <c r="O64" s="29" t="s">
        <v>61</v>
      </c>
      <c r="P64" s="7" t="s">
        <v>131</v>
      </c>
      <c r="Q64" s="7" t="s">
        <v>95</v>
      </c>
      <c r="R64" s="7" t="s">
        <v>62</v>
      </c>
      <c r="S64" s="7" t="s">
        <v>109</v>
      </c>
      <c r="T64" s="7" t="s">
        <v>109</v>
      </c>
      <c r="U64" s="28" t="str">
        <f t="shared" si="1"/>
        <v>Met</v>
      </c>
      <c r="V64" s="7" t="s">
        <v>109</v>
      </c>
      <c r="W64" s="29" t="s">
        <v>349</v>
      </c>
    </row>
    <row r="65" spans="1:23" x14ac:dyDescent="0.3">
      <c r="A65" s="7">
        <v>64</v>
      </c>
      <c r="B65" s="29" t="s">
        <v>143</v>
      </c>
      <c r="C65" s="29" t="s">
        <v>784</v>
      </c>
      <c r="D65" s="29">
        <v>10126012</v>
      </c>
      <c r="E65" s="29">
        <v>35</v>
      </c>
      <c r="F65" s="7">
        <v>60</v>
      </c>
      <c r="G65" s="7">
        <v>32</v>
      </c>
      <c r="H65" s="7" t="s">
        <v>153</v>
      </c>
      <c r="I65" s="7" t="s">
        <v>154</v>
      </c>
      <c r="J65" s="7" t="s">
        <v>130</v>
      </c>
      <c r="K65" s="11">
        <v>0.81944444444444442</v>
      </c>
      <c r="L65" s="58">
        <v>0.86041666666666672</v>
      </c>
      <c r="M65" s="7" t="s">
        <v>109</v>
      </c>
      <c r="N65" s="29" t="s">
        <v>109</v>
      </c>
      <c r="O65" s="29" t="s">
        <v>61</v>
      </c>
      <c r="P65" s="7" t="s">
        <v>131</v>
      </c>
      <c r="Q65" s="7" t="s">
        <v>154</v>
      </c>
      <c r="R65" s="7" t="s">
        <v>62</v>
      </c>
      <c r="S65" s="7" t="s">
        <v>109</v>
      </c>
      <c r="T65" s="7" t="s">
        <v>109</v>
      </c>
      <c r="U65" s="28" t="str">
        <f t="shared" si="1"/>
        <v>Not Met</v>
      </c>
      <c r="V65" s="7" t="s">
        <v>109</v>
      </c>
      <c r="W65" s="29" t="s">
        <v>398</v>
      </c>
    </row>
    <row r="66" spans="1:23" x14ac:dyDescent="0.3">
      <c r="A66" s="7">
        <v>65</v>
      </c>
      <c r="B66" s="29" t="s">
        <v>143</v>
      </c>
      <c r="C66" s="29" t="s">
        <v>785</v>
      </c>
      <c r="D66" s="29">
        <v>10126013</v>
      </c>
      <c r="E66" s="29">
        <v>65</v>
      </c>
      <c r="F66" s="7">
        <v>81</v>
      </c>
      <c r="G66" s="7">
        <v>68</v>
      </c>
      <c r="H66" s="53" t="s">
        <v>222</v>
      </c>
      <c r="I66" s="7" t="s">
        <v>88</v>
      </c>
      <c r="J66" s="7" t="s">
        <v>130</v>
      </c>
      <c r="K66" s="11">
        <v>0.83333333333333337</v>
      </c>
      <c r="L66" s="58">
        <v>0.88472222222222219</v>
      </c>
      <c r="M66" s="7" t="s">
        <v>109</v>
      </c>
      <c r="N66" s="29" t="s">
        <v>109</v>
      </c>
      <c r="O66" s="29" t="s">
        <v>61</v>
      </c>
      <c r="P66" s="7" t="s">
        <v>131</v>
      </c>
      <c r="Q66" s="7" t="s">
        <v>88</v>
      </c>
      <c r="R66" s="7" t="s">
        <v>62</v>
      </c>
      <c r="S66" s="7" t="s">
        <v>109</v>
      </c>
      <c r="T66" s="7" t="s">
        <v>109</v>
      </c>
      <c r="U66" s="28" t="str">
        <f t="shared" si="1"/>
        <v>Met</v>
      </c>
      <c r="V66" s="7" t="s">
        <v>109</v>
      </c>
      <c r="W66" s="29" t="s">
        <v>398</v>
      </c>
    </row>
    <row r="67" spans="1:23" x14ac:dyDescent="0.3">
      <c r="A67" s="7">
        <v>66</v>
      </c>
      <c r="B67" s="29" t="s">
        <v>23</v>
      </c>
      <c r="C67" s="29" t="s">
        <v>869</v>
      </c>
      <c r="D67" s="29">
        <v>50126215</v>
      </c>
      <c r="E67" s="29">
        <v>20</v>
      </c>
      <c r="F67" s="7">
        <v>50</v>
      </c>
      <c r="G67" s="7">
        <v>2</v>
      </c>
      <c r="H67" s="7" t="s">
        <v>153</v>
      </c>
      <c r="I67" s="7" t="s">
        <v>109</v>
      </c>
      <c r="J67" s="7" t="s">
        <v>130</v>
      </c>
      <c r="K67" s="11">
        <v>0.99444444444444446</v>
      </c>
      <c r="L67" s="7" t="s">
        <v>109</v>
      </c>
      <c r="M67" s="7" t="s">
        <v>109</v>
      </c>
      <c r="N67" s="29" t="s">
        <v>109</v>
      </c>
      <c r="O67" s="29" t="s">
        <v>868</v>
      </c>
      <c r="P67" s="7" t="s">
        <v>131</v>
      </c>
      <c r="Q67" s="7" t="s">
        <v>153</v>
      </c>
      <c r="R67" s="7" t="s">
        <v>62</v>
      </c>
      <c r="S67" s="7" t="s">
        <v>109</v>
      </c>
      <c r="T67" s="7" t="s">
        <v>109</v>
      </c>
      <c r="U67" s="28" t="str">
        <f t="shared" si="1"/>
        <v>Not Met</v>
      </c>
      <c r="V67" s="7" t="s">
        <v>109</v>
      </c>
      <c r="W67" s="29" t="s">
        <v>870</v>
      </c>
    </row>
    <row r="68" spans="1:23" x14ac:dyDescent="0.3">
      <c r="A68" s="7">
        <v>67</v>
      </c>
      <c r="B68" s="29" t="s">
        <v>23</v>
      </c>
      <c r="C68" s="29" t="s">
        <v>957</v>
      </c>
      <c r="D68" s="29">
        <v>51225114</v>
      </c>
      <c r="E68" s="29">
        <v>15</v>
      </c>
      <c r="F68" s="7" t="s">
        <v>109</v>
      </c>
      <c r="G68" s="7" t="s">
        <v>109</v>
      </c>
      <c r="H68" s="7" t="s">
        <v>70</v>
      </c>
      <c r="I68" s="7" t="s">
        <v>109</v>
      </c>
      <c r="J68" s="7" t="s">
        <v>85</v>
      </c>
      <c r="K68" s="7" t="s">
        <v>109</v>
      </c>
      <c r="L68" s="7" t="s">
        <v>109</v>
      </c>
      <c r="M68" s="7" t="s">
        <v>109</v>
      </c>
      <c r="N68" s="29" t="s">
        <v>109</v>
      </c>
      <c r="O68" s="29" t="s">
        <v>868</v>
      </c>
      <c r="P68" s="7" t="s">
        <v>109</v>
      </c>
      <c r="Q68" s="7" t="s">
        <v>109</v>
      </c>
      <c r="R68" s="7" t="s">
        <v>62</v>
      </c>
      <c r="S68" s="7" t="s">
        <v>109</v>
      </c>
      <c r="T68" s="7" t="s">
        <v>109</v>
      </c>
      <c r="U68" s="28" t="s">
        <v>109</v>
      </c>
      <c r="V68" s="7" t="s">
        <v>109</v>
      </c>
      <c r="W68" s="29" t="s">
        <v>275</v>
      </c>
    </row>
    <row r="69" spans="1:23" x14ac:dyDescent="0.3">
      <c r="A69" s="7">
        <v>68</v>
      </c>
      <c r="B69" s="29" t="s">
        <v>23</v>
      </c>
      <c r="C69" s="29" t="s">
        <v>580</v>
      </c>
      <c r="D69" s="29">
        <v>51225011</v>
      </c>
      <c r="E69" s="29">
        <v>15</v>
      </c>
      <c r="F69" s="7">
        <v>19</v>
      </c>
      <c r="G69" s="7">
        <v>17</v>
      </c>
      <c r="H69" s="53" t="s">
        <v>84</v>
      </c>
      <c r="I69" s="7" t="s">
        <v>109</v>
      </c>
      <c r="J69" s="7" t="s">
        <v>130</v>
      </c>
      <c r="K69" s="11">
        <v>0.92569444444444449</v>
      </c>
      <c r="L69" s="7" t="s">
        <v>109</v>
      </c>
      <c r="M69" s="7" t="s">
        <v>109</v>
      </c>
      <c r="N69" s="29" t="s">
        <v>109</v>
      </c>
      <c r="O69" s="29" t="s">
        <v>868</v>
      </c>
      <c r="P69" s="7" t="s">
        <v>131</v>
      </c>
      <c r="Q69" s="7" t="s">
        <v>84</v>
      </c>
      <c r="R69" s="7" t="s">
        <v>62</v>
      </c>
      <c r="S69" s="7" t="s">
        <v>109</v>
      </c>
      <c r="T69" s="7" t="s">
        <v>109</v>
      </c>
      <c r="U69" s="28" t="str">
        <f t="shared" ref="U69:U113" si="2">IF(G96&gt;=E96, "Met", "Not Met")</f>
        <v>Not Met</v>
      </c>
      <c r="V69" s="7" t="s">
        <v>109</v>
      </c>
      <c r="W69" s="29" t="s">
        <v>275</v>
      </c>
    </row>
    <row r="70" spans="1:23" x14ac:dyDescent="0.3">
      <c r="A70" s="7">
        <v>69</v>
      </c>
      <c r="B70" s="29" t="s">
        <v>23</v>
      </c>
      <c r="C70" s="29" t="s">
        <v>958</v>
      </c>
      <c r="D70" s="29">
        <v>51125186</v>
      </c>
      <c r="E70" s="29">
        <v>100</v>
      </c>
      <c r="F70" s="7">
        <v>201</v>
      </c>
      <c r="G70" s="7">
        <v>53</v>
      </c>
      <c r="H70" s="53" t="s">
        <v>72</v>
      </c>
      <c r="I70" s="7" t="s">
        <v>109</v>
      </c>
      <c r="J70" s="7" t="s">
        <v>130</v>
      </c>
      <c r="K70" s="11">
        <v>0.8256944444444444</v>
      </c>
      <c r="L70" s="7" t="s">
        <v>109</v>
      </c>
      <c r="M70" s="7" t="s">
        <v>109</v>
      </c>
      <c r="N70" s="29" t="s">
        <v>109</v>
      </c>
      <c r="O70" s="29" t="s">
        <v>868</v>
      </c>
      <c r="P70" s="7" t="s">
        <v>131</v>
      </c>
      <c r="Q70" s="7" t="s">
        <v>72</v>
      </c>
      <c r="R70" s="7" t="s">
        <v>62</v>
      </c>
      <c r="S70" s="7" t="s">
        <v>109</v>
      </c>
      <c r="T70" s="7" t="s">
        <v>109</v>
      </c>
      <c r="U70" s="28" t="str">
        <f t="shared" si="2"/>
        <v>Not Met</v>
      </c>
      <c r="V70" s="7" t="s">
        <v>109</v>
      </c>
      <c r="W70" s="29" t="s">
        <v>959</v>
      </c>
    </row>
    <row r="71" spans="1:23" x14ac:dyDescent="0.3">
      <c r="A71" s="7">
        <v>70</v>
      </c>
      <c r="B71" s="29" t="s">
        <v>23</v>
      </c>
      <c r="C71" s="29" t="s">
        <v>140</v>
      </c>
      <c r="D71" s="29">
        <v>51225035</v>
      </c>
      <c r="E71" s="29">
        <v>15</v>
      </c>
      <c r="F71" s="7">
        <v>60</v>
      </c>
      <c r="G71" s="7">
        <v>15</v>
      </c>
      <c r="H71" s="53" t="s">
        <v>69</v>
      </c>
      <c r="I71" s="7" t="s">
        <v>109</v>
      </c>
      <c r="J71" s="7" t="s">
        <v>130</v>
      </c>
      <c r="K71" s="11">
        <v>0.88541666666666663</v>
      </c>
      <c r="L71" s="7" t="s">
        <v>109</v>
      </c>
      <c r="M71" s="7" t="s">
        <v>109</v>
      </c>
      <c r="N71" s="29" t="s">
        <v>109</v>
      </c>
      <c r="O71" s="29" t="s">
        <v>868</v>
      </c>
      <c r="P71" s="7" t="s">
        <v>131</v>
      </c>
      <c r="Q71" s="7" t="s">
        <v>69</v>
      </c>
      <c r="R71" s="7" t="s">
        <v>62</v>
      </c>
      <c r="S71" s="7" t="s">
        <v>109</v>
      </c>
      <c r="T71" s="7" t="s">
        <v>109</v>
      </c>
      <c r="U71" s="28" t="str">
        <f t="shared" si="2"/>
        <v>Not Met</v>
      </c>
      <c r="V71" s="7" t="s">
        <v>109</v>
      </c>
      <c r="W71" s="29" t="s">
        <v>142</v>
      </c>
    </row>
    <row r="72" spans="1:23" x14ac:dyDescent="0.3">
      <c r="A72" s="7">
        <v>71</v>
      </c>
      <c r="B72" s="29" t="s">
        <v>23</v>
      </c>
      <c r="C72" s="29" t="s">
        <v>743</v>
      </c>
      <c r="D72" s="29">
        <v>50126124</v>
      </c>
      <c r="E72" s="29">
        <v>40</v>
      </c>
      <c r="F72" s="7">
        <v>81</v>
      </c>
      <c r="G72" s="7">
        <v>50</v>
      </c>
      <c r="H72" s="53" t="s">
        <v>200</v>
      </c>
      <c r="I72" s="7" t="s">
        <v>109</v>
      </c>
      <c r="J72" s="7" t="s">
        <v>130</v>
      </c>
      <c r="K72" s="11">
        <v>0.72569444444444442</v>
      </c>
      <c r="L72" s="7" t="s">
        <v>109</v>
      </c>
      <c r="M72" s="7" t="s">
        <v>109</v>
      </c>
      <c r="N72" s="29" t="s">
        <v>109</v>
      </c>
      <c r="O72" s="29" t="s">
        <v>868</v>
      </c>
      <c r="P72" s="7" t="s">
        <v>131</v>
      </c>
      <c r="Q72" s="7" t="s">
        <v>200</v>
      </c>
      <c r="R72" s="7" t="s">
        <v>62</v>
      </c>
      <c r="S72" s="7" t="s">
        <v>109</v>
      </c>
      <c r="T72" s="7" t="s">
        <v>109</v>
      </c>
      <c r="U72" s="28" t="str">
        <f t="shared" si="2"/>
        <v>Met</v>
      </c>
      <c r="V72" s="7" t="s">
        <v>109</v>
      </c>
      <c r="W72" s="29" t="s">
        <v>278</v>
      </c>
    </row>
    <row r="73" spans="1:23" x14ac:dyDescent="0.3">
      <c r="A73" s="7">
        <v>72</v>
      </c>
      <c r="B73" s="29" t="s">
        <v>135</v>
      </c>
      <c r="C73" s="29" t="s">
        <v>329</v>
      </c>
      <c r="D73" s="29">
        <v>20126003</v>
      </c>
      <c r="E73" s="29">
        <v>50</v>
      </c>
      <c r="F73" s="7">
        <v>19</v>
      </c>
      <c r="G73" s="7">
        <v>6</v>
      </c>
      <c r="H73" s="53" t="s">
        <v>241</v>
      </c>
      <c r="I73" s="7" t="s">
        <v>90</v>
      </c>
      <c r="J73" s="7" t="s">
        <v>130</v>
      </c>
      <c r="K73" s="11">
        <v>0.88611111111111107</v>
      </c>
      <c r="L73" s="58">
        <v>0.92013888888888884</v>
      </c>
      <c r="M73" s="7" t="s">
        <v>109</v>
      </c>
      <c r="N73" s="29" t="s">
        <v>109</v>
      </c>
      <c r="O73" s="29" t="s">
        <v>61</v>
      </c>
      <c r="P73" s="7" t="s">
        <v>131</v>
      </c>
      <c r="Q73" s="7" t="s">
        <v>90</v>
      </c>
      <c r="R73" s="7" t="s">
        <v>62</v>
      </c>
      <c r="S73" s="7" t="s">
        <v>109</v>
      </c>
      <c r="T73" s="7" t="s">
        <v>109</v>
      </c>
      <c r="U73" s="28" t="str">
        <f t="shared" si="2"/>
        <v>Met</v>
      </c>
      <c r="V73" s="7" t="s">
        <v>109</v>
      </c>
      <c r="W73" s="29" t="s">
        <v>112</v>
      </c>
    </row>
    <row r="74" spans="1:23" x14ac:dyDescent="0.3">
      <c r="A74" s="7">
        <v>73</v>
      </c>
      <c r="B74" s="29" t="s">
        <v>135</v>
      </c>
      <c r="C74" s="29" t="s">
        <v>132</v>
      </c>
      <c r="D74" s="29">
        <v>20126004</v>
      </c>
      <c r="E74" s="29">
        <v>50</v>
      </c>
      <c r="F74" s="7">
        <v>23</v>
      </c>
      <c r="G74" s="7">
        <v>5</v>
      </c>
      <c r="H74" s="53" t="s">
        <v>241</v>
      </c>
      <c r="I74" s="7" t="s">
        <v>93</v>
      </c>
      <c r="J74" s="7" t="s">
        <v>130</v>
      </c>
      <c r="K74" s="11">
        <v>0.83750000000000002</v>
      </c>
      <c r="L74" s="58">
        <v>0.88472222222222219</v>
      </c>
      <c r="M74" s="7" t="s">
        <v>109</v>
      </c>
      <c r="N74" s="29" t="s">
        <v>109</v>
      </c>
      <c r="O74" s="29" t="s">
        <v>61</v>
      </c>
      <c r="P74" s="7" t="s">
        <v>131</v>
      </c>
      <c r="Q74" s="7" t="s">
        <v>93</v>
      </c>
      <c r="R74" s="7" t="s">
        <v>62</v>
      </c>
      <c r="S74" s="7" t="s">
        <v>109</v>
      </c>
      <c r="T74" s="7" t="s">
        <v>109</v>
      </c>
      <c r="U74" s="28" t="str">
        <f t="shared" si="2"/>
        <v>Met</v>
      </c>
      <c r="V74" s="7" t="s">
        <v>109</v>
      </c>
      <c r="W74" s="29" t="s">
        <v>112</v>
      </c>
    </row>
    <row r="75" spans="1:23" x14ac:dyDescent="0.3">
      <c r="A75" s="7">
        <v>74</v>
      </c>
      <c r="B75" s="29" t="s">
        <v>411</v>
      </c>
      <c r="C75" s="29" t="s">
        <v>412</v>
      </c>
      <c r="D75" s="29">
        <v>30126001</v>
      </c>
      <c r="E75" s="29">
        <v>110</v>
      </c>
      <c r="F75" s="7">
        <v>157</v>
      </c>
      <c r="G75" s="7">
        <v>116</v>
      </c>
      <c r="H75" s="7" t="s">
        <v>960</v>
      </c>
      <c r="I75" s="7" t="s">
        <v>961</v>
      </c>
      <c r="J75" s="7" t="s">
        <v>130</v>
      </c>
      <c r="K75" s="11">
        <v>0.85277777777777775</v>
      </c>
      <c r="L75" s="58">
        <v>0.88888888888888884</v>
      </c>
      <c r="M75" s="7" t="s">
        <v>109</v>
      </c>
      <c r="N75" s="29" t="s">
        <v>109</v>
      </c>
      <c r="O75" s="29" t="s">
        <v>61</v>
      </c>
      <c r="P75" s="7" t="s">
        <v>131</v>
      </c>
      <c r="Q75" s="7" t="s">
        <v>999</v>
      </c>
      <c r="R75" s="7" t="s">
        <v>62</v>
      </c>
      <c r="S75" s="7" t="s">
        <v>109</v>
      </c>
      <c r="T75" s="7" t="s">
        <v>109</v>
      </c>
      <c r="U75" s="28" t="str">
        <f t="shared" si="2"/>
        <v>Not Met</v>
      </c>
      <c r="V75" s="7" t="s">
        <v>109</v>
      </c>
      <c r="W75" s="29" t="s">
        <v>413</v>
      </c>
    </row>
    <row r="76" spans="1:23" x14ac:dyDescent="0.3">
      <c r="A76" s="7">
        <v>75</v>
      </c>
      <c r="B76" s="29" t="s">
        <v>414</v>
      </c>
      <c r="C76" s="29" t="s">
        <v>418</v>
      </c>
      <c r="D76" s="29">
        <v>40126011</v>
      </c>
      <c r="E76" s="29">
        <v>210</v>
      </c>
      <c r="F76" s="7">
        <v>397</v>
      </c>
      <c r="G76" s="7">
        <v>189</v>
      </c>
      <c r="H76" s="7" t="s">
        <v>962</v>
      </c>
      <c r="I76" s="7" t="s">
        <v>963</v>
      </c>
      <c r="J76" s="7" t="s">
        <v>130</v>
      </c>
      <c r="K76" s="11">
        <v>0.84027777777777779</v>
      </c>
      <c r="L76" s="58">
        <v>0.85347222222222219</v>
      </c>
      <c r="M76" s="7" t="s">
        <v>109</v>
      </c>
      <c r="N76" s="32" t="s">
        <v>964</v>
      </c>
      <c r="O76" s="29" t="s">
        <v>61</v>
      </c>
      <c r="P76" s="7" t="s">
        <v>131</v>
      </c>
      <c r="Q76" s="7" t="s">
        <v>209</v>
      </c>
      <c r="R76" s="7" t="s">
        <v>62</v>
      </c>
      <c r="S76" s="7" t="s">
        <v>109</v>
      </c>
      <c r="T76" s="7" t="s">
        <v>109</v>
      </c>
      <c r="U76" s="28" t="str">
        <f t="shared" si="2"/>
        <v>Not Met</v>
      </c>
      <c r="V76" s="7" t="s">
        <v>109</v>
      </c>
      <c r="W76" s="29" t="s">
        <v>416</v>
      </c>
    </row>
    <row r="77" spans="1:23" x14ac:dyDescent="0.3">
      <c r="A77" s="7">
        <v>76</v>
      </c>
      <c r="B77" s="29" t="s">
        <v>414</v>
      </c>
      <c r="C77" s="29" t="s">
        <v>419</v>
      </c>
      <c r="D77" s="29">
        <v>40126012</v>
      </c>
      <c r="E77" s="29">
        <v>275</v>
      </c>
      <c r="F77" s="7">
        <v>529</v>
      </c>
      <c r="G77" s="7">
        <v>246</v>
      </c>
      <c r="H77" s="7" t="s">
        <v>965</v>
      </c>
      <c r="I77" s="7" t="s">
        <v>966</v>
      </c>
      <c r="J77" s="7" t="s">
        <v>130</v>
      </c>
      <c r="K77" s="11">
        <v>0.78194444444444444</v>
      </c>
      <c r="L77" s="58">
        <v>0.81944444444444442</v>
      </c>
      <c r="M77" s="7" t="s">
        <v>109</v>
      </c>
      <c r="N77" s="32" t="s">
        <v>964</v>
      </c>
      <c r="O77" s="29" t="s">
        <v>61</v>
      </c>
      <c r="P77" s="7" t="s">
        <v>131</v>
      </c>
      <c r="Q77" s="7" t="s">
        <v>90</v>
      </c>
      <c r="R77" s="7" t="s">
        <v>62</v>
      </c>
      <c r="S77" s="7" t="s">
        <v>109</v>
      </c>
      <c r="T77" s="7" t="s">
        <v>109</v>
      </c>
      <c r="U77" s="28" t="str">
        <f t="shared" si="2"/>
        <v>Met</v>
      </c>
      <c r="V77" s="7" t="s">
        <v>109</v>
      </c>
      <c r="W77" s="29" t="s">
        <v>416</v>
      </c>
    </row>
    <row r="78" spans="1:23" x14ac:dyDescent="0.3">
      <c r="A78" s="7">
        <v>77</v>
      </c>
      <c r="B78" s="29" t="s">
        <v>414</v>
      </c>
      <c r="C78" s="29" t="s">
        <v>421</v>
      </c>
      <c r="D78" s="29">
        <v>40126013</v>
      </c>
      <c r="E78" s="29">
        <v>410</v>
      </c>
      <c r="F78" s="7">
        <v>299</v>
      </c>
      <c r="G78" s="7">
        <v>161</v>
      </c>
      <c r="H78" s="7" t="s">
        <v>967</v>
      </c>
      <c r="I78" s="7" t="s">
        <v>968</v>
      </c>
      <c r="J78" s="7" t="s">
        <v>130</v>
      </c>
      <c r="K78" s="11">
        <v>0.7319444444444444</v>
      </c>
      <c r="L78" s="58">
        <v>0.76875000000000004</v>
      </c>
      <c r="M78" s="7" t="s">
        <v>109</v>
      </c>
      <c r="N78" s="32" t="s">
        <v>964</v>
      </c>
      <c r="O78" s="29" t="s">
        <v>61</v>
      </c>
      <c r="P78" s="7" t="s">
        <v>131</v>
      </c>
      <c r="Q78" s="7" t="s">
        <v>94</v>
      </c>
      <c r="R78" s="7" t="s">
        <v>62</v>
      </c>
      <c r="S78" s="7" t="s">
        <v>109</v>
      </c>
      <c r="T78" s="7" t="s">
        <v>109</v>
      </c>
      <c r="U78" s="28" t="str">
        <f t="shared" si="2"/>
        <v>Met</v>
      </c>
      <c r="V78" s="7" t="s">
        <v>109</v>
      </c>
      <c r="W78" s="29" t="s">
        <v>416</v>
      </c>
    </row>
    <row r="79" spans="1:23" x14ac:dyDescent="0.3">
      <c r="A79" s="7">
        <v>78</v>
      </c>
      <c r="B79" s="29" t="s">
        <v>414</v>
      </c>
      <c r="C79" s="29" t="s">
        <v>415</v>
      </c>
      <c r="D79" s="29">
        <v>40126009</v>
      </c>
      <c r="E79" s="29">
        <v>175</v>
      </c>
      <c r="F79" s="7">
        <v>276</v>
      </c>
      <c r="G79" s="7">
        <v>167</v>
      </c>
      <c r="H79" s="7" t="s">
        <v>969</v>
      </c>
      <c r="I79" s="7" t="s">
        <v>970</v>
      </c>
      <c r="J79" s="7" t="s">
        <v>130</v>
      </c>
      <c r="K79" s="11">
        <v>0.78611111111111109</v>
      </c>
      <c r="L79" s="58">
        <v>0.82638888888888884</v>
      </c>
      <c r="M79" s="7" t="s">
        <v>109</v>
      </c>
      <c r="N79" s="32" t="s">
        <v>964</v>
      </c>
      <c r="O79" s="29" t="s">
        <v>61</v>
      </c>
      <c r="P79" s="7" t="s">
        <v>131</v>
      </c>
      <c r="Q79" s="7" t="s">
        <v>91</v>
      </c>
      <c r="R79" s="7" t="s">
        <v>62</v>
      </c>
      <c r="S79" s="7" t="s">
        <v>109</v>
      </c>
      <c r="T79" s="7" t="s">
        <v>109</v>
      </c>
      <c r="U79" s="28" t="str">
        <f t="shared" si="2"/>
        <v>Not Met</v>
      </c>
      <c r="V79" s="7" t="s">
        <v>109</v>
      </c>
      <c r="W79" s="29" t="s">
        <v>416</v>
      </c>
    </row>
    <row r="80" spans="1:23" x14ac:dyDescent="0.3">
      <c r="A80" s="7">
        <v>79</v>
      </c>
      <c r="B80" s="29" t="s">
        <v>414</v>
      </c>
      <c r="C80" s="29" t="s">
        <v>422</v>
      </c>
      <c r="D80" s="29">
        <v>40126014</v>
      </c>
      <c r="E80" s="29">
        <v>450</v>
      </c>
      <c r="F80" s="7">
        <v>310</v>
      </c>
      <c r="G80" s="7">
        <v>161</v>
      </c>
      <c r="H80" s="7" t="s">
        <v>1000</v>
      </c>
      <c r="I80" s="7" t="s">
        <v>1001</v>
      </c>
      <c r="J80" s="7" t="s">
        <v>130</v>
      </c>
      <c r="K80" s="11">
        <v>0.74444444444444446</v>
      </c>
      <c r="L80" s="58">
        <v>0.75972222222222219</v>
      </c>
      <c r="M80" s="7" t="s">
        <v>109</v>
      </c>
      <c r="N80" s="32" t="s">
        <v>964</v>
      </c>
      <c r="O80" s="29" t="s">
        <v>61</v>
      </c>
      <c r="P80" s="7" t="s">
        <v>131</v>
      </c>
      <c r="Q80" s="7" t="s">
        <v>86</v>
      </c>
      <c r="R80" s="7" t="s">
        <v>62</v>
      </c>
      <c r="S80" s="7" t="s">
        <v>109</v>
      </c>
      <c r="T80" s="7" t="s">
        <v>109</v>
      </c>
      <c r="U80" s="28" t="str">
        <f t="shared" si="2"/>
        <v>Not Met</v>
      </c>
      <c r="V80" s="7" t="s">
        <v>109</v>
      </c>
      <c r="W80" s="29" t="s">
        <v>416</v>
      </c>
    </row>
    <row r="81" spans="1:23" x14ac:dyDescent="0.3">
      <c r="A81" s="7">
        <v>80</v>
      </c>
      <c r="B81" s="29" t="s">
        <v>414</v>
      </c>
      <c r="C81" s="29" t="s">
        <v>417</v>
      </c>
      <c r="D81" s="29">
        <v>40126010</v>
      </c>
      <c r="E81" s="29">
        <v>345</v>
      </c>
      <c r="F81" s="7">
        <v>696</v>
      </c>
      <c r="G81" s="7">
        <v>239</v>
      </c>
      <c r="H81" s="7" t="s">
        <v>971</v>
      </c>
      <c r="I81" s="7" t="s">
        <v>972</v>
      </c>
      <c r="J81" s="7" t="s">
        <v>130</v>
      </c>
      <c r="K81" s="11">
        <v>0.80763888888888891</v>
      </c>
      <c r="L81" s="58">
        <v>0.97083333333333333</v>
      </c>
      <c r="M81" s="7" t="s">
        <v>109</v>
      </c>
      <c r="N81" s="32" t="s">
        <v>964</v>
      </c>
      <c r="O81" s="29" t="s">
        <v>61</v>
      </c>
      <c r="P81" s="7" t="s">
        <v>131</v>
      </c>
      <c r="Q81" s="7" t="s">
        <v>1004</v>
      </c>
      <c r="R81" s="7" t="s">
        <v>62</v>
      </c>
      <c r="S81" s="7" t="s">
        <v>109</v>
      </c>
      <c r="T81" s="7" t="s">
        <v>109</v>
      </c>
      <c r="U81" s="28" t="str">
        <f t="shared" si="2"/>
        <v>Not Met</v>
      </c>
      <c r="V81" s="7" t="s">
        <v>109</v>
      </c>
      <c r="W81" s="29" t="s">
        <v>416</v>
      </c>
    </row>
    <row r="82" spans="1:23" x14ac:dyDescent="0.3">
      <c r="A82" s="7">
        <v>81</v>
      </c>
      <c r="B82" s="29" t="s">
        <v>23</v>
      </c>
      <c r="C82" s="29" t="s">
        <v>286</v>
      </c>
      <c r="D82" s="29">
        <v>51125166</v>
      </c>
      <c r="E82" s="29">
        <v>40</v>
      </c>
      <c r="F82" s="7">
        <v>68</v>
      </c>
      <c r="G82" s="7">
        <v>42</v>
      </c>
      <c r="H82" s="53" t="s">
        <v>71</v>
      </c>
      <c r="I82" s="7" t="s">
        <v>109</v>
      </c>
      <c r="J82" s="7" t="s">
        <v>130</v>
      </c>
      <c r="K82" s="11">
        <v>0.80833333333333335</v>
      </c>
      <c r="L82" s="7" t="s">
        <v>109</v>
      </c>
      <c r="M82" s="7" t="s">
        <v>109</v>
      </c>
      <c r="N82" s="29" t="s">
        <v>109</v>
      </c>
      <c r="O82" s="29" t="s">
        <v>61</v>
      </c>
      <c r="P82" s="7" t="s">
        <v>131</v>
      </c>
      <c r="Q82" s="7" t="s">
        <v>71</v>
      </c>
      <c r="R82" s="7" t="s">
        <v>62</v>
      </c>
      <c r="S82" s="7" t="s">
        <v>109</v>
      </c>
      <c r="T82" s="7" t="s">
        <v>109</v>
      </c>
      <c r="U82" s="28" t="str">
        <f t="shared" si="2"/>
        <v>Met</v>
      </c>
      <c r="V82" s="7" t="s">
        <v>109</v>
      </c>
      <c r="W82" s="29" t="s">
        <v>289</v>
      </c>
    </row>
    <row r="83" spans="1:23" x14ac:dyDescent="0.3">
      <c r="A83" s="7">
        <v>82</v>
      </c>
      <c r="B83" s="29" t="s">
        <v>23</v>
      </c>
      <c r="C83" s="29" t="s">
        <v>355</v>
      </c>
      <c r="D83" s="29">
        <v>51125135</v>
      </c>
      <c r="E83" s="29">
        <v>200</v>
      </c>
      <c r="F83" s="7">
        <v>376</v>
      </c>
      <c r="G83" s="7">
        <v>154</v>
      </c>
      <c r="H83" s="7" t="s">
        <v>973</v>
      </c>
      <c r="I83" s="7" t="s">
        <v>109</v>
      </c>
      <c r="J83" s="7" t="s">
        <v>130</v>
      </c>
      <c r="K83" s="11">
        <v>1.6666666666666666E-2</v>
      </c>
      <c r="L83" s="7" t="s">
        <v>109</v>
      </c>
      <c r="M83" s="7" t="s">
        <v>109</v>
      </c>
      <c r="N83" s="29" t="s">
        <v>109</v>
      </c>
      <c r="O83" s="29" t="s">
        <v>61</v>
      </c>
      <c r="P83" s="7" t="s">
        <v>131</v>
      </c>
      <c r="Q83" s="7" t="s">
        <v>68</v>
      </c>
      <c r="R83" s="7" t="s">
        <v>62</v>
      </c>
      <c r="S83" s="7" t="s">
        <v>109</v>
      </c>
      <c r="T83" s="7" t="s">
        <v>109</v>
      </c>
      <c r="U83" s="28" t="str">
        <f t="shared" si="2"/>
        <v>Met</v>
      </c>
      <c r="V83" s="7" t="s">
        <v>109</v>
      </c>
      <c r="W83" s="29" t="s">
        <v>289</v>
      </c>
    </row>
    <row r="84" spans="1:23" x14ac:dyDescent="0.3">
      <c r="A84" s="7">
        <v>83</v>
      </c>
      <c r="B84" s="29" t="s">
        <v>23</v>
      </c>
      <c r="C84" s="29" t="s">
        <v>462</v>
      </c>
      <c r="D84" s="29">
        <v>51125209</v>
      </c>
      <c r="E84" s="29">
        <v>100</v>
      </c>
      <c r="F84" s="7">
        <v>163</v>
      </c>
      <c r="G84" s="7">
        <v>46</v>
      </c>
      <c r="H84" s="53" t="s">
        <v>214</v>
      </c>
      <c r="I84" s="7" t="s">
        <v>109</v>
      </c>
      <c r="J84" s="7" t="s">
        <v>130</v>
      </c>
      <c r="K84" s="11">
        <v>1.5972222222222221E-2</v>
      </c>
      <c r="L84" s="7" t="s">
        <v>109</v>
      </c>
      <c r="M84" s="7" t="s">
        <v>109</v>
      </c>
      <c r="N84" s="29" t="s">
        <v>109</v>
      </c>
      <c r="O84" s="29" t="s">
        <v>61</v>
      </c>
      <c r="P84" s="7" t="s">
        <v>131</v>
      </c>
      <c r="Q84" s="7" t="s">
        <v>214</v>
      </c>
      <c r="R84" s="7" t="s">
        <v>62</v>
      </c>
      <c r="S84" s="7" t="s">
        <v>109</v>
      </c>
      <c r="T84" s="7" t="s">
        <v>109</v>
      </c>
      <c r="U84" s="28" t="str">
        <f t="shared" si="2"/>
        <v>Not Met</v>
      </c>
      <c r="V84" s="7" t="s">
        <v>109</v>
      </c>
      <c r="W84" s="29" t="s">
        <v>464</v>
      </c>
    </row>
    <row r="85" spans="1:23" x14ac:dyDescent="0.3">
      <c r="A85" s="7">
        <v>84</v>
      </c>
      <c r="B85" s="29" t="s">
        <v>23</v>
      </c>
      <c r="C85" s="29" t="s">
        <v>689</v>
      </c>
      <c r="D85" s="29">
        <v>50126126</v>
      </c>
      <c r="E85" s="29">
        <v>125</v>
      </c>
      <c r="F85" s="7">
        <v>209</v>
      </c>
      <c r="G85" s="7">
        <v>98</v>
      </c>
      <c r="H85" s="7" t="s">
        <v>1002</v>
      </c>
      <c r="I85" s="7" t="s">
        <v>109</v>
      </c>
      <c r="J85" s="7" t="s">
        <v>130</v>
      </c>
      <c r="K85" s="11">
        <v>0.99027777777777781</v>
      </c>
      <c r="L85" s="7" t="s">
        <v>109</v>
      </c>
      <c r="M85" s="7" t="s">
        <v>109</v>
      </c>
      <c r="N85" s="29" t="s">
        <v>109</v>
      </c>
      <c r="O85" s="29" t="s">
        <v>61</v>
      </c>
      <c r="P85" s="7" t="s">
        <v>131</v>
      </c>
      <c r="Q85" s="7" t="s">
        <v>84</v>
      </c>
      <c r="R85" s="7" t="s">
        <v>62</v>
      </c>
      <c r="S85" s="7" t="s">
        <v>109</v>
      </c>
      <c r="T85" s="7" t="s">
        <v>109</v>
      </c>
      <c r="U85" s="28" t="str">
        <f t="shared" si="2"/>
        <v>Not Met</v>
      </c>
      <c r="V85" s="7" t="s">
        <v>109</v>
      </c>
      <c r="W85" s="29" t="s">
        <v>351</v>
      </c>
    </row>
    <row r="86" spans="1:23" x14ac:dyDescent="0.3">
      <c r="A86" s="7">
        <v>85</v>
      </c>
      <c r="B86" s="29" t="s">
        <v>23</v>
      </c>
      <c r="C86" s="29" t="s">
        <v>690</v>
      </c>
      <c r="D86" s="29">
        <v>50126127</v>
      </c>
      <c r="E86" s="29">
        <v>150</v>
      </c>
      <c r="F86" s="7">
        <v>290</v>
      </c>
      <c r="G86" s="7">
        <v>95</v>
      </c>
      <c r="H86" s="7" t="s">
        <v>974</v>
      </c>
      <c r="I86" s="7" t="s">
        <v>109</v>
      </c>
      <c r="J86" s="7" t="s">
        <v>130</v>
      </c>
      <c r="K86" s="11">
        <v>0.90416666666666667</v>
      </c>
      <c r="L86" s="7" t="s">
        <v>109</v>
      </c>
      <c r="M86" s="7" t="s">
        <v>109</v>
      </c>
      <c r="N86" s="29" t="s">
        <v>109</v>
      </c>
      <c r="O86" s="29" t="s">
        <v>61</v>
      </c>
      <c r="P86" s="7" t="s">
        <v>131</v>
      </c>
      <c r="Q86" s="7" t="s">
        <v>84</v>
      </c>
      <c r="R86" s="7" t="s">
        <v>62</v>
      </c>
      <c r="S86" s="7" t="s">
        <v>109</v>
      </c>
      <c r="T86" s="7" t="s">
        <v>109</v>
      </c>
      <c r="U86" s="28" t="str">
        <f t="shared" si="2"/>
        <v>Not Met</v>
      </c>
      <c r="V86" s="7" t="s">
        <v>109</v>
      </c>
      <c r="W86" s="29" t="s">
        <v>351</v>
      </c>
    </row>
    <row r="87" spans="1:23" x14ac:dyDescent="0.3">
      <c r="A87" s="7">
        <v>86</v>
      </c>
      <c r="B87" s="29" t="s">
        <v>23</v>
      </c>
      <c r="C87" s="29" t="s">
        <v>692</v>
      </c>
      <c r="D87" s="29">
        <v>50126125</v>
      </c>
      <c r="E87" s="29">
        <v>135</v>
      </c>
      <c r="F87" s="7">
        <v>298</v>
      </c>
      <c r="G87" s="7">
        <v>127</v>
      </c>
      <c r="H87" s="53" t="s">
        <v>975</v>
      </c>
      <c r="I87" s="7" t="s">
        <v>109</v>
      </c>
      <c r="J87" s="7" t="s">
        <v>130</v>
      </c>
      <c r="K87" s="11">
        <v>6.9444444444444447E-4</v>
      </c>
      <c r="L87" s="7" t="s">
        <v>109</v>
      </c>
      <c r="M87" s="7" t="s">
        <v>109</v>
      </c>
      <c r="N87" s="29" t="s">
        <v>109</v>
      </c>
      <c r="O87" s="29" t="s">
        <v>61</v>
      </c>
      <c r="P87" s="7" t="s">
        <v>131</v>
      </c>
      <c r="Q87" s="7" t="s">
        <v>222</v>
      </c>
      <c r="R87" s="7" t="s">
        <v>62</v>
      </c>
      <c r="S87" s="7" t="s">
        <v>109</v>
      </c>
      <c r="T87" s="7" t="s">
        <v>109</v>
      </c>
      <c r="U87" s="28" t="str">
        <f t="shared" si="2"/>
        <v>Met</v>
      </c>
      <c r="V87" s="7" t="s">
        <v>109</v>
      </c>
      <c r="W87" s="29" t="s">
        <v>351</v>
      </c>
    </row>
    <row r="88" spans="1:23" x14ac:dyDescent="0.3">
      <c r="A88" s="7">
        <v>87</v>
      </c>
      <c r="B88" s="29" t="s">
        <v>23</v>
      </c>
      <c r="C88" s="29" t="s">
        <v>976</v>
      </c>
      <c r="D88" s="29">
        <v>50126279</v>
      </c>
      <c r="E88" s="29">
        <v>50</v>
      </c>
      <c r="F88" s="7">
        <v>91</v>
      </c>
      <c r="G88" s="7">
        <v>7</v>
      </c>
      <c r="H88" s="53" t="s">
        <v>65</v>
      </c>
      <c r="I88" s="7" t="s">
        <v>87</v>
      </c>
      <c r="J88" s="7" t="s">
        <v>130</v>
      </c>
      <c r="K88" s="11">
        <v>0.85902777777777772</v>
      </c>
      <c r="L88" s="58">
        <v>0.88472222222222219</v>
      </c>
      <c r="M88" s="7" t="s">
        <v>109</v>
      </c>
      <c r="N88" s="29" t="s">
        <v>109</v>
      </c>
      <c r="O88" s="29" t="s">
        <v>61</v>
      </c>
      <c r="P88" s="7" t="s">
        <v>131</v>
      </c>
      <c r="Q88" s="7" t="s">
        <v>87</v>
      </c>
      <c r="R88" s="7" t="s">
        <v>62</v>
      </c>
      <c r="S88" s="7" t="s">
        <v>109</v>
      </c>
      <c r="T88" s="7" t="s">
        <v>109</v>
      </c>
      <c r="U88" s="28" t="str">
        <f t="shared" si="2"/>
        <v>Met</v>
      </c>
      <c r="V88" s="7" t="s">
        <v>109</v>
      </c>
      <c r="W88" s="29" t="s">
        <v>480</v>
      </c>
    </row>
    <row r="89" spans="1:23" x14ac:dyDescent="0.3">
      <c r="A89" s="7">
        <v>88</v>
      </c>
      <c r="B89" s="29" t="s">
        <v>23</v>
      </c>
      <c r="C89" s="29" t="s">
        <v>977</v>
      </c>
      <c r="D89" s="29">
        <v>50126274</v>
      </c>
      <c r="E89" s="29">
        <v>100</v>
      </c>
      <c r="F89" s="7">
        <v>126</v>
      </c>
      <c r="G89" s="7">
        <v>102</v>
      </c>
      <c r="H89" s="53" t="s">
        <v>67</v>
      </c>
      <c r="I89" s="7" t="s">
        <v>109</v>
      </c>
      <c r="J89" s="7" t="s">
        <v>130</v>
      </c>
      <c r="K89" s="11">
        <v>0.97013888888888888</v>
      </c>
      <c r="L89" s="7" t="s">
        <v>109</v>
      </c>
      <c r="M89" s="7" t="s">
        <v>109</v>
      </c>
      <c r="N89" s="29" t="s">
        <v>109</v>
      </c>
      <c r="O89" s="29" t="s">
        <v>61</v>
      </c>
      <c r="P89" s="7" t="s">
        <v>131</v>
      </c>
      <c r="Q89" s="7" t="s">
        <v>67</v>
      </c>
      <c r="R89" s="7" t="s">
        <v>62</v>
      </c>
      <c r="S89" s="7" t="s">
        <v>109</v>
      </c>
      <c r="T89" s="7" t="s">
        <v>109</v>
      </c>
      <c r="U89" s="28" t="str">
        <f t="shared" si="2"/>
        <v>Met</v>
      </c>
      <c r="V89" s="7" t="s">
        <v>109</v>
      </c>
      <c r="W89" s="29" t="s">
        <v>334</v>
      </c>
    </row>
    <row r="90" spans="1:23" x14ac:dyDescent="0.3">
      <c r="A90" s="7">
        <v>89</v>
      </c>
      <c r="B90" s="29" t="s">
        <v>23</v>
      </c>
      <c r="C90" s="29" t="s">
        <v>978</v>
      </c>
      <c r="D90" s="29">
        <v>50126276</v>
      </c>
      <c r="E90" s="29">
        <v>175</v>
      </c>
      <c r="F90" s="7">
        <v>219</v>
      </c>
      <c r="G90" s="7">
        <v>179</v>
      </c>
      <c r="H90" s="7" t="s">
        <v>979</v>
      </c>
      <c r="I90" s="7" t="s">
        <v>109</v>
      </c>
      <c r="J90" s="7" t="s">
        <v>130</v>
      </c>
      <c r="K90" s="11">
        <v>0.89444444444444449</v>
      </c>
      <c r="L90" s="7" t="s">
        <v>109</v>
      </c>
      <c r="M90" s="7" t="s">
        <v>109</v>
      </c>
      <c r="N90" s="29" t="s">
        <v>109</v>
      </c>
      <c r="O90" s="29" t="s">
        <v>61</v>
      </c>
      <c r="P90" s="7" t="s">
        <v>131</v>
      </c>
      <c r="Q90" s="7" t="s">
        <v>154</v>
      </c>
      <c r="R90" s="7" t="s">
        <v>62</v>
      </c>
      <c r="S90" s="7" t="s">
        <v>109</v>
      </c>
      <c r="T90" s="7" t="s">
        <v>109</v>
      </c>
      <c r="U90" s="28" t="str">
        <f t="shared" si="2"/>
        <v>Met</v>
      </c>
      <c r="V90" s="7" t="s">
        <v>109</v>
      </c>
      <c r="W90" s="29" t="s">
        <v>334</v>
      </c>
    </row>
    <row r="91" spans="1:23" x14ac:dyDescent="0.3">
      <c r="A91" s="7">
        <v>90</v>
      </c>
      <c r="B91" s="29" t="s">
        <v>23</v>
      </c>
      <c r="C91" s="29" t="s">
        <v>980</v>
      </c>
      <c r="D91" s="29">
        <v>50126278</v>
      </c>
      <c r="E91" s="29">
        <v>200</v>
      </c>
      <c r="F91" s="7">
        <v>339</v>
      </c>
      <c r="G91" s="7">
        <v>212</v>
      </c>
      <c r="H91" s="7" t="s">
        <v>924</v>
      </c>
      <c r="I91" s="7" t="s">
        <v>109</v>
      </c>
      <c r="J91" s="7" t="s">
        <v>130</v>
      </c>
      <c r="K91" s="11">
        <v>0.94374999999999998</v>
      </c>
      <c r="L91" s="7" t="s">
        <v>109</v>
      </c>
      <c r="M91" s="7" t="s">
        <v>109</v>
      </c>
      <c r="N91" s="29" t="s">
        <v>109</v>
      </c>
      <c r="O91" s="29" t="s">
        <v>61</v>
      </c>
      <c r="P91" s="7" t="s">
        <v>131</v>
      </c>
      <c r="Q91" s="7" t="s">
        <v>241</v>
      </c>
      <c r="R91" s="7" t="s">
        <v>62</v>
      </c>
      <c r="S91" s="7" t="s">
        <v>109</v>
      </c>
      <c r="T91" s="7" t="s">
        <v>109</v>
      </c>
      <c r="U91" s="28" t="str">
        <f t="shared" si="2"/>
        <v>Met</v>
      </c>
      <c r="V91" s="7" t="s">
        <v>109</v>
      </c>
      <c r="W91" s="29" t="s">
        <v>334</v>
      </c>
    </row>
    <row r="92" spans="1:23" x14ac:dyDescent="0.3">
      <c r="A92" s="7">
        <v>91</v>
      </c>
      <c r="B92" s="29" t="s">
        <v>23</v>
      </c>
      <c r="C92" s="29" t="s">
        <v>981</v>
      </c>
      <c r="D92" s="29">
        <v>50126275</v>
      </c>
      <c r="E92" s="29">
        <v>150</v>
      </c>
      <c r="F92" s="7">
        <v>226</v>
      </c>
      <c r="G92" s="7">
        <v>147</v>
      </c>
      <c r="H92" s="7" t="s">
        <v>963</v>
      </c>
      <c r="I92" s="7" t="s">
        <v>109</v>
      </c>
      <c r="J92" s="7" t="s">
        <v>130</v>
      </c>
      <c r="K92" s="11">
        <v>0.79374999999999996</v>
      </c>
      <c r="L92" s="7" t="s">
        <v>109</v>
      </c>
      <c r="M92" s="7" t="s">
        <v>109</v>
      </c>
      <c r="N92" s="29" t="s">
        <v>109</v>
      </c>
      <c r="O92" s="29" t="s">
        <v>61</v>
      </c>
      <c r="P92" s="7" t="s">
        <v>131</v>
      </c>
      <c r="Q92" s="7" t="s">
        <v>88</v>
      </c>
      <c r="R92" s="7" t="s">
        <v>62</v>
      </c>
      <c r="S92" s="7" t="s">
        <v>109</v>
      </c>
      <c r="T92" s="7" t="s">
        <v>109</v>
      </c>
      <c r="U92" s="28" t="str">
        <f t="shared" si="2"/>
        <v>Met</v>
      </c>
      <c r="V92" s="7" t="s">
        <v>109</v>
      </c>
      <c r="W92" s="29" t="s">
        <v>334</v>
      </c>
    </row>
    <row r="93" spans="1:23" x14ac:dyDescent="0.3">
      <c r="A93" s="7">
        <v>92</v>
      </c>
      <c r="B93" s="29" t="s">
        <v>23</v>
      </c>
      <c r="C93" s="29" t="s">
        <v>982</v>
      </c>
      <c r="D93" s="29">
        <v>50126277</v>
      </c>
      <c r="E93" s="29">
        <v>225</v>
      </c>
      <c r="F93" s="7">
        <v>313</v>
      </c>
      <c r="G93" s="7">
        <v>228</v>
      </c>
      <c r="H93" s="7" t="s">
        <v>983</v>
      </c>
      <c r="I93" s="7" t="s">
        <v>109</v>
      </c>
      <c r="J93" s="7" t="s">
        <v>130</v>
      </c>
      <c r="K93" s="11">
        <v>0.95</v>
      </c>
      <c r="L93" s="7" t="s">
        <v>109</v>
      </c>
      <c r="M93" s="7" t="s">
        <v>109</v>
      </c>
      <c r="N93" s="29" t="s">
        <v>109</v>
      </c>
      <c r="O93" s="29" t="s">
        <v>61</v>
      </c>
      <c r="P93" s="7" t="s">
        <v>131</v>
      </c>
      <c r="Q93" s="7" t="s">
        <v>222</v>
      </c>
      <c r="R93" s="7" t="s">
        <v>62</v>
      </c>
      <c r="S93" s="7" t="s">
        <v>109</v>
      </c>
      <c r="T93" s="7" t="s">
        <v>109</v>
      </c>
      <c r="U93" s="28" t="str">
        <f t="shared" si="2"/>
        <v>Met</v>
      </c>
      <c r="V93" s="7" t="s">
        <v>109</v>
      </c>
      <c r="W93" s="29" t="s">
        <v>334</v>
      </c>
    </row>
    <row r="94" spans="1:23" x14ac:dyDescent="0.3">
      <c r="A94" s="7">
        <v>93</v>
      </c>
      <c r="B94" s="29" t="s">
        <v>23</v>
      </c>
      <c r="C94" s="29" t="s">
        <v>984</v>
      </c>
      <c r="D94" s="29">
        <v>50126272</v>
      </c>
      <c r="E94" s="29">
        <v>100</v>
      </c>
      <c r="F94" s="7">
        <v>204</v>
      </c>
      <c r="G94" s="7">
        <v>79</v>
      </c>
      <c r="H94" s="53" t="s">
        <v>86</v>
      </c>
      <c r="I94" s="7" t="s">
        <v>109</v>
      </c>
      <c r="J94" s="7" t="s">
        <v>130</v>
      </c>
      <c r="K94" s="11">
        <v>0.84583333333333333</v>
      </c>
      <c r="L94" s="7" t="s">
        <v>109</v>
      </c>
      <c r="M94" s="7" t="s">
        <v>109</v>
      </c>
      <c r="N94" s="29" t="s">
        <v>109</v>
      </c>
      <c r="O94" s="29" t="s">
        <v>61</v>
      </c>
      <c r="P94" s="7" t="s">
        <v>131</v>
      </c>
      <c r="Q94" s="7" t="s">
        <v>86</v>
      </c>
      <c r="R94" s="7" t="s">
        <v>62</v>
      </c>
      <c r="S94" s="7" t="s">
        <v>109</v>
      </c>
      <c r="T94" s="7" t="s">
        <v>109</v>
      </c>
      <c r="U94" s="28" t="str">
        <f t="shared" si="2"/>
        <v>Met</v>
      </c>
      <c r="V94" s="7" t="s">
        <v>109</v>
      </c>
      <c r="W94" s="29" t="s">
        <v>334</v>
      </c>
    </row>
    <row r="95" spans="1:23" x14ac:dyDescent="0.3">
      <c r="A95" s="7">
        <v>94</v>
      </c>
      <c r="B95" s="29" t="s">
        <v>23</v>
      </c>
      <c r="C95" s="29" t="s">
        <v>985</v>
      </c>
      <c r="D95" s="29">
        <v>50126273</v>
      </c>
      <c r="E95" s="29">
        <v>250</v>
      </c>
      <c r="F95" s="7">
        <v>387</v>
      </c>
      <c r="G95" s="7">
        <v>257</v>
      </c>
      <c r="H95" s="7" t="s">
        <v>1003</v>
      </c>
      <c r="I95" s="7" t="s">
        <v>109</v>
      </c>
      <c r="J95" s="7" t="s">
        <v>130</v>
      </c>
      <c r="K95" s="11">
        <v>0.98888888888888893</v>
      </c>
      <c r="L95" s="7" t="s">
        <v>109</v>
      </c>
      <c r="M95" s="7" t="s">
        <v>109</v>
      </c>
      <c r="N95" s="29" t="s">
        <v>109</v>
      </c>
      <c r="O95" s="29" t="s">
        <v>61</v>
      </c>
      <c r="P95" s="7" t="s">
        <v>131</v>
      </c>
      <c r="Q95" s="7" t="s">
        <v>196</v>
      </c>
      <c r="R95" s="7" t="s">
        <v>62</v>
      </c>
      <c r="S95" s="7" t="s">
        <v>109</v>
      </c>
      <c r="T95" s="7" t="s">
        <v>109</v>
      </c>
      <c r="U95" s="28" t="str">
        <f t="shared" si="2"/>
        <v>Met</v>
      </c>
      <c r="V95" s="7" t="s">
        <v>109</v>
      </c>
      <c r="W95" s="29" t="s">
        <v>334</v>
      </c>
    </row>
    <row r="96" spans="1:23" x14ac:dyDescent="0.3">
      <c r="A96" s="7">
        <v>95</v>
      </c>
      <c r="B96" s="29" t="s">
        <v>23</v>
      </c>
      <c r="C96" s="29" t="s">
        <v>986</v>
      </c>
      <c r="D96" s="29">
        <v>50126297</v>
      </c>
      <c r="E96" s="29">
        <v>15</v>
      </c>
      <c r="F96" s="7">
        <v>16</v>
      </c>
      <c r="G96" s="7">
        <v>4</v>
      </c>
      <c r="H96" s="53" t="s">
        <v>68</v>
      </c>
      <c r="I96" s="7" t="s">
        <v>109</v>
      </c>
      <c r="J96" s="7" t="s">
        <v>130</v>
      </c>
      <c r="K96" s="11">
        <v>0.68680555555555556</v>
      </c>
      <c r="L96" s="7" t="s">
        <v>109</v>
      </c>
      <c r="M96" s="7" t="s">
        <v>109</v>
      </c>
      <c r="N96" s="29" t="s">
        <v>109</v>
      </c>
      <c r="O96" s="29" t="s">
        <v>61</v>
      </c>
      <c r="P96" s="7" t="s">
        <v>131</v>
      </c>
      <c r="Q96" s="7" t="s">
        <v>68</v>
      </c>
      <c r="R96" s="7" t="s">
        <v>62</v>
      </c>
      <c r="S96" s="7" t="s">
        <v>109</v>
      </c>
      <c r="T96" s="7" t="s">
        <v>109</v>
      </c>
      <c r="U96" s="28" t="str">
        <f t="shared" si="2"/>
        <v>Met</v>
      </c>
      <c r="V96" s="7" t="s">
        <v>109</v>
      </c>
      <c r="W96" s="29" t="s">
        <v>223</v>
      </c>
    </row>
    <row r="97" spans="1:23" x14ac:dyDescent="0.3">
      <c r="A97" s="7">
        <v>96</v>
      </c>
      <c r="B97" s="29" t="s">
        <v>23</v>
      </c>
      <c r="C97" s="29" t="s">
        <v>686</v>
      </c>
      <c r="D97" s="29">
        <v>50126137</v>
      </c>
      <c r="E97" s="29">
        <v>75</v>
      </c>
      <c r="F97" s="7">
        <v>136</v>
      </c>
      <c r="G97" s="7">
        <v>74</v>
      </c>
      <c r="H97" s="7" t="s">
        <v>184</v>
      </c>
      <c r="I97" s="7" t="s">
        <v>109</v>
      </c>
      <c r="J97" s="7" t="s">
        <v>130</v>
      </c>
      <c r="K97" s="11">
        <v>0.90486111111111112</v>
      </c>
      <c r="L97" s="7" t="s">
        <v>109</v>
      </c>
      <c r="M97" s="7" t="s">
        <v>109</v>
      </c>
      <c r="N97" s="29" t="s">
        <v>109</v>
      </c>
      <c r="O97" s="29" t="s">
        <v>61</v>
      </c>
      <c r="P97" s="7" t="s">
        <v>131</v>
      </c>
      <c r="Q97" s="7" t="s">
        <v>184</v>
      </c>
      <c r="R97" s="7" t="s">
        <v>62</v>
      </c>
      <c r="S97" s="7" t="s">
        <v>109</v>
      </c>
      <c r="T97" s="7" t="s">
        <v>109</v>
      </c>
      <c r="U97" s="28" t="str">
        <f t="shared" si="2"/>
        <v>Met</v>
      </c>
      <c r="V97" s="7" t="s">
        <v>109</v>
      </c>
      <c r="W97" s="29" t="s">
        <v>688</v>
      </c>
    </row>
    <row r="98" spans="1:23" x14ac:dyDescent="0.3">
      <c r="A98" s="7">
        <v>97</v>
      </c>
      <c r="B98" s="29" t="s">
        <v>23</v>
      </c>
      <c r="C98" s="29" t="s">
        <v>459</v>
      </c>
      <c r="D98" s="29">
        <v>51225051</v>
      </c>
      <c r="E98" s="29">
        <v>50</v>
      </c>
      <c r="F98" s="7">
        <v>105</v>
      </c>
      <c r="G98" s="7">
        <v>35</v>
      </c>
      <c r="H98" s="53" t="s">
        <v>64</v>
      </c>
      <c r="I98" s="7" t="s">
        <v>109</v>
      </c>
      <c r="J98" s="7" t="s">
        <v>130</v>
      </c>
      <c r="K98" s="11">
        <v>3.0555555555555555E-2</v>
      </c>
      <c r="L98" s="7" t="s">
        <v>109</v>
      </c>
      <c r="M98" s="7" t="s">
        <v>109</v>
      </c>
      <c r="N98" s="29" t="s">
        <v>109</v>
      </c>
      <c r="O98" s="29" t="s">
        <v>61</v>
      </c>
      <c r="P98" s="7" t="s">
        <v>131</v>
      </c>
      <c r="Q98" s="7" t="s">
        <v>64</v>
      </c>
      <c r="R98" s="7" t="s">
        <v>62</v>
      </c>
      <c r="S98" s="7" t="s">
        <v>109</v>
      </c>
      <c r="T98" s="7" t="s">
        <v>109</v>
      </c>
      <c r="U98" s="28" t="str">
        <f t="shared" si="2"/>
        <v>Met</v>
      </c>
      <c r="V98" s="7" t="s">
        <v>109</v>
      </c>
      <c r="W98" s="29" t="s">
        <v>197</v>
      </c>
    </row>
    <row r="99" spans="1:23" x14ac:dyDescent="0.3">
      <c r="A99" s="7">
        <v>98</v>
      </c>
      <c r="B99" s="29" t="s">
        <v>23</v>
      </c>
      <c r="C99" s="29" t="s">
        <v>460</v>
      </c>
      <c r="D99" s="29">
        <v>51225054</v>
      </c>
      <c r="E99" s="29">
        <v>50</v>
      </c>
      <c r="F99" s="7">
        <v>149</v>
      </c>
      <c r="G99" s="7">
        <v>51</v>
      </c>
      <c r="H99" s="53" t="s">
        <v>89</v>
      </c>
      <c r="I99" s="7" t="s">
        <v>109</v>
      </c>
      <c r="J99" s="7" t="s">
        <v>130</v>
      </c>
      <c r="K99" s="11">
        <v>0.86111111111111116</v>
      </c>
      <c r="L99" s="7" t="s">
        <v>109</v>
      </c>
      <c r="M99" s="7" t="s">
        <v>109</v>
      </c>
      <c r="N99" s="29" t="s">
        <v>109</v>
      </c>
      <c r="O99" s="29" t="s">
        <v>61</v>
      </c>
      <c r="P99" s="7" t="s">
        <v>131</v>
      </c>
      <c r="Q99" s="7" t="s">
        <v>89</v>
      </c>
      <c r="R99" s="7" t="s">
        <v>62</v>
      </c>
      <c r="S99" s="7" t="s">
        <v>109</v>
      </c>
      <c r="T99" s="7" t="s">
        <v>109</v>
      </c>
      <c r="U99" s="28" t="str">
        <f t="shared" si="2"/>
        <v>Met</v>
      </c>
      <c r="V99" s="7" t="s">
        <v>109</v>
      </c>
      <c r="W99" s="29" t="s">
        <v>197</v>
      </c>
    </row>
    <row r="100" spans="1:23" x14ac:dyDescent="0.3">
      <c r="A100" s="7">
        <v>99</v>
      </c>
      <c r="B100" s="29" t="s">
        <v>23</v>
      </c>
      <c r="C100" s="29" t="s">
        <v>987</v>
      </c>
      <c r="D100" s="29">
        <v>51225043</v>
      </c>
      <c r="E100" s="29">
        <v>50</v>
      </c>
      <c r="F100" s="7">
        <v>102</v>
      </c>
      <c r="G100" s="7">
        <v>52</v>
      </c>
      <c r="H100" s="53" t="s">
        <v>82</v>
      </c>
      <c r="I100" s="7" t="s">
        <v>109</v>
      </c>
      <c r="J100" s="7" t="s">
        <v>130</v>
      </c>
      <c r="K100" s="11">
        <v>0.97499999999999998</v>
      </c>
      <c r="L100" s="7" t="s">
        <v>109</v>
      </c>
      <c r="M100" s="7" t="s">
        <v>109</v>
      </c>
      <c r="N100" s="29" t="s">
        <v>109</v>
      </c>
      <c r="O100" s="29" t="s">
        <v>61</v>
      </c>
      <c r="P100" s="7" t="s">
        <v>131</v>
      </c>
      <c r="Q100" s="7" t="s">
        <v>82</v>
      </c>
      <c r="R100" s="7" t="s">
        <v>62</v>
      </c>
      <c r="S100" s="7" t="s">
        <v>109</v>
      </c>
      <c r="T100" s="7" t="s">
        <v>109</v>
      </c>
      <c r="U100" s="28" t="str">
        <f t="shared" si="2"/>
        <v>Met</v>
      </c>
      <c r="V100" s="7" t="s">
        <v>109</v>
      </c>
      <c r="W100" s="29" t="s">
        <v>197</v>
      </c>
    </row>
    <row r="101" spans="1:23" x14ac:dyDescent="0.3">
      <c r="A101" s="7">
        <v>100</v>
      </c>
      <c r="B101" s="29" t="s">
        <v>23</v>
      </c>
      <c r="C101" s="29" t="s">
        <v>199</v>
      </c>
      <c r="D101" s="29">
        <v>50925064</v>
      </c>
      <c r="E101" s="29">
        <v>50</v>
      </c>
      <c r="F101" s="7">
        <v>84</v>
      </c>
      <c r="G101" s="7">
        <v>52</v>
      </c>
      <c r="H101" s="53" t="s">
        <v>67</v>
      </c>
      <c r="I101" s="7" t="s">
        <v>109</v>
      </c>
      <c r="J101" s="7" t="s">
        <v>130</v>
      </c>
      <c r="K101" s="11">
        <v>0.77500000000000002</v>
      </c>
      <c r="L101" s="7" t="s">
        <v>109</v>
      </c>
      <c r="M101" s="7" t="s">
        <v>109</v>
      </c>
      <c r="N101" s="29" t="s">
        <v>109</v>
      </c>
      <c r="O101" s="29" t="s">
        <v>61</v>
      </c>
      <c r="P101" s="7" t="s">
        <v>131</v>
      </c>
      <c r="Q101" s="7" t="s">
        <v>67</v>
      </c>
      <c r="R101" s="7" t="s">
        <v>62</v>
      </c>
      <c r="S101" s="7" t="s">
        <v>109</v>
      </c>
      <c r="T101" s="7" t="s">
        <v>109</v>
      </c>
      <c r="U101" s="28" t="str">
        <f t="shared" si="2"/>
        <v>Met</v>
      </c>
      <c r="V101" s="7" t="s">
        <v>109</v>
      </c>
      <c r="W101" s="29" t="s">
        <v>197</v>
      </c>
    </row>
    <row r="102" spans="1:23" x14ac:dyDescent="0.3">
      <c r="A102" s="7">
        <v>101</v>
      </c>
      <c r="B102" s="29" t="s">
        <v>23</v>
      </c>
      <c r="C102" s="29" t="s">
        <v>205</v>
      </c>
      <c r="D102" s="29">
        <v>50925075</v>
      </c>
      <c r="E102" s="29">
        <v>50</v>
      </c>
      <c r="F102" s="7">
        <v>100</v>
      </c>
      <c r="G102" s="7">
        <v>38</v>
      </c>
      <c r="H102" s="53" t="s">
        <v>69</v>
      </c>
      <c r="I102" s="7" t="s">
        <v>109</v>
      </c>
      <c r="J102" s="7" t="s">
        <v>130</v>
      </c>
      <c r="K102" s="11">
        <v>0.97986111111111107</v>
      </c>
      <c r="L102" s="7" t="s">
        <v>109</v>
      </c>
      <c r="M102" s="7" t="s">
        <v>109</v>
      </c>
      <c r="N102" s="29" t="s">
        <v>109</v>
      </c>
      <c r="O102" s="29" t="s">
        <v>61</v>
      </c>
      <c r="P102" s="7" t="s">
        <v>131</v>
      </c>
      <c r="Q102" s="7" t="s">
        <v>69</v>
      </c>
      <c r="R102" s="7" t="s">
        <v>62</v>
      </c>
      <c r="S102" s="7" t="s">
        <v>109</v>
      </c>
      <c r="T102" s="7" t="s">
        <v>109</v>
      </c>
      <c r="U102" s="28" t="str">
        <f t="shared" si="2"/>
        <v>Met</v>
      </c>
      <c r="V102" s="7" t="s">
        <v>109</v>
      </c>
      <c r="W102" s="29" t="s">
        <v>197</v>
      </c>
    </row>
    <row r="103" spans="1:23" x14ac:dyDescent="0.3">
      <c r="A103" s="7">
        <v>102</v>
      </c>
      <c r="B103" s="29" t="s">
        <v>23</v>
      </c>
      <c r="C103" s="29" t="s">
        <v>588</v>
      </c>
      <c r="D103" s="29">
        <v>50126064</v>
      </c>
      <c r="E103" s="29">
        <v>50</v>
      </c>
      <c r="F103" s="7">
        <v>71</v>
      </c>
      <c r="G103" s="7">
        <v>28</v>
      </c>
      <c r="H103" s="53" t="s">
        <v>84</v>
      </c>
      <c r="I103" s="7" t="s">
        <v>109</v>
      </c>
      <c r="J103" s="7" t="s">
        <v>130</v>
      </c>
      <c r="K103" s="11">
        <v>6.25E-2</v>
      </c>
      <c r="L103" s="7" t="s">
        <v>109</v>
      </c>
      <c r="M103" s="7" t="s">
        <v>109</v>
      </c>
      <c r="N103" s="29" t="s">
        <v>109</v>
      </c>
      <c r="O103" s="29" t="s">
        <v>61</v>
      </c>
      <c r="P103" s="7" t="s">
        <v>131</v>
      </c>
      <c r="Q103" s="7" t="s">
        <v>84</v>
      </c>
      <c r="R103" s="7" t="s">
        <v>62</v>
      </c>
      <c r="S103" s="7" t="s">
        <v>109</v>
      </c>
      <c r="T103" s="7" t="s">
        <v>109</v>
      </c>
      <c r="U103" s="28" t="str">
        <f t="shared" si="2"/>
        <v>Met</v>
      </c>
      <c r="V103" s="7" t="s">
        <v>109</v>
      </c>
      <c r="W103" s="29" t="s">
        <v>610</v>
      </c>
    </row>
    <row r="104" spans="1:23" x14ac:dyDescent="0.3">
      <c r="A104" s="7">
        <v>103</v>
      </c>
      <c r="B104" s="29" t="s">
        <v>23</v>
      </c>
      <c r="C104" s="29" t="s">
        <v>591</v>
      </c>
      <c r="D104" s="29">
        <v>50126066</v>
      </c>
      <c r="E104" s="29">
        <v>75</v>
      </c>
      <c r="F104" s="7">
        <v>158</v>
      </c>
      <c r="G104" s="7">
        <v>77</v>
      </c>
      <c r="H104" s="7" t="s">
        <v>90</v>
      </c>
      <c r="I104" s="7" t="s">
        <v>109</v>
      </c>
      <c r="J104" s="7" t="s">
        <v>130</v>
      </c>
      <c r="K104" s="11">
        <v>0.77986111111111112</v>
      </c>
      <c r="L104" s="7" t="s">
        <v>109</v>
      </c>
      <c r="M104" s="7" t="s">
        <v>109</v>
      </c>
      <c r="N104" s="29" t="s">
        <v>109</v>
      </c>
      <c r="O104" s="29" t="s">
        <v>61</v>
      </c>
      <c r="P104" s="7" t="s">
        <v>131</v>
      </c>
      <c r="Q104" s="7" t="s">
        <v>90</v>
      </c>
      <c r="R104" s="7" t="s">
        <v>62</v>
      </c>
      <c r="S104" s="7" t="s">
        <v>109</v>
      </c>
      <c r="T104" s="7" t="s">
        <v>109</v>
      </c>
      <c r="U104" s="28" t="str">
        <f t="shared" si="2"/>
        <v>Met</v>
      </c>
      <c r="V104" s="7" t="s">
        <v>109</v>
      </c>
      <c r="W104" s="29" t="s">
        <v>610</v>
      </c>
    </row>
    <row r="105" spans="1:23" x14ac:dyDescent="0.3">
      <c r="A105" s="7">
        <v>104</v>
      </c>
      <c r="B105" s="29" t="s">
        <v>23</v>
      </c>
      <c r="C105" s="29" t="s">
        <v>377</v>
      </c>
      <c r="D105" s="29">
        <v>50425243</v>
      </c>
      <c r="E105" s="29">
        <v>100</v>
      </c>
      <c r="F105" s="7">
        <v>166</v>
      </c>
      <c r="G105" s="7">
        <v>106</v>
      </c>
      <c r="H105" s="53" t="s">
        <v>94</v>
      </c>
      <c r="I105" s="7" t="s">
        <v>109</v>
      </c>
      <c r="J105" s="7" t="s">
        <v>130</v>
      </c>
      <c r="K105" s="11">
        <v>3.0555555555555555E-2</v>
      </c>
      <c r="L105" s="7" t="s">
        <v>109</v>
      </c>
      <c r="M105" s="7" t="s">
        <v>109</v>
      </c>
      <c r="N105" s="32" t="s">
        <v>378</v>
      </c>
      <c r="O105" s="29" t="s">
        <v>61</v>
      </c>
      <c r="P105" s="7" t="s">
        <v>131</v>
      </c>
      <c r="Q105" s="7" t="s">
        <v>94</v>
      </c>
      <c r="R105" s="7" t="s">
        <v>62</v>
      </c>
      <c r="S105" s="7" t="s">
        <v>109</v>
      </c>
      <c r="T105" s="7" t="s">
        <v>109</v>
      </c>
      <c r="U105" s="28" t="str">
        <f t="shared" si="2"/>
        <v>Met</v>
      </c>
      <c r="V105" s="7" t="s">
        <v>109</v>
      </c>
      <c r="W105" s="29" t="s">
        <v>379</v>
      </c>
    </row>
    <row r="106" spans="1:23" x14ac:dyDescent="0.3">
      <c r="A106" s="7">
        <v>105</v>
      </c>
      <c r="B106" s="29" t="s">
        <v>23</v>
      </c>
      <c r="C106" s="29" t="s">
        <v>380</v>
      </c>
      <c r="D106" s="29">
        <v>50425241</v>
      </c>
      <c r="E106" s="29">
        <v>87</v>
      </c>
      <c r="F106" s="7">
        <v>44</v>
      </c>
      <c r="G106" s="7">
        <v>9</v>
      </c>
      <c r="H106" s="53" t="s">
        <v>66</v>
      </c>
      <c r="I106" s="7" t="s">
        <v>109</v>
      </c>
      <c r="J106" s="7" t="s">
        <v>130</v>
      </c>
      <c r="K106" s="11">
        <v>6.9444444444444447E-4</v>
      </c>
      <c r="L106" s="7" t="s">
        <v>109</v>
      </c>
      <c r="M106" s="7" t="s">
        <v>109</v>
      </c>
      <c r="N106" s="32" t="s">
        <v>378</v>
      </c>
      <c r="O106" s="29" t="s">
        <v>61</v>
      </c>
      <c r="P106" s="7" t="s">
        <v>131</v>
      </c>
      <c r="Q106" s="7" t="s">
        <v>66</v>
      </c>
      <c r="R106" s="7" t="s">
        <v>62</v>
      </c>
      <c r="S106" s="7" t="s">
        <v>109</v>
      </c>
      <c r="T106" s="7" t="s">
        <v>109</v>
      </c>
      <c r="U106" s="28" t="str">
        <f t="shared" si="2"/>
        <v>Met</v>
      </c>
      <c r="V106" s="7" t="s">
        <v>109</v>
      </c>
      <c r="W106" s="29" t="s">
        <v>379</v>
      </c>
    </row>
    <row r="107" spans="1:23" x14ac:dyDescent="0.3">
      <c r="A107" s="7">
        <v>106</v>
      </c>
      <c r="B107" s="29" t="s">
        <v>23</v>
      </c>
      <c r="C107" s="29" t="s">
        <v>224</v>
      </c>
      <c r="D107" s="29">
        <v>51225106</v>
      </c>
      <c r="E107" s="29">
        <v>175</v>
      </c>
      <c r="F107" s="7">
        <v>249</v>
      </c>
      <c r="G107" s="7">
        <v>118</v>
      </c>
      <c r="H107" s="7" t="s">
        <v>963</v>
      </c>
      <c r="I107" s="7" t="s">
        <v>109</v>
      </c>
      <c r="J107" s="7" t="s">
        <v>130</v>
      </c>
      <c r="K107" s="11">
        <v>8.3333333333333332E-3</v>
      </c>
      <c r="L107" s="7" t="s">
        <v>109</v>
      </c>
      <c r="M107" s="7" t="s">
        <v>109</v>
      </c>
      <c r="N107" s="29" t="s">
        <v>109</v>
      </c>
      <c r="O107" s="29" t="s">
        <v>61</v>
      </c>
      <c r="P107" s="7" t="s">
        <v>131</v>
      </c>
      <c r="Q107" s="7" t="s">
        <v>209</v>
      </c>
      <c r="R107" s="7" t="s">
        <v>62</v>
      </c>
      <c r="S107" s="7" t="s">
        <v>109</v>
      </c>
      <c r="T107" s="7" t="s">
        <v>109</v>
      </c>
      <c r="U107" s="28" t="str">
        <f t="shared" si="2"/>
        <v>Met</v>
      </c>
      <c r="V107" s="7" t="s">
        <v>109</v>
      </c>
      <c r="W107" s="29" t="s">
        <v>117</v>
      </c>
    </row>
    <row r="108" spans="1:23" x14ac:dyDescent="0.3">
      <c r="A108" s="7">
        <v>107</v>
      </c>
      <c r="B108" s="29" t="s">
        <v>23</v>
      </c>
      <c r="C108" s="29" t="s">
        <v>228</v>
      </c>
      <c r="D108" s="29">
        <v>51225097</v>
      </c>
      <c r="E108" s="29">
        <v>275</v>
      </c>
      <c r="F108" s="7">
        <v>585</v>
      </c>
      <c r="G108" s="7">
        <v>106</v>
      </c>
      <c r="H108" s="7" t="s">
        <v>988</v>
      </c>
      <c r="I108" s="7" t="s">
        <v>109</v>
      </c>
      <c r="J108" s="7" t="s">
        <v>130</v>
      </c>
      <c r="K108" s="11">
        <v>0.94930555555555551</v>
      </c>
      <c r="L108" s="7" t="s">
        <v>109</v>
      </c>
      <c r="M108" s="7" t="s">
        <v>109</v>
      </c>
      <c r="N108" s="29" t="s">
        <v>109</v>
      </c>
      <c r="O108" s="29" t="s">
        <v>61</v>
      </c>
      <c r="P108" s="7" t="s">
        <v>131</v>
      </c>
      <c r="Q108" s="7" t="s">
        <v>64</v>
      </c>
      <c r="R108" s="7" t="s">
        <v>62</v>
      </c>
      <c r="S108" s="7" t="s">
        <v>109</v>
      </c>
      <c r="T108" s="7" t="s">
        <v>109</v>
      </c>
      <c r="U108" s="28" t="str">
        <f t="shared" si="2"/>
        <v>Met</v>
      </c>
      <c r="V108" s="7" t="s">
        <v>109</v>
      </c>
      <c r="W108" s="29" t="s">
        <v>117</v>
      </c>
    </row>
    <row r="109" spans="1:23" x14ac:dyDescent="0.3">
      <c r="A109" s="7">
        <v>108</v>
      </c>
      <c r="B109" s="29" t="s">
        <v>23</v>
      </c>
      <c r="C109" s="29" t="s">
        <v>231</v>
      </c>
      <c r="D109" s="29">
        <v>51125019</v>
      </c>
      <c r="E109" s="29">
        <v>100</v>
      </c>
      <c r="F109" s="7">
        <v>185</v>
      </c>
      <c r="G109" s="7">
        <v>100</v>
      </c>
      <c r="H109" s="7" t="s">
        <v>184</v>
      </c>
      <c r="I109" s="7" t="s">
        <v>109</v>
      </c>
      <c r="J109" s="7" t="s">
        <v>130</v>
      </c>
      <c r="K109" s="11">
        <v>0.94513888888888886</v>
      </c>
      <c r="L109" s="7" t="s">
        <v>109</v>
      </c>
      <c r="M109" s="7" t="s">
        <v>109</v>
      </c>
      <c r="N109" s="29" t="s">
        <v>109</v>
      </c>
      <c r="O109" s="29" t="s">
        <v>61</v>
      </c>
      <c r="P109" s="7" t="s">
        <v>131</v>
      </c>
      <c r="Q109" s="7" t="s">
        <v>184</v>
      </c>
      <c r="R109" s="7" t="s">
        <v>62</v>
      </c>
      <c r="S109" s="7" t="s">
        <v>109</v>
      </c>
      <c r="T109" s="7" t="s">
        <v>109</v>
      </c>
      <c r="U109" s="28" t="str">
        <f t="shared" si="2"/>
        <v>Met</v>
      </c>
      <c r="V109" s="7" t="s">
        <v>109</v>
      </c>
      <c r="W109" s="29" t="s">
        <v>117</v>
      </c>
    </row>
    <row r="110" spans="1:23" x14ac:dyDescent="0.3">
      <c r="A110" s="7">
        <v>109</v>
      </c>
      <c r="B110" s="29" t="s">
        <v>23</v>
      </c>
      <c r="C110" s="29" t="s">
        <v>235</v>
      </c>
      <c r="D110" s="29">
        <v>51125022</v>
      </c>
      <c r="E110" s="29">
        <v>25</v>
      </c>
      <c r="F110" s="7">
        <v>59</v>
      </c>
      <c r="G110" s="7">
        <v>33</v>
      </c>
      <c r="H110" s="53" t="s">
        <v>196</v>
      </c>
      <c r="I110" s="7" t="s">
        <v>109</v>
      </c>
      <c r="J110" s="7" t="s">
        <v>130</v>
      </c>
      <c r="K110" s="11">
        <v>0.71111111111111114</v>
      </c>
      <c r="L110" s="7" t="s">
        <v>109</v>
      </c>
      <c r="M110" s="7" t="s">
        <v>109</v>
      </c>
      <c r="N110" s="29" t="s">
        <v>109</v>
      </c>
      <c r="O110" s="29" t="s">
        <v>61</v>
      </c>
      <c r="P110" s="7" t="s">
        <v>131</v>
      </c>
      <c r="Q110" s="7" t="s">
        <v>196</v>
      </c>
      <c r="R110" s="7" t="s">
        <v>62</v>
      </c>
      <c r="S110" s="7" t="s">
        <v>109</v>
      </c>
      <c r="T110" s="7" t="s">
        <v>109</v>
      </c>
      <c r="U110" s="28" t="str">
        <f t="shared" si="2"/>
        <v>Met</v>
      </c>
      <c r="V110" s="7" t="s">
        <v>109</v>
      </c>
      <c r="W110" s="29" t="s">
        <v>117</v>
      </c>
    </row>
    <row r="111" spans="1:23" x14ac:dyDescent="0.3">
      <c r="A111" s="7">
        <v>110</v>
      </c>
      <c r="B111" s="29" t="s">
        <v>23</v>
      </c>
      <c r="C111" s="29" t="s">
        <v>342</v>
      </c>
      <c r="D111" s="29">
        <v>50126002</v>
      </c>
      <c r="E111" s="29">
        <v>150</v>
      </c>
      <c r="F111" s="7">
        <v>103</v>
      </c>
      <c r="G111" s="7">
        <v>49</v>
      </c>
      <c r="H111" s="53" t="s">
        <v>989</v>
      </c>
      <c r="I111" s="7" t="s">
        <v>109</v>
      </c>
      <c r="J111" s="7" t="s">
        <v>130</v>
      </c>
      <c r="K111" s="11">
        <v>0.97986111111111107</v>
      </c>
      <c r="L111" s="7" t="s">
        <v>109</v>
      </c>
      <c r="M111" s="7" t="s">
        <v>109</v>
      </c>
      <c r="N111" s="29" t="s">
        <v>109</v>
      </c>
      <c r="O111" s="29" t="s">
        <v>61</v>
      </c>
      <c r="P111" s="7" t="s">
        <v>131</v>
      </c>
      <c r="Q111" s="7" t="s">
        <v>89</v>
      </c>
      <c r="R111" s="7" t="s">
        <v>62</v>
      </c>
      <c r="S111" s="7" t="s">
        <v>109</v>
      </c>
      <c r="T111" s="7" t="s">
        <v>109</v>
      </c>
      <c r="U111" s="28" t="str">
        <f t="shared" si="2"/>
        <v>Met</v>
      </c>
      <c r="V111" s="7" t="s">
        <v>109</v>
      </c>
      <c r="W111" s="29" t="s">
        <v>341</v>
      </c>
    </row>
    <row r="112" spans="1:23" x14ac:dyDescent="0.3">
      <c r="A112" s="7">
        <v>111</v>
      </c>
      <c r="B112" s="29" t="s">
        <v>23</v>
      </c>
      <c r="C112" s="29" t="s">
        <v>990</v>
      </c>
      <c r="D112" s="29">
        <v>50126268</v>
      </c>
      <c r="E112" s="29">
        <v>106</v>
      </c>
      <c r="F112" s="7">
        <v>104</v>
      </c>
      <c r="G112" s="7">
        <v>48</v>
      </c>
      <c r="H112" s="7" t="s">
        <v>991</v>
      </c>
      <c r="I112" s="7" t="s">
        <v>109</v>
      </c>
      <c r="J112" s="7" t="s">
        <v>130</v>
      </c>
      <c r="K112" s="11">
        <v>0.89930555555555558</v>
      </c>
      <c r="L112" s="7" t="s">
        <v>109</v>
      </c>
      <c r="M112" s="7" t="s">
        <v>109</v>
      </c>
      <c r="N112" s="29" t="s">
        <v>109</v>
      </c>
      <c r="O112" s="29" t="s">
        <v>61</v>
      </c>
      <c r="P112" s="7" t="s">
        <v>131</v>
      </c>
      <c r="Q112" s="7" t="s">
        <v>94</v>
      </c>
      <c r="R112" s="7" t="s">
        <v>62</v>
      </c>
      <c r="S112" s="7" t="s">
        <v>109</v>
      </c>
      <c r="T112" s="7" t="s">
        <v>109</v>
      </c>
      <c r="U112" s="28" t="str">
        <f t="shared" si="2"/>
        <v>Met</v>
      </c>
      <c r="V112" s="7" t="s">
        <v>109</v>
      </c>
      <c r="W112" s="29" t="s">
        <v>402</v>
      </c>
    </row>
    <row r="113" spans="1:23" x14ac:dyDescent="0.3">
      <c r="A113" s="7">
        <v>112</v>
      </c>
      <c r="B113" s="29" t="s">
        <v>23</v>
      </c>
      <c r="C113" s="29" t="s">
        <v>992</v>
      </c>
      <c r="D113" s="29">
        <v>50126269</v>
      </c>
      <c r="E113" s="29">
        <v>112</v>
      </c>
      <c r="F113" s="7">
        <v>107</v>
      </c>
      <c r="G113" s="7">
        <v>31</v>
      </c>
      <c r="H113" s="7" t="s">
        <v>993</v>
      </c>
      <c r="I113" s="7" t="s">
        <v>109</v>
      </c>
      <c r="J113" s="7" t="s">
        <v>130</v>
      </c>
      <c r="K113" s="11">
        <v>0.98263888888888884</v>
      </c>
      <c r="L113" s="7" t="s">
        <v>109</v>
      </c>
      <c r="M113" s="7" t="s">
        <v>109</v>
      </c>
      <c r="N113" s="29" t="s">
        <v>109</v>
      </c>
      <c r="O113" s="29" t="s">
        <v>61</v>
      </c>
      <c r="P113" s="7" t="s">
        <v>131</v>
      </c>
      <c r="Q113" s="7" t="s">
        <v>71</v>
      </c>
      <c r="R113" s="7" t="s">
        <v>62</v>
      </c>
      <c r="S113" s="7" t="s">
        <v>109</v>
      </c>
      <c r="T113" s="7" t="s">
        <v>109</v>
      </c>
      <c r="U113" s="28" t="str">
        <f t="shared" si="2"/>
        <v>Met</v>
      </c>
      <c r="V113" s="7" t="s">
        <v>109</v>
      </c>
      <c r="W113" s="29" t="s">
        <v>402</v>
      </c>
    </row>
  </sheetData>
  <conditionalFormatting sqref="D1">
    <cfRule type="duplicateValues" dxfId="105" priority="1"/>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04F85-414D-4BB3-B1A3-AB856C2D12C5}">
  <sheetPr codeName="Sheet9"/>
  <dimension ref="A1:X121"/>
  <sheetViews>
    <sheetView topLeftCell="I1" zoomScale="101" zoomScaleNormal="130" workbookViewId="0">
      <pane ySplit="1" topLeftCell="A2" activePane="bottomLeft" state="frozen"/>
      <selection pane="bottomLeft" activeCell="U2" sqref="U2"/>
    </sheetView>
  </sheetViews>
  <sheetFormatPr defaultRowHeight="14.4" x14ac:dyDescent="0.3"/>
  <cols>
    <col min="1" max="1" width="5.6640625" bestFit="1" customWidth="1"/>
    <col min="2" max="2" width="8.88671875" bestFit="1" customWidth="1"/>
    <col min="3" max="3" width="14.77734375" bestFit="1" customWidth="1"/>
    <col min="4" max="4" width="10.44140625" bestFit="1" customWidth="1"/>
    <col min="5" max="5" width="14.5546875" bestFit="1" customWidth="1"/>
    <col min="6" max="6" width="16.109375" bestFit="1" customWidth="1"/>
    <col min="7" max="7" width="9" bestFit="1" customWidth="1"/>
    <col min="8" max="8" width="7.6640625" bestFit="1" customWidth="1"/>
    <col min="9" max="9" width="16.6640625" bestFit="1" customWidth="1"/>
    <col min="10" max="10" width="6.44140625" bestFit="1" customWidth="1"/>
    <col min="11" max="12" width="16.6640625" bestFit="1" customWidth="1"/>
    <col min="13" max="13" width="4" bestFit="1" customWidth="1"/>
    <col min="14" max="14" width="8.5546875" bestFit="1" customWidth="1"/>
    <col min="15" max="15" width="6.88671875" bestFit="1" customWidth="1"/>
    <col min="16" max="16" width="15.109375" bestFit="1" customWidth="1"/>
    <col min="17" max="17" width="12.109375" bestFit="1" customWidth="1"/>
    <col min="18" max="18" width="14.6640625" bestFit="1" customWidth="1"/>
    <col min="19" max="19" width="16.6640625" bestFit="1" customWidth="1"/>
    <col min="20" max="20" width="6.109375" bestFit="1" customWidth="1"/>
    <col min="21" max="21" width="39.109375" bestFit="1" customWidth="1"/>
    <col min="22" max="22" width="10.33203125" bestFit="1" customWidth="1"/>
    <col min="23" max="23" width="8.88671875" bestFit="1" customWidth="1"/>
    <col min="24" max="24" width="5.109375" bestFit="1" customWidth="1"/>
  </cols>
  <sheetData>
    <row r="1" spans="1:24" x14ac:dyDescent="0.3">
      <c r="A1" s="22" t="s">
        <v>1084</v>
      </c>
      <c r="B1" s="22" t="s">
        <v>1</v>
      </c>
      <c r="C1" s="22" t="s">
        <v>2</v>
      </c>
      <c r="D1" s="22" t="s">
        <v>3</v>
      </c>
      <c r="E1" s="22" t="s">
        <v>4</v>
      </c>
      <c r="F1" s="22" t="s">
        <v>5</v>
      </c>
      <c r="G1" s="22" t="s">
        <v>6</v>
      </c>
      <c r="H1" s="22" t="s">
        <v>7</v>
      </c>
      <c r="I1" s="22" t="s">
        <v>8</v>
      </c>
      <c r="J1" s="22" t="s">
        <v>9</v>
      </c>
      <c r="K1" s="23" t="s">
        <v>10</v>
      </c>
      <c r="L1" s="23" t="s">
        <v>11</v>
      </c>
      <c r="M1" s="24" t="s">
        <v>12</v>
      </c>
      <c r="N1" s="25" t="s">
        <v>13</v>
      </c>
      <c r="O1" s="22" t="s">
        <v>14</v>
      </c>
      <c r="P1" s="22" t="s">
        <v>15</v>
      </c>
      <c r="Q1" s="22" t="s">
        <v>16</v>
      </c>
      <c r="R1" s="22" t="s">
        <v>17</v>
      </c>
      <c r="S1" s="22" t="s">
        <v>18</v>
      </c>
      <c r="T1" s="22" t="s">
        <v>19</v>
      </c>
      <c r="U1" s="22" t="s">
        <v>20</v>
      </c>
      <c r="V1" s="22" t="s">
        <v>21</v>
      </c>
      <c r="W1" s="26" t="s">
        <v>22</v>
      </c>
      <c r="X1" s="26" t="s">
        <v>1005</v>
      </c>
    </row>
    <row r="2" spans="1:24" x14ac:dyDescent="0.3">
      <c r="A2" s="38">
        <v>1</v>
      </c>
      <c r="B2" s="29" t="s">
        <v>25</v>
      </c>
      <c r="C2" s="29" t="s">
        <v>42</v>
      </c>
      <c r="D2" s="29">
        <v>41225025</v>
      </c>
      <c r="E2" s="29">
        <v>152</v>
      </c>
      <c r="F2" s="6">
        <v>149</v>
      </c>
      <c r="G2" s="29">
        <v>47</v>
      </c>
      <c r="H2" s="29" t="s">
        <v>186</v>
      </c>
      <c r="I2" s="29" t="s">
        <v>294</v>
      </c>
      <c r="J2" s="29" t="s">
        <v>130</v>
      </c>
      <c r="K2" s="30">
        <v>0.68888888888888899</v>
      </c>
      <c r="L2" s="30">
        <v>0.70347222222222217</v>
      </c>
      <c r="M2" s="29" t="s">
        <v>109</v>
      </c>
      <c r="N2" s="29" t="s">
        <v>1006</v>
      </c>
      <c r="O2" s="29" t="s">
        <v>61</v>
      </c>
      <c r="P2" s="29" t="s">
        <v>131</v>
      </c>
      <c r="Q2" s="29" t="s">
        <v>209</v>
      </c>
      <c r="R2" s="29" t="s">
        <v>62</v>
      </c>
      <c r="S2" s="29" t="s">
        <v>109</v>
      </c>
      <c r="T2" s="29" t="s">
        <v>118</v>
      </c>
      <c r="U2" s="29" t="b">
        <f t="shared" ref="U2:U33" si="0">G2&gt;=E2</f>
        <v>0</v>
      </c>
      <c r="V2" s="29" t="s">
        <v>291</v>
      </c>
      <c r="W2" s="29" t="s">
        <v>109</v>
      </c>
      <c r="X2" s="29" t="s">
        <v>109</v>
      </c>
    </row>
    <row r="3" spans="1:24" x14ac:dyDescent="0.3">
      <c r="A3" s="38">
        <v>2</v>
      </c>
      <c r="B3" s="29" t="s">
        <v>25</v>
      </c>
      <c r="C3" s="29" t="s">
        <v>33</v>
      </c>
      <c r="D3" s="29">
        <v>41225016</v>
      </c>
      <c r="E3" s="29">
        <v>178</v>
      </c>
      <c r="F3" s="6">
        <v>104</v>
      </c>
      <c r="G3" s="29">
        <v>37</v>
      </c>
      <c r="H3" s="29" t="s">
        <v>262</v>
      </c>
      <c r="I3" s="29" t="s">
        <v>294</v>
      </c>
      <c r="J3" s="29" t="s">
        <v>130</v>
      </c>
      <c r="K3" s="30">
        <v>0.67569444444444438</v>
      </c>
      <c r="L3" s="30">
        <v>0.69305555555555554</v>
      </c>
      <c r="M3" s="29" t="s">
        <v>109</v>
      </c>
      <c r="N3" s="29" t="s">
        <v>1006</v>
      </c>
      <c r="O3" s="29" t="s">
        <v>61</v>
      </c>
      <c r="P3" s="29" t="s">
        <v>131</v>
      </c>
      <c r="Q3" s="29" t="s">
        <v>88</v>
      </c>
      <c r="R3" s="29" t="s">
        <v>62</v>
      </c>
      <c r="S3" s="29" t="s">
        <v>109</v>
      </c>
      <c r="T3" s="29" t="s">
        <v>114</v>
      </c>
      <c r="U3" s="29" t="b">
        <f t="shared" si="0"/>
        <v>0</v>
      </c>
      <c r="V3" s="29" t="s">
        <v>291</v>
      </c>
      <c r="W3" s="29" t="s">
        <v>109</v>
      </c>
      <c r="X3" s="29" t="s">
        <v>109</v>
      </c>
    </row>
    <row r="4" spans="1:24" x14ac:dyDescent="0.3">
      <c r="A4" s="38">
        <v>3</v>
      </c>
      <c r="B4" s="29" t="s">
        <v>292</v>
      </c>
      <c r="C4" s="29" t="s">
        <v>293</v>
      </c>
      <c r="D4" s="29">
        <v>41125001</v>
      </c>
      <c r="E4" s="29">
        <v>182</v>
      </c>
      <c r="F4" s="6">
        <v>249</v>
      </c>
      <c r="G4" s="29">
        <v>64</v>
      </c>
      <c r="H4" s="29" t="s">
        <v>1007</v>
      </c>
      <c r="I4" s="29" t="s">
        <v>1008</v>
      </c>
      <c r="J4" s="29" t="s">
        <v>130</v>
      </c>
      <c r="K4" s="30">
        <v>3.5416666666666666E-2</v>
      </c>
      <c r="L4" s="63">
        <v>5.9722222222222225E-2</v>
      </c>
      <c r="M4" s="29" t="s">
        <v>109</v>
      </c>
      <c r="N4" s="29" t="s">
        <v>109</v>
      </c>
      <c r="O4" s="29" t="s">
        <v>61</v>
      </c>
      <c r="P4" s="29" t="s">
        <v>131</v>
      </c>
      <c r="Q4" s="29" t="s">
        <v>603</v>
      </c>
      <c r="R4" s="29" t="s">
        <v>63</v>
      </c>
      <c r="S4" s="29" t="s">
        <v>109</v>
      </c>
      <c r="T4" s="29" t="s">
        <v>295</v>
      </c>
      <c r="U4" s="29" t="b">
        <f t="shared" si="0"/>
        <v>0</v>
      </c>
      <c r="V4" s="29" t="s">
        <v>109</v>
      </c>
      <c r="W4" s="29" t="s">
        <v>109</v>
      </c>
      <c r="X4" s="29" t="s">
        <v>109</v>
      </c>
    </row>
    <row r="5" spans="1:24" x14ac:dyDescent="0.3">
      <c r="A5" s="38">
        <v>4</v>
      </c>
      <c r="B5" s="29" t="s">
        <v>24</v>
      </c>
      <c r="C5" s="29" t="s">
        <v>46</v>
      </c>
      <c r="D5" s="29">
        <v>61225009</v>
      </c>
      <c r="E5" s="29">
        <v>91</v>
      </c>
      <c r="F5" s="6">
        <v>96</v>
      </c>
      <c r="G5" s="29">
        <v>26</v>
      </c>
      <c r="H5" s="59" t="s">
        <v>84</v>
      </c>
      <c r="I5" s="29" t="s">
        <v>90</v>
      </c>
      <c r="J5" s="29" t="s">
        <v>130</v>
      </c>
      <c r="K5" s="30">
        <v>0.9472222222222223</v>
      </c>
      <c r="L5" s="30">
        <v>4.027777777777778E-2</v>
      </c>
      <c r="M5" s="29" t="s">
        <v>109</v>
      </c>
      <c r="N5" s="29" t="s">
        <v>109</v>
      </c>
      <c r="O5" s="29" t="s">
        <v>61</v>
      </c>
      <c r="P5" s="29" t="s">
        <v>131</v>
      </c>
      <c r="Q5" s="29" t="s">
        <v>90</v>
      </c>
      <c r="R5" s="29" t="s">
        <v>63</v>
      </c>
      <c r="S5" s="29" t="s">
        <v>109</v>
      </c>
      <c r="T5" s="29" t="s">
        <v>119</v>
      </c>
      <c r="U5" s="29" t="b">
        <f t="shared" si="0"/>
        <v>0</v>
      </c>
      <c r="V5" s="29" t="s">
        <v>109</v>
      </c>
      <c r="W5" s="29" t="s">
        <v>109</v>
      </c>
      <c r="X5" s="29" t="s">
        <v>109</v>
      </c>
    </row>
    <row r="6" spans="1:24" x14ac:dyDescent="0.3">
      <c r="A6" s="38">
        <v>5</v>
      </c>
      <c r="B6" s="29" t="s">
        <v>26</v>
      </c>
      <c r="C6" s="29" t="s">
        <v>442</v>
      </c>
      <c r="D6" s="29">
        <v>41125009</v>
      </c>
      <c r="E6" s="29">
        <v>331</v>
      </c>
      <c r="F6" s="6">
        <v>307</v>
      </c>
      <c r="G6" s="29">
        <v>69</v>
      </c>
      <c r="H6" s="29" t="s">
        <v>1009</v>
      </c>
      <c r="I6" s="29" t="s">
        <v>1010</v>
      </c>
      <c r="J6" s="29" t="s">
        <v>130</v>
      </c>
      <c r="K6" s="30">
        <v>0.6972222222222223</v>
      </c>
      <c r="L6" s="30">
        <v>0.71180555555555547</v>
      </c>
      <c r="M6" s="29" t="s">
        <v>109</v>
      </c>
      <c r="N6" s="29" t="s">
        <v>1006</v>
      </c>
      <c r="O6" s="29" t="s">
        <v>61</v>
      </c>
      <c r="P6" s="29" t="s">
        <v>131</v>
      </c>
      <c r="Q6" s="29" t="s">
        <v>94</v>
      </c>
      <c r="R6" s="29" t="s">
        <v>62</v>
      </c>
      <c r="S6" s="29" t="s">
        <v>109</v>
      </c>
      <c r="T6" s="29" t="s">
        <v>122</v>
      </c>
      <c r="U6" s="29" t="b">
        <f t="shared" si="0"/>
        <v>0</v>
      </c>
      <c r="V6" s="29" t="s">
        <v>291</v>
      </c>
      <c r="W6" s="29" t="s">
        <v>109</v>
      </c>
      <c r="X6" s="29" t="s">
        <v>109</v>
      </c>
    </row>
    <row r="7" spans="1:24" x14ac:dyDescent="0.3">
      <c r="A7" s="38">
        <v>6</v>
      </c>
      <c r="B7" s="29" t="s">
        <v>26</v>
      </c>
      <c r="C7" s="29" t="s">
        <v>446</v>
      </c>
      <c r="D7" s="29">
        <v>41225005</v>
      </c>
      <c r="E7" s="29">
        <v>129</v>
      </c>
      <c r="F7" s="6">
        <v>80</v>
      </c>
      <c r="G7" s="29">
        <v>16</v>
      </c>
      <c r="H7" s="29" t="s">
        <v>232</v>
      </c>
      <c r="I7" s="29" t="s">
        <v>285</v>
      </c>
      <c r="J7" s="29" t="s">
        <v>130</v>
      </c>
      <c r="K7" s="30">
        <v>0.75902777777777775</v>
      </c>
      <c r="L7" s="30">
        <v>0.81041666666666667</v>
      </c>
      <c r="M7" s="29" t="s">
        <v>109</v>
      </c>
      <c r="N7" s="29" t="s">
        <v>1006</v>
      </c>
      <c r="O7" s="29" t="s">
        <v>61</v>
      </c>
      <c r="P7" s="29" t="s">
        <v>131</v>
      </c>
      <c r="Q7" s="29" t="s">
        <v>154</v>
      </c>
      <c r="R7" s="29" t="s">
        <v>62</v>
      </c>
      <c r="S7" s="29" t="s">
        <v>109</v>
      </c>
      <c r="T7" s="29" t="s">
        <v>122</v>
      </c>
      <c r="U7" s="29" t="b">
        <f t="shared" si="0"/>
        <v>0</v>
      </c>
      <c r="V7" s="29" t="s">
        <v>109</v>
      </c>
      <c r="W7" s="29" t="s">
        <v>109</v>
      </c>
      <c r="X7" s="29" t="s">
        <v>109</v>
      </c>
    </row>
    <row r="8" spans="1:24" x14ac:dyDescent="0.3">
      <c r="A8" s="38">
        <v>7</v>
      </c>
      <c r="B8" s="29" t="s">
        <v>26</v>
      </c>
      <c r="C8" s="29" t="s">
        <v>1011</v>
      </c>
      <c r="D8" s="29">
        <v>40126017</v>
      </c>
      <c r="E8" s="29">
        <v>430</v>
      </c>
      <c r="F8" s="6">
        <v>778</v>
      </c>
      <c r="G8" s="29">
        <v>212</v>
      </c>
      <c r="H8" s="29" t="s">
        <v>1012</v>
      </c>
      <c r="I8" s="29" t="s">
        <v>1013</v>
      </c>
      <c r="J8" s="29" t="s">
        <v>130</v>
      </c>
      <c r="K8" s="30">
        <v>0.84236111111111101</v>
      </c>
      <c r="L8" s="30">
        <v>0.93541666666666667</v>
      </c>
      <c r="M8" s="29" t="s">
        <v>109</v>
      </c>
      <c r="N8" s="29" t="s">
        <v>1006</v>
      </c>
      <c r="O8" s="29" t="s">
        <v>61</v>
      </c>
      <c r="P8" s="29" t="s">
        <v>131</v>
      </c>
      <c r="Q8" s="29" t="s">
        <v>88</v>
      </c>
      <c r="R8" s="29" t="s">
        <v>62</v>
      </c>
      <c r="S8" s="29" t="s">
        <v>109</v>
      </c>
      <c r="T8" s="29" t="s">
        <v>122</v>
      </c>
      <c r="U8" s="29" t="b">
        <f t="shared" si="0"/>
        <v>0</v>
      </c>
      <c r="V8" s="29" t="s">
        <v>109</v>
      </c>
      <c r="W8" s="29" t="s">
        <v>109</v>
      </c>
      <c r="X8" s="29" t="s">
        <v>109</v>
      </c>
    </row>
    <row r="9" spans="1:24" x14ac:dyDescent="0.3">
      <c r="A9" s="38">
        <v>8</v>
      </c>
      <c r="B9" s="29" t="s">
        <v>25</v>
      </c>
      <c r="C9" s="29" t="s">
        <v>1014</v>
      </c>
      <c r="D9" s="29">
        <v>40126018</v>
      </c>
      <c r="E9" s="29">
        <v>87</v>
      </c>
      <c r="F9" s="6">
        <v>87</v>
      </c>
      <c r="G9" s="29">
        <v>13</v>
      </c>
      <c r="H9" s="59" t="s">
        <v>222</v>
      </c>
      <c r="I9" s="29" t="s">
        <v>209</v>
      </c>
      <c r="J9" s="29" t="s">
        <v>130</v>
      </c>
      <c r="K9" s="30">
        <v>0.89027777777777783</v>
      </c>
      <c r="L9" s="30">
        <v>0.95000000000000007</v>
      </c>
      <c r="M9" s="29" t="s">
        <v>109</v>
      </c>
      <c r="N9" s="29" t="s">
        <v>109</v>
      </c>
      <c r="O9" s="29" t="s">
        <v>61</v>
      </c>
      <c r="P9" s="29" t="s">
        <v>131</v>
      </c>
      <c r="Q9" s="29" t="s">
        <v>209</v>
      </c>
      <c r="R9" s="29" t="s">
        <v>62</v>
      </c>
      <c r="S9" s="29" t="s">
        <v>109</v>
      </c>
      <c r="T9" s="29" t="s">
        <v>762</v>
      </c>
      <c r="U9" s="29" t="b">
        <f t="shared" si="0"/>
        <v>0</v>
      </c>
      <c r="V9" s="29" t="s">
        <v>109</v>
      </c>
      <c r="W9" s="29" t="s">
        <v>109</v>
      </c>
      <c r="X9" s="29" t="s">
        <v>109</v>
      </c>
    </row>
    <row r="10" spans="1:24" x14ac:dyDescent="0.3">
      <c r="A10" s="38">
        <v>9</v>
      </c>
      <c r="B10" s="29" t="s">
        <v>23</v>
      </c>
      <c r="C10" s="29" t="s">
        <v>811</v>
      </c>
      <c r="D10" s="29">
        <v>50126222</v>
      </c>
      <c r="E10" s="29">
        <v>500</v>
      </c>
      <c r="F10" s="6">
        <v>780</v>
      </c>
      <c r="G10" s="29">
        <v>492</v>
      </c>
      <c r="H10" s="29" t="s">
        <v>1015</v>
      </c>
      <c r="I10" s="29" t="s">
        <v>109</v>
      </c>
      <c r="J10" s="29" t="s">
        <v>130</v>
      </c>
      <c r="K10" s="63">
        <v>0.88263888888888886</v>
      </c>
      <c r="L10" s="30">
        <v>0.88263888888888886</v>
      </c>
      <c r="M10" s="29" t="s">
        <v>109</v>
      </c>
      <c r="N10" s="29" t="s">
        <v>110</v>
      </c>
      <c r="O10" s="29" t="s">
        <v>61</v>
      </c>
      <c r="P10" s="29" t="s">
        <v>131</v>
      </c>
      <c r="Q10" s="29" t="s">
        <v>153</v>
      </c>
      <c r="R10" s="29" t="s">
        <v>62</v>
      </c>
      <c r="S10" s="29" t="s">
        <v>109</v>
      </c>
      <c r="T10" s="29" t="s">
        <v>424</v>
      </c>
      <c r="U10" s="29" t="b">
        <f t="shared" si="0"/>
        <v>0</v>
      </c>
      <c r="V10" s="29" t="s">
        <v>109</v>
      </c>
      <c r="W10" s="29" t="s">
        <v>109</v>
      </c>
      <c r="X10" s="29" t="s">
        <v>109</v>
      </c>
    </row>
    <row r="11" spans="1:24" x14ac:dyDescent="0.3">
      <c r="A11" s="38">
        <v>10</v>
      </c>
      <c r="B11" s="29" t="s">
        <v>23</v>
      </c>
      <c r="C11" s="29" t="s">
        <v>820</v>
      </c>
      <c r="D11" s="29">
        <v>50126223</v>
      </c>
      <c r="E11" s="29">
        <v>350</v>
      </c>
      <c r="F11" s="6">
        <v>437</v>
      </c>
      <c r="G11" s="29">
        <v>350</v>
      </c>
      <c r="H11" s="29" t="s">
        <v>1016</v>
      </c>
      <c r="I11" s="29" t="s">
        <v>109</v>
      </c>
      <c r="J11" s="29" t="s">
        <v>130</v>
      </c>
      <c r="K11" s="30">
        <v>0.76041666666666663</v>
      </c>
      <c r="L11" s="29" t="s">
        <v>109</v>
      </c>
      <c r="M11" s="29" t="s">
        <v>109</v>
      </c>
      <c r="N11" s="29" t="s">
        <v>110</v>
      </c>
      <c r="O11" s="29" t="s">
        <v>61</v>
      </c>
      <c r="P11" s="29" t="s">
        <v>131</v>
      </c>
      <c r="Q11" s="29" t="s">
        <v>66</v>
      </c>
      <c r="R11" s="29" t="s">
        <v>62</v>
      </c>
      <c r="S11" s="29" t="s">
        <v>109</v>
      </c>
      <c r="T11" s="29" t="s">
        <v>424</v>
      </c>
      <c r="U11" s="29" t="b">
        <f t="shared" si="0"/>
        <v>1</v>
      </c>
      <c r="V11" s="29" t="s">
        <v>109</v>
      </c>
      <c r="W11" s="29" t="s">
        <v>109</v>
      </c>
      <c r="X11" s="29" t="s">
        <v>109</v>
      </c>
    </row>
    <row r="12" spans="1:24" x14ac:dyDescent="0.3">
      <c r="A12" s="38">
        <v>11</v>
      </c>
      <c r="B12" s="29" t="s">
        <v>23</v>
      </c>
      <c r="C12" s="29" t="s">
        <v>840</v>
      </c>
      <c r="D12" s="29">
        <v>50126075</v>
      </c>
      <c r="E12" s="29">
        <v>650</v>
      </c>
      <c r="F12" s="6">
        <v>1085</v>
      </c>
      <c r="G12" s="29">
        <v>618</v>
      </c>
      <c r="H12" s="6" t="s">
        <v>1017</v>
      </c>
      <c r="I12" s="29" t="s">
        <v>109</v>
      </c>
      <c r="J12" s="29" t="s">
        <v>130</v>
      </c>
      <c r="K12" s="29" t="s">
        <v>109</v>
      </c>
      <c r="L12" s="30">
        <v>0.98333333333333339</v>
      </c>
      <c r="M12" s="29" t="s">
        <v>109</v>
      </c>
      <c r="N12" s="29" t="s">
        <v>110</v>
      </c>
      <c r="O12" s="29" t="s">
        <v>61</v>
      </c>
      <c r="P12" s="29" t="s">
        <v>131</v>
      </c>
      <c r="Q12" s="29" t="s">
        <v>209</v>
      </c>
      <c r="R12" s="29" t="s">
        <v>62</v>
      </c>
      <c r="S12" s="29" t="s">
        <v>109</v>
      </c>
      <c r="T12" s="29" t="s">
        <v>424</v>
      </c>
      <c r="U12" s="29" t="b">
        <f t="shared" si="0"/>
        <v>0</v>
      </c>
      <c r="V12" s="29" t="s">
        <v>109</v>
      </c>
      <c r="W12" s="29" t="s">
        <v>109</v>
      </c>
      <c r="X12" s="29" t="s">
        <v>109</v>
      </c>
    </row>
    <row r="13" spans="1:24" s="66" customFormat="1" x14ac:dyDescent="0.3">
      <c r="A13" s="64">
        <v>12</v>
      </c>
      <c r="B13" s="64" t="s">
        <v>23</v>
      </c>
      <c r="C13" s="64" t="s">
        <v>848</v>
      </c>
      <c r="D13" s="64">
        <v>50126212</v>
      </c>
      <c r="E13" s="64">
        <v>100</v>
      </c>
      <c r="F13" s="65" t="s">
        <v>109</v>
      </c>
      <c r="G13" s="64" t="s">
        <v>109</v>
      </c>
      <c r="H13" s="65" t="s">
        <v>274</v>
      </c>
      <c r="I13" s="64" t="s">
        <v>109</v>
      </c>
      <c r="J13" s="64" t="s">
        <v>85</v>
      </c>
      <c r="K13" s="64" t="s">
        <v>109</v>
      </c>
      <c r="L13" s="64" t="s">
        <v>109</v>
      </c>
      <c r="M13" s="64" t="s">
        <v>109</v>
      </c>
      <c r="N13" s="64" t="s">
        <v>110</v>
      </c>
      <c r="O13" s="64" t="s">
        <v>61</v>
      </c>
      <c r="P13" s="64" t="s">
        <v>109</v>
      </c>
      <c r="Q13" s="64" t="s">
        <v>109</v>
      </c>
      <c r="R13" s="64" t="s">
        <v>62</v>
      </c>
      <c r="S13" s="64" t="s">
        <v>109</v>
      </c>
      <c r="T13" s="64" t="s">
        <v>424</v>
      </c>
      <c r="U13" s="64" t="b">
        <f t="shared" si="0"/>
        <v>1</v>
      </c>
      <c r="V13" s="64" t="s">
        <v>109</v>
      </c>
      <c r="W13" s="64" t="s">
        <v>109</v>
      </c>
      <c r="X13" s="64" t="s">
        <v>109</v>
      </c>
    </row>
    <row r="14" spans="1:24" x14ac:dyDescent="0.3">
      <c r="A14" s="38">
        <v>13</v>
      </c>
      <c r="B14" s="29" t="s">
        <v>23</v>
      </c>
      <c r="C14" s="29" t="s">
        <v>850</v>
      </c>
      <c r="D14" s="29">
        <v>50126214</v>
      </c>
      <c r="E14" s="29">
        <v>650</v>
      </c>
      <c r="F14" s="6">
        <v>817</v>
      </c>
      <c r="G14" s="29">
        <v>604</v>
      </c>
      <c r="H14" s="29" t="s">
        <v>1018</v>
      </c>
      <c r="I14" s="29" t="s">
        <v>109</v>
      </c>
      <c r="J14" s="29" t="s">
        <v>130</v>
      </c>
      <c r="K14" s="29" t="s">
        <v>109</v>
      </c>
      <c r="L14" s="30">
        <v>0.85625000000000007</v>
      </c>
      <c r="M14" s="29" t="s">
        <v>109</v>
      </c>
      <c r="N14" s="29" t="s">
        <v>110</v>
      </c>
      <c r="O14" s="29" t="s">
        <v>61</v>
      </c>
      <c r="P14" s="29" t="s">
        <v>131</v>
      </c>
      <c r="Q14" s="29" t="s">
        <v>364</v>
      </c>
      <c r="R14" s="29" t="s">
        <v>62</v>
      </c>
      <c r="S14" s="29" t="s">
        <v>109</v>
      </c>
      <c r="T14" s="29" t="s">
        <v>424</v>
      </c>
      <c r="U14" s="29" t="b">
        <f t="shared" si="0"/>
        <v>0</v>
      </c>
      <c r="V14" s="29" t="s">
        <v>109</v>
      </c>
      <c r="W14" s="29" t="s">
        <v>109</v>
      </c>
      <c r="X14" s="29" t="s">
        <v>109</v>
      </c>
    </row>
    <row r="15" spans="1:24" x14ac:dyDescent="0.3">
      <c r="A15" s="38">
        <v>14</v>
      </c>
      <c r="B15" s="29" t="s">
        <v>23</v>
      </c>
      <c r="C15" s="29" t="s">
        <v>788</v>
      </c>
      <c r="D15" s="29">
        <v>50126178</v>
      </c>
      <c r="E15" s="29">
        <v>75</v>
      </c>
      <c r="F15" s="6">
        <v>85</v>
      </c>
      <c r="G15" s="29">
        <v>80</v>
      </c>
      <c r="H15" s="59" t="s">
        <v>241</v>
      </c>
      <c r="I15" s="29" t="s">
        <v>109</v>
      </c>
      <c r="J15" s="29" t="s">
        <v>130</v>
      </c>
      <c r="K15" s="29" t="s">
        <v>109</v>
      </c>
      <c r="L15" s="30">
        <v>4.8611111111111112E-3</v>
      </c>
      <c r="M15" s="29" t="s">
        <v>109</v>
      </c>
      <c r="N15" s="29" t="s">
        <v>109</v>
      </c>
      <c r="O15" s="29" t="s">
        <v>61</v>
      </c>
      <c r="P15" s="29" t="s">
        <v>131</v>
      </c>
      <c r="Q15" s="29" t="s">
        <v>241</v>
      </c>
      <c r="R15" s="29" t="s">
        <v>62</v>
      </c>
      <c r="S15" s="29" t="s">
        <v>109</v>
      </c>
      <c r="T15" s="29" t="s">
        <v>424</v>
      </c>
      <c r="U15" s="29" t="b">
        <f t="shared" si="0"/>
        <v>1</v>
      </c>
      <c r="V15" s="29" t="s">
        <v>109</v>
      </c>
      <c r="W15" s="29" t="s">
        <v>109</v>
      </c>
      <c r="X15" s="29" t="s">
        <v>109</v>
      </c>
    </row>
    <row r="16" spans="1:24" x14ac:dyDescent="0.3">
      <c r="A16" s="38">
        <v>15</v>
      </c>
      <c r="B16" s="29" t="s">
        <v>23</v>
      </c>
      <c r="C16" s="29" t="s">
        <v>791</v>
      </c>
      <c r="D16" s="29">
        <v>50126179</v>
      </c>
      <c r="E16" s="29">
        <v>100</v>
      </c>
      <c r="F16" s="6">
        <v>117</v>
      </c>
      <c r="G16" s="29">
        <v>97</v>
      </c>
      <c r="H16" s="6" t="s">
        <v>72</v>
      </c>
      <c r="I16" s="29" t="s">
        <v>109</v>
      </c>
      <c r="J16" s="29" t="s">
        <v>130</v>
      </c>
      <c r="K16" s="29" t="s">
        <v>109</v>
      </c>
      <c r="L16" s="30">
        <v>0.7006944444444444</v>
      </c>
      <c r="M16" s="29" t="s">
        <v>109</v>
      </c>
      <c r="N16" s="29" t="s">
        <v>109</v>
      </c>
      <c r="O16" s="29" t="s">
        <v>61</v>
      </c>
      <c r="P16" s="29" t="s">
        <v>131</v>
      </c>
      <c r="Q16" s="29" t="s">
        <v>72</v>
      </c>
      <c r="R16" s="29" t="s">
        <v>62</v>
      </c>
      <c r="S16" s="29" t="s">
        <v>109</v>
      </c>
      <c r="T16" s="29" t="s">
        <v>424</v>
      </c>
      <c r="U16" s="29" t="b">
        <f t="shared" si="0"/>
        <v>0</v>
      </c>
      <c r="V16" s="29" t="s">
        <v>109</v>
      </c>
      <c r="W16" s="29" t="s">
        <v>109</v>
      </c>
      <c r="X16" s="29" t="s">
        <v>109</v>
      </c>
    </row>
    <row r="17" spans="1:24" x14ac:dyDescent="0.3">
      <c r="A17" s="38">
        <v>16</v>
      </c>
      <c r="B17" s="29" t="s">
        <v>23</v>
      </c>
      <c r="C17" s="29" t="s">
        <v>793</v>
      </c>
      <c r="D17" s="29">
        <v>50126181</v>
      </c>
      <c r="E17" s="29">
        <v>85</v>
      </c>
      <c r="F17" s="6">
        <v>98</v>
      </c>
      <c r="G17" s="29">
        <v>80</v>
      </c>
      <c r="H17" s="6" t="s">
        <v>68</v>
      </c>
      <c r="I17" s="29" t="s">
        <v>109</v>
      </c>
      <c r="J17" s="29" t="s">
        <v>130</v>
      </c>
      <c r="K17" s="29" t="s">
        <v>109</v>
      </c>
      <c r="L17" s="63">
        <v>7.2916666666666671E-2</v>
      </c>
      <c r="M17" s="29" t="s">
        <v>109</v>
      </c>
      <c r="N17" s="29" t="s">
        <v>109</v>
      </c>
      <c r="O17" s="29" t="s">
        <v>61</v>
      </c>
      <c r="P17" s="29" t="s">
        <v>131</v>
      </c>
      <c r="Q17" s="29" t="s">
        <v>68</v>
      </c>
      <c r="R17" s="29" t="s">
        <v>62</v>
      </c>
      <c r="S17" s="29" t="s">
        <v>109</v>
      </c>
      <c r="T17" s="29" t="s">
        <v>424</v>
      </c>
      <c r="U17" s="29" t="b">
        <f t="shared" si="0"/>
        <v>0</v>
      </c>
      <c r="V17" s="29" t="s">
        <v>109</v>
      </c>
      <c r="W17" s="29" t="s">
        <v>109</v>
      </c>
      <c r="X17" s="29" t="s">
        <v>109</v>
      </c>
    </row>
    <row r="18" spans="1:24" x14ac:dyDescent="0.3">
      <c r="A18" s="38">
        <v>17</v>
      </c>
      <c r="B18" s="29" t="s">
        <v>23</v>
      </c>
      <c r="C18" s="29" t="s">
        <v>797</v>
      </c>
      <c r="D18" s="29">
        <v>50126195</v>
      </c>
      <c r="E18" s="29">
        <v>65</v>
      </c>
      <c r="F18" s="6">
        <v>89</v>
      </c>
      <c r="G18" s="29">
        <v>70</v>
      </c>
      <c r="H18" s="59" t="s">
        <v>64</v>
      </c>
      <c r="I18" s="29" t="s">
        <v>109</v>
      </c>
      <c r="J18" s="29" t="s">
        <v>130</v>
      </c>
      <c r="K18" s="29" t="s">
        <v>109</v>
      </c>
      <c r="L18" s="30">
        <v>0.86319444444444438</v>
      </c>
      <c r="M18" s="29" t="s">
        <v>109</v>
      </c>
      <c r="N18" s="29" t="s">
        <v>109</v>
      </c>
      <c r="O18" s="29" t="s">
        <v>61</v>
      </c>
      <c r="P18" s="29" t="s">
        <v>131</v>
      </c>
      <c r="Q18" s="29" t="s">
        <v>364</v>
      </c>
      <c r="R18" s="29" t="s">
        <v>62</v>
      </c>
      <c r="S18" s="29" t="s">
        <v>109</v>
      </c>
      <c r="T18" s="29" t="s">
        <v>424</v>
      </c>
      <c r="U18" s="29" t="b">
        <f t="shared" si="0"/>
        <v>1</v>
      </c>
      <c r="V18" s="29" t="s">
        <v>109</v>
      </c>
      <c r="W18" s="29" t="s">
        <v>109</v>
      </c>
      <c r="X18" s="29" t="s">
        <v>109</v>
      </c>
    </row>
    <row r="19" spans="1:24" x14ac:dyDescent="0.3">
      <c r="A19" s="38">
        <v>18</v>
      </c>
      <c r="B19" s="29" t="s">
        <v>23</v>
      </c>
      <c r="C19" s="29" t="s">
        <v>800</v>
      </c>
      <c r="D19" s="29">
        <v>50126185</v>
      </c>
      <c r="E19" s="29">
        <v>65</v>
      </c>
      <c r="F19" s="6">
        <v>104</v>
      </c>
      <c r="G19" s="29">
        <v>76</v>
      </c>
      <c r="H19" s="59" t="s">
        <v>65</v>
      </c>
      <c r="I19" s="29" t="s">
        <v>109</v>
      </c>
      <c r="J19" s="29" t="s">
        <v>130</v>
      </c>
      <c r="K19" s="29" t="s">
        <v>109</v>
      </c>
      <c r="L19" s="30">
        <v>0.74722222222222223</v>
      </c>
      <c r="M19" s="29" t="s">
        <v>109</v>
      </c>
      <c r="N19" s="29" t="s">
        <v>109</v>
      </c>
      <c r="O19" s="29" t="s">
        <v>61</v>
      </c>
      <c r="P19" s="29" t="s">
        <v>131</v>
      </c>
      <c r="Q19" s="29" t="s">
        <v>65</v>
      </c>
      <c r="R19" s="29" t="s">
        <v>62</v>
      </c>
      <c r="S19" s="29" t="s">
        <v>109</v>
      </c>
      <c r="T19" s="29" t="s">
        <v>424</v>
      </c>
      <c r="U19" s="29" t="b">
        <f t="shared" si="0"/>
        <v>1</v>
      </c>
      <c r="V19" s="29" t="s">
        <v>109</v>
      </c>
      <c r="W19" s="29" t="s">
        <v>109</v>
      </c>
      <c r="X19" s="29" t="s">
        <v>109</v>
      </c>
    </row>
    <row r="20" spans="1:24" x14ac:dyDescent="0.3">
      <c r="A20" s="38">
        <v>19</v>
      </c>
      <c r="B20" s="29" t="s">
        <v>23</v>
      </c>
      <c r="C20" s="29" t="s">
        <v>803</v>
      </c>
      <c r="D20" s="29">
        <v>50126188</v>
      </c>
      <c r="E20" s="29">
        <v>85</v>
      </c>
      <c r="F20" s="6">
        <v>120</v>
      </c>
      <c r="G20" s="29">
        <v>86</v>
      </c>
      <c r="H20" s="6" t="s">
        <v>66</v>
      </c>
      <c r="I20" s="29" t="s">
        <v>109</v>
      </c>
      <c r="J20" s="29" t="s">
        <v>130</v>
      </c>
      <c r="K20" s="29" t="s">
        <v>109</v>
      </c>
      <c r="L20" s="30">
        <v>0.95000000000000007</v>
      </c>
      <c r="M20" s="29" t="s">
        <v>109</v>
      </c>
      <c r="N20" s="29" t="s">
        <v>109</v>
      </c>
      <c r="O20" s="29" t="s">
        <v>61</v>
      </c>
      <c r="P20" s="29" t="s">
        <v>131</v>
      </c>
      <c r="Q20" s="29" t="s">
        <v>66</v>
      </c>
      <c r="R20" s="29" t="s">
        <v>62</v>
      </c>
      <c r="S20" s="29" t="s">
        <v>109</v>
      </c>
      <c r="T20" s="29" t="s">
        <v>424</v>
      </c>
      <c r="U20" s="29" t="b">
        <f t="shared" si="0"/>
        <v>1</v>
      </c>
      <c r="V20" s="29" t="s">
        <v>109</v>
      </c>
      <c r="W20" s="29" t="s">
        <v>109</v>
      </c>
      <c r="X20" s="29" t="s">
        <v>109</v>
      </c>
    </row>
    <row r="21" spans="1:24" x14ac:dyDescent="0.3">
      <c r="A21" s="38">
        <v>20</v>
      </c>
      <c r="B21" s="29" t="s">
        <v>23</v>
      </c>
      <c r="C21" s="29" t="s">
        <v>809</v>
      </c>
      <c r="D21" s="29">
        <v>50126190</v>
      </c>
      <c r="E21" s="29">
        <v>65</v>
      </c>
      <c r="F21" s="6">
        <v>100</v>
      </c>
      <c r="G21" s="29">
        <v>72</v>
      </c>
      <c r="H21" s="6" t="s">
        <v>82</v>
      </c>
      <c r="I21" s="29" t="s">
        <v>109</v>
      </c>
      <c r="J21" s="29" t="s">
        <v>130</v>
      </c>
      <c r="K21" s="29" t="s">
        <v>109</v>
      </c>
      <c r="L21" s="30">
        <v>2.361111111111111E-2</v>
      </c>
      <c r="M21" s="29" t="s">
        <v>109</v>
      </c>
      <c r="N21" s="29" t="s">
        <v>109</v>
      </c>
      <c r="O21" s="29" t="s">
        <v>61</v>
      </c>
      <c r="P21" s="29" t="s">
        <v>131</v>
      </c>
      <c r="Q21" s="29" t="s">
        <v>82</v>
      </c>
      <c r="R21" s="29" t="s">
        <v>62</v>
      </c>
      <c r="S21" s="29" t="s">
        <v>109</v>
      </c>
      <c r="T21" s="29" t="s">
        <v>424</v>
      </c>
      <c r="U21" s="29" t="b">
        <f t="shared" si="0"/>
        <v>1</v>
      </c>
      <c r="V21" s="29" t="s">
        <v>109</v>
      </c>
      <c r="W21" s="29" t="s">
        <v>109</v>
      </c>
      <c r="X21" s="29" t="s">
        <v>109</v>
      </c>
    </row>
    <row r="22" spans="1:24" x14ac:dyDescent="0.3">
      <c r="A22" s="38">
        <v>21</v>
      </c>
      <c r="B22" s="29" t="s">
        <v>23</v>
      </c>
      <c r="C22" s="29" t="s">
        <v>813</v>
      </c>
      <c r="D22" s="29">
        <v>50126225</v>
      </c>
      <c r="E22" s="29">
        <v>65</v>
      </c>
      <c r="F22" s="6">
        <v>142</v>
      </c>
      <c r="G22" s="29">
        <v>74</v>
      </c>
      <c r="H22" s="60" t="s">
        <v>200</v>
      </c>
      <c r="I22" s="29" t="s">
        <v>109</v>
      </c>
      <c r="J22" s="29" t="s">
        <v>130</v>
      </c>
      <c r="K22" s="29" t="s">
        <v>109</v>
      </c>
      <c r="L22" s="30">
        <v>0.9375</v>
      </c>
      <c r="M22" s="29" t="s">
        <v>109</v>
      </c>
      <c r="N22" s="29" t="s">
        <v>109</v>
      </c>
      <c r="O22" s="29" t="s">
        <v>61</v>
      </c>
      <c r="P22" s="29" t="s">
        <v>131</v>
      </c>
      <c r="Q22" s="29" t="s">
        <v>200</v>
      </c>
      <c r="R22" s="29" t="s">
        <v>62</v>
      </c>
      <c r="S22" s="29" t="s">
        <v>109</v>
      </c>
      <c r="T22" s="29" t="s">
        <v>424</v>
      </c>
      <c r="U22" s="29" t="b">
        <f t="shared" si="0"/>
        <v>1</v>
      </c>
      <c r="V22" s="29" t="s">
        <v>109</v>
      </c>
      <c r="W22" s="29" t="s">
        <v>109</v>
      </c>
      <c r="X22" s="29" t="s">
        <v>109</v>
      </c>
    </row>
    <row r="23" spans="1:24" x14ac:dyDescent="0.3">
      <c r="A23" s="38">
        <v>22</v>
      </c>
      <c r="B23" s="29" t="s">
        <v>23</v>
      </c>
      <c r="C23" s="29" t="s">
        <v>821</v>
      </c>
      <c r="D23" s="29">
        <v>50126226</v>
      </c>
      <c r="E23" s="29">
        <v>40</v>
      </c>
      <c r="F23" s="6">
        <v>101</v>
      </c>
      <c r="G23" s="29">
        <v>1</v>
      </c>
      <c r="H23" s="59" t="s">
        <v>184</v>
      </c>
      <c r="I23" s="29" t="s">
        <v>109</v>
      </c>
      <c r="J23" s="29" t="s">
        <v>130</v>
      </c>
      <c r="K23" s="29" t="s">
        <v>109</v>
      </c>
      <c r="L23" s="29" t="s">
        <v>109</v>
      </c>
      <c r="M23" s="29" t="s">
        <v>109</v>
      </c>
      <c r="N23" s="29" t="s">
        <v>109</v>
      </c>
      <c r="O23" s="29" t="s">
        <v>61</v>
      </c>
      <c r="P23" s="29" t="s">
        <v>131</v>
      </c>
      <c r="Q23" s="29" t="s">
        <v>520</v>
      </c>
      <c r="R23" s="29" t="s">
        <v>62</v>
      </c>
      <c r="S23" s="29" t="s">
        <v>109</v>
      </c>
      <c r="T23" s="29" t="s">
        <v>424</v>
      </c>
      <c r="U23" s="29" t="b">
        <f t="shared" si="0"/>
        <v>0</v>
      </c>
      <c r="V23" s="29" t="s">
        <v>109</v>
      </c>
      <c r="W23" s="29" t="s">
        <v>109</v>
      </c>
      <c r="X23" s="29" t="s">
        <v>109</v>
      </c>
    </row>
    <row r="24" spans="1:24" x14ac:dyDescent="0.3">
      <c r="A24" s="38">
        <v>23</v>
      </c>
      <c r="B24" s="29" t="s">
        <v>23</v>
      </c>
      <c r="C24" s="29" t="s">
        <v>525</v>
      </c>
      <c r="D24" s="29">
        <v>50126081</v>
      </c>
      <c r="E24" s="29">
        <v>160</v>
      </c>
      <c r="F24" s="6">
        <v>317</v>
      </c>
      <c r="G24" s="29">
        <v>143</v>
      </c>
      <c r="H24" s="29" t="s">
        <v>386</v>
      </c>
      <c r="I24" s="29" t="s">
        <v>109</v>
      </c>
      <c r="J24" s="29" t="s">
        <v>130</v>
      </c>
      <c r="K24" s="29" t="s">
        <v>109</v>
      </c>
      <c r="L24" s="30">
        <v>0.78888888888888886</v>
      </c>
      <c r="M24" s="29" t="s">
        <v>109</v>
      </c>
      <c r="N24" s="29" t="s">
        <v>109</v>
      </c>
      <c r="O24" s="29" t="s">
        <v>61</v>
      </c>
      <c r="P24" s="29" t="s">
        <v>131</v>
      </c>
      <c r="Q24" s="29" t="s">
        <v>82</v>
      </c>
      <c r="R24" s="29" t="s">
        <v>62</v>
      </c>
      <c r="S24" s="29" t="s">
        <v>109</v>
      </c>
      <c r="T24" s="29" t="s">
        <v>424</v>
      </c>
      <c r="U24" s="29" t="b">
        <f t="shared" si="0"/>
        <v>0</v>
      </c>
      <c r="V24" s="29" t="s">
        <v>109</v>
      </c>
      <c r="W24" s="29" t="s">
        <v>109</v>
      </c>
      <c r="X24" s="29" t="s">
        <v>109</v>
      </c>
    </row>
    <row r="25" spans="1:24" x14ac:dyDescent="0.3">
      <c r="A25" s="38">
        <v>24</v>
      </c>
      <c r="B25" s="29" t="s">
        <v>23</v>
      </c>
      <c r="C25" s="29" t="s">
        <v>824</v>
      </c>
      <c r="D25" s="29">
        <v>50126209</v>
      </c>
      <c r="E25" s="29">
        <v>140</v>
      </c>
      <c r="F25" s="6">
        <v>150</v>
      </c>
      <c r="G25" s="29">
        <v>120</v>
      </c>
      <c r="H25" s="29" t="s">
        <v>262</v>
      </c>
      <c r="I25" s="29" t="s">
        <v>109</v>
      </c>
      <c r="J25" s="29" t="s">
        <v>130</v>
      </c>
      <c r="K25" s="29" t="s">
        <v>109</v>
      </c>
      <c r="L25" s="30">
        <v>0.99444444444444446</v>
      </c>
      <c r="M25" s="29" t="s">
        <v>109</v>
      </c>
      <c r="N25" s="29" t="s">
        <v>109</v>
      </c>
      <c r="O25" s="29" t="s">
        <v>61</v>
      </c>
      <c r="P25" s="29" t="s">
        <v>131</v>
      </c>
      <c r="Q25" s="29" t="s">
        <v>222</v>
      </c>
      <c r="R25" s="29" t="s">
        <v>62</v>
      </c>
      <c r="S25" s="29" t="s">
        <v>109</v>
      </c>
      <c r="T25" s="29" t="s">
        <v>424</v>
      </c>
      <c r="U25" s="29" t="b">
        <f t="shared" si="0"/>
        <v>0</v>
      </c>
      <c r="V25" s="29" t="s">
        <v>109</v>
      </c>
      <c r="W25" s="29" t="s">
        <v>109</v>
      </c>
      <c r="X25" s="29" t="s">
        <v>109</v>
      </c>
    </row>
    <row r="26" spans="1:24" x14ac:dyDescent="0.3">
      <c r="A26" s="38">
        <v>25</v>
      </c>
      <c r="B26" s="29" t="s">
        <v>23</v>
      </c>
      <c r="C26" s="29" t="s">
        <v>826</v>
      </c>
      <c r="D26" s="29">
        <v>50126174</v>
      </c>
      <c r="E26" s="29">
        <v>85</v>
      </c>
      <c r="F26" s="6">
        <v>110</v>
      </c>
      <c r="G26" s="29">
        <v>91</v>
      </c>
      <c r="H26" s="59" t="s">
        <v>67</v>
      </c>
      <c r="I26" s="29" t="s">
        <v>109</v>
      </c>
      <c r="J26" s="29" t="s">
        <v>130</v>
      </c>
      <c r="K26" s="29" t="s">
        <v>109</v>
      </c>
      <c r="L26" s="30">
        <v>0.70208333333333339</v>
      </c>
      <c r="M26" s="29" t="s">
        <v>109</v>
      </c>
      <c r="N26" s="29" t="s">
        <v>109</v>
      </c>
      <c r="O26" s="29" t="s">
        <v>61</v>
      </c>
      <c r="P26" s="29" t="s">
        <v>131</v>
      </c>
      <c r="Q26" s="29" t="s">
        <v>67</v>
      </c>
      <c r="R26" s="29" t="s">
        <v>62</v>
      </c>
      <c r="S26" s="29" t="s">
        <v>109</v>
      </c>
      <c r="T26" s="29" t="s">
        <v>424</v>
      </c>
      <c r="U26" s="29" t="b">
        <f t="shared" si="0"/>
        <v>1</v>
      </c>
      <c r="V26" s="29" t="s">
        <v>109</v>
      </c>
      <c r="W26" s="29" t="s">
        <v>109</v>
      </c>
      <c r="X26" s="29" t="s">
        <v>109</v>
      </c>
    </row>
    <row r="27" spans="1:24" x14ac:dyDescent="0.3">
      <c r="A27" s="38">
        <v>26</v>
      </c>
      <c r="B27" s="29" t="s">
        <v>23</v>
      </c>
      <c r="C27" s="29" t="s">
        <v>827</v>
      </c>
      <c r="D27" s="29">
        <v>50126175</v>
      </c>
      <c r="E27" s="29">
        <v>85</v>
      </c>
      <c r="F27" s="6">
        <v>142</v>
      </c>
      <c r="G27" s="29">
        <v>68</v>
      </c>
      <c r="H27" s="59" t="s">
        <v>153</v>
      </c>
      <c r="I27" s="29" t="s">
        <v>109</v>
      </c>
      <c r="J27" s="29" t="s">
        <v>130</v>
      </c>
      <c r="K27" s="29" t="s">
        <v>109</v>
      </c>
      <c r="L27" s="30">
        <v>0.70833333333333337</v>
      </c>
      <c r="M27" s="29" t="s">
        <v>109</v>
      </c>
      <c r="N27" s="29" t="s">
        <v>109</v>
      </c>
      <c r="O27" s="29" t="s">
        <v>61</v>
      </c>
      <c r="P27" s="29" t="s">
        <v>131</v>
      </c>
      <c r="Q27" s="29" t="s">
        <v>153</v>
      </c>
      <c r="R27" s="29" t="s">
        <v>62</v>
      </c>
      <c r="S27" s="29" t="s">
        <v>109</v>
      </c>
      <c r="T27" s="29" t="s">
        <v>424</v>
      </c>
      <c r="U27" s="29" t="b">
        <f t="shared" si="0"/>
        <v>0</v>
      </c>
      <c r="V27" s="29" t="s">
        <v>109</v>
      </c>
      <c r="W27" s="29" t="s">
        <v>109</v>
      </c>
      <c r="X27" s="29" t="s">
        <v>109</v>
      </c>
    </row>
    <row r="28" spans="1:24" x14ac:dyDescent="0.3">
      <c r="A28" s="38">
        <v>27</v>
      </c>
      <c r="B28" s="29" t="s">
        <v>23</v>
      </c>
      <c r="C28" s="29" t="s">
        <v>828</v>
      </c>
      <c r="D28" s="29">
        <v>50126177</v>
      </c>
      <c r="E28" s="29">
        <v>85</v>
      </c>
      <c r="F28" s="6">
        <v>112</v>
      </c>
      <c r="G28" s="29">
        <v>87</v>
      </c>
      <c r="H28" s="59" t="s">
        <v>214</v>
      </c>
      <c r="I28" s="29" t="s">
        <v>109</v>
      </c>
      <c r="J28" s="29" t="s">
        <v>130</v>
      </c>
      <c r="K28" s="29" t="s">
        <v>109</v>
      </c>
      <c r="L28" s="30">
        <v>2.0833333333333332E-2</v>
      </c>
      <c r="M28" s="29" t="s">
        <v>109</v>
      </c>
      <c r="N28" s="29" t="s">
        <v>109</v>
      </c>
      <c r="O28" s="29" t="s">
        <v>61</v>
      </c>
      <c r="P28" s="29" t="s">
        <v>131</v>
      </c>
      <c r="Q28" s="29" t="s">
        <v>214</v>
      </c>
      <c r="R28" s="29" t="s">
        <v>62</v>
      </c>
      <c r="S28" s="29" t="s">
        <v>109</v>
      </c>
      <c r="T28" s="29" t="s">
        <v>424</v>
      </c>
      <c r="U28" s="29" t="b">
        <f t="shared" si="0"/>
        <v>1</v>
      </c>
      <c r="V28" s="29" t="s">
        <v>109</v>
      </c>
      <c r="W28" s="29" t="s">
        <v>109</v>
      </c>
      <c r="X28" s="29" t="s">
        <v>109</v>
      </c>
    </row>
    <row r="29" spans="1:24" x14ac:dyDescent="0.3">
      <c r="A29" s="38">
        <v>28</v>
      </c>
      <c r="B29" s="29" t="s">
        <v>23</v>
      </c>
      <c r="C29" s="29" t="s">
        <v>831</v>
      </c>
      <c r="D29" s="29">
        <v>50126107</v>
      </c>
      <c r="E29" s="29">
        <v>100</v>
      </c>
      <c r="F29" s="6">
        <v>196</v>
      </c>
      <c r="G29" s="29">
        <v>97</v>
      </c>
      <c r="H29" s="59" t="s">
        <v>70</v>
      </c>
      <c r="I29" s="29" t="s">
        <v>109</v>
      </c>
      <c r="J29" s="29" t="s">
        <v>130</v>
      </c>
      <c r="K29" s="29" t="s">
        <v>109</v>
      </c>
      <c r="L29" s="30">
        <v>0.96319444444444446</v>
      </c>
      <c r="M29" s="29" t="s">
        <v>109</v>
      </c>
      <c r="N29" s="29" t="s">
        <v>109</v>
      </c>
      <c r="O29" s="29" t="s">
        <v>61</v>
      </c>
      <c r="P29" s="29" t="s">
        <v>131</v>
      </c>
      <c r="Q29" s="29" t="s">
        <v>70</v>
      </c>
      <c r="R29" s="29" t="s">
        <v>62</v>
      </c>
      <c r="S29" s="29" t="s">
        <v>109</v>
      </c>
      <c r="T29" s="29" t="s">
        <v>424</v>
      </c>
      <c r="U29" s="29" t="b">
        <f t="shared" si="0"/>
        <v>0</v>
      </c>
      <c r="V29" s="29" t="s">
        <v>109</v>
      </c>
      <c r="W29" s="29" t="s">
        <v>109</v>
      </c>
      <c r="X29" s="29" t="s">
        <v>109</v>
      </c>
    </row>
    <row r="30" spans="1:24" x14ac:dyDescent="0.3">
      <c r="A30" s="38">
        <v>29</v>
      </c>
      <c r="B30" s="29" t="s">
        <v>23</v>
      </c>
      <c r="C30" s="29" t="s">
        <v>432</v>
      </c>
      <c r="D30" s="29">
        <v>50126040</v>
      </c>
      <c r="E30" s="29">
        <v>120</v>
      </c>
      <c r="F30" s="6">
        <v>167</v>
      </c>
      <c r="G30" s="29">
        <v>58</v>
      </c>
      <c r="H30" s="29" t="s">
        <v>1019</v>
      </c>
      <c r="I30" s="29" t="s">
        <v>109</v>
      </c>
      <c r="J30" s="29" t="s">
        <v>130</v>
      </c>
      <c r="K30" s="29" t="s">
        <v>109</v>
      </c>
      <c r="L30" s="30">
        <v>0.85625000000000007</v>
      </c>
      <c r="M30" s="29" t="s">
        <v>109</v>
      </c>
      <c r="N30" s="29" t="s">
        <v>109</v>
      </c>
      <c r="O30" s="29" t="s">
        <v>61</v>
      </c>
      <c r="P30" s="29" t="s">
        <v>131</v>
      </c>
      <c r="Q30" s="29" t="s">
        <v>71</v>
      </c>
      <c r="R30" s="29" t="s">
        <v>62</v>
      </c>
      <c r="S30" s="29" t="s">
        <v>109</v>
      </c>
      <c r="T30" s="29" t="s">
        <v>424</v>
      </c>
      <c r="U30" s="29" t="b">
        <f t="shared" si="0"/>
        <v>0</v>
      </c>
      <c r="V30" s="29" t="s">
        <v>109</v>
      </c>
      <c r="W30" s="29" t="s">
        <v>109</v>
      </c>
      <c r="X30" s="29" t="s">
        <v>109</v>
      </c>
    </row>
    <row r="31" spans="1:24" x14ac:dyDescent="0.3">
      <c r="A31" s="38">
        <v>30</v>
      </c>
      <c r="B31" s="29" t="s">
        <v>23</v>
      </c>
      <c r="C31" s="29" t="s">
        <v>841</v>
      </c>
      <c r="D31" s="29">
        <v>50126201</v>
      </c>
      <c r="E31" s="29">
        <v>65</v>
      </c>
      <c r="F31" s="6">
        <v>69</v>
      </c>
      <c r="G31" s="29">
        <v>60</v>
      </c>
      <c r="H31" s="59" t="s">
        <v>222</v>
      </c>
      <c r="I31" s="29" t="s">
        <v>109</v>
      </c>
      <c r="J31" s="29" t="s">
        <v>130</v>
      </c>
      <c r="K31" s="29" t="s">
        <v>109</v>
      </c>
      <c r="L31" s="30">
        <v>0.96527777777777779</v>
      </c>
      <c r="M31" s="29" t="s">
        <v>109</v>
      </c>
      <c r="N31" s="29" t="s">
        <v>109</v>
      </c>
      <c r="O31" s="29" t="s">
        <v>61</v>
      </c>
      <c r="P31" s="29" t="s">
        <v>131</v>
      </c>
      <c r="Q31" s="29" t="s">
        <v>222</v>
      </c>
      <c r="R31" s="29" t="s">
        <v>62</v>
      </c>
      <c r="S31" s="29" t="s">
        <v>109</v>
      </c>
      <c r="T31" s="29" t="s">
        <v>424</v>
      </c>
      <c r="U31" s="29" t="b">
        <f t="shared" si="0"/>
        <v>0</v>
      </c>
      <c r="V31" s="29" t="s">
        <v>109</v>
      </c>
      <c r="W31" s="29" t="s">
        <v>109</v>
      </c>
      <c r="X31" s="29" t="s">
        <v>109</v>
      </c>
    </row>
    <row r="32" spans="1:24" x14ac:dyDescent="0.3">
      <c r="A32" s="38">
        <v>31</v>
      </c>
      <c r="B32" s="29" t="s">
        <v>23</v>
      </c>
      <c r="C32" s="29" t="s">
        <v>844</v>
      </c>
      <c r="D32" s="29">
        <v>50126204</v>
      </c>
      <c r="E32" s="29">
        <v>75</v>
      </c>
      <c r="F32" s="6">
        <v>126</v>
      </c>
      <c r="G32" s="29">
        <v>47</v>
      </c>
      <c r="H32" s="59" t="s">
        <v>69</v>
      </c>
      <c r="I32" s="29" t="s">
        <v>109</v>
      </c>
      <c r="J32" s="29" t="s">
        <v>130</v>
      </c>
      <c r="K32" s="29" t="s">
        <v>109</v>
      </c>
      <c r="L32" s="30">
        <v>0.72361111111111109</v>
      </c>
      <c r="M32" s="29" t="s">
        <v>109</v>
      </c>
      <c r="N32" s="29" t="s">
        <v>109</v>
      </c>
      <c r="O32" s="29" t="s">
        <v>61</v>
      </c>
      <c r="P32" s="29" t="s">
        <v>131</v>
      </c>
      <c r="Q32" s="29" t="s">
        <v>69</v>
      </c>
      <c r="R32" s="29" t="s">
        <v>62</v>
      </c>
      <c r="S32" s="29" t="s">
        <v>109</v>
      </c>
      <c r="T32" s="29" t="s">
        <v>424</v>
      </c>
      <c r="U32" s="29" t="b">
        <f t="shared" si="0"/>
        <v>0</v>
      </c>
      <c r="V32" s="29" t="s">
        <v>291</v>
      </c>
      <c r="W32" s="29" t="s">
        <v>109</v>
      </c>
      <c r="X32" s="29" t="s">
        <v>109</v>
      </c>
    </row>
    <row r="33" spans="1:24" x14ac:dyDescent="0.3">
      <c r="A33" s="38">
        <v>32</v>
      </c>
      <c r="B33" s="29" t="s">
        <v>23</v>
      </c>
      <c r="C33" s="29" t="s">
        <v>719</v>
      </c>
      <c r="D33" s="29">
        <v>50126078</v>
      </c>
      <c r="E33" s="29">
        <v>350</v>
      </c>
      <c r="F33" s="6">
        <v>472</v>
      </c>
      <c r="G33" s="29">
        <v>375</v>
      </c>
      <c r="H33" s="29" t="s">
        <v>1009</v>
      </c>
      <c r="I33" s="29" t="s">
        <v>109</v>
      </c>
      <c r="J33" s="29" t="s">
        <v>130</v>
      </c>
      <c r="K33" s="29" t="s">
        <v>109</v>
      </c>
      <c r="L33" s="30">
        <v>0.76180555555555562</v>
      </c>
      <c r="M33" s="29" t="s">
        <v>109</v>
      </c>
      <c r="N33" s="29" t="s">
        <v>109</v>
      </c>
      <c r="O33" s="29" t="s">
        <v>61</v>
      </c>
      <c r="P33" s="29" t="s">
        <v>131</v>
      </c>
      <c r="Q33" s="29" t="s">
        <v>69</v>
      </c>
      <c r="R33" s="29" t="s">
        <v>62</v>
      </c>
      <c r="S33" s="29" t="s">
        <v>109</v>
      </c>
      <c r="T33" s="29" t="s">
        <v>424</v>
      </c>
      <c r="U33" s="29" t="b">
        <f t="shared" si="0"/>
        <v>1</v>
      </c>
      <c r="V33" s="29" t="s">
        <v>109</v>
      </c>
      <c r="W33" s="29" t="s">
        <v>109</v>
      </c>
      <c r="X33" s="29" t="s">
        <v>109</v>
      </c>
    </row>
    <row r="34" spans="1:24" s="66" customFormat="1" x14ac:dyDescent="0.3">
      <c r="A34" s="64">
        <v>33</v>
      </c>
      <c r="B34" s="64" t="s">
        <v>23</v>
      </c>
      <c r="C34" s="64" t="s">
        <v>533</v>
      </c>
      <c r="D34" s="64">
        <v>50126021</v>
      </c>
      <c r="E34" s="64">
        <v>65</v>
      </c>
      <c r="F34" s="65" t="s">
        <v>109</v>
      </c>
      <c r="G34" s="64" t="s">
        <v>109</v>
      </c>
      <c r="H34" s="59" t="s">
        <v>84</v>
      </c>
      <c r="I34" s="64" t="s">
        <v>109</v>
      </c>
      <c r="J34" s="64" t="s">
        <v>85</v>
      </c>
      <c r="K34" s="64" t="s">
        <v>109</v>
      </c>
      <c r="L34" s="64" t="s">
        <v>109</v>
      </c>
      <c r="M34" s="64" t="s">
        <v>109</v>
      </c>
      <c r="N34" s="64" t="s">
        <v>109</v>
      </c>
      <c r="O34" s="64" t="s">
        <v>61</v>
      </c>
      <c r="P34" s="64" t="s">
        <v>109</v>
      </c>
      <c r="Q34" s="64" t="s">
        <v>109</v>
      </c>
      <c r="R34" s="64" t="s">
        <v>62</v>
      </c>
      <c r="S34" s="64" t="s">
        <v>109</v>
      </c>
      <c r="T34" s="64" t="s">
        <v>424</v>
      </c>
      <c r="U34" s="64" t="b">
        <f t="shared" ref="U34:U65" si="1">G34&gt;=E34</f>
        <v>1</v>
      </c>
      <c r="V34" s="64" t="s">
        <v>109</v>
      </c>
      <c r="W34" s="64" t="s">
        <v>109</v>
      </c>
      <c r="X34" s="64" t="s">
        <v>109</v>
      </c>
    </row>
    <row r="35" spans="1:24" x14ac:dyDescent="0.3">
      <c r="A35" s="38">
        <v>34</v>
      </c>
      <c r="B35" s="29" t="s">
        <v>23</v>
      </c>
      <c r="C35" s="29" t="s">
        <v>428</v>
      </c>
      <c r="D35" s="29">
        <v>50126024</v>
      </c>
      <c r="E35" s="29">
        <v>350</v>
      </c>
      <c r="F35" s="6">
        <v>558</v>
      </c>
      <c r="G35" s="29">
        <v>356</v>
      </c>
      <c r="H35" s="29" t="s">
        <v>1020</v>
      </c>
      <c r="I35" s="29" t="s">
        <v>109</v>
      </c>
      <c r="J35" s="29" t="s">
        <v>130</v>
      </c>
      <c r="K35" s="29" t="s">
        <v>109</v>
      </c>
      <c r="L35" s="30">
        <v>0.99722222222222223</v>
      </c>
      <c r="M35" s="29" t="s">
        <v>109</v>
      </c>
      <c r="N35" s="29" t="s">
        <v>109</v>
      </c>
      <c r="O35" s="29" t="s">
        <v>61</v>
      </c>
      <c r="P35" s="29" t="s">
        <v>131</v>
      </c>
      <c r="Q35" s="29" t="s">
        <v>71</v>
      </c>
      <c r="R35" s="29" t="s">
        <v>62</v>
      </c>
      <c r="S35" s="29" t="s">
        <v>109</v>
      </c>
      <c r="T35" s="29" t="s">
        <v>424</v>
      </c>
      <c r="U35" s="29" t="b">
        <f t="shared" si="1"/>
        <v>1</v>
      </c>
      <c r="V35" s="29" t="s">
        <v>109</v>
      </c>
      <c r="W35" s="29" t="s">
        <v>109</v>
      </c>
      <c r="X35" s="29" t="s">
        <v>109</v>
      </c>
    </row>
    <row r="36" spans="1:24" x14ac:dyDescent="0.3">
      <c r="A36" s="38">
        <v>35</v>
      </c>
      <c r="B36" s="29" t="s">
        <v>23</v>
      </c>
      <c r="C36" s="29" t="s">
        <v>846</v>
      </c>
      <c r="D36" s="29">
        <v>50126172</v>
      </c>
      <c r="E36" s="29">
        <v>150</v>
      </c>
      <c r="F36" s="6">
        <v>216</v>
      </c>
      <c r="G36" s="29">
        <v>138</v>
      </c>
      <c r="H36" s="61" t="s">
        <v>73</v>
      </c>
      <c r="I36" s="29" t="s">
        <v>109</v>
      </c>
      <c r="J36" s="29" t="s">
        <v>130</v>
      </c>
      <c r="K36" s="63">
        <v>5.2083333333333336E-2</v>
      </c>
      <c r="L36" s="29" t="s">
        <v>109</v>
      </c>
      <c r="M36" s="29" t="s">
        <v>109</v>
      </c>
      <c r="N36" s="29" t="s">
        <v>109</v>
      </c>
      <c r="O36" s="29" t="s">
        <v>61</v>
      </c>
      <c r="P36" s="29" t="s">
        <v>131</v>
      </c>
      <c r="Q36" s="29" t="s">
        <v>68</v>
      </c>
      <c r="R36" s="29" t="s">
        <v>62</v>
      </c>
      <c r="S36" s="29" t="s">
        <v>109</v>
      </c>
      <c r="T36" s="29" t="s">
        <v>424</v>
      </c>
      <c r="U36" s="29" t="b">
        <f t="shared" si="1"/>
        <v>0</v>
      </c>
      <c r="V36" s="29" t="s">
        <v>109</v>
      </c>
      <c r="W36" s="29" t="s">
        <v>109</v>
      </c>
      <c r="X36" s="29" t="s">
        <v>109</v>
      </c>
    </row>
    <row r="37" spans="1:24" x14ac:dyDescent="0.3">
      <c r="A37" s="38">
        <v>36</v>
      </c>
      <c r="B37" s="29" t="s">
        <v>23</v>
      </c>
      <c r="C37" s="29" t="s">
        <v>1021</v>
      </c>
      <c r="D37" s="29">
        <v>51225085</v>
      </c>
      <c r="E37" s="29">
        <v>100</v>
      </c>
      <c r="F37" s="6">
        <v>183</v>
      </c>
      <c r="G37" s="29">
        <v>103</v>
      </c>
      <c r="H37" s="6" t="s">
        <v>274</v>
      </c>
      <c r="I37" s="29" t="s">
        <v>109</v>
      </c>
      <c r="J37" s="29" t="s">
        <v>130</v>
      </c>
      <c r="K37" s="29" t="s">
        <v>109</v>
      </c>
      <c r="L37" s="30">
        <v>0.90069444444444446</v>
      </c>
      <c r="M37" s="29" t="s">
        <v>109</v>
      </c>
      <c r="N37" s="29" t="s">
        <v>109</v>
      </c>
      <c r="O37" s="29" t="s">
        <v>61</v>
      </c>
      <c r="P37" s="29" t="s">
        <v>131</v>
      </c>
      <c r="Q37" s="29" t="s">
        <v>274</v>
      </c>
      <c r="R37" s="29" t="s">
        <v>62</v>
      </c>
      <c r="S37" s="29" t="s">
        <v>109</v>
      </c>
      <c r="T37" s="29" t="s">
        <v>252</v>
      </c>
      <c r="U37" s="29" t="b">
        <f t="shared" si="1"/>
        <v>1</v>
      </c>
      <c r="V37" s="29" t="s">
        <v>109</v>
      </c>
      <c r="W37" s="29" t="s">
        <v>109</v>
      </c>
      <c r="X37" s="29" t="s">
        <v>109</v>
      </c>
    </row>
    <row r="38" spans="1:24" x14ac:dyDescent="0.3">
      <c r="A38" s="38">
        <v>37</v>
      </c>
      <c r="B38" s="29" t="s">
        <v>23</v>
      </c>
      <c r="C38" s="29" t="s">
        <v>569</v>
      </c>
      <c r="D38" s="29">
        <v>51125013</v>
      </c>
      <c r="E38" s="29">
        <v>50</v>
      </c>
      <c r="F38" s="6">
        <v>24</v>
      </c>
      <c r="G38" s="29">
        <v>5</v>
      </c>
      <c r="H38" s="59" t="s">
        <v>184</v>
      </c>
      <c r="I38" s="29" t="s">
        <v>109</v>
      </c>
      <c r="J38" s="29" t="s">
        <v>130</v>
      </c>
      <c r="K38" s="29" t="s">
        <v>109</v>
      </c>
      <c r="L38" s="30">
        <v>0.9159722222222223</v>
      </c>
      <c r="M38" s="29" t="s">
        <v>109</v>
      </c>
      <c r="N38" s="29" t="s">
        <v>640</v>
      </c>
      <c r="O38" s="29" t="s">
        <v>61</v>
      </c>
      <c r="P38" s="29" t="s">
        <v>131</v>
      </c>
      <c r="Q38" s="29" t="s">
        <v>184</v>
      </c>
      <c r="R38" s="29" t="s">
        <v>62</v>
      </c>
      <c r="S38" s="29" t="s">
        <v>109</v>
      </c>
      <c r="T38" s="29" t="s">
        <v>310</v>
      </c>
      <c r="U38" s="29" t="b">
        <f t="shared" si="1"/>
        <v>0</v>
      </c>
      <c r="V38" s="29" t="s">
        <v>109</v>
      </c>
      <c r="W38" s="29" t="s">
        <v>109</v>
      </c>
      <c r="X38" s="29" t="s">
        <v>109</v>
      </c>
    </row>
    <row r="39" spans="1:24" s="66" customFormat="1" x14ac:dyDescent="0.3">
      <c r="A39" s="64">
        <v>38</v>
      </c>
      <c r="B39" s="64" t="s">
        <v>23</v>
      </c>
      <c r="C39" s="64" t="s">
        <v>251</v>
      </c>
      <c r="D39" s="64">
        <v>51225039</v>
      </c>
      <c r="E39" s="64">
        <v>50</v>
      </c>
      <c r="F39" s="65" t="s">
        <v>109</v>
      </c>
      <c r="G39" s="64" t="s">
        <v>109</v>
      </c>
      <c r="H39" s="59" t="s">
        <v>64</v>
      </c>
      <c r="I39" s="64" t="s">
        <v>109</v>
      </c>
      <c r="J39" s="64" t="s">
        <v>85</v>
      </c>
      <c r="K39" s="64" t="s">
        <v>109</v>
      </c>
      <c r="L39" s="64" t="s">
        <v>109</v>
      </c>
      <c r="M39" s="64" t="s">
        <v>109</v>
      </c>
      <c r="N39" s="64" t="s">
        <v>109</v>
      </c>
      <c r="O39" s="64" t="s">
        <v>61</v>
      </c>
      <c r="P39" s="64" t="s">
        <v>109</v>
      </c>
      <c r="Q39" s="64" t="s">
        <v>109</v>
      </c>
      <c r="R39" s="64" t="s">
        <v>62</v>
      </c>
      <c r="S39" s="64" t="s">
        <v>109</v>
      </c>
      <c r="T39" s="64" t="s">
        <v>252</v>
      </c>
      <c r="U39" s="64" t="b">
        <f t="shared" si="1"/>
        <v>1</v>
      </c>
      <c r="V39" s="64" t="s">
        <v>109</v>
      </c>
      <c r="W39" s="64" t="s">
        <v>109</v>
      </c>
      <c r="X39" s="64" t="s">
        <v>109</v>
      </c>
    </row>
    <row r="40" spans="1:24" s="66" customFormat="1" x14ac:dyDescent="0.3">
      <c r="A40" s="64">
        <v>39</v>
      </c>
      <c r="B40" s="64" t="s">
        <v>23</v>
      </c>
      <c r="C40" s="64" t="s">
        <v>253</v>
      </c>
      <c r="D40" s="64">
        <v>51225084</v>
      </c>
      <c r="E40" s="64">
        <v>100</v>
      </c>
      <c r="F40" s="65" t="s">
        <v>109</v>
      </c>
      <c r="G40" s="64" t="s">
        <v>109</v>
      </c>
      <c r="H40" s="65" t="s">
        <v>72</v>
      </c>
      <c r="I40" s="64" t="s">
        <v>109</v>
      </c>
      <c r="J40" s="64" t="s">
        <v>85</v>
      </c>
      <c r="K40" s="64" t="s">
        <v>109</v>
      </c>
      <c r="L40" s="64" t="s">
        <v>109</v>
      </c>
      <c r="M40" s="64" t="s">
        <v>109</v>
      </c>
      <c r="N40" s="64" t="s">
        <v>109</v>
      </c>
      <c r="O40" s="64" t="s">
        <v>61</v>
      </c>
      <c r="P40" s="64" t="s">
        <v>109</v>
      </c>
      <c r="Q40" s="64" t="s">
        <v>109</v>
      </c>
      <c r="R40" s="64" t="s">
        <v>62</v>
      </c>
      <c r="S40" s="64" t="s">
        <v>109</v>
      </c>
      <c r="T40" s="64" t="s">
        <v>252</v>
      </c>
      <c r="U40" s="64" t="b">
        <f t="shared" si="1"/>
        <v>1</v>
      </c>
      <c r="V40" s="64" t="s">
        <v>109</v>
      </c>
      <c r="W40" s="64" t="s">
        <v>109</v>
      </c>
      <c r="X40" s="64" t="s">
        <v>109</v>
      </c>
    </row>
    <row r="41" spans="1:24" x14ac:dyDescent="0.3">
      <c r="A41" s="38">
        <v>40</v>
      </c>
      <c r="B41" s="29" t="s">
        <v>23</v>
      </c>
      <c r="C41" s="29" t="s">
        <v>647</v>
      </c>
      <c r="D41" s="29">
        <v>50126033</v>
      </c>
      <c r="E41" s="29">
        <v>30</v>
      </c>
      <c r="F41" s="6">
        <v>84</v>
      </c>
      <c r="G41" s="29">
        <v>40</v>
      </c>
      <c r="H41" s="59" t="s">
        <v>153</v>
      </c>
      <c r="I41" s="29" t="s">
        <v>154</v>
      </c>
      <c r="J41" s="29" t="s">
        <v>130</v>
      </c>
      <c r="K41" s="30">
        <v>0.66249999999999998</v>
      </c>
      <c r="L41" s="30">
        <v>0.73402777777777783</v>
      </c>
      <c r="M41" s="29" t="s">
        <v>109</v>
      </c>
      <c r="N41" s="29" t="s">
        <v>109</v>
      </c>
      <c r="O41" s="29" t="s">
        <v>61</v>
      </c>
      <c r="P41" s="29" t="s">
        <v>131</v>
      </c>
      <c r="Q41" s="29" t="s">
        <v>154</v>
      </c>
      <c r="R41" s="29" t="s">
        <v>62</v>
      </c>
      <c r="S41" s="29" t="s">
        <v>109</v>
      </c>
      <c r="T41" s="29" t="s">
        <v>480</v>
      </c>
      <c r="U41" s="29" t="b">
        <f t="shared" si="1"/>
        <v>1</v>
      </c>
      <c r="V41" s="29" t="s">
        <v>109</v>
      </c>
      <c r="W41" s="29" t="s">
        <v>109</v>
      </c>
      <c r="X41" s="29" t="s">
        <v>109</v>
      </c>
    </row>
    <row r="42" spans="1:24" x14ac:dyDescent="0.3">
      <c r="A42" s="38">
        <v>41</v>
      </c>
      <c r="B42" s="29" t="s">
        <v>23</v>
      </c>
      <c r="C42" s="29" t="s">
        <v>648</v>
      </c>
      <c r="D42" s="29">
        <v>50126036</v>
      </c>
      <c r="E42" s="29">
        <v>50</v>
      </c>
      <c r="F42" s="6">
        <v>75</v>
      </c>
      <c r="G42" s="29">
        <v>51</v>
      </c>
      <c r="H42" s="59" t="s">
        <v>88</v>
      </c>
      <c r="I42" s="29" t="s">
        <v>109</v>
      </c>
      <c r="J42" s="29" t="s">
        <v>130</v>
      </c>
      <c r="K42" s="29" t="s">
        <v>109</v>
      </c>
      <c r="L42" s="30">
        <v>0.8222222222222223</v>
      </c>
      <c r="M42" s="29" t="s">
        <v>109</v>
      </c>
      <c r="N42" s="29" t="s">
        <v>109</v>
      </c>
      <c r="O42" s="29" t="s">
        <v>61</v>
      </c>
      <c r="P42" s="29" t="s">
        <v>131</v>
      </c>
      <c r="Q42" s="29" t="s">
        <v>88</v>
      </c>
      <c r="R42" s="29" t="s">
        <v>62</v>
      </c>
      <c r="S42" s="29" t="s">
        <v>109</v>
      </c>
      <c r="T42" s="29" t="s">
        <v>480</v>
      </c>
      <c r="U42" s="29" t="b">
        <f t="shared" si="1"/>
        <v>1</v>
      </c>
      <c r="V42" s="29" t="s">
        <v>109</v>
      </c>
      <c r="W42" s="29" t="s">
        <v>109</v>
      </c>
      <c r="X42" s="29" t="s">
        <v>109</v>
      </c>
    </row>
    <row r="43" spans="1:24" x14ac:dyDescent="0.3">
      <c r="A43" s="38">
        <v>42</v>
      </c>
      <c r="B43" s="29" t="s">
        <v>23</v>
      </c>
      <c r="C43" s="29" t="s">
        <v>650</v>
      </c>
      <c r="D43" s="29">
        <v>50126035</v>
      </c>
      <c r="E43" s="29">
        <v>100</v>
      </c>
      <c r="F43" s="6">
        <v>175</v>
      </c>
      <c r="G43" s="29">
        <v>96</v>
      </c>
      <c r="H43" s="6" t="s">
        <v>71</v>
      </c>
      <c r="I43" s="29" t="s">
        <v>87</v>
      </c>
      <c r="J43" s="29" t="s">
        <v>130</v>
      </c>
      <c r="K43" s="30">
        <v>0.83958333333333324</v>
      </c>
      <c r="L43" s="30">
        <v>0.87083333333333324</v>
      </c>
      <c r="M43" s="29" t="s">
        <v>109</v>
      </c>
      <c r="N43" s="29" t="s">
        <v>109</v>
      </c>
      <c r="O43" s="29" t="s">
        <v>61</v>
      </c>
      <c r="P43" s="29" t="s">
        <v>131</v>
      </c>
      <c r="Q43" s="29" t="s">
        <v>87</v>
      </c>
      <c r="R43" s="29" t="s">
        <v>62</v>
      </c>
      <c r="S43" s="29" t="s">
        <v>109</v>
      </c>
      <c r="T43" s="29" t="s">
        <v>480</v>
      </c>
      <c r="U43" s="29" t="b">
        <f t="shared" si="1"/>
        <v>0</v>
      </c>
      <c r="V43" s="29" t="s">
        <v>109</v>
      </c>
      <c r="W43" s="29" t="s">
        <v>109</v>
      </c>
      <c r="X43" s="29" t="s">
        <v>109</v>
      </c>
    </row>
    <row r="44" spans="1:24" x14ac:dyDescent="0.3">
      <c r="A44" s="38">
        <v>43</v>
      </c>
      <c r="B44" s="29" t="s">
        <v>23</v>
      </c>
      <c r="C44" s="29" t="s">
        <v>651</v>
      </c>
      <c r="D44" s="29">
        <v>50126034</v>
      </c>
      <c r="E44" s="29">
        <v>50</v>
      </c>
      <c r="F44" s="6">
        <v>99</v>
      </c>
      <c r="G44" s="29">
        <v>54</v>
      </c>
      <c r="H44" s="6" t="s">
        <v>209</v>
      </c>
      <c r="I44" s="29" t="s">
        <v>605</v>
      </c>
      <c r="J44" s="29" t="s">
        <v>130</v>
      </c>
      <c r="K44" s="30">
        <v>0.88888888888888884</v>
      </c>
      <c r="L44" s="30">
        <v>0.94305555555555554</v>
      </c>
      <c r="M44" s="29" t="s">
        <v>109</v>
      </c>
      <c r="N44" s="29" t="s">
        <v>109</v>
      </c>
      <c r="O44" s="29" t="s">
        <v>61</v>
      </c>
      <c r="P44" s="29" t="s">
        <v>131</v>
      </c>
      <c r="Q44" s="29" t="s">
        <v>605</v>
      </c>
      <c r="R44" s="29" t="s">
        <v>62</v>
      </c>
      <c r="S44" s="29" t="s">
        <v>109</v>
      </c>
      <c r="T44" s="29" t="s">
        <v>480</v>
      </c>
      <c r="U44" s="29" t="b">
        <f t="shared" si="1"/>
        <v>1</v>
      </c>
      <c r="V44" s="29" t="s">
        <v>109</v>
      </c>
      <c r="W44" s="29" t="s">
        <v>109</v>
      </c>
      <c r="X44" s="29" t="s">
        <v>109</v>
      </c>
    </row>
    <row r="45" spans="1:24" x14ac:dyDescent="0.3">
      <c r="A45" s="38">
        <v>44</v>
      </c>
      <c r="B45" s="29" t="s">
        <v>23</v>
      </c>
      <c r="C45" s="29" t="s">
        <v>653</v>
      </c>
      <c r="D45" s="29">
        <v>50126029</v>
      </c>
      <c r="E45" s="29">
        <v>35</v>
      </c>
      <c r="F45" s="6">
        <v>32</v>
      </c>
      <c r="G45" s="29">
        <v>1</v>
      </c>
      <c r="H45" s="6" t="s">
        <v>66</v>
      </c>
      <c r="I45" s="29" t="s">
        <v>88</v>
      </c>
      <c r="J45" s="29" t="s">
        <v>130</v>
      </c>
      <c r="K45" s="30">
        <v>0.65208333333333335</v>
      </c>
      <c r="L45" s="30">
        <v>0.68611111111111101</v>
      </c>
      <c r="M45" s="29" t="s">
        <v>109</v>
      </c>
      <c r="N45" s="29" t="s">
        <v>109</v>
      </c>
      <c r="O45" s="29" t="s">
        <v>61</v>
      </c>
      <c r="P45" s="29" t="s">
        <v>131</v>
      </c>
      <c r="Q45" s="29" t="s">
        <v>88</v>
      </c>
      <c r="R45" s="29" t="s">
        <v>62</v>
      </c>
      <c r="S45" s="29" t="s">
        <v>109</v>
      </c>
      <c r="T45" s="29" t="s">
        <v>480</v>
      </c>
      <c r="U45" s="29" t="b">
        <f t="shared" si="1"/>
        <v>0</v>
      </c>
      <c r="V45" s="29" t="s">
        <v>291</v>
      </c>
      <c r="W45" s="29" t="s">
        <v>109</v>
      </c>
      <c r="X45" s="29" t="s">
        <v>109</v>
      </c>
    </row>
    <row r="46" spans="1:24" x14ac:dyDescent="0.3">
      <c r="A46" s="38">
        <v>45</v>
      </c>
      <c r="B46" s="29" t="s">
        <v>23</v>
      </c>
      <c r="C46" s="29" t="s">
        <v>654</v>
      </c>
      <c r="D46" s="29">
        <v>50126032</v>
      </c>
      <c r="E46" s="29">
        <v>100</v>
      </c>
      <c r="F46" s="6">
        <v>206</v>
      </c>
      <c r="G46" s="29">
        <v>57</v>
      </c>
      <c r="H46" s="6" t="s">
        <v>68</v>
      </c>
      <c r="I46" s="29" t="s">
        <v>86</v>
      </c>
      <c r="J46" s="29" t="s">
        <v>130</v>
      </c>
      <c r="K46" s="30">
        <v>0.89722222222222225</v>
      </c>
      <c r="L46" s="63">
        <v>0.9243055555555556</v>
      </c>
      <c r="M46" s="29" t="s">
        <v>109</v>
      </c>
      <c r="N46" s="29" t="s">
        <v>109</v>
      </c>
      <c r="O46" s="29" t="s">
        <v>61</v>
      </c>
      <c r="P46" s="29" t="s">
        <v>131</v>
      </c>
      <c r="Q46" s="29" t="s">
        <v>86</v>
      </c>
      <c r="R46" s="29" t="s">
        <v>62</v>
      </c>
      <c r="S46" s="29" t="s">
        <v>109</v>
      </c>
      <c r="T46" s="29" t="s">
        <v>480</v>
      </c>
      <c r="U46" s="29" t="b">
        <f t="shared" si="1"/>
        <v>0</v>
      </c>
      <c r="V46" s="29" t="s">
        <v>109</v>
      </c>
      <c r="W46" s="29" t="s">
        <v>109</v>
      </c>
      <c r="X46" s="29" t="s">
        <v>109</v>
      </c>
    </row>
    <row r="47" spans="1:24" x14ac:dyDescent="0.3">
      <c r="A47" s="38">
        <v>46</v>
      </c>
      <c r="B47" s="29" t="s">
        <v>23</v>
      </c>
      <c r="C47" s="29" t="s">
        <v>656</v>
      </c>
      <c r="D47" s="29">
        <v>50126031</v>
      </c>
      <c r="E47" s="29">
        <v>200</v>
      </c>
      <c r="F47" s="6">
        <v>496</v>
      </c>
      <c r="G47" s="29">
        <v>160</v>
      </c>
      <c r="H47" s="29" t="s">
        <v>232</v>
      </c>
      <c r="I47" s="29" t="s">
        <v>285</v>
      </c>
      <c r="J47" s="29" t="s">
        <v>130</v>
      </c>
      <c r="K47" s="30">
        <v>0.94513888888888886</v>
      </c>
      <c r="L47" s="30">
        <v>2.2222222222222223E-2</v>
      </c>
      <c r="M47" s="29" t="s">
        <v>109</v>
      </c>
      <c r="N47" s="29" t="s">
        <v>109</v>
      </c>
      <c r="O47" s="29" t="s">
        <v>61</v>
      </c>
      <c r="P47" s="29" t="s">
        <v>131</v>
      </c>
      <c r="Q47" s="29" t="s">
        <v>154</v>
      </c>
      <c r="R47" s="29" t="s">
        <v>62</v>
      </c>
      <c r="S47" s="29" t="s">
        <v>109</v>
      </c>
      <c r="T47" s="29" t="s">
        <v>480</v>
      </c>
      <c r="U47" s="29" t="b">
        <f t="shared" si="1"/>
        <v>0</v>
      </c>
      <c r="V47" s="29" t="s">
        <v>109</v>
      </c>
      <c r="W47" s="29" t="s">
        <v>109</v>
      </c>
      <c r="X47" s="29" t="s">
        <v>109</v>
      </c>
    </row>
    <row r="48" spans="1:24" x14ac:dyDescent="0.3">
      <c r="A48" s="38">
        <v>47</v>
      </c>
      <c r="B48" s="29" t="s">
        <v>23</v>
      </c>
      <c r="C48" s="29" t="s">
        <v>657</v>
      </c>
      <c r="D48" s="29">
        <v>50126030</v>
      </c>
      <c r="E48" s="29">
        <v>150</v>
      </c>
      <c r="F48" s="6">
        <v>338</v>
      </c>
      <c r="G48" s="29">
        <v>77</v>
      </c>
      <c r="H48" s="29" t="s">
        <v>262</v>
      </c>
      <c r="I48" s="29" t="s">
        <v>294</v>
      </c>
      <c r="J48" s="29" t="s">
        <v>130</v>
      </c>
      <c r="K48" s="30">
        <v>0.87013888888888891</v>
      </c>
      <c r="L48" s="30">
        <v>0.89722222222222225</v>
      </c>
      <c r="M48" s="29" t="s">
        <v>109</v>
      </c>
      <c r="N48" s="29" t="s">
        <v>109</v>
      </c>
      <c r="O48" s="29" t="s">
        <v>61</v>
      </c>
      <c r="P48" s="29" t="s">
        <v>131</v>
      </c>
      <c r="Q48" s="29" t="s">
        <v>209</v>
      </c>
      <c r="R48" s="29" t="s">
        <v>62</v>
      </c>
      <c r="S48" s="29" t="s">
        <v>109</v>
      </c>
      <c r="T48" s="29" t="s">
        <v>480</v>
      </c>
      <c r="U48" s="29" t="b">
        <f t="shared" si="1"/>
        <v>0</v>
      </c>
      <c r="V48" s="29" t="s">
        <v>109</v>
      </c>
      <c r="W48" s="29" t="s">
        <v>109</v>
      </c>
      <c r="X48" s="29" t="s">
        <v>109</v>
      </c>
    </row>
    <row r="49" spans="1:24" x14ac:dyDescent="0.3">
      <c r="A49" s="38">
        <v>48</v>
      </c>
      <c r="B49" s="29" t="s">
        <v>23</v>
      </c>
      <c r="C49" s="29" t="s">
        <v>1022</v>
      </c>
      <c r="D49" s="29">
        <v>51225088</v>
      </c>
      <c r="E49" s="29">
        <v>100</v>
      </c>
      <c r="F49" s="6">
        <v>114</v>
      </c>
      <c r="G49" s="29">
        <v>7</v>
      </c>
      <c r="H49" s="60" t="s">
        <v>214</v>
      </c>
      <c r="I49" s="29" t="s">
        <v>109</v>
      </c>
      <c r="J49" s="29" t="s">
        <v>130</v>
      </c>
      <c r="K49" s="29" t="s">
        <v>109</v>
      </c>
      <c r="L49" s="30">
        <v>0.98749999999999993</v>
      </c>
      <c r="M49" s="29" t="s">
        <v>109</v>
      </c>
      <c r="N49" s="29" t="s">
        <v>1023</v>
      </c>
      <c r="O49" s="29" t="s">
        <v>61</v>
      </c>
      <c r="P49" s="29" t="s">
        <v>131</v>
      </c>
      <c r="Q49" s="29" t="s">
        <v>214</v>
      </c>
      <c r="R49" s="29" t="s">
        <v>62</v>
      </c>
      <c r="S49" s="29" t="s">
        <v>109</v>
      </c>
      <c r="T49" s="29" t="s">
        <v>1024</v>
      </c>
      <c r="U49" s="29" t="b">
        <f t="shared" si="1"/>
        <v>0</v>
      </c>
      <c r="V49" s="29" t="s">
        <v>109</v>
      </c>
      <c r="W49" s="29" t="s">
        <v>109</v>
      </c>
      <c r="X49" s="29" t="s">
        <v>109</v>
      </c>
    </row>
    <row r="50" spans="1:24" x14ac:dyDescent="0.3">
      <c r="A50" s="38">
        <v>49</v>
      </c>
      <c r="B50" s="29" t="s">
        <v>23</v>
      </c>
      <c r="C50" s="29" t="s">
        <v>1025</v>
      </c>
      <c r="D50" s="29">
        <v>51225087</v>
      </c>
      <c r="E50" s="29">
        <v>50</v>
      </c>
      <c r="F50" s="6">
        <v>68</v>
      </c>
      <c r="G50" s="29">
        <v>21</v>
      </c>
      <c r="H50" s="59" t="s">
        <v>200</v>
      </c>
      <c r="I50" s="29" t="s">
        <v>109</v>
      </c>
      <c r="J50" s="29" t="s">
        <v>130</v>
      </c>
      <c r="K50" s="30">
        <v>0.83680555555555547</v>
      </c>
      <c r="L50" s="29" t="s">
        <v>109</v>
      </c>
      <c r="M50" s="29" t="s">
        <v>109</v>
      </c>
      <c r="N50" s="29" t="s">
        <v>1023</v>
      </c>
      <c r="O50" s="29" t="s">
        <v>61</v>
      </c>
      <c r="P50" s="29" t="s">
        <v>131</v>
      </c>
      <c r="Q50" s="29" t="s">
        <v>200</v>
      </c>
      <c r="R50" s="29" t="s">
        <v>62</v>
      </c>
      <c r="S50" s="29" t="s">
        <v>109</v>
      </c>
      <c r="T50" s="29" t="s">
        <v>1024</v>
      </c>
      <c r="U50" s="29" t="b">
        <f t="shared" si="1"/>
        <v>0</v>
      </c>
      <c r="V50" s="29" t="s">
        <v>109</v>
      </c>
      <c r="W50" s="29" t="s">
        <v>109</v>
      </c>
      <c r="X50" s="29" t="s">
        <v>109</v>
      </c>
    </row>
    <row r="51" spans="1:24" x14ac:dyDescent="0.3">
      <c r="A51" s="38">
        <v>50</v>
      </c>
      <c r="B51" s="29" t="s">
        <v>23</v>
      </c>
      <c r="C51" s="29" t="s">
        <v>355</v>
      </c>
      <c r="D51" s="29">
        <v>51125135</v>
      </c>
      <c r="E51" s="29">
        <v>100</v>
      </c>
      <c r="F51" s="6">
        <v>139</v>
      </c>
      <c r="G51" s="29">
        <v>46</v>
      </c>
      <c r="H51" s="59" t="s">
        <v>153</v>
      </c>
      <c r="I51" s="29" t="s">
        <v>109</v>
      </c>
      <c r="J51" s="29" t="s">
        <v>130</v>
      </c>
      <c r="K51" s="29" t="s">
        <v>109</v>
      </c>
      <c r="L51" s="30">
        <v>0.99513888888888891</v>
      </c>
      <c r="M51" s="29" t="s">
        <v>109</v>
      </c>
      <c r="N51" s="29" t="s">
        <v>109</v>
      </c>
      <c r="O51" s="29" t="s">
        <v>61</v>
      </c>
      <c r="P51" s="29" t="s">
        <v>131</v>
      </c>
      <c r="Q51" s="29" t="s">
        <v>153</v>
      </c>
      <c r="R51" s="29" t="s">
        <v>62</v>
      </c>
      <c r="S51" s="29" t="s">
        <v>109</v>
      </c>
      <c r="T51" s="29" t="s">
        <v>289</v>
      </c>
      <c r="U51" s="29" t="b">
        <f t="shared" si="1"/>
        <v>0</v>
      </c>
      <c r="V51" s="29" t="s">
        <v>109</v>
      </c>
      <c r="W51" s="29" t="s">
        <v>109</v>
      </c>
      <c r="X51" s="29" t="s">
        <v>109</v>
      </c>
    </row>
    <row r="52" spans="1:24" x14ac:dyDescent="0.3">
      <c r="A52" s="38">
        <v>51</v>
      </c>
      <c r="B52" s="29" t="s">
        <v>23</v>
      </c>
      <c r="C52" s="29" t="s">
        <v>690</v>
      </c>
      <c r="D52" s="29">
        <v>50126127</v>
      </c>
      <c r="E52" s="29">
        <v>100</v>
      </c>
      <c r="F52" s="6">
        <v>199</v>
      </c>
      <c r="G52" s="29">
        <v>32</v>
      </c>
      <c r="H52" s="59" t="s">
        <v>70</v>
      </c>
      <c r="I52" s="29" t="s">
        <v>109</v>
      </c>
      <c r="J52" s="29" t="s">
        <v>130</v>
      </c>
      <c r="K52" s="29" t="s">
        <v>109</v>
      </c>
      <c r="L52" s="30">
        <v>0.75694444444444453</v>
      </c>
      <c r="M52" s="29" t="s">
        <v>109</v>
      </c>
      <c r="N52" s="29" t="s">
        <v>109</v>
      </c>
      <c r="O52" s="29" t="s">
        <v>61</v>
      </c>
      <c r="P52" s="29" t="s">
        <v>131</v>
      </c>
      <c r="Q52" s="29" t="s">
        <v>70</v>
      </c>
      <c r="R52" s="29" t="s">
        <v>62</v>
      </c>
      <c r="S52" s="29" t="s">
        <v>109</v>
      </c>
      <c r="T52" s="29" t="s">
        <v>351</v>
      </c>
      <c r="U52" s="29" t="b">
        <f t="shared" si="1"/>
        <v>0</v>
      </c>
      <c r="V52" s="29" t="s">
        <v>109</v>
      </c>
      <c r="W52" s="29" t="s">
        <v>109</v>
      </c>
      <c r="X52" s="29" t="s">
        <v>109</v>
      </c>
    </row>
    <row r="53" spans="1:24" x14ac:dyDescent="0.3">
      <c r="A53" s="38">
        <v>52</v>
      </c>
      <c r="B53" s="29" t="s">
        <v>23</v>
      </c>
      <c r="C53" s="29" t="s">
        <v>1026</v>
      </c>
      <c r="D53" s="29">
        <v>50126291</v>
      </c>
      <c r="E53" s="29">
        <v>50</v>
      </c>
      <c r="F53" s="6">
        <v>74</v>
      </c>
      <c r="G53" s="29">
        <v>53</v>
      </c>
      <c r="H53" s="59" t="s">
        <v>69</v>
      </c>
      <c r="I53" s="29" t="s">
        <v>109</v>
      </c>
      <c r="J53" s="29" t="s">
        <v>130</v>
      </c>
      <c r="K53" s="29" t="s">
        <v>109</v>
      </c>
      <c r="L53" s="30">
        <v>0.90347222222222223</v>
      </c>
      <c r="M53" s="29" t="s">
        <v>109</v>
      </c>
      <c r="N53" s="29" t="s">
        <v>109</v>
      </c>
      <c r="O53" s="29" t="s">
        <v>61</v>
      </c>
      <c r="P53" s="29" t="s">
        <v>131</v>
      </c>
      <c r="Q53" s="29" t="s">
        <v>69</v>
      </c>
      <c r="R53" s="29" t="s">
        <v>62</v>
      </c>
      <c r="S53" s="29" t="s">
        <v>109</v>
      </c>
      <c r="T53" s="29" t="s">
        <v>223</v>
      </c>
      <c r="U53" s="29" t="b">
        <f t="shared" si="1"/>
        <v>1</v>
      </c>
      <c r="V53" s="29" t="s">
        <v>109</v>
      </c>
      <c r="W53" s="29" t="s">
        <v>109</v>
      </c>
      <c r="X53" s="29" t="s">
        <v>109</v>
      </c>
    </row>
    <row r="54" spans="1:24" x14ac:dyDescent="0.3">
      <c r="A54" s="38">
        <v>53</v>
      </c>
      <c r="B54" s="29" t="s">
        <v>23</v>
      </c>
      <c r="C54" s="29" t="s">
        <v>1027</v>
      </c>
      <c r="D54" s="29">
        <v>50126290</v>
      </c>
      <c r="E54" s="29">
        <v>80</v>
      </c>
      <c r="F54" s="6">
        <v>140</v>
      </c>
      <c r="G54" s="29">
        <v>77</v>
      </c>
      <c r="H54" s="59" t="s">
        <v>184</v>
      </c>
      <c r="I54" s="29" t="s">
        <v>109</v>
      </c>
      <c r="J54" s="29" t="s">
        <v>130</v>
      </c>
      <c r="K54" s="29" t="s">
        <v>109</v>
      </c>
      <c r="L54" s="30">
        <v>0.90138888888888891</v>
      </c>
      <c r="M54" s="29" t="s">
        <v>109</v>
      </c>
      <c r="N54" s="29" t="s">
        <v>109</v>
      </c>
      <c r="O54" s="29" t="s">
        <v>61</v>
      </c>
      <c r="P54" s="29" t="s">
        <v>131</v>
      </c>
      <c r="Q54" s="29" t="s">
        <v>184</v>
      </c>
      <c r="R54" s="29" t="s">
        <v>62</v>
      </c>
      <c r="S54" s="29" t="s">
        <v>109</v>
      </c>
      <c r="T54" s="29" t="s">
        <v>223</v>
      </c>
      <c r="U54" s="29" t="b">
        <f t="shared" si="1"/>
        <v>0</v>
      </c>
      <c r="V54" s="29" t="s">
        <v>109</v>
      </c>
      <c r="W54" s="29" t="s">
        <v>109</v>
      </c>
      <c r="X54" s="29" t="s">
        <v>109</v>
      </c>
    </row>
    <row r="55" spans="1:24" x14ac:dyDescent="0.3">
      <c r="A55" s="38">
        <v>54</v>
      </c>
      <c r="B55" s="29" t="s">
        <v>23</v>
      </c>
      <c r="C55" s="29" t="s">
        <v>1028</v>
      </c>
      <c r="D55" s="29">
        <v>50126289</v>
      </c>
      <c r="E55" s="29">
        <v>80</v>
      </c>
      <c r="F55" s="6">
        <v>124</v>
      </c>
      <c r="G55" s="29">
        <v>79</v>
      </c>
      <c r="H55" s="59" t="s">
        <v>196</v>
      </c>
      <c r="I55" s="29" t="s">
        <v>109</v>
      </c>
      <c r="J55" s="29" t="s">
        <v>130</v>
      </c>
      <c r="K55" s="29" t="s">
        <v>109</v>
      </c>
      <c r="L55" s="30">
        <v>0.7402777777777777</v>
      </c>
      <c r="M55" s="29" t="s">
        <v>109</v>
      </c>
      <c r="N55" s="29" t="s">
        <v>109</v>
      </c>
      <c r="O55" s="29" t="s">
        <v>61</v>
      </c>
      <c r="P55" s="29" t="s">
        <v>131</v>
      </c>
      <c r="Q55" s="29" t="s">
        <v>196</v>
      </c>
      <c r="R55" s="29" t="s">
        <v>62</v>
      </c>
      <c r="S55" s="29" t="s">
        <v>109</v>
      </c>
      <c r="T55" s="29" t="s">
        <v>223</v>
      </c>
      <c r="U55" s="29" t="b">
        <f t="shared" si="1"/>
        <v>0</v>
      </c>
      <c r="V55" s="29" t="s">
        <v>109</v>
      </c>
      <c r="W55" s="29" t="s">
        <v>109</v>
      </c>
      <c r="X55" s="29" t="s">
        <v>109</v>
      </c>
    </row>
    <row r="56" spans="1:24" x14ac:dyDescent="0.3">
      <c r="A56" s="38">
        <v>55</v>
      </c>
      <c r="B56" s="29" t="s">
        <v>23</v>
      </c>
      <c r="C56" s="29" t="s">
        <v>1029</v>
      </c>
      <c r="D56" s="29">
        <v>50126288</v>
      </c>
      <c r="E56" s="29">
        <v>50</v>
      </c>
      <c r="F56" s="6">
        <v>100</v>
      </c>
      <c r="G56" s="29">
        <v>44</v>
      </c>
      <c r="H56" s="59" t="s">
        <v>241</v>
      </c>
      <c r="I56" s="29" t="s">
        <v>109</v>
      </c>
      <c r="J56" s="29" t="s">
        <v>130</v>
      </c>
      <c r="K56" s="29" t="s">
        <v>109</v>
      </c>
      <c r="L56" s="30">
        <v>0.96111111111111114</v>
      </c>
      <c r="M56" s="29" t="s">
        <v>109</v>
      </c>
      <c r="N56" s="29" t="s">
        <v>109</v>
      </c>
      <c r="O56" s="29" t="s">
        <v>61</v>
      </c>
      <c r="P56" s="29" t="s">
        <v>131</v>
      </c>
      <c r="Q56" s="29" t="s">
        <v>241</v>
      </c>
      <c r="R56" s="29" t="s">
        <v>62</v>
      </c>
      <c r="S56" s="29" t="s">
        <v>109</v>
      </c>
      <c r="T56" s="29" t="s">
        <v>223</v>
      </c>
      <c r="U56" s="29" t="b">
        <f t="shared" si="1"/>
        <v>0</v>
      </c>
      <c r="V56" s="29" t="s">
        <v>109</v>
      </c>
      <c r="W56" s="29" t="s">
        <v>109</v>
      </c>
      <c r="X56" s="29" t="s">
        <v>109</v>
      </c>
    </row>
    <row r="57" spans="1:24" x14ac:dyDescent="0.3">
      <c r="A57" s="38">
        <v>56</v>
      </c>
      <c r="B57" s="29" t="s">
        <v>23</v>
      </c>
      <c r="C57" s="29" t="s">
        <v>1030</v>
      </c>
      <c r="D57" s="29">
        <v>50126292</v>
      </c>
      <c r="E57" s="29">
        <v>50</v>
      </c>
      <c r="F57" s="6">
        <v>95</v>
      </c>
      <c r="G57" s="29">
        <v>42</v>
      </c>
      <c r="H57" s="59" t="s">
        <v>84</v>
      </c>
      <c r="I57" s="29" t="s">
        <v>109</v>
      </c>
      <c r="J57" s="29" t="s">
        <v>130</v>
      </c>
      <c r="K57" s="29" t="s">
        <v>109</v>
      </c>
      <c r="L57" s="30">
        <v>3.6805555555555557E-2</v>
      </c>
      <c r="M57" s="29" t="s">
        <v>109</v>
      </c>
      <c r="N57" s="29" t="s">
        <v>109</v>
      </c>
      <c r="O57" s="29" t="s">
        <v>61</v>
      </c>
      <c r="P57" s="29" t="s">
        <v>131</v>
      </c>
      <c r="Q57" s="29" t="s">
        <v>84</v>
      </c>
      <c r="R57" s="29" t="s">
        <v>62</v>
      </c>
      <c r="S57" s="29" t="s">
        <v>109</v>
      </c>
      <c r="T57" s="29" t="s">
        <v>223</v>
      </c>
      <c r="U57" s="29" t="b">
        <f t="shared" si="1"/>
        <v>0</v>
      </c>
      <c r="V57" s="29" t="s">
        <v>109</v>
      </c>
      <c r="W57" s="29" t="s">
        <v>109</v>
      </c>
      <c r="X57" s="29" t="s">
        <v>109</v>
      </c>
    </row>
    <row r="58" spans="1:24" x14ac:dyDescent="0.3">
      <c r="A58" s="38">
        <v>57</v>
      </c>
      <c r="B58" s="29" t="s">
        <v>23</v>
      </c>
      <c r="C58" s="29" t="s">
        <v>1031</v>
      </c>
      <c r="D58" s="29">
        <v>50126296</v>
      </c>
      <c r="E58" s="29">
        <v>80</v>
      </c>
      <c r="F58" s="6">
        <v>119</v>
      </c>
      <c r="G58" s="29">
        <v>49</v>
      </c>
      <c r="H58" s="59" t="s">
        <v>65</v>
      </c>
      <c r="I58" s="29" t="s">
        <v>109</v>
      </c>
      <c r="J58" s="29" t="s">
        <v>130</v>
      </c>
      <c r="K58" s="29" t="s">
        <v>109</v>
      </c>
      <c r="L58" s="30">
        <v>0.91388888888888886</v>
      </c>
      <c r="M58" s="29" t="s">
        <v>109</v>
      </c>
      <c r="N58" s="29" t="s">
        <v>109</v>
      </c>
      <c r="O58" s="29" t="s">
        <v>61</v>
      </c>
      <c r="P58" s="29" t="s">
        <v>131</v>
      </c>
      <c r="Q58" s="29" t="s">
        <v>65</v>
      </c>
      <c r="R58" s="29" t="s">
        <v>62</v>
      </c>
      <c r="S58" s="29" t="s">
        <v>109</v>
      </c>
      <c r="T58" s="29" t="s">
        <v>223</v>
      </c>
      <c r="U58" s="29" t="b">
        <f t="shared" si="1"/>
        <v>0</v>
      </c>
      <c r="V58" s="29" t="s">
        <v>109</v>
      </c>
      <c r="W58" s="29" t="s">
        <v>109</v>
      </c>
      <c r="X58" s="29" t="s">
        <v>109</v>
      </c>
    </row>
    <row r="59" spans="1:24" x14ac:dyDescent="0.3">
      <c r="A59" s="38">
        <v>58</v>
      </c>
      <c r="B59" s="29" t="s">
        <v>23</v>
      </c>
      <c r="C59" s="29" t="s">
        <v>1032</v>
      </c>
      <c r="D59" s="29">
        <v>50126294</v>
      </c>
      <c r="E59" s="29">
        <v>100</v>
      </c>
      <c r="F59" s="6">
        <v>136</v>
      </c>
      <c r="G59" s="29">
        <v>97</v>
      </c>
      <c r="H59" s="62" t="s">
        <v>196</v>
      </c>
      <c r="I59" s="29" t="s">
        <v>109</v>
      </c>
      <c r="J59" s="29" t="s">
        <v>130</v>
      </c>
      <c r="K59" s="63">
        <v>6.5277777777777782E-2</v>
      </c>
      <c r="L59" s="29" t="s">
        <v>109</v>
      </c>
      <c r="M59" s="29" t="s">
        <v>109</v>
      </c>
      <c r="N59" s="29" t="s">
        <v>109</v>
      </c>
      <c r="O59" s="29" t="s">
        <v>61</v>
      </c>
      <c r="P59" s="29" t="s">
        <v>131</v>
      </c>
      <c r="Q59" s="29" t="s">
        <v>196</v>
      </c>
      <c r="R59" s="29" t="s">
        <v>62</v>
      </c>
      <c r="S59" s="29" t="s">
        <v>109</v>
      </c>
      <c r="T59" s="29" t="s">
        <v>223</v>
      </c>
      <c r="U59" s="29" t="b">
        <f t="shared" si="1"/>
        <v>0</v>
      </c>
      <c r="V59" s="29" t="s">
        <v>109</v>
      </c>
      <c r="W59" s="29" t="s">
        <v>109</v>
      </c>
      <c r="X59" s="29" t="s">
        <v>109</v>
      </c>
    </row>
    <row r="60" spans="1:24" x14ac:dyDescent="0.3">
      <c r="A60" s="38">
        <v>59</v>
      </c>
      <c r="B60" s="29" t="s">
        <v>23</v>
      </c>
      <c r="C60" s="29" t="s">
        <v>1033</v>
      </c>
      <c r="D60" s="29">
        <v>50126295</v>
      </c>
      <c r="E60" s="29">
        <v>100</v>
      </c>
      <c r="F60" s="6">
        <v>120</v>
      </c>
      <c r="G60" s="29">
        <v>97</v>
      </c>
      <c r="H60" s="6" t="s">
        <v>66</v>
      </c>
      <c r="I60" s="29" t="s">
        <v>109</v>
      </c>
      <c r="J60" s="29" t="s">
        <v>130</v>
      </c>
      <c r="K60" s="29" t="s">
        <v>109</v>
      </c>
      <c r="L60" s="30">
        <v>0.85</v>
      </c>
      <c r="M60" s="29" t="s">
        <v>109</v>
      </c>
      <c r="N60" s="29" t="s">
        <v>109</v>
      </c>
      <c r="O60" s="29" t="s">
        <v>61</v>
      </c>
      <c r="P60" s="29" t="s">
        <v>131</v>
      </c>
      <c r="Q60" s="29" t="s">
        <v>66</v>
      </c>
      <c r="R60" s="29" t="s">
        <v>62</v>
      </c>
      <c r="S60" s="29" t="s">
        <v>109</v>
      </c>
      <c r="T60" s="29" t="s">
        <v>223</v>
      </c>
      <c r="U60" s="29" t="b">
        <f t="shared" si="1"/>
        <v>0</v>
      </c>
      <c r="V60" s="29" t="s">
        <v>109</v>
      </c>
      <c r="W60" s="29" t="s">
        <v>109</v>
      </c>
      <c r="X60" s="29" t="s">
        <v>109</v>
      </c>
    </row>
    <row r="61" spans="1:24" x14ac:dyDescent="0.3">
      <c r="A61" s="38">
        <v>60</v>
      </c>
      <c r="B61" s="29" t="s">
        <v>23</v>
      </c>
      <c r="C61" s="29" t="s">
        <v>1034</v>
      </c>
      <c r="D61" s="29">
        <v>50126293</v>
      </c>
      <c r="E61" s="29">
        <v>50</v>
      </c>
      <c r="F61" s="6">
        <v>50</v>
      </c>
      <c r="G61" s="29">
        <v>5</v>
      </c>
      <c r="H61" s="59" t="s">
        <v>222</v>
      </c>
      <c r="I61" s="29" t="s">
        <v>109</v>
      </c>
      <c r="J61" s="29" t="s">
        <v>130</v>
      </c>
      <c r="K61" s="29" t="s">
        <v>109</v>
      </c>
      <c r="L61" s="30">
        <v>0.78472222222222221</v>
      </c>
      <c r="M61" s="29" t="s">
        <v>109</v>
      </c>
      <c r="N61" s="29" t="s">
        <v>109</v>
      </c>
      <c r="O61" s="29" t="s">
        <v>61</v>
      </c>
      <c r="P61" s="29" t="s">
        <v>131</v>
      </c>
      <c r="Q61" s="29" t="s">
        <v>222</v>
      </c>
      <c r="R61" s="29" t="s">
        <v>62</v>
      </c>
      <c r="S61" s="29" t="s">
        <v>109</v>
      </c>
      <c r="T61" s="29" t="s">
        <v>223</v>
      </c>
      <c r="U61" s="29" t="b">
        <f t="shared" si="1"/>
        <v>0</v>
      </c>
      <c r="V61" s="29" t="s">
        <v>109</v>
      </c>
      <c r="W61" s="29" t="s">
        <v>109</v>
      </c>
      <c r="X61" s="29" t="s">
        <v>109</v>
      </c>
    </row>
    <row r="62" spans="1:24" x14ac:dyDescent="0.3">
      <c r="A62" s="38">
        <v>61</v>
      </c>
      <c r="B62" s="29" t="s">
        <v>23</v>
      </c>
      <c r="C62" s="29" t="s">
        <v>1035</v>
      </c>
      <c r="D62" s="29">
        <v>50126307</v>
      </c>
      <c r="E62" s="29">
        <v>80</v>
      </c>
      <c r="F62" s="6">
        <v>173</v>
      </c>
      <c r="G62" s="29">
        <v>88</v>
      </c>
      <c r="H62" s="6" t="s">
        <v>82</v>
      </c>
      <c r="I62" s="29" t="s">
        <v>109</v>
      </c>
      <c r="J62" s="29" t="s">
        <v>130</v>
      </c>
      <c r="K62" s="29" t="s">
        <v>109</v>
      </c>
      <c r="L62" s="30">
        <v>0.72499999999999998</v>
      </c>
      <c r="M62" s="29" t="s">
        <v>109</v>
      </c>
      <c r="N62" s="29" t="s">
        <v>109</v>
      </c>
      <c r="O62" s="29" t="s">
        <v>61</v>
      </c>
      <c r="P62" s="29" t="s">
        <v>131</v>
      </c>
      <c r="Q62" s="29" t="s">
        <v>82</v>
      </c>
      <c r="R62" s="29" t="s">
        <v>62</v>
      </c>
      <c r="S62" s="29" t="s">
        <v>109</v>
      </c>
      <c r="T62" s="29" t="s">
        <v>223</v>
      </c>
      <c r="U62" s="29" t="b">
        <f t="shared" si="1"/>
        <v>1</v>
      </c>
      <c r="V62" s="29" t="s">
        <v>109</v>
      </c>
      <c r="W62" s="29" t="s">
        <v>109</v>
      </c>
      <c r="X62" s="29" t="s">
        <v>109</v>
      </c>
    </row>
    <row r="63" spans="1:24" x14ac:dyDescent="0.3">
      <c r="A63" s="38">
        <v>62</v>
      </c>
      <c r="B63" s="29" t="s">
        <v>23</v>
      </c>
      <c r="C63" s="29" t="s">
        <v>1036</v>
      </c>
      <c r="D63" s="29">
        <v>50126308</v>
      </c>
      <c r="E63" s="29">
        <v>60</v>
      </c>
      <c r="F63" s="6">
        <v>70</v>
      </c>
      <c r="G63" s="29">
        <v>17</v>
      </c>
      <c r="H63" s="59" t="s">
        <v>93</v>
      </c>
      <c r="I63" s="29" t="s">
        <v>109</v>
      </c>
      <c r="J63" s="29" t="s">
        <v>130</v>
      </c>
      <c r="K63" s="29" t="s">
        <v>109</v>
      </c>
      <c r="L63" s="30">
        <v>0.82361111111111107</v>
      </c>
      <c r="M63" s="29" t="s">
        <v>109</v>
      </c>
      <c r="N63" s="29" t="s">
        <v>109</v>
      </c>
      <c r="O63" s="29" t="s">
        <v>61</v>
      </c>
      <c r="P63" s="29" t="s">
        <v>131</v>
      </c>
      <c r="Q63" s="29" t="s">
        <v>93</v>
      </c>
      <c r="R63" s="29" t="s">
        <v>62</v>
      </c>
      <c r="S63" s="29" t="s">
        <v>109</v>
      </c>
      <c r="T63" s="29" t="s">
        <v>223</v>
      </c>
      <c r="U63" s="29" t="b">
        <f t="shared" si="1"/>
        <v>0</v>
      </c>
      <c r="V63" s="29" t="s">
        <v>109</v>
      </c>
      <c r="W63" s="29" t="s">
        <v>109</v>
      </c>
      <c r="X63" s="29" t="s">
        <v>109</v>
      </c>
    </row>
    <row r="64" spans="1:24" x14ac:dyDescent="0.3">
      <c r="A64" s="38">
        <v>63</v>
      </c>
      <c r="B64" s="29" t="s">
        <v>23</v>
      </c>
      <c r="C64" s="29" t="s">
        <v>1037</v>
      </c>
      <c r="D64" s="29">
        <v>50126309</v>
      </c>
      <c r="E64" s="29">
        <v>80</v>
      </c>
      <c r="F64" s="6">
        <v>89</v>
      </c>
      <c r="G64" s="29">
        <v>29</v>
      </c>
      <c r="H64" s="59" t="s">
        <v>200</v>
      </c>
      <c r="I64" s="29" t="s">
        <v>109</v>
      </c>
      <c r="J64" s="29" t="s">
        <v>130</v>
      </c>
      <c r="K64" s="29" t="s">
        <v>109</v>
      </c>
      <c r="L64" s="30">
        <v>0.89097222222222217</v>
      </c>
      <c r="M64" s="29" t="s">
        <v>109</v>
      </c>
      <c r="N64" s="29" t="s">
        <v>109</v>
      </c>
      <c r="O64" s="29" t="s">
        <v>61</v>
      </c>
      <c r="P64" s="29" t="s">
        <v>131</v>
      </c>
      <c r="Q64" s="29" t="s">
        <v>200</v>
      </c>
      <c r="R64" s="29" t="s">
        <v>62</v>
      </c>
      <c r="S64" s="29" t="s">
        <v>109</v>
      </c>
      <c r="T64" s="29" t="s">
        <v>223</v>
      </c>
      <c r="U64" s="29" t="b">
        <f t="shared" si="1"/>
        <v>0</v>
      </c>
      <c r="V64" s="29" t="s">
        <v>109</v>
      </c>
      <c r="W64" s="29" t="s">
        <v>109</v>
      </c>
      <c r="X64" s="29" t="s">
        <v>109</v>
      </c>
    </row>
    <row r="65" spans="1:24" x14ac:dyDescent="0.3">
      <c r="A65" s="38">
        <v>64</v>
      </c>
      <c r="B65" s="29" t="s">
        <v>23</v>
      </c>
      <c r="C65" s="29" t="s">
        <v>1038</v>
      </c>
      <c r="D65" s="29">
        <v>50126310</v>
      </c>
      <c r="E65" s="29">
        <v>90</v>
      </c>
      <c r="F65" s="6">
        <v>164</v>
      </c>
      <c r="G65" s="29">
        <v>56</v>
      </c>
      <c r="H65" s="59" t="s">
        <v>241</v>
      </c>
      <c r="I65" s="29" t="s">
        <v>109</v>
      </c>
      <c r="J65" s="29" t="s">
        <v>130</v>
      </c>
      <c r="K65" s="29" t="s">
        <v>109</v>
      </c>
      <c r="L65" s="30">
        <v>0.71944444444444444</v>
      </c>
      <c r="M65" s="29" t="s">
        <v>109</v>
      </c>
      <c r="N65" s="29" t="s">
        <v>109</v>
      </c>
      <c r="O65" s="29" t="s">
        <v>61</v>
      </c>
      <c r="P65" s="29" t="s">
        <v>131</v>
      </c>
      <c r="Q65" s="29" t="s">
        <v>241</v>
      </c>
      <c r="R65" s="29" t="s">
        <v>62</v>
      </c>
      <c r="S65" s="29" t="s">
        <v>109</v>
      </c>
      <c r="T65" s="29" t="s">
        <v>223</v>
      </c>
      <c r="U65" s="29" t="b">
        <f t="shared" si="1"/>
        <v>0</v>
      </c>
      <c r="V65" s="29" t="s">
        <v>291</v>
      </c>
      <c r="W65" s="29" t="s">
        <v>109</v>
      </c>
      <c r="X65" s="29" t="s">
        <v>109</v>
      </c>
    </row>
    <row r="66" spans="1:24" x14ac:dyDescent="0.3">
      <c r="A66" s="38">
        <v>65</v>
      </c>
      <c r="B66" s="29" t="s">
        <v>23</v>
      </c>
      <c r="C66" s="29" t="s">
        <v>1039</v>
      </c>
      <c r="D66" s="29">
        <v>50126298</v>
      </c>
      <c r="E66" s="29">
        <v>30</v>
      </c>
      <c r="F66" s="6">
        <v>59</v>
      </c>
      <c r="G66" s="29">
        <v>36</v>
      </c>
      <c r="H66" s="6" t="s">
        <v>274</v>
      </c>
      <c r="I66" s="29" t="s">
        <v>109</v>
      </c>
      <c r="J66" s="29" t="s">
        <v>130</v>
      </c>
      <c r="K66" s="29" t="s">
        <v>109</v>
      </c>
      <c r="L66" s="30">
        <v>0.81805555555555554</v>
      </c>
      <c r="M66" s="29" t="s">
        <v>109</v>
      </c>
      <c r="N66" s="29" t="s">
        <v>109</v>
      </c>
      <c r="O66" s="29" t="s">
        <v>61</v>
      </c>
      <c r="P66" s="29" t="s">
        <v>131</v>
      </c>
      <c r="Q66" s="29" t="s">
        <v>274</v>
      </c>
      <c r="R66" s="29" t="s">
        <v>62</v>
      </c>
      <c r="S66" s="29" t="s">
        <v>109</v>
      </c>
      <c r="T66" s="29" t="s">
        <v>223</v>
      </c>
      <c r="U66" s="29" t="b">
        <f t="shared" ref="U66:U97" si="2">G66&gt;=E66</f>
        <v>1</v>
      </c>
      <c r="V66" s="29" t="s">
        <v>109</v>
      </c>
      <c r="W66" s="29" t="s">
        <v>109</v>
      </c>
      <c r="X66" s="29" t="s">
        <v>109</v>
      </c>
    </row>
    <row r="67" spans="1:24" x14ac:dyDescent="0.3">
      <c r="A67" s="38">
        <v>66</v>
      </c>
      <c r="B67" s="29" t="s">
        <v>23</v>
      </c>
      <c r="C67" s="29" t="s">
        <v>1040</v>
      </c>
      <c r="D67" s="29">
        <v>50126299</v>
      </c>
      <c r="E67" s="29">
        <v>15</v>
      </c>
      <c r="F67" s="6">
        <v>19</v>
      </c>
      <c r="G67" s="29">
        <v>4</v>
      </c>
      <c r="H67" s="6" t="s">
        <v>68</v>
      </c>
      <c r="I67" s="29" t="s">
        <v>109</v>
      </c>
      <c r="J67" s="29" t="s">
        <v>130</v>
      </c>
      <c r="K67" s="29" t="s">
        <v>109</v>
      </c>
      <c r="L67" s="30">
        <v>0.68819444444444444</v>
      </c>
      <c r="M67" s="29" t="s">
        <v>109</v>
      </c>
      <c r="N67" s="29" t="s">
        <v>109</v>
      </c>
      <c r="O67" s="29" t="s">
        <v>61</v>
      </c>
      <c r="P67" s="29" t="s">
        <v>131</v>
      </c>
      <c r="Q67" s="29" t="s">
        <v>68</v>
      </c>
      <c r="R67" s="29" t="s">
        <v>62</v>
      </c>
      <c r="S67" s="29" t="s">
        <v>109</v>
      </c>
      <c r="T67" s="29" t="s">
        <v>223</v>
      </c>
      <c r="U67" s="29" t="b">
        <f t="shared" si="2"/>
        <v>0</v>
      </c>
      <c r="V67" s="29" t="s">
        <v>291</v>
      </c>
      <c r="W67" s="29" t="s">
        <v>109</v>
      </c>
      <c r="X67" s="29" t="s">
        <v>109</v>
      </c>
    </row>
    <row r="68" spans="1:24" x14ac:dyDescent="0.3">
      <c r="A68" s="38">
        <v>67</v>
      </c>
      <c r="B68" s="29" t="s">
        <v>23</v>
      </c>
      <c r="C68" s="29" t="s">
        <v>1041</v>
      </c>
      <c r="D68" s="29">
        <v>50126300</v>
      </c>
      <c r="E68" s="29">
        <v>80</v>
      </c>
      <c r="F68" s="6">
        <v>154</v>
      </c>
      <c r="G68" s="29">
        <v>30</v>
      </c>
      <c r="H68" s="59" t="s">
        <v>214</v>
      </c>
      <c r="I68" s="29" t="s">
        <v>109</v>
      </c>
      <c r="J68" s="29" t="s">
        <v>130</v>
      </c>
      <c r="K68" s="29" t="s">
        <v>109</v>
      </c>
      <c r="L68" s="30">
        <v>0.90138888888888891</v>
      </c>
      <c r="M68" s="29" t="s">
        <v>109</v>
      </c>
      <c r="N68" s="29" t="s">
        <v>109</v>
      </c>
      <c r="O68" s="29" t="s">
        <v>61</v>
      </c>
      <c r="P68" s="29" t="s">
        <v>131</v>
      </c>
      <c r="Q68" s="29" t="s">
        <v>214</v>
      </c>
      <c r="R68" s="29" t="s">
        <v>62</v>
      </c>
      <c r="S68" s="29" t="s">
        <v>109</v>
      </c>
      <c r="T68" s="29" t="s">
        <v>223</v>
      </c>
      <c r="U68" s="29" t="b">
        <f t="shared" si="2"/>
        <v>0</v>
      </c>
      <c r="V68" s="29" t="s">
        <v>109</v>
      </c>
      <c r="W68" s="29" t="s">
        <v>109</v>
      </c>
      <c r="X68" s="29" t="s">
        <v>109</v>
      </c>
    </row>
    <row r="69" spans="1:24" x14ac:dyDescent="0.3">
      <c r="A69" s="38">
        <v>68</v>
      </c>
      <c r="B69" s="29" t="s">
        <v>23</v>
      </c>
      <c r="C69" s="29" t="s">
        <v>1042</v>
      </c>
      <c r="D69" s="29">
        <v>50126301</v>
      </c>
      <c r="E69" s="29">
        <v>80</v>
      </c>
      <c r="F69" s="6">
        <v>120</v>
      </c>
      <c r="G69" s="29">
        <v>65</v>
      </c>
      <c r="H69" s="59" t="s">
        <v>84</v>
      </c>
      <c r="I69" s="29" t="s">
        <v>109</v>
      </c>
      <c r="J69" s="29" t="s">
        <v>130</v>
      </c>
      <c r="K69" s="29" t="s">
        <v>109</v>
      </c>
      <c r="L69" s="30">
        <v>0.98541666666666661</v>
      </c>
      <c r="M69" s="29" t="s">
        <v>109</v>
      </c>
      <c r="N69" s="29" t="s">
        <v>109</v>
      </c>
      <c r="O69" s="29" t="s">
        <v>61</v>
      </c>
      <c r="P69" s="29" t="s">
        <v>131</v>
      </c>
      <c r="Q69" s="29" t="s">
        <v>84</v>
      </c>
      <c r="R69" s="29" t="s">
        <v>62</v>
      </c>
      <c r="S69" s="29" t="s">
        <v>109</v>
      </c>
      <c r="T69" s="29" t="s">
        <v>223</v>
      </c>
      <c r="U69" s="29" t="b">
        <f t="shared" si="2"/>
        <v>0</v>
      </c>
      <c r="V69" s="29" t="s">
        <v>109</v>
      </c>
      <c r="W69" s="29" t="s">
        <v>109</v>
      </c>
      <c r="X69" s="29" t="s">
        <v>109</v>
      </c>
    </row>
    <row r="70" spans="1:24" x14ac:dyDescent="0.3">
      <c r="A70" s="38">
        <v>69</v>
      </c>
      <c r="B70" s="29" t="s">
        <v>23</v>
      </c>
      <c r="C70" s="29" t="s">
        <v>1043</v>
      </c>
      <c r="D70" s="29">
        <v>50126282</v>
      </c>
      <c r="E70" s="29">
        <v>90</v>
      </c>
      <c r="F70" s="6">
        <v>158</v>
      </c>
      <c r="G70" s="29">
        <v>93</v>
      </c>
      <c r="H70" s="59" t="s">
        <v>69</v>
      </c>
      <c r="I70" s="29" t="s">
        <v>109</v>
      </c>
      <c r="J70" s="29" t="s">
        <v>130</v>
      </c>
      <c r="K70" s="29" t="s">
        <v>109</v>
      </c>
      <c r="L70" s="30">
        <v>0.94652777777777775</v>
      </c>
      <c r="M70" s="29" t="s">
        <v>109</v>
      </c>
      <c r="N70" s="29" t="s">
        <v>109</v>
      </c>
      <c r="O70" s="29" t="s">
        <v>61</v>
      </c>
      <c r="P70" s="29" t="s">
        <v>131</v>
      </c>
      <c r="Q70" s="29" t="s">
        <v>69</v>
      </c>
      <c r="R70" s="29" t="s">
        <v>62</v>
      </c>
      <c r="S70" s="29" t="s">
        <v>109</v>
      </c>
      <c r="T70" s="29" t="s">
        <v>223</v>
      </c>
      <c r="U70" s="29" t="b">
        <f t="shared" si="2"/>
        <v>1</v>
      </c>
      <c r="V70" s="29" t="s">
        <v>109</v>
      </c>
      <c r="W70" s="29" t="s">
        <v>109</v>
      </c>
      <c r="X70" s="29" t="s">
        <v>109</v>
      </c>
    </row>
    <row r="71" spans="1:24" x14ac:dyDescent="0.3">
      <c r="A71" s="38">
        <v>70</v>
      </c>
      <c r="B71" s="29" t="s">
        <v>23</v>
      </c>
      <c r="C71" s="29" t="s">
        <v>1044</v>
      </c>
      <c r="D71" s="29">
        <v>50126281</v>
      </c>
      <c r="E71" s="29">
        <v>125</v>
      </c>
      <c r="F71" s="6">
        <v>224</v>
      </c>
      <c r="G71" s="29">
        <v>99</v>
      </c>
      <c r="H71" s="29" t="s">
        <v>73</v>
      </c>
      <c r="I71" s="29" t="s">
        <v>109</v>
      </c>
      <c r="J71" s="29" t="s">
        <v>130</v>
      </c>
      <c r="K71" s="29" t="s">
        <v>109</v>
      </c>
      <c r="L71" s="30">
        <v>3.4027777777777775E-2</v>
      </c>
      <c r="M71" s="29" t="s">
        <v>109</v>
      </c>
      <c r="N71" s="29" t="s">
        <v>109</v>
      </c>
      <c r="O71" s="29" t="s">
        <v>61</v>
      </c>
      <c r="P71" s="29" t="s">
        <v>131</v>
      </c>
      <c r="Q71" s="29" t="s">
        <v>68</v>
      </c>
      <c r="R71" s="29" t="s">
        <v>62</v>
      </c>
      <c r="S71" s="29" t="s">
        <v>109</v>
      </c>
      <c r="T71" s="29" t="s">
        <v>223</v>
      </c>
      <c r="U71" s="29" t="b">
        <f t="shared" si="2"/>
        <v>0</v>
      </c>
      <c r="V71" s="29" t="s">
        <v>109</v>
      </c>
      <c r="W71" s="29" t="s">
        <v>109</v>
      </c>
      <c r="X71" s="29" t="s">
        <v>109</v>
      </c>
    </row>
    <row r="72" spans="1:24" x14ac:dyDescent="0.3">
      <c r="A72" s="38">
        <v>71</v>
      </c>
      <c r="B72" s="29" t="s">
        <v>23</v>
      </c>
      <c r="C72" s="29" t="s">
        <v>1045</v>
      </c>
      <c r="D72" s="29">
        <v>50126280</v>
      </c>
      <c r="E72" s="29">
        <v>125</v>
      </c>
      <c r="F72" s="6">
        <v>238</v>
      </c>
      <c r="G72" s="29">
        <v>129</v>
      </c>
      <c r="H72" s="29" t="s">
        <v>386</v>
      </c>
      <c r="I72" s="29" t="s">
        <v>109</v>
      </c>
      <c r="J72" s="29" t="s">
        <v>130</v>
      </c>
      <c r="K72" s="29" t="s">
        <v>109</v>
      </c>
      <c r="L72" s="30">
        <v>0.82361111111111107</v>
      </c>
      <c r="M72" s="29" t="s">
        <v>109</v>
      </c>
      <c r="N72" s="29" t="s">
        <v>109</v>
      </c>
      <c r="O72" s="29" t="s">
        <v>61</v>
      </c>
      <c r="P72" s="29" t="s">
        <v>131</v>
      </c>
      <c r="Q72" s="29" t="s">
        <v>82</v>
      </c>
      <c r="R72" s="29" t="s">
        <v>62</v>
      </c>
      <c r="S72" s="29" t="s">
        <v>109</v>
      </c>
      <c r="T72" s="29" t="s">
        <v>223</v>
      </c>
      <c r="U72" s="29" t="b">
        <f t="shared" si="2"/>
        <v>1</v>
      </c>
      <c r="V72" s="29" t="s">
        <v>109</v>
      </c>
      <c r="W72" s="29" t="s">
        <v>109</v>
      </c>
      <c r="X72" s="29" t="s">
        <v>109</v>
      </c>
    </row>
    <row r="73" spans="1:24" x14ac:dyDescent="0.3">
      <c r="A73" s="38">
        <v>72</v>
      </c>
      <c r="B73" s="29" t="s">
        <v>23</v>
      </c>
      <c r="C73" s="29" t="s">
        <v>1046</v>
      </c>
      <c r="D73" s="29">
        <v>50126283</v>
      </c>
      <c r="E73" s="29">
        <v>135</v>
      </c>
      <c r="F73" s="6">
        <v>252</v>
      </c>
      <c r="G73" s="29">
        <v>102</v>
      </c>
      <c r="H73" s="61" t="s">
        <v>186</v>
      </c>
      <c r="I73" s="29" t="s">
        <v>109</v>
      </c>
      <c r="J73" s="29" t="s">
        <v>130</v>
      </c>
      <c r="K73" s="29" t="s">
        <v>109</v>
      </c>
      <c r="L73" s="30">
        <v>0.96944444444444444</v>
      </c>
      <c r="M73" s="29" t="s">
        <v>109</v>
      </c>
      <c r="N73" s="29" t="s">
        <v>109</v>
      </c>
      <c r="O73" s="29" t="s">
        <v>61</v>
      </c>
      <c r="P73" s="29" t="s">
        <v>131</v>
      </c>
      <c r="Q73" s="29" t="s">
        <v>214</v>
      </c>
      <c r="R73" s="29" t="s">
        <v>62</v>
      </c>
      <c r="S73" s="29" t="s">
        <v>109</v>
      </c>
      <c r="T73" s="29" t="s">
        <v>223</v>
      </c>
      <c r="U73" s="29" t="b">
        <f t="shared" si="2"/>
        <v>0</v>
      </c>
      <c r="V73" s="29" t="s">
        <v>109</v>
      </c>
      <c r="W73" s="29" t="s">
        <v>109</v>
      </c>
      <c r="X73" s="29" t="s">
        <v>109</v>
      </c>
    </row>
    <row r="74" spans="1:24" x14ac:dyDescent="0.3">
      <c r="A74" s="38">
        <v>73</v>
      </c>
      <c r="B74" s="29" t="s">
        <v>23</v>
      </c>
      <c r="C74" s="29" t="s">
        <v>1047</v>
      </c>
      <c r="D74" s="29">
        <v>50126286</v>
      </c>
      <c r="E74" s="29">
        <v>100</v>
      </c>
      <c r="F74" s="6">
        <v>180</v>
      </c>
      <c r="G74" s="29">
        <v>67</v>
      </c>
      <c r="H74" s="59" t="s">
        <v>93</v>
      </c>
      <c r="I74" s="29" t="s">
        <v>109</v>
      </c>
      <c r="J74" s="29" t="s">
        <v>130</v>
      </c>
      <c r="K74" s="29" t="s">
        <v>109</v>
      </c>
      <c r="L74" s="30">
        <v>0.99513888888888891</v>
      </c>
      <c r="M74" s="29" t="s">
        <v>109</v>
      </c>
      <c r="N74" s="29" t="s">
        <v>109</v>
      </c>
      <c r="O74" s="29" t="s">
        <v>61</v>
      </c>
      <c r="P74" s="29" t="s">
        <v>131</v>
      </c>
      <c r="Q74" s="29" t="s">
        <v>93</v>
      </c>
      <c r="R74" s="29" t="s">
        <v>62</v>
      </c>
      <c r="S74" s="29" t="s">
        <v>109</v>
      </c>
      <c r="T74" s="29" t="s">
        <v>223</v>
      </c>
      <c r="U74" s="29" t="b">
        <f t="shared" si="2"/>
        <v>0</v>
      </c>
      <c r="V74" s="29" t="s">
        <v>109</v>
      </c>
      <c r="W74" s="29" t="s">
        <v>109</v>
      </c>
      <c r="X74" s="29" t="s">
        <v>109</v>
      </c>
    </row>
    <row r="75" spans="1:24" x14ac:dyDescent="0.3">
      <c r="A75" s="38">
        <v>74</v>
      </c>
      <c r="B75" s="29" t="s">
        <v>23</v>
      </c>
      <c r="C75" s="29" t="s">
        <v>1048</v>
      </c>
      <c r="D75" s="29">
        <v>50126287</v>
      </c>
      <c r="E75" s="29">
        <v>20</v>
      </c>
      <c r="F75" s="6">
        <v>21</v>
      </c>
      <c r="G75" s="29">
        <v>3</v>
      </c>
      <c r="H75" s="6" t="s">
        <v>71</v>
      </c>
      <c r="I75" s="29" t="s">
        <v>109</v>
      </c>
      <c r="J75" s="29" t="s">
        <v>130</v>
      </c>
      <c r="K75" s="29" t="s">
        <v>109</v>
      </c>
      <c r="L75" s="30">
        <v>0.66805555555555562</v>
      </c>
      <c r="M75" s="29" t="s">
        <v>109</v>
      </c>
      <c r="N75" s="29" t="s">
        <v>109</v>
      </c>
      <c r="O75" s="29" t="s">
        <v>61</v>
      </c>
      <c r="P75" s="29" t="s">
        <v>131</v>
      </c>
      <c r="Q75" s="29" t="s">
        <v>71</v>
      </c>
      <c r="R75" s="29" t="s">
        <v>62</v>
      </c>
      <c r="S75" s="29" t="s">
        <v>109</v>
      </c>
      <c r="T75" s="29" t="s">
        <v>223</v>
      </c>
      <c r="U75" s="29" t="b">
        <f t="shared" si="2"/>
        <v>0</v>
      </c>
      <c r="V75" s="29" t="s">
        <v>291</v>
      </c>
      <c r="W75" s="29" t="s">
        <v>109</v>
      </c>
      <c r="X75" s="29" t="s">
        <v>109</v>
      </c>
    </row>
    <row r="76" spans="1:24" x14ac:dyDescent="0.3">
      <c r="A76" s="38">
        <v>75</v>
      </c>
      <c r="B76" s="29" t="s">
        <v>23</v>
      </c>
      <c r="C76" s="29" t="s">
        <v>1049</v>
      </c>
      <c r="D76" s="29">
        <v>50126284</v>
      </c>
      <c r="E76" s="29">
        <v>110</v>
      </c>
      <c r="F76" s="6">
        <v>240</v>
      </c>
      <c r="G76" s="29">
        <v>92</v>
      </c>
      <c r="H76" s="29" t="s">
        <v>262</v>
      </c>
      <c r="I76" s="29" t="s">
        <v>109</v>
      </c>
      <c r="J76" s="29" t="s">
        <v>130</v>
      </c>
      <c r="K76" s="30">
        <v>0.93402777777777779</v>
      </c>
      <c r="L76" s="30">
        <v>0.97291666666666676</v>
      </c>
      <c r="M76" s="29" t="s">
        <v>109</v>
      </c>
      <c r="N76" s="29" t="s">
        <v>109</v>
      </c>
      <c r="O76" s="29" t="s">
        <v>61</v>
      </c>
      <c r="P76" s="29" t="s">
        <v>131</v>
      </c>
      <c r="Q76" s="29" t="s">
        <v>222</v>
      </c>
      <c r="R76" s="29" t="s">
        <v>62</v>
      </c>
      <c r="S76" s="29" t="s">
        <v>109</v>
      </c>
      <c r="T76" s="29" t="s">
        <v>223</v>
      </c>
      <c r="U76" s="29" t="b">
        <f t="shared" si="2"/>
        <v>0</v>
      </c>
      <c r="V76" s="29" t="s">
        <v>109</v>
      </c>
      <c r="W76" s="29" t="s">
        <v>109</v>
      </c>
      <c r="X76" s="29" t="s">
        <v>109</v>
      </c>
    </row>
    <row r="77" spans="1:24" x14ac:dyDescent="0.3">
      <c r="A77" s="38">
        <v>76</v>
      </c>
      <c r="B77" s="29" t="s">
        <v>23</v>
      </c>
      <c r="C77" s="29" t="s">
        <v>1050</v>
      </c>
      <c r="D77" s="29">
        <v>50126285</v>
      </c>
      <c r="E77" s="29">
        <v>110</v>
      </c>
      <c r="F77" s="6">
        <v>176</v>
      </c>
      <c r="G77" s="29">
        <v>115</v>
      </c>
      <c r="H77" s="29" t="s">
        <v>1007</v>
      </c>
      <c r="I77" s="29" t="s">
        <v>109</v>
      </c>
      <c r="J77" s="29" t="s">
        <v>130</v>
      </c>
      <c r="K77" s="29" t="s">
        <v>109</v>
      </c>
      <c r="L77" s="30">
        <v>0.96111111111111114</v>
      </c>
      <c r="M77" s="29" t="s">
        <v>109</v>
      </c>
      <c r="N77" s="29" t="s">
        <v>109</v>
      </c>
      <c r="O77" s="29" t="s">
        <v>61</v>
      </c>
      <c r="P77" s="29" t="s">
        <v>131</v>
      </c>
      <c r="Q77" s="29" t="s">
        <v>274</v>
      </c>
      <c r="R77" s="29" t="s">
        <v>62</v>
      </c>
      <c r="S77" s="29" t="s">
        <v>109</v>
      </c>
      <c r="T77" s="29" t="s">
        <v>223</v>
      </c>
      <c r="U77" s="29" t="b">
        <f t="shared" si="2"/>
        <v>1</v>
      </c>
      <c r="V77" s="29" t="s">
        <v>109</v>
      </c>
      <c r="W77" s="29" t="s">
        <v>109</v>
      </c>
      <c r="X77" s="29" t="s">
        <v>109</v>
      </c>
    </row>
    <row r="78" spans="1:24" x14ac:dyDescent="0.3">
      <c r="A78" s="38">
        <v>77</v>
      </c>
      <c r="B78" s="29" t="s">
        <v>23</v>
      </c>
      <c r="C78" s="29" t="s">
        <v>756</v>
      </c>
      <c r="D78" s="29">
        <v>50126144</v>
      </c>
      <c r="E78" s="29">
        <v>50</v>
      </c>
      <c r="F78" s="6">
        <v>92</v>
      </c>
      <c r="G78" s="29">
        <v>43</v>
      </c>
      <c r="H78" s="59" t="s">
        <v>67</v>
      </c>
      <c r="I78" s="29" t="s">
        <v>89</v>
      </c>
      <c r="J78" s="29" t="s">
        <v>130</v>
      </c>
      <c r="K78" s="30">
        <v>0.65486111111111112</v>
      </c>
      <c r="L78" s="30">
        <v>0.72152777777777777</v>
      </c>
      <c r="M78" s="29" t="s">
        <v>109</v>
      </c>
      <c r="N78" s="29" t="s">
        <v>109</v>
      </c>
      <c r="O78" s="29" t="s">
        <v>61</v>
      </c>
      <c r="P78" s="29" t="s">
        <v>131</v>
      </c>
      <c r="Q78" s="29" t="s">
        <v>1082</v>
      </c>
      <c r="R78" s="29" t="s">
        <v>62</v>
      </c>
      <c r="S78" s="29" t="s">
        <v>109</v>
      </c>
      <c r="T78" s="29" t="s">
        <v>480</v>
      </c>
      <c r="U78" s="29" t="b">
        <f t="shared" si="2"/>
        <v>0</v>
      </c>
      <c r="V78" s="29" t="s">
        <v>109</v>
      </c>
      <c r="W78" s="29" t="s">
        <v>109</v>
      </c>
      <c r="X78" s="29" t="s">
        <v>109</v>
      </c>
    </row>
    <row r="79" spans="1:24" x14ac:dyDescent="0.3">
      <c r="A79" s="38">
        <v>78</v>
      </c>
      <c r="B79" s="29" t="s">
        <v>23</v>
      </c>
      <c r="C79" s="29" t="s">
        <v>757</v>
      </c>
      <c r="D79" s="29">
        <v>50126145</v>
      </c>
      <c r="E79" s="29">
        <v>50</v>
      </c>
      <c r="F79" s="6">
        <v>76</v>
      </c>
      <c r="G79" s="29">
        <v>39</v>
      </c>
      <c r="H79" s="59" t="s">
        <v>87</v>
      </c>
      <c r="I79" s="29" t="s">
        <v>603</v>
      </c>
      <c r="J79" s="29" t="s">
        <v>130</v>
      </c>
      <c r="K79" s="30">
        <v>0.71597222222222223</v>
      </c>
      <c r="L79" s="30">
        <v>0.78055555555555556</v>
      </c>
      <c r="M79" s="29" t="s">
        <v>109</v>
      </c>
      <c r="N79" s="29" t="s">
        <v>109</v>
      </c>
      <c r="O79" s="29" t="s">
        <v>61</v>
      </c>
      <c r="P79" s="29" t="s">
        <v>131</v>
      </c>
      <c r="Q79" s="29" t="s">
        <v>603</v>
      </c>
      <c r="R79" s="29" t="s">
        <v>62</v>
      </c>
      <c r="S79" s="29" t="s">
        <v>109</v>
      </c>
      <c r="T79" s="29" t="s">
        <v>480</v>
      </c>
      <c r="U79" s="29" t="b">
        <f t="shared" si="2"/>
        <v>0</v>
      </c>
      <c r="V79" s="29" t="s">
        <v>109</v>
      </c>
      <c r="W79" s="29" t="s">
        <v>109</v>
      </c>
      <c r="X79" s="29" t="s">
        <v>109</v>
      </c>
    </row>
    <row r="80" spans="1:24" x14ac:dyDescent="0.3">
      <c r="A80" s="38">
        <v>79</v>
      </c>
      <c r="B80" s="29" t="s">
        <v>23</v>
      </c>
      <c r="C80" s="29" t="s">
        <v>758</v>
      </c>
      <c r="D80" s="29">
        <v>50126142</v>
      </c>
      <c r="E80" s="29">
        <v>125</v>
      </c>
      <c r="F80" s="6">
        <v>367</v>
      </c>
      <c r="G80" s="29">
        <v>157</v>
      </c>
      <c r="H80" s="29" t="s">
        <v>1051</v>
      </c>
      <c r="I80" s="29" t="s">
        <v>297</v>
      </c>
      <c r="J80" s="29" t="s">
        <v>130</v>
      </c>
      <c r="K80" s="30">
        <v>0.96388888888888891</v>
      </c>
      <c r="L80" s="30">
        <v>4.1666666666666666E-3</v>
      </c>
      <c r="M80" s="29" t="s">
        <v>109</v>
      </c>
      <c r="N80" s="29" t="s">
        <v>109</v>
      </c>
      <c r="O80" s="29" t="s">
        <v>61</v>
      </c>
      <c r="P80" s="29" t="s">
        <v>131</v>
      </c>
      <c r="Q80" s="29" t="s">
        <v>94</v>
      </c>
      <c r="R80" s="29" t="s">
        <v>62</v>
      </c>
      <c r="S80" s="29" t="s">
        <v>109</v>
      </c>
      <c r="T80" s="29" t="s">
        <v>480</v>
      </c>
      <c r="U80" s="29" t="b">
        <f t="shared" si="2"/>
        <v>1</v>
      </c>
      <c r="V80" s="29" t="s">
        <v>109</v>
      </c>
      <c r="W80" s="29" t="s">
        <v>109</v>
      </c>
      <c r="X80" s="29" t="s">
        <v>109</v>
      </c>
    </row>
    <row r="81" spans="1:24" x14ac:dyDescent="0.3">
      <c r="A81" s="38">
        <v>80</v>
      </c>
      <c r="B81" s="29" t="s">
        <v>23</v>
      </c>
      <c r="C81" s="29" t="s">
        <v>759</v>
      </c>
      <c r="D81" s="29">
        <v>50126147</v>
      </c>
      <c r="E81" s="29">
        <v>125</v>
      </c>
      <c r="F81" s="6">
        <v>314</v>
      </c>
      <c r="G81" s="29">
        <v>108</v>
      </c>
      <c r="H81" s="29" t="s">
        <v>1052</v>
      </c>
      <c r="I81" s="29" t="s">
        <v>157</v>
      </c>
      <c r="J81" s="29" t="s">
        <v>130</v>
      </c>
      <c r="K81" s="30">
        <v>0.9243055555555556</v>
      </c>
      <c r="L81" s="30">
        <v>0.97152777777777777</v>
      </c>
      <c r="M81" s="29" t="s">
        <v>109</v>
      </c>
      <c r="N81" s="29" t="s">
        <v>109</v>
      </c>
      <c r="O81" s="29" t="s">
        <v>61</v>
      </c>
      <c r="P81" s="29" t="s">
        <v>131</v>
      </c>
      <c r="Q81" s="29" t="s">
        <v>93</v>
      </c>
      <c r="R81" s="29" t="s">
        <v>62</v>
      </c>
      <c r="S81" s="29" t="s">
        <v>109</v>
      </c>
      <c r="T81" s="29" t="s">
        <v>480</v>
      </c>
      <c r="U81" s="29" t="b">
        <f t="shared" si="2"/>
        <v>0</v>
      </c>
      <c r="V81" s="29" t="s">
        <v>109</v>
      </c>
      <c r="W81" s="29" t="s">
        <v>109</v>
      </c>
      <c r="X81" s="29" t="s">
        <v>109</v>
      </c>
    </row>
    <row r="82" spans="1:24" x14ac:dyDescent="0.3">
      <c r="A82" s="38">
        <v>81</v>
      </c>
      <c r="B82" s="29" t="s">
        <v>23</v>
      </c>
      <c r="C82" s="29" t="s">
        <v>1053</v>
      </c>
      <c r="D82" s="29">
        <v>50126314</v>
      </c>
      <c r="E82" s="29">
        <v>100</v>
      </c>
      <c r="F82" s="6">
        <v>145</v>
      </c>
      <c r="G82" s="29">
        <v>101</v>
      </c>
      <c r="H82" s="29" t="s">
        <v>67</v>
      </c>
      <c r="I82" s="29" t="s">
        <v>95</v>
      </c>
      <c r="J82" s="29" t="s">
        <v>130</v>
      </c>
      <c r="K82" s="30">
        <v>0.8208333333333333</v>
      </c>
      <c r="L82" s="30">
        <v>0.84513888888888899</v>
      </c>
      <c r="M82" s="29" t="s">
        <v>109</v>
      </c>
      <c r="N82" s="29" t="s">
        <v>109</v>
      </c>
      <c r="O82" s="29" t="s">
        <v>61</v>
      </c>
      <c r="P82" s="29" t="s">
        <v>131</v>
      </c>
      <c r="Q82" s="29" t="s">
        <v>95</v>
      </c>
      <c r="R82" s="29" t="s">
        <v>62</v>
      </c>
      <c r="S82" s="29" t="s">
        <v>109</v>
      </c>
      <c r="T82" s="29" t="s">
        <v>480</v>
      </c>
      <c r="U82" s="29" t="b">
        <f t="shared" si="2"/>
        <v>1</v>
      </c>
      <c r="V82" s="29" t="s">
        <v>109</v>
      </c>
      <c r="W82" s="29" t="s">
        <v>109</v>
      </c>
      <c r="X82" s="29" t="s">
        <v>109</v>
      </c>
    </row>
    <row r="83" spans="1:24" x14ac:dyDescent="0.3">
      <c r="A83" s="38">
        <v>82</v>
      </c>
      <c r="B83" s="29" t="s">
        <v>23</v>
      </c>
      <c r="C83" s="29" t="s">
        <v>1054</v>
      </c>
      <c r="D83" s="29">
        <v>50126315</v>
      </c>
      <c r="E83" s="29">
        <v>150</v>
      </c>
      <c r="F83" s="6">
        <v>230</v>
      </c>
      <c r="G83" s="29">
        <v>146</v>
      </c>
      <c r="H83" s="29" t="s">
        <v>1007</v>
      </c>
      <c r="I83" s="29" t="s">
        <v>1008</v>
      </c>
      <c r="J83" s="29" t="s">
        <v>130</v>
      </c>
      <c r="K83" s="30">
        <v>0.93611111111111101</v>
      </c>
      <c r="L83" s="30">
        <v>0.96736111111111101</v>
      </c>
      <c r="M83" s="29" t="s">
        <v>109</v>
      </c>
      <c r="N83" s="29" t="s">
        <v>109</v>
      </c>
      <c r="O83" s="29" t="s">
        <v>61</v>
      </c>
      <c r="P83" s="29" t="s">
        <v>131</v>
      </c>
      <c r="Q83" s="29" t="s">
        <v>86</v>
      </c>
      <c r="R83" s="29" t="s">
        <v>62</v>
      </c>
      <c r="S83" s="29" t="s">
        <v>109</v>
      </c>
      <c r="T83" s="29" t="s">
        <v>480</v>
      </c>
      <c r="U83" s="29" t="b">
        <f t="shared" si="2"/>
        <v>0</v>
      </c>
      <c r="V83" s="29" t="s">
        <v>109</v>
      </c>
      <c r="W83" s="29" t="s">
        <v>109</v>
      </c>
      <c r="X83" s="29" t="s">
        <v>109</v>
      </c>
    </row>
    <row r="84" spans="1:24" x14ac:dyDescent="0.3">
      <c r="A84" s="38">
        <v>83</v>
      </c>
      <c r="B84" s="29" t="s">
        <v>23</v>
      </c>
      <c r="C84" s="29" t="s">
        <v>1055</v>
      </c>
      <c r="D84" s="29">
        <v>50126317</v>
      </c>
      <c r="E84" s="29">
        <v>125</v>
      </c>
      <c r="F84" s="6">
        <v>224</v>
      </c>
      <c r="G84" s="29">
        <v>95</v>
      </c>
      <c r="H84" s="29" t="s">
        <v>232</v>
      </c>
      <c r="I84" s="29" t="s">
        <v>285</v>
      </c>
      <c r="J84" s="29" t="s">
        <v>130</v>
      </c>
      <c r="K84" s="30">
        <v>0.99097222222222225</v>
      </c>
      <c r="L84" s="30">
        <v>6.9444444444444441E-3</v>
      </c>
      <c r="M84" s="29" t="s">
        <v>109</v>
      </c>
      <c r="N84" s="29" t="s">
        <v>109</v>
      </c>
      <c r="O84" s="29" t="s">
        <v>61</v>
      </c>
      <c r="P84" s="29" t="s">
        <v>131</v>
      </c>
      <c r="Q84" s="29" t="s">
        <v>93</v>
      </c>
      <c r="R84" s="29" t="s">
        <v>62</v>
      </c>
      <c r="S84" s="29" t="s">
        <v>109</v>
      </c>
      <c r="T84" s="29" t="s">
        <v>480</v>
      </c>
      <c r="U84" s="29" t="b">
        <f t="shared" si="2"/>
        <v>0</v>
      </c>
      <c r="V84" s="29" t="s">
        <v>109</v>
      </c>
      <c r="W84" s="29" t="s">
        <v>109</v>
      </c>
      <c r="X84" s="29" t="s">
        <v>109</v>
      </c>
    </row>
    <row r="85" spans="1:24" x14ac:dyDescent="0.3">
      <c r="A85" s="38">
        <v>84</v>
      </c>
      <c r="B85" s="29" t="s">
        <v>23</v>
      </c>
      <c r="C85" s="29" t="s">
        <v>1056</v>
      </c>
      <c r="D85" s="29">
        <v>50126316</v>
      </c>
      <c r="E85" s="29">
        <v>150</v>
      </c>
      <c r="F85" s="6">
        <v>267</v>
      </c>
      <c r="G85" s="29">
        <v>153</v>
      </c>
      <c r="H85" s="29" t="s">
        <v>1057</v>
      </c>
      <c r="I85" s="29" t="s">
        <v>194</v>
      </c>
      <c r="J85" s="29" t="s">
        <v>130</v>
      </c>
      <c r="K85" s="30">
        <v>2.6388888888888889E-2</v>
      </c>
      <c r="L85" s="63">
        <v>4.5138888888888888E-2</v>
      </c>
      <c r="M85" s="29" t="s">
        <v>109</v>
      </c>
      <c r="N85" s="29" t="s">
        <v>109</v>
      </c>
      <c r="O85" s="29" t="s">
        <v>61</v>
      </c>
      <c r="P85" s="29" t="s">
        <v>131</v>
      </c>
      <c r="Q85" s="29" t="s">
        <v>87</v>
      </c>
      <c r="R85" s="29" t="s">
        <v>62</v>
      </c>
      <c r="S85" s="29" t="s">
        <v>109</v>
      </c>
      <c r="T85" s="29" t="s">
        <v>480</v>
      </c>
      <c r="U85" s="29" t="b">
        <f t="shared" si="2"/>
        <v>1</v>
      </c>
      <c r="V85" s="29" t="s">
        <v>109</v>
      </c>
      <c r="W85" s="29" t="s">
        <v>109</v>
      </c>
      <c r="X85" s="29" t="s">
        <v>109</v>
      </c>
    </row>
    <row r="86" spans="1:24" x14ac:dyDescent="0.3">
      <c r="A86" s="38">
        <v>85</v>
      </c>
      <c r="B86" s="29" t="s">
        <v>143</v>
      </c>
      <c r="C86" s="29" t="s">
        <v>347</v>
      </c>
      <c r="D86" s="29">
        <v>11225025</v>
      </c>
      <c r="E86" s="29">
        <v>100</v>
      </c>
      <c r="F86" s="6">
        <v>203</v>
      </c>
      <c r="G86" s="29">
        <v>104</v>
      </c>
      <c r="H86" s="29" t="s">
        <v>1057</v>
      </c>
      <c r="I86" s="29" t="s">
        <v>1058</v>
      </c>
      <c r="J86" s="29" t="s">
        <v>130</v>
      </c>
      <c r="K86" s="30">
        <v>0.96597222222222223</v>
      </c>
      <c r="L86" s="30">
        <v>2.7777777777777776E-2</v>
      </c>
      <c r="M86" s="29" t="s">
        <v>109</v>
      </c>
      <c r="N86" s="29" t="s">
        <v>109</v>
      </c>
      <c r="O86" s="29" t="s">
        <v>61</v>
      </c>
      <c r="P86" s="29" t="s">
        <v>131</v>
      </c>
      <c r="Q86" s="29" t="s">
        <v>90</v>
      </c>
      <c r="R86" s="29" t="s">
        <v>62</v>
      </c>
      <c r="S86" s="29" t="s">
        <v>109</v>
      </c>
      <c r="T86" s="29" t="s">
        <v>116</v>
      </c>
      <c r="U86" s="29" t="b">
        <f t="shared" si="2"/>
        <v>1</v>
      </c>
      <c r="V86" s="29" t="s">
        <v>109</v>
      </c>
      <c r="W86" s="29" t="s">
        <v>109</v>
      </c>
      <c r="X86" s="29" t="s">
        <v>109</v>
      </c>
    </row>
    <row r="87" spans="1:24" x14ac:dyDescent="0.3">
      <c r="A87" s="38">
        <v>86</v>
      </c>
      <c r="B87" s="29" t="s">
        <v>143</v>
      </c>
      <c r="C87" s="29" t="s">
        <v>1059</v>
      </c>
      <c r="D87" s="29">
        <v>10126016</v>
      </c>
      <c r="E87" s="29">
        <v>100</v>
      </c>
      <c r="F87" s="6" t="s">
        <v>109</v>
      </c>
      <c r="G87" s="6" t="s">
        <v>109</v>
      </c>
      <c r="H87" s="29" t="s">
        <v>1051</v>
      </c>
      <c r="I87" s="29" t="s">
        <v>297</v>
      </c>
      <c r="J87" s="29" t="s">
        <v>109</v>
      </c>
      <c r="K87" s="30">
        <v>0.86944444444444446</v>
      </c>
      <c r="L87" s="29" t="s">
        <v>109</v>
      </c>
      <c r="M87" s="29" t="s">
        <v>109</v>
      </c>
      <c r="N87" s="29" t="s">
        <v>109</v>
      </c>
      <c r="O87" s="29" t="s">
        <v>61</v>
      </c>
      <c r="P87" s="29" t="s">
        <v>109</v>
      </c>
      <c r="Q87" s="29" t="s">
        <v>109</v>
      </c>
      <c r="R87" s="29" t="s">
        <v>62</v>
      </c>
      <c r="S87" s="29" t="s">
        <v>109</v>
      </c>
      <c r="T87" s="29" t="s">
        <v>398</v>
      </c>
      <c r="U87" s="29" t="b">
        <f t="shared" si="2"/>
        <v>1</v>
      </c>
      <c r="V87" s="29" t="s">
        <v>109</v>
      </c>
      <c r="W87" s="29" t="s">
        <v>109</v>
      </c>
      <c r="X87" s="29" t="s">
        <v>109</v>
      </c>
    </row>
    <row r="88" spans="1:24" x14ac:dyDescent="0.3">
      <c r="A88" s="38">
        <v>87</v>
      </c>
      <c r="B88" s="29" t="s">
        <v>143</v>
      </c>
      <c r="C88" s="29" t="s">
        <v>1060</v>
      </c>
      <c r="D88" s="29">
        <v>10126017</v>
      </c>
      <c r="E88" s="29">
        <v>100</v>
      </c>
      <c r="F88" s="6">
        <v>216</v>
      </c>
      <c r="G88" s="29">
        <v>63</v>
      </c>
      <c r="H88" s="29" t="s">
        <v>386</v>
      </c>
      <c r="I88" s="29" t="s">
        <v>97</v>
      </c>
      <c r="J88" s="29" t="s">
        <v>130</v>
      </c>
      <c r="K88" s="30">
        <v>0.89374999999999993</v>
      </c>
      <c r="L88" s="63">
        <v>5.486111111111111E-2</v>
      </c>
      <c r="M88" s="29" t="s">
        <v>109</v>
      </c>
      <c r="N88" s="29" t="s">
        <v>109</v>
      </c>
      <c r="O88" s="29" t="s">
        <v>61</v>
      </c>
      <c r="P88" s="29" t="s">
        <v>131</v>
      </c>
      <c r="Q88" s="29" t="s">
        <v>787</v>
      </c>
      <c r="R88" s="29" t="s">
        <v>62</v>
      </c>
      <c r="S88" s="29" t="s">
        <v>109</v>
      </c>
      <c r="T88" s="29" t="s">
        <v>398</v>
      </c>
      <c r="U88" s="29" t="b">
        <f t="shared" si="2"/>
        <v>0</v>
      </c>
      <c r="V88" s="29" t="s">
        <v>109</v>
      </c>
      <c r="W88" s="29" t="s">
        <v>109</v>
      </c>
      <c r="X88" s="29" t="s">
        <v>109</v>
      </c>
    </row>
    <row r="89" spans="1:24" x14ac:dyDescent="0.3">
      <c r="A89" s="38">
        <v>88</v>
      </c>
      <c r="B89" s="29" t="s">
        <v>143</v>
      </c>
      <c r="C89" s="29" t="s">
        <v>955</v>
      </c>
      <c r="D89" s="29">
        <v>10126015</v>
      </c>
      <c r="E89" s="29">
        <v>50</v>
      </c>
      <c r="F89" s="6">
        <v>70</v>
      </c>
      <c r="G89" s="29">
        <v>51</v>
      </c>
      <c r="H89" s="59" t="s">
        <v>64</v>
      </c>
      <c r="I89" s="29" t="s">
        <v>86</v>
      </c>
      <c r="J89" s="29" t="s">
        <v>130</v>
      </c>
      <c r="K89" s="30">
        <v>0.6875</v>
      </c>
      <c r="L89" s="30">
        <v>0.8041666666666667</v>
      </c>
      <c r="M89" s="29" t="s">
        <v>109</v>
      </c>
      <c r="N89" s="29" t="s">
        <v>109</v>
      </c>
      <c r="O89" s="29" t="s">
        <v>61</v>
      </c>
      <c r="P89" s="29" t="s">
        <v>131</v>
      </c>
      <c r="Q89" s="29" t="s">
        <v>86</v>
      </c>
      <c r="R89" s="29" t="s">
        <v>62</v>
      </c>
      <c r="S89" s="29" t="s">
        <v>109</v>
      </c>
      <c r="T89" s="29" t="s">
        <v>956</v>
      </c>
      <c r="U89" s="29" t="b">
        <f t="shared" si="2"/>
        <v>1</v>
      </c>
      <c r="V89" s="29" t="s">
        <v>109</v>
      </c>
      <c r="W89" s="29" t="s">
        <v>109</v>
      </c>
      <c r="X89" s="29" t="s">
        <v>109</v>
      </c>
    </row>
    <row r="90" spans="1:24" x14ac:dyDescent="0.3">
      <c r="A90" s="38">
        <v>89</v>
      </c>
      <c r="B90" s="29" t="s">
        <v>143</v>
      </c>
      <c r="C90" s="29" t="s">
        <v>775</v>
      </c>
      <c r="D90" s="29">
        <v>10126014</v>
      </c>
      <c r="E90" s="29">
        <v>60</v>
      </c>
      <c r="F90" s="6">
        <v>180</v>
      </c>
      <c r="G90" s="29">
        <v>34</v>
      </c>
      <c r="H90" s="59" t="s">
        <v>200</v>
      </c>
      <c r="I90" s="29" t="s">
        <v>87</v>
      </c>
      <c r="J90" s="29" t="s">
        <v>130</v>
      </c>
      <c r="K90" s="30">
        <v>0.78611111111111109</v>
      </c>
      <c r="L90" s="30">
        <v>0.8256944444444444</v>
      </c>
      <c r="M90" s="29" t="s">
        <v>109</v>
      </c>
      <c r="N90" s="29" t="s">
        <v>109</v>
      </c>
      <c r="O90" s="29" t="s">
        <v>61</v>
      </c>
      <c r="P90" s="29" t="s">
        <v>131</v>
      </c>
      <c r="Q90" s="29" t="s">
        <v>87</v>
      </c>
      <c r="R90" s="29" t="s">
        <v>62</v>
      </c>
      <c r="S90" s="29" t="s">
        <v>109</v>
      </c>
      <c r="T90" s="29" t="s">
        <v>351</v>
      </c>
      <c r="U90" s="29" t="b">
        <f t="shared" si="2"/>
        <v>0</v>
      </c>
      <c r="V90" s="29" t="s">
        <v>109</v>
      </c>
      <c r="W90" s="29" t="s">
        <v>109</v>
      </c>
      <c r="X90" s="29" t="s">
        <v>109</v>
      </c>
    </row>
    <row r="91" spans="1:24" x14ac:dyDescent="0.3">
      <c r="A91" s="38">
        <v>90</v>
      </c>
      <c r="B91" s="29" t="s">
        <v>143</v>
      </c>
      <c r="C91" s="29" t="s">
        <v>554</v>
      </c>
      <c r="D91" s="29">
        <v>10725018</v>
      </c>
      <c r="E91" s="29">
        <v>50</v>
      </c>
      <c r="F91" s="6">
        <v>123</v>
      </c>
      <c r="G91" s="29">
        <v>31</v>
      </c>
      <c r="H91" s="59" t="s">
        <v>65</v>
      </c>
      <c r="I91" s="29" t="s">
        <v>88</v>
      </c>
      <c r="J91" s="29" t="s">
        <v>130</v>
      </c>
      <c r="K91" s="29" t="s">
        <v>109</v>
      </c>
      <c r="L91" s="30">
        <v>0.93263888888888891</v>
      </c>
      <c r="M91" s="29" t="s">
        <v>109</v>
      </c>
      <c r="N91" s="29" t="s">
        <v>109</v>
      </c>
      <c r="O91" s="29" t="s">
        <v>61</v>
      </c>
      <c r="P91" s="29" t="s">
        <v>131</v>
      </c>
      <c r="Q91" s="29" t="s">
        <v>88</v>
      </c>
      <c r="R91" s="29" t="s">
        <v>62</v>
      </c>
      <c r="S91" s="29" t="s">
        <v>109</v>
      </c>
      <c r="T91" s="29" t="s">
        <v>609</v>
      </c>
      <c r="U91" s="29" t="b">
        <f t="shared" si="2"/>
        <v>0</v>
      </c>
      <c r="V91" s="29" t="s">
        <v>109</v>
      </c>
      <c r="W91" s="29" t="s">
        <v>109</v>
      </c>
      <c r="X91" s="29" t="s">
        <v>109</v>
      </c>
    </row>
    <row r="92" spans="1:24" x14ac:dyDescent="0.3">
      <c r="A92" s="38">
        <v>91</v>
      </c>
      <c r="B92" s="29" t="s">
        <v>143</v>
      </c>
      <c r="C92" s="29" t="s">
        <v>1061</v>
      </c>
      <c r="D92" s="29">
        <v>11225038</v>
      </c>
      <c r="E92" s="29">
        <v>22</v>
      </c>
      <c r="F92" s="6">
        <v>30</v>
      </c>
      <c r="G92" s="29">
        <v>7</v>
      </c>
      <c r="H92" s="59" t="s">
        <v>184</v>
      </c>
      <c r="I92" s="29" t="s">
        <v>94</v>
      </c>
      <c r="J92" s="29" t="s">
        <v>130</v>
      </c>
      <c r="K92" s="30">
        <v>0.94861111111111107</v>
      </c>
      <c r="L92" s="30">
        <v>0.97152777777777777</v>
      </c>
      <c r="M92" s="29" t="s">
        <v>109</v>
      </c>
      <c r="N92" s="29" t="s">
        <v>109</v>
      </c>
      <c r="O92" s="29" t="s">
        <v>61</v>
      </c>
      <c r="P92" s="29" t="s">
        <v>131</v>
      </c>
      <c r="Q92" s="29" t="s">
        <v>94</v>
      </c>
      <c r="R92" s="29" t="s">
        <v>62</v>
      </c>
      <c r="S92" s="29" t="s">
        <v>109</v>
      </c>
      <c r="T92" s="29" t="s">
        <v>609</v>
      </c>
      <c r="U92" s="29" t="b">
        <f t="shared" si="2"/>
        <v>0</v>
      </c>
      <c r="V92" s="29" t="s">
        <v>109</v>
      </c>
      <c r="W92" s="29" t="s">
        <v>109</v>
      </c>
      <c r="X92" s="29" t="s">
        <v>109</v>
      </c>
    </row>
    <row r="93" spans="1:24" x14ac:dyDescent="0.3">
      <c r="A93" s="38">
        <v>92</v>
      </c>
      <c r="B93" s="29" t="s">
        <v>23</v>
      </c>
      <c r="C93" s="29" t="s">
        <v>474</v>
      </c>
      <c r="D93" s="29">
        <v>50126027</v>
      </c>
      <c r="E93" s="29">
        <v>30</v>
      </c>
      <c r="F93" s="6">
        <v>43</v>
      </c>
      <c r="G93" s="29">
        <v>33</v>
      </c>
      <c r="H93" s="60" t="s">
        <v>214</v>
      </c>
      <c r="I93" s="29" t="s">
        <v>109</v>
      </c>
      <c r="J93" s="29" t="s">
        <v>130</v>
      </c>
      <c r="K93" s="63">
        <v>0.86250000000000004</v>
      </c>
      <c r="L93" s="30">
        <v>0.86249999999999993</v>
      </c>
      <c r="M93" s="29" t="s">
        <v>109</v>
      </c>
      <c r="N93" s="29" t="s">
        <v>109</v>
      </c>
      <c r="O93" s="29" t="s">
        <v>61</v>
      </c>
      <c r="P93" s="29" t="s">
        <v>131</v>
      </c>
      <c r="Q93" s="29" t="s">
        <v>214</v>
      </c>
      <c r="R93" s="29" t="s">
        <v>62</v>
      </c>
      <c r="S93" s="29" t="s">
        <v>109</v>
      </c>
      <c r="T93" s="29" t="s">
        <v>477</v>
      </c>
      <c r="U93" s="29" t="b">
        <f t="shared" si="2"/>
        <v>1</v>
      </c>
      <c r="V93" s="29" t="s">
        <v>109</v>
      </c>
      <c r="W93" s="29" t="s">
        <v>109</v>
      </c>
      <c r="X93" s="29" t="s">
        <v>109</v>
      </c>
    </row>
    <row r="94" spans="1:24" x14ac:dyDescent="0.3">
      <c r="A94" s="38">
        <v>93</v>
      </c>
      <c r="B94" s="29" t="s">
        <v>23</v>
      </c>
      <c r="C94" s="29" t="s">
        <v>478</v>
      </c>
      <c r="D94" s="29">
        <v>50126028</v>
      </c>
      <c r="E94" s="29">
        <v>25</v>
      </c>
      <c r="F94" s="6">
        <v>77</v>
      </c>
      <c r="G94" s="29">
        <v>22</v>
      </c>
      <c r="H94" s="6" t="s">
        <v>72</v>
      </c>
      <c r="I94" s="29" t="s">
        <v>109</v>
      </c>
      <c r="J94" s="29" t="s">
        <v>130</v>
      </c>
      <c r="K94" s="30">
        <v>0.72083333333333333</v>
      </c>
      <c r="L94" s="29" t="s">
        <v>109</v>
      </c>
      <c r="M94" s="29" t="s">
        <v>109</v>
      </c>
      <c r="N94" s="29" t="s">
        <v>109</v>
      </c>
      <c r="O94" s="29" t="s">
        <v>61</v>
      </c>
      <c r="P94" s="29" t="s">
        <v>131</v>
      </c>
      <c r="Q94" s="29" t="s">
        <v>72</v>
      </c>
      <c r="R94" s="29" t="s">
        <v>62</v>
      </c>
      <c r="S94" s="29" t="s">
        <v>109</v>
      </c>
      <c r="T94" s="29" t="s">
        <v>477</v>
      </c>
      <c r="U94" s="29" t="b">
        <f t="shared" si="2"/>
        <v>0</v>
      </c>
      <c r="V94" s="29" t="s">
        <v>109</v>
      </c>
      <c r="W94" s="29" t="s">
        <v>109</v>
      </c>
      <c r="X94" s="29" t="s">
        <v>109</v>
      </c>
    </row>
    <row r="95" spans="1:24" x14ac:dyDescent="0.3">
      <c r="A95" s="38">
        <v>94</v>
      </c>
      <c r="B95" s="29" t="s">
        <v>23</v>
      </c>
      <c r="C95" s="29" t="s">
        <v>1062</v>
      </c>
      <c r="D95" s="29">
        <v>50126304</v>
      </c>
      <c r="E95" s="29">
        <v>50</v>
      </c>
      <c r="F95" s="6">
        <v>116</v>
      </c>
      <c r="G95" s="29">
        <v>58</v>
      </c>
      <c r="H95" s="59" t="s">
        <v>95</v>
      </c>
      <c r="I95" s="29" t="s">
        <v>109</v>
      </c>
      <c r="J95" s="29" t="s">
        <v>130</v>
      </c>
      <c r="K95" s="29" t="s">
        <v>109</v>
      </c>
      <c r="L95" s="30">
        <v>0.7319444444444444</v>
      </c>
      <c r="M95" s="29" t="s">
        <v>109</v>
      </c>
      <c r="N95" s="29" t="s">
        <v>109</v>
      </c>
      <c r="O95" s="29" t="s">
        <v>61</v>
      </c>
      <c r="P95" s="29" t="s">
        <v>131</v>
      </c>
      <c r="Q95" s="29" t="s">
        <v>95</v>
      </c>
      <c r="R95" s="29" t="s">
        <v>62</v>
      </c>
      <c r="S95" s="29" t="s">
        <v>109</v>
      </c>
      <c r="T95" s="29" t="s">
        <v>1063</v>
      </c>
      <c r="U95" s="29" t="b">
        <f t="shared" si="2"/>
        <v>1</v>
      </c>
      <c r="V95" s="29" t="s">
        <v>109</v>
      </c>
      <c r="W95" s="29" t="s">
        <v>109</v>
      </c>
      <c r="X95" s="29" t="s">
        <v>109</v>
      </c>
    </row>
    <row r="96" spans="1:24" x14ac:dyDescent="0.3">
      <c r="A96" s="38">
        <v>95</v>
      </c>
      <c r="B96" s="29" t="s">
        <v>23</v>
      </c>
      <c r="C96" s="29" t="s">
        <v>1064</v>
      </c>
      <c r="D96" s="29">
        <v>50126306</v>
      </c>
      <c r="E96" s="29">
        <v>50</v>
      </c>
      <c r="F96" s="6">
        <v>98</v>
      </c>
      <c r="G96" s="29">
        <v>53</v>
      </c>
      <c r="H96" s="59" t="s">
        <v>90</v>
      </c>
      <c r="I96" s="29" t="s">
        <v>109</v>
      </c>
      <c r="J96" s="29" t="s">
        <v>130</v>
      </c>
      <c r="K96" s="29" t="s">
        <v>109</v>
      </c>
      <c r="L96" s="30">
        <v>0.8354166666666667</v>
      </c>
      <c r="M96" s="29" t="s">
        <v>109</v>
      </c>
      <c r="N96" s="29" t="s">
        <v>109</v>
      </c>
      <c r="O96" s="29" t="s">
        <v>61</v>
      </c>
      <c r="P96" s="29" t="s">
        <v>131</v>
      </c>
      <c r="Q96" s="29" t="s">
        <v>90</v>
      </c>
      <c r="R96" s="29" t="s">
        <v>62</v>
      </c>
      <c r="S96" s="29" t="s">
        <v>109</v>
      </c>
      <c r="T96" s="29" t="s">
        <v>1063</v>
      </c>
      <c r="U96" s="29" t="b">
        <f t="shared" si="2"/>
        <v>1</v>
      </c>
      <c r="V96" s="29" t="s">
        <v>109</v>
      </c>
      <c r="W96" s="29" t="s">
        <v>109</v>
      </c>
      <c r="X96" s="29" t="s">
        <v>109</v>
      </c>
    </row>
    <row r="97" spans="1:24" x14ac:dyDescent="0.3">
      <c r="A97" s="38">
        <v>96</v>
      </c>
      <c r="B97" s="29" t="s">
        <v>23</v>
      </c>
      <c r="C97" s="29" t="s">
        <v>1065</v>
      </c>
      <c r="D97" s="29">
        <v>50126305</v>
      </c>
      <c r="E97" s="29">
        <v>50</v>
      </c>
      <c r="F97" s="6">
        <v>73</v>
      </c>
      <c r="G97" s="29">
        <v>54</v>
      </c>
      <c r="H97" s="59" t="s">
        <v>94</v>
      </c>
      <c r="I97" s="29" t="s">
        <v>109</v>
      </c>
      <c r="J97" s="29" t="s">
        <v>130</v>
      </c>
      <c r="K97" s="29" t="s">
        <v>109</v>
      </c>
      <c r="L97" s="30">
        <v>0.80694444444444446</v>
      </c>
      <c r="M97" s="29" t="s">
        <v>109</v>
      </c>
      <c r="N97" s="29" t="s">
        <v>109</v>
      </c>
      <c r="O97" s="29" t="s">
        <v>61</v>
      </c>
      <c r="P97" s="29" t="s">
        <v>131</v>
      </c>
      <c r="Q97" s="29" t="s">
        <v>94</v>
      </c>
      <c r="R97" s="29" t="s">
        <v>62</v>
      </c>
      <c r="S97" s="29" t="s">
        <v>109</v>
      </c>
      <c r="T97" s="29" t="s">
        <v>1063</v>
      </c>
      <c r="U97" s="29" t="b">
        <f t="shared" si="2"/>
        <v>1</v>
      </c>
      <c r="V97" s="29" t="s">
        <v>109</v>
      </c>
      <c r="W97" s="29" t="s">
        <v>109</v>
      </c>
      <c r="X97" s="29" t="s">
        <v>109</v>
      </c>
    </row>
    <row r="98" spans="1:24" x14ac:dyDescent="0.3">
      <c r="A98" s="38">
        <v>97</v>
      </c>
      <c r="B98" s="29" t="s">
        <v>23</v>
      </c>
      <c r="C98" s="29" t="s">
        <v>958</v>
      </c>
      <c r="D98" s="29">
        <v>51125186</v>
      </c>
      <c r="E98" s="29">
        <v>50</v>
      </c>
      <c r="F98" s="6">
        <v>109</v>
      </c>
      <c r="G98" s="29">
        <v>14</v>
      </c>
      <c r="H98" s="6" t="s">
        <v>93</v>
      </c>
      <c r="I98" s="29" t="s">
        <v>109</v>
      </c>
      <c r="J98" s="29" t="s">
        <v>130</v>
      </c>
      <c r="K98" s="29" t="s">
        <v>109</v>
      </c>
      <c r="L98" s="30">
        <v>0.73611111111111116</v>
      </c>
      <c r="M98" s="29" t="s">
        <v>109</v>
      </c>
      <c r="N98" s="29" t="s">
        <v>109</v>
      </c>
      <c r="O98" s="29" t="s">
        <v>61</v>
      </c>
      <c r="P98" s="29" t="s">
        <v>131</v>
      </c>
      <c r="Q98" s="29" t="s">
        <v>93</v>
      </c>
      <c r="R98" s="29" t="s">
        <v>62</v>
      </c>
      <c r="S98" s="29" t="s">
        <v>109</v>
      </c>
      <c r="T98" s="29" t="s">
        <v>959</v>
      </c>
      <c r="U98" s="29" t="b">
        <f t="shared" ref="U98:U119" si="3">G98&gt;=E98</f>
        <v>0</v>
      </c>
      <c r="V98" s="29" t="s">
        <v>109</v>
      </c>
      <c r="W98" s="29" t="s">
        <v>109</v>
      </c>
      <c r="X98" s="29" t="s">
        <v>109</v>
      </c>
    </row>
    <row r="99" spans="1:24" x14ac:dyDescent="0.3">
      <c r="A99" s="38">
        <v>98</v>
      </c>
      <c r="B99" s="29" t="s">
        <v>23</v>
      </c>
      <c r="C99" s="29" t="s">
        <v>137</v>
      </c>
      <c r="D99" s="29">
        <v>51225033</v>
      </c>
      <c r="E99" s="29">
        <v>50</v>
      </c>
      <c r="F99" s="6">
        <v>148</v>
      </c>
      <c r="G99" s="29">
        <v>24</v>
      </c>
      <c r="H99" s="59" t="s">
        <v>65</v>
      </c>
      <c r="I99" s="29" t="s">
        <v>109</v>
      </c>
      <c r="J99" s="29" t="s">
        <v>130</v>
      </c>
      <c r="K99" s="29" t="s">
        <v>109</v>
      </c>
      <c r="L99" s="30">
        <v>0.97916666666666663</v>
      </c>
      <c r="M99" s="29" t="s">
        <v>109</v>
      </c>
      <c r="N99" s="29" t="s">
        <v>109</v>
      </c>
      <c r="O99" s="29" t="s">
        <v>61</v>
      </c>
      <c r="P99" s="29" t="s">
        <v>131</v>
      </c>
      <c r="Q99" s="29" t="s">
        <v>65</v>
      </c>
      <c r="R99" s="29" t="s">
        <v>62</v>
      </c>
      <c r="S99" s="29" t="s">
        <v>109</v>
      </c>
      <c r="T99" s="29" t="s">
        <v>142</v>
      </c>
      <c r="U99" s="29" t="b">
        <f t="shared" si="3"/>
        <v>0</v>
      </c>
      <c r="V99" s="29" t="s">
        <v>109</v>
      </c>
      <c r="W99" s="29" t="s">
        <v>109</v>
      </c>
      <c r="X99" s="29" t="s">
        <v>109</v>
      </c>
    </row>
    <row r="100" spans="1:24" x14ac:dyDescent="0.3">
      <c r="A100" s="38">
        <v>99</v>
      </c>
      <c r="B100" s="29" t="s">
        <v>23</v>
      </c>
      <c r="C100" s="29" t="s">
        <v>139</v>
      </c>
      <c r="D100" s="29">
        <v>51225032</v>
      </c>
      <c r="E100" s="29">
        <v>40</v>
      </c>
      <c r="F100" s="6">
        <v>75</v>
      </c>
      <c r="G100" s="29">
        <v>40</v>
      </c>
      <c r="H100" s="6" t="s">
        <v>196</v>
      </c>
      <c r="I100" s="29" t="s">
        <v>109</v>
      </c>
      <c r="J100" s="29" t="s">
        <v>130</v>
      </c>
      <c r="K100" s="29" t="s">
        <v>109</v>
      </c>
      <c r="L100" s="30">
        <v>0.68402777777777779</v>
      </c>
      <c r="M100" s="29" t="s">
        <v>109</v>
      </c>
      <c r="N100" s="29" t="s">
        <v>109</v>
      </c>
      <c r="O100" s="29" t="s">
        <v>61</v>
      </c>
      <c r="P100" s="29" t="s">
        <v>131</v>
      </c>
      <c r="Q100" s="29" t="s">
        <v>196</v>
      </c>
      <c r="R100" s="29" t="s">
        <v>62</v>
      </c>
      <c r="S100" s="29" t="s">
        <v>109</v>
      </c>
      <c r="T100" s="29" t="s">
        <v>142</v>
      </c>
      <c r="U100" s="29" t="b">
        <f t="shared" si="3"/>
        <v>1</v>
      </c>
      <c r="V100" s="29" t="s">
        <v>109</v>
      </c>
      <c r="W100" s="29" t="s">
        <v>109</v>
      </c>
      <c r="X100" s="29" t="s">
        <v>109</v>
      </c>
    </row>
    <row r="101" spans="1:24" x14ac:dyDescent="0.3">
      <c r="A101" s="38">
        <v>100</v>
      </c>
      <c r="B101" s="29" t="s">
        <v>23</v>
      </c>
      <c r="C101" s="29" t="s">
        <v>479</v>
      </c>
      <c r="D101" s="29">
        <v>50126013</v>
      </c>
      <c r="E101" s="29">
        <v>50</v>
      </c>
      <c r="F101" s="6">
        <v>111</v>
      </c>
      <c r="G101" s="29">
        <v>38</v>
      </c>
      <c r="H101" s="62" t="s">
        <v>86</v>
      </c>
      <c r="I101" s="29" t="s">
        <v>744</v>
      </c>
      <c r="J101" s="29" t="s">
        <v>130</v>
      </c>
      <c r="K101" s="30">
        <v>0.75902777777777775</v>
      </c>
      <c r="L101" s="30">
        <v>0.82152777777777775</v>
      </c>
      <c r="M101" s="29" t="s">
        <v>109</v>
      </c>
      <c r="N101" s="29" t="s">
        <v>109</v>
      </c>
      <c r="O101" s="29" t="s">
        <v>61</v>
      </c>
      <c r="P101" s="29" t="s">
        <v>131</v>
      </c>
      <c r="Q101" s="29" t="s">
        <v>744</v>
      </c>
      <c r="R101" s="29" t="s">
        <v>62</v>
      </c>
      <c r="S101" s="29" t="s">
        <v>109</v>
      </c>
      <c r="T101" s="29" t="s">
        <v>480</v>
      </c>
      <c r="U101" s="29" t="b">
        <f t="shared" si="3"/>
        <v>0</v>
      </c>
      <c r="V101" s="29" t="s">
        <v>109</v>
      </c>
      <c r="W101" s="29" t="s">
        <v>109</v>
      </c>
      <c r="X101" s="29" t="s">
        <v>109</v>
      </c>
    </row>
    <row r="102" spans="1:24" s="66" customFormat="1" x14ac:dyDescent="0.3">
      <c r="A102" s="64">
        <v>101</v>
      </c>
      <c r="B102" s="64" t="s">
        <v>23</v>
      </c>
      <c r="C102" s="64" t="s">
        <v>483</v>
      </c>
      <c r="D102" s="64">
        <v>50126011</v>
      </c>
      <c r="E102" s="64">
        <v>50</v>
      </c>
      <c r="F102" s="65" t="s">
        <v>109</v>
      </c>
      <c r="G102" s="64" t="s">
        <v>109</v>
      </c>
      <c r="H102" s="59" t="s">
        <v>89</v>
      </c>
      <c r="I102" s="64" t="s">
        <v>787</v>
      </c>
      <c r="J102" s="64" t="s">
        <v>85</v>
      </c>
      <c r="K102" s="64" t="s">
        <v>109</v>
      </c>
      <c r="L102" s="64" t="s">
        <v>109</v>
      </c>
      <c r="M102" s="64" t="s">
        <v>109</v>
      </c>
      <c r="N102" s="64" t="s">
        <v>109</v>
      </c>
      <c r="O102" s="64" t="s">
        <v>61</v>
      </c>
      <c r="P102" s="64" t="s">
        <v>109</v>
      </c>
      <c r="Q102" s="64" t="s">
        <v>109</v>
      </c>
      <c r="R102" s="64" t="s">
        <v>62</v>
      </c>
      <c r="S102" s="64" t="s">
        <v>109</v>
      </c>
      <c r="T102" s="64" t="s">
        <v>480</v>
      </c>
      <c r="U102" s="64" t="b">
        <f t="shared" si="3"/>
        <v>1</v>
      </c>
      <c r="V102" s="64" t="s">
        <v>109</v>
      </c>
      <c r="W102" s="64" t="s">
        <v>109</v>
      </c>
      <c r="X102" s="64" t="s">
        <v>109</v>
      </c>
    </row>
    <row r="103" spans="1:24" x14ac:dyDescent="0.3">
      <c r="A103" s="38">
        <v>102</v>
      </c>
      <c r="B103" s="29" t="s">
        <v>23</v>
      </c>
      <c r="C103" s="29" t="s">
        <v>1066</v>
      </c>
      <c r="D103" s="29">
        <v>50126302</v>
      </c>
      <c r="E103" s="29">
        <v>30</v>
      </c>
      <c r="F103" s="6">
        <v>30</v>
      </c>
      <c r="G103" s="29">
        <v>10</v>
      </c>
      <c r="H103" s="59" t="s">
        <v>67</v>
      </c>
      <c r="I103" s="29" t="s">
        <v>109</v>
      </c>
      <c r="J103" s="29" t="s">
        <v>130</v>
      </c>
      <c r="K103" s="29" t="s">
        <v>109</v>
      </c>
      <c r="L103" s="30">
        <v>0.80347222222222225</v>
      </c>
      <c r="M103" s="29" t="s">
        <v>109</v>
      </c>
      <c r="N103" s="29" t="s">
        <v>109</v>
      </c>
      <c r="O103" s="29" t="s">
        <v>61</v>
      </c>
      <c r="P103" s="29" t="s">
        <v>131</v>
      </c>
      <c r="Q103" s="29" t="s">
        <v>67</v>
      </c>
      <c r="R103" s="29" t="s">
        <v>62</v>
      </c>
      <c r="S103" s="29" t="s">
        <v>109</v>
      </c>
      <c r="T103" s="29" t="s">
        <v>1067</v>
      </c>
      <c r="U103" s="29" t="b">
        <f t="shared" si="3"/>
        <v>0</v>
      </c>
      <c r="V103" s="29" t="s">
        <v>109</v>
      </c>
      <c r="W103" s="29" t="s">
        <v>109</v>
      </c>
      <c r="X103" s="29" t="s">
        <v>109</v>
      </c>
    </row>
    <row r="104" spans="1:24" x14ac:dyDescent="0.3">
      <c r="A104" s="38">
        <v>103</v>
      </c>
      <c r="B104" s="29" t="s">
        <v>23</v>
      </c>
      <c r="C104" s="29" t="s">
        <v>1068</v>
      </c>
      <c r="D104" s="29">
        <v>50126303</v>
      </c>
      <c r="E104" s="29">
        <v>20</v>
      </c>
      <c r="F104" s="6">
        <v>8</v>
      </c>
      <c r="G104" s="29">
        <v>2</v>
      </c>
      <c r="H104" s="59" t="s">
        <v>70</v>
      </c>
      <c r="I104" s="29" t="s">
        <v>109</v>
      </c>
      <c r="J104" s="29" t="s">
        <v>130</v>
      </c>
      <c r="K104" s="29" t="s">
        <v>109</v>
      </c>
      <c r="L104" s="30">
        <v>0.95833333333333337</v>
      </c>
      <c r="M104" s="29" t="s">
        <v>109</v>
      </c>
      <c r="N104" s="29" t="s">
        <v>109</v>
      </c>
      <c r="O104" s="29" t="s">
        <v>61</v>
      </c>
      <c r="P104" s="29" t="s">
        <v>131</v>
      </c>
      <c r="Q104" s="29" t="s">
        <v>70</v>
      </c>
      <c r="R104" s="29" t="s">
        <v>62</v>
      </c>
      <c r="S104" s="29" t="s">
        <v>109</v>
      </c>
      <c r="T104" s="29" t="s">
        <v>1067</v>
      </c>
      <c r="U104" s="29" t="b">
        <f t="shared" si="3"/>
        <v>0</v>
      </c>
      <c r="V104" s="29" t="s">
        <v>109</v>
      </c>
      <c r="W104" s="29" t="s">
        <v>109</v>
      </c>
      <c r="X104" s="29" t="s">
        <v>109</v>
      </c>
    </row>
    <row r="105" spans="1:24" x14ac:dyDescent="0.3">
      <c r="A105" s="38">
        <v>104</v>
      </c>
      <c r="B105" s="29" t="s">
        <v>23</v>
      </c>
      <c r="C105" s="29" t="s">
        <v>377</v>
      </c>
      <c r="D105" s="29">
        <v>50425243</v>
      </c>
      <c r="E105" s="29">
        <v>65</v>
      </c>
      <c r="F105" s="6">
        <v>43</v>
      </c>
      <c r="G105" s="29">
        <v>35</v>
      </c>
      <c r="H105" s="59" t="s">
        <v>154</v>
      </c>
      <c r="I105" s="29" t="s">
        <v>109</v>
      </c>
      <c r="J105" s="29" t="s">
        <v>130</v>
      </c>
      <c r="K105" s="29" t="s">
        <v>109</v>
      </c>
      <c r="L105" s="30">
        <v>0.92986111111111114</v>
      </c>
      <c r="M105" s="29" t="s">
        <v>109</v>
      </c>
      <c r="N105" s="29" t="s">
        <v>378</v>
      </c>
      <c r="O105" s="29" t="s">
        <v>61</v>
      </c>
      <c r="P105" s="29" t="s">
        <v>131</v>
      </c>
      <c r="Q105" s="29" t="s">
        <v>154</v>
      </c>
      <c r="R105" s="29" t="s">
        <v>62</v>
      </c>
      <c r="S105" s="29" t="s">
        <v>109</v>
      </c>
      <c r="T105" s="29" t="s">
        <v>379</v>
      </c>
      <c r="U105" s="29" t="b">
        <f t="shared" si="3"/>
        <v>0</v>
      </c>
      <c r="V105" s="29" t="s">
        <v>109</v>
      </c>
      <c r="W105" s="29" t="s">
        <v>109</v>
      </c>
      <c r="X105" s="29" t="s">
        <v>109</v>
      </c>
    </row>
    <row r="106" spans="1:24" x14ac:dyDescent="0.3">
      <c r="A106" s="38">
        <v>105</v>
      </c>
      <c r="B106" s="29" t="s">
        <v>23</v>
      </c>
      <c r="C106" s="29" t="s">
        <v>380</v>
      </c>
      <c r="D106" s="29">
        <v>50425241</v>
      </c>
      <c r="E106" s="29">
        <v>125</v>
      </c>
      <c r="F106" s="6">
        <v>127</v>
      </c>
      <c r="G106" s="29">
        <v>30</v>
      </c>
      <c r="H106" s="29" t="s">
        <v>1057</v>
      </c>
      <c r="I106" s="29" t="s">
        <v>109</v>
      </c>
      <c r="J106" s="29" t="s">
        <v>130</v>
      </c>
      <c r="K106" s="29" t="s">
        <v>109</v>
      </c>
      <c r="L106" s="30">
        <v>0.88124999999999998</v>
      </c>
      <c r="M106" s="29" t="s">
        <v>109</v>
      </c>
      <c r="N106" s="29" t="s">
        <v>1069</v>
      </c>
      <c r="O106" s="29" t="s">
        <v>61</v>
      </c>
      <c r="P106" s="29" t="s">
        <v>131</v>
      </c>
      <c r="Q106" s="29" t="s">
        <v>196</v>
      </c>
      <c r="R106" s="29" t="s">
        <v>62</v>
      </c>
      <c r="S106" s="29" t="s">
        <v>109</v>
      </c>
      <c r="T106" s="29" t="s">
        <v>379</v>
      </c>
      <c r="U106" s="29" t="b">
        <f t="shared" si="3"/>
        <v>0</v>
      </c>
      <c r="V106" s="29" t="s">
        <v>109</v>
      </c>
      <c r="W106" s="29" t="s">
        <v>109</v>
      </c>
      <c r="X106" s="29" t="s">
        <v>109</v>
      </c>
    </row>
    <row r="107" spans="1:24" x14ac:dyDescent="0.3">
      <c r="A107" s="38">
        <v>106</v>
      </c>
      <c r="B107" s="29" t="s">
        <v>23</v>
      </c>
      <c r="C107" s="29" t="s">
        <v>57</v>
      </c>
      <c r="D107" s="29">
        <v>51225119</v>
      </c>
      <c r="E107" s="29">
        <v>170</v>
      </c>
      <c r="F107" s="6">
        <v>74</v>
      </c>
      <c r="G107" s="29">
        <v>6</v>
      </c>
      <c r="H107" s="29" t="s">
        <v>73</v>
      </c>
      <c r="I107" s="29" t="s">
        <v>109</v>
      </c>
      <c r="J107" s="29" t="s">
        <v>130</v>
      </c>
      <c r="K107" s="63">
        <v>3.0555555555555555E-2</v>
      </c>
      <c r="L107" s="29" t="s">
        <v>109</v>
      </c>
      <c r="M107" s="29" t="s">
        <v>109</v>
      </c>
      <c r="N107" s="29" t="s">
        <v>109</v>
      </c>
      <c r="O107" s="29" t="s">
        <v>61</v>
      </c>
      <c r="P107" s="29" t="s">
        <v>131</v>
      </c>
      <c r="Q107" s="29" t="s">
        <v>364</v>
      </c>
      <c r="R107" s="29" t="s">
        <v>62</v>
      </c>
      <c r="S107" s="29" t="s">
        <v>109</v>
      </c>
      <c r="T107" s="29" t="s">
        <v>122</v>
      </c>
      <c r="U107" s="29" t="b">
        <f t="shared" si="3"/>
        <v>0</v>
      </c>
      <c r="V107" s="29" t="s">
        <v>109</v>
      </c>
      <c r="W107" s="29" t="s">
        <v>109</v>
      </c>
      <c r="X107" s="29" t="s">
        <v>109</v>
      </c>
    </row>
    <row r="108" spans="1:24" x14ac:dyDescent="0.3">
      <c r="A108" s="38">
        <v>107</v>
      </c>
      <c r="B108" s="29" t="s">
        <v>23</v>
      </c>
      <c r="C108" s="29" t="s">
        <v>55</v>
      </c>
      <c r="D108" s="29">
        <v>51225120</v>
      </c>
      <c r="E108" s="29">
        <v>175</v>
      </c>
      <c r="F108" s="6">
        <v>68</v>
      </c>
      <c r="G108" s="29">
        <v>26</v>
      </c>
      <c r="H108" s="29" t="s">
        <v>386</v>
      </c>
      <c r="I108" s="29" t="s">
        <v>109</v>
      </c>
      <c r="J108" s="29" t="s">
        <v>130</v>
      </c>
      <c r="K108" s="29" t="s">
        <v>109</v>
      </c>
      <c r="L108" s="30">
        <v>0.99930555555555556</v>
      </c>
      <c r="M108" s="29" t="s">
        <v>109</v>
      </c>
      <c r="N108" s="29" t="s">
        <v>109</v>
      </c>
      <c r="O108" s="29" t="s">
        <v>61</v>
      </c>
      <c r="P108" s="29" t="s">
        <v>131</v>
      </c>
      <c r="Q108" s="29" t="s">
        <v>72</v>
      </c>
      <c r="R108" s="29" t="s">
        <v>62</v>
      </c>
      <c r="S108" s="29" t="s">
        <v>109</v>
      </c>
      <c r="T108" s="29" t="s">
        <v>122</v>
      </c>
      <c r="U108" s="29" t="b">
        <f t="shared" si="3"/>
        <v>0</v>
      </c>
      <c r="V108" s="29" t="s">
        <v>109</v>
      </c>
      <c r="W108" s="29" t="s">
        <v>109</v>
      </c>
      <c r="X108" s="29" t="s">
        <v>109</v>
      </c>
    </row>
    <row r="109" spans="1:24" x14ac:dyDescent="0.3">
      <c r="A109" s="38">
        <v>108</v>
      </c>
      <c r="B109" s="29" t="s">
        <v>23</v>
      </c>
      <c r="C109" s="29" t="s">
        <v>338</v>
      </c>
      <c r="D109" s="29">
        <v>50126001</v>
      </c>
      <c r="E109" s="29">
        <v>240</v>
      </c>
      <c r="F109" s="6">
        <v>55</v>
      </c>
      <c r="G109" s="29">
        <v>28</v>
      </c>
      <c r="H109" s="29" t="s">
        <v>1070</v>
      </c>
      <c r="I109" s="29" t="s">
        <v>109</v>
      </c>
      <c r="J109" s="29" t="s">
        <v>130</v>
      </c>
      <c r="K109" s="29" t="s">
        <v>109</v>
      </c>
      <c r="L109" s="30">
        <v>0.87916666666666676</v>
      </c>
      <c r="M109" s="29" t="s">
        <v>109</v>
      </c>
      <c r="N109" s="29" t="s">
        <v>109</v>
      </c>
      <c r="O109" s="29" t="s">
        <v>61</v>
      </c>
      <c r="P109" s="29" t="s">
        <v>131</v>
      </c>
      <c r="Q109" s="29" t="s">
        <v>89</v>
      </c>
      <c r="R109" s="29" t="s">
        <v>62</v>
      </c>
      <c r="S109" s="29" t="s">
        <v>109</v>
      </c>
      <c r="T109" s="29" t="s">
        <v>341</v>
      </c>
      <c r="U109" s="29" t="b">
        <f t="shared" si="3"/>
        <v>0</v>
      </c>
      <c r="V109" s="29" t="s">
        <v>109</v>
      </c>
      <c r="W109" s="29" t="s">
        <v>109</v>
      </c>
      <c r="X109" s="29" t="s">
        <v>109</v>
      </c>
    </row>
    <row r="110" spans="1:24" x14ac:dyDescent="0.3">
      <c r="A110" s="38">
        <v>109</v>
      </c>
      <c r="B110" s="29" t="s">
        <v>23</v>
      </c>
      <c r="C110" s="29" t="s">
        <v>342</v>
      </c>
      <c r="D110" s="29">
        <v>50126002</v>
      </c>
      <c r="E110" s="29">
        <v>150</v>
      </c>
      <c r="F110" s="6" t="s">
        <v>109</v>
      </c>
      <c r="G110" s="29" t="s">
        <v>109</v>
      </c>
      <c r="H110" s="29" t="s">
        <v>89</v>
      </c>
      <c r="I110" s="29" t="s">
        <v>109</v>
      </c>
      <c r="J110" s="29" t="s">
        <v>85</v>
      </c>
      <c r="K110" s="29" t="s">
        <v>109</v>
      </c>
      <c r="L110" s="29" t="s">
        <v>109</v>
      </c>
      <c r="M110" s="29" t="s">
        <v>109</v>
      </c>
      <c r="N110" s="29" t="s">
        <v>109</v>
      </c>
      <c r="O110" s="29" t="s">
        <v>61</v>
      </c>
      <c r="P110" s="29" t="s">
        <v>109</v>
      </c>
      <c r="Q110" s="29" t="s">
        <v>109</v>
      </c>
      <c r="R110" s="29" t="s">
        <v>62</v>
      </c>
      <c r="S110" s="29" t="s">
        <v>109</v>
      </c>
      <c r="T110" s="29" t="s">
        <v>341</v>
      </c>
      <c r="U110" s="29" t="b">
        <f t="shared" si="3"/>
        <v>1</v>
      </c>
      <c r="V110" s="29" t="s">
        <v>109</v>
      </c>
      <c r="W110" s="29" t="s">
        <v>109</v>
      </c>
      <c r="X110" s="29" t="s">
        <v>109</v>
      </c>
    </row>
    <row r="111" spans="1:24" x14ac:dyDescent="0.3">
      <c r="A111" s="38">
        <v>110</v>
      </c>
      <c r="B111" s="29" t="s">
        <v>23</v>
      </c>
      <c r="C111" s="29" t="s">
        <v>990</v>
      </c>
      <c r="D111" s="29">
        <v>50126268</v>
      </c>
      <c r="E111" s="29">
        <v>200</v>
      </c>
      <c r="F111" s="6">
        <v>241</v>
      </c>
      <c r="G111" s="29">
        <v>112</v>
      </c>
      <c r="H111" s="29" t="s">
        <v>1051</v>
      </c>
      <c r="I111" s="29" t="s">
        <v>109</v>
      </c>
      <c r="J111" s="29" t="s">
        <v>130</v>
      </c>
      <c r="K111" s="29" t="s">
        <v>109</v>
      </c>
      <c r="L111" s="30">
        <v>0.79513888888888884</v>
      </c>
      <c r="M111" s="29" t="s">
        <v>109</v>
      </c>
      <c r="N111" s="29" t="s">
        <v>109</v>
      </c>
      <c r="O111" s="29" t="s">
        <v>61</v>
      </c>
      <c r="P111" s="29" t="s">
        <v>131</v>
      </c>
      <c r="Q111" s="29" t="s">
        <v>69</v>
      </c>
      <c r="R111" s="29" t="s">
        <v>62</v>
      </c>
      <c r="S111" s="29" t="s">
        <v>109</v>
      </c>
      <c r="T111" s="29" t="s">
        <v>402</v>
      </c>
      <c r="U111" s="29" t="b">
        <f t="shared" si="3"/>
        <v>0</v>
      </c>
      <c r="V111" s="29" t="s">
        <v>109</v>
      </c>
      <c r="W111" s="29" t="s">
        <v>109</v>
      </c>
      <c r="X111" s="29" t="s">
        <v>109</v>
      </c>
    </row>
    <row r="112" spans="1:24" x14ac:dyDescent="0.3">
      <c r="A112" s="38">
        <v>111</v>
      </c>
      <c r="B112" s="29" t="s">
        <v>23</v>
      </c>
      <c r="C112" s="29" t="s">
        <v>992</v>
      </c>
      <c r="D112" s="29">
        <v>50126269</v>
      </c>
      <c r="E112" s="29">
        <v>200</v>
      </c>
      <c r="F112" s="6">
        <v>111</v>
      </c>
      <c r="G112" s="29">
        <v>47</v>
      </c>
      <c r="H112" s="29" t="s">
        <v>1052</v>
      </c>
      <c r="I112" s="29" t="s">
        <v>109</v>
      </c>
      <c r="J112" s="29" t="s">
        <v>130</v>
      </c>
      <c r="K112" s="29" t="s">
        <v>109</v>
      </c>
      <c r="L112" s="30">
        <v>1.3194444444444444E-2</v>
      </c>
      <c r="M112" s="29" t="s">
        <v>109</v>
      </c>
      <c r="N112" s="29" t="s">
        <v>109</v>
      </c>
      <c r="O112" s="29" t="s">
        <v>61</v>
      </c>
      <c r="P112" s="29" t="s">
        <v>131</v>
      </c>
      <c r="Q112" s="29" t="s">
        <v>84</v>
      </c>
      <c r="R112" s="29" t="s">
        <v>62</v>
      </c>
      <c r="S112" s="29" t="s">
        <v>109</v>
      </c>
      <c r="T112" s="29" t="s">
        <v>402</v>
      </c>
      <c r="U112" s="29" t="b">
        <f t="shared" si="3"/>
        <v>0</v>
      </c>
      <c r="V112" s="29" t="s">
        <v>109</v>
      </c>
      <c r="W112" s="29" t="s">
        <v>109</v>
      </c>
      <c r="X112" s="29" t="s">
        <v>109</v>
      </c>
    </row>
    <row r="113" spans="1:24" x14ac:dyDescent="0.3">
      <c r="A113" s="38">
        <v>112</v>
      </c>
      <c r="B113" s="29" t="s">
        <v>170</v>
      </c>
      <c r="C113" s="29" t="s">
        <v>862</v>
      </c>
      <c r="D113" s="29">
        <v>41225012</v>
      </c>
      <c r="E113" s="29">
        <v>110</v>
      </c>
      <c r="F113" s="6">
        <v>68</v>
      </c>
      <c r="G113" s="29">
        <v>32</v>
      </c>
      <c r="H113" s="29" t="s">
        <v>1052</v>
      </c>
      <c r="I113" s="29" t="s">
        <v>103</v>
      </c>
      <c r="J113" s="29" t="s">
        <v>130</v>
      </c>
      <c r="K113" s="30">
        <v>0.73263888888888884</v>
      </c>
      <c r="L113" s="30">
        <v>0.92569444444444438</v>
      </c>
      <c r="M113" s="29" t="s">
        <v>109</v>
      </c>
      <c r="N113" s="29" t="s">
        <v>109</v>
      </c>
      <c r="O113" s="29" t="s">
        <v>61</v>
      </c>
      <c r="P113" s="29" t="s">
        <v>131</v>
      </c>
      <c r="Q113" s="29" t="s">
        <v>94</v>
      </c>
      <c r="R113" s="29" t="s">
        <v>62</v>
      </c>
      <c r="S113" s="29" t="s">
        <v>109</v>
      </c>
      <c r="T113" s="29" t="s">
        <v>859</v>
      </c>
      <c r="U113" s="29" t="b">
        <f t="shared" si="3"/>
        <v>0</v>
      </c>
      <c r="V113" s="29" t="s">
        <v>109</v>
      </c>
      <c r="W113" s="29" t="s">
        <v>109</v>
      </c>
      <c r="X113" s="29" t="s">
        <v>109</v>
      </c>
    </row>
    <row r="114" spans="1:24" x14ac:dyDescent="0.3">
      <c r="A114" s="38">
        <v>113</v>
      </c>
      <c r="B114" s="29" t="s">
        <v>135</v>
      </c>
      <c r="C114" s="29" t="s">
        <v>178</v>
      </c>
      <c r="D114" s="29">
        <v>21025009</v>
      </c>
      <c r="E114" s="29">
        <v>110</v>
      </c>
      <c r="F114" s="6">
        <v>273</v>
      </c>
      <c r="G114" s="29">
        <v>105</v>
      </c>
      <c r="H114" s="29" t="s">
        <v>73</v>
      </c>
      <c r="I114" s="29" t="s">
        <v>1071</v>
      </c>
      <c r="J114" s="29" t="s">
        <v>130</v>
      </c>
      <c r="K114" s="30">
        <v>1.1111111111111112E-2</v>
      </c>
      <c r="L114" s="30">
        <v>2.4305555555555556E-2</v>
      </c>
      <c r="M114" s="29" t="s">
        <v>109</v>
      </c>
      <c r="N114" s="29" t="s">
        <v>109</v>
      </c>
      <c r="O114" s="29" t="s">
        <v>61</v>
      </c>
      <c r="P114" s="29" t="s">
        <v>131</v>
      </c>
      <c r="Q114" s="29" t="s">
        <v>95</v>
      </c>
      <c r="R114" s="29" t="s">
        <v>62</v>
      </c>
      <c r="S114" s="29" t="s">
        <v>109</v>
      </c>
      <c r="T114" s="29" t="s">
        <v>180</v>
      </c>
      <c r="U114" s="29" t="b">
        <f t="shared" si="3"/>
        <v>0</v>
      </c>
      <c r="V114" s="29" t="s">
        <v>109</v>
      </c>
      <c r="W114" s="29" t="s">
        <v>109</v>
      </c>
      <c r="X114" s="29" t="s">
        <v>109</v>
      </c>
    </row>
    <row r="115" spans="1:24" x14ac:dyDescent="0.3">
      <c r="A115" s="38">
        <v>114</v>
      </c>
      <c r="B115" s="29" t="s">
        <v>414</v>
      </c>
      <c r="C115" s="29" t="s">
        <v>419</v>
      </c>
      <c r="D115" s="29">
        <v>40126012</v>
      </c>
      <c r="E115" s="29">
        <v>250</v>
      </c>
      <c r="F115" s="6">
        <v>756</v>
      </c>
      <c r="G115" s="29">
        <v>259</v>
      </c>
      <c r="H115" s="29" t="s">
        <v>1083</v>
      </c>
      <c r="I115" s="29" t="s">
        <v>1072</v>
      </c>
      <c r="J115" s="29" t="s">
        <v>130</v>
      </c>
      <c r="K115" s="30">
        <v>0.95138888888888884</v>
      </c>
      <c r="L115" s="30">
        <v>0.97013888888888899</v>
      </c>
      <c r="M115" s="29" t="s">
        <v>109</v>
      </c>
      <c r="N115" s="29" t="s">
        <v>1073</v>
      </c>
      <c r="O115" s="29" t="s">
        <v>61</v>
      </c>
      <c r="P115" s="29" t="s">
        <v>131</v>
      </c>
      <c r="Q115" s="29" t="s">
        <v>510</v>
      </c>
      <c r="R115" s="29" t="s">
        <v>62</v>
      </c>
      <c r="S115" s="29" t="s">
        <v>109</v>
      </c>
      <c r="T115" s="29" t="s">
        <v>416</v>
      </c>
      <c r="U115" s="29" t="b">
        <f t="shared" si="3"/>
        <v>1</v>
      </c>
      <c r="V115" s="29" t="s">
        <v>109</v>
      </c>
      <c r="W115" s="29" t="s">
        <v>109</v>
      </c>
      <c r="X115" s="29" t="s">
        <v>109</v>
      </c>
    </row>
    <row r="116" spans="1:24" x14ac:dyDescent="0.3">
      <c r="A116" s="38">
        <v>115</v>
      </c>
      <c r="B116" s="29" t="s">
        <v>414</v>
      </c>
      <c r="C116" s="29" t="s">
        <v>421</v>
      </c>
      <c r="D116" s="29">
        <v>40126013</v>
      </c>
      <c r="E116" s="29">
        <v>600</v>
      </c>
      <c r="F116" s="6">
        <f>993+436</f>
        <v>1429</v>
      </c>
      <c r="G116" s="29">
        <f>179+196</f>
        <v>375</v>
      </c>
      <c r="H116" s="29" t="s">
        <v>1074</v>
      </c>
      <c r="I116" s="29" t="s">
        <v>1075</v>
      </c>
      <c r="J116" s="29" t="s">
        <v>130</v>
      </c>
      <c r="K116" s="30">
        <v>0.84652777777777777</v>
      </c>
      <c r="L116" s="30">
        <v>0.88263888888888886</v>
      </c>
      <c r="M116" s="29" t="s">
        <v>109</v>
      </c>
      <c r="N116" s="29" t="s">
        <v>1073</v>
      </c>
      <c r="O116" s="29" t="s">
        <v>61</v>
      </c>
      <c r="P116" s="29" t="s">
        <v>131</v>
      </c>
      <c r="Q116" s="29" t="s">
        <v>744</v>
      </c>
      <c r="R116" s="29" t="s">
        <v>62</v>
      </c>
      <c r="S116" s="29" t="s">
        <v>109</v>
      </c>
      <c r="T116" s="29" t="s">
        <v>416</v>
      </c>
      <c r="U116" s="29" t="b">
        <f t="shared" si="3"/>
        <v>0</v>
      </c>
      <c r="V116" s="29" t="s">
        <v>109</v>
      </c>
      <c r="W116" s="29" t="s">
        <v>109</v>
      </c>
      <c r="X116" s="29" t="s">
        <v>109</v>
      </c>
    </row>
    <row r="117" spans="1:24" x14ac:dyDescent="0.3">
      <c r="A117" s="38">
        <v>116</v>
      </c>
      <c r="B117" s="29" t="s">
        <v>414</v>
      </c>
      <c r="C117" s="29" t="s">
        <v>422</v>
      </c>
      <c r="D117" s="29">
        <v>40126014</v>
      </c>
      <c r="E117" s="29">
        <v>500</v>
      </c>
      <c r="F117" s="6">
        <v>1239</v>
      </c>
      <c r="G117" s="29">
        <v>249</v>
      </c>
      <c r="H117" s="29" t="s">
        <v>1076</v>
      </c>
      <c r="I117" s="29" t="s">
        <v>1077</v>
      </c>
      <c r="J117" s="29" t="s">
        <v>130</v>
      </c>
      <c r="K117" s="30">
        <v>0.95000000000000007</v>
      </c>
      <c r="L117" s="30">
        <v>7.3611111111111113E-2</v>
      </c>
      <c r="M117" s="29" t="s">
        <v>109</v>
      </c>
      <c r="N117" s="29" t="s">
        <v>1073</v>
      </c>
      <c r="O117" s="29" t="s">
        <v>61</v>
      </c>
      <c r="P117" s="29" t="s">
        <v>131</v>
      </c>
      <c r="Q117" s="29" t="s">
        <v>95</v>
      </c>
      <c r="R117" s="29" t="s">
        <v>62</v>
      </c>
      <c r="S117" s="29" t="s">
        <v>109</v>
      </c>
      <c r="T117" s="29" t="s">
        <v>416</v>
      </c>
      <c r="U117" s="29" t="b">
        <f t="shared" si="3"/>
        <v>0</v>
      </c>
      <c r="V117" s="29" t="s">
        <v>109</v>
      </c>
      <c r="W117" s="29" t="s">
        <v>109</v>
      </c>
      <c r="X117" s="29" t="s">
        <v>109</v>
      </c>
    </row>
    <row r="118" spans="1:24" x14ac:dyDescent="0.3">
      <c r="A118" s="38">
        <v>117</v>
      </c>
      <c r="B118" s="29" t="s">
        <v>414</v>
      </c>
      <c r="C118" s="29" t="s">
        <v>417</v>
      </c>
      <c r="D118" s="29">
        <v>40126010</v>
      </c>
      <c r="E118" s="29">
        <v>550</v>
      </c>
      <c r="F118" s="6">
        <v>1356</v>
      </c>
      <c r="G118" s="29">
        <v>369</v>
      </c>
      <c r="H118" s="29" t="s">
        <v>1078</v>
      </c>
      <c r="I118" s="29" t="s">
        <v>1079</v>
      </c>
      <c r="J118" s="29" t="s">
        <v>130</v>
      </c>
      <c r="K118" s="30">
        <v>0.82708333333333339</v>
      </c>
      <c r="L118" s="30">
        <v>0.8520833333333333</v>
      </c>
      <c r="M118" s="29" t="s">
        <v>109</v>
      </c>
      <c r="N118" s="29" t="s">
        <v>1073</v>
      </c>
      <c r="O118" s="29" t="s">
        <v>61</v>
      </c>
      <c r="P118" s="29" t="s">
        <v>131</v>
      </c>
      <c r="Q118" s="29" t="s">
        <v>90</v>
      </c>
      <c r="R118" s="29" t="s">
        <v>62</v>
      </c>
      <c r="S118" s="29" t="s">
        <v>109</v>
      </c>
      <c r="T118" s="29" t="s">
        <v>416</v>
      </c>
      <c r="U118" s="29" t="b">
        <f t="shared" si="3"/>
        <v>0</v>
      </c>
      <c r="V118" s="29" t="s">
        <v>109</v>
      </c>
      <c r="W118" s="29" t="s">
        <v>109</v>
      </c>
      <c r="X118" s="29" t="s">
        <v>109</v>
      </c>
    </row>
    <row r="119" spans="1:24" x14ac:dyDescent="0.3">
      <c r="A119" s="38">
        <v>118</v>
      </c>
      <c r="B119" s="29" t="s">
        <v>135</v>
      </c>
      <c r="C119" s="29" t="s">
        <v>1080</v>
      </c>
      <c r="D119" s="29">
        <v>20126013</v>
      </c>
      <c r="E119" s="29">
        <v>50</v>
      </c>
      <c r="F119" s="6">
        <v>94</v>
      </c>
      <c r="G119" s="29">
        <v>32</v>
      </c>
      <c r="H119" s="6" t="s">
        <v>82</v>
      </c>
      <c r="I119" s="29" t="s">
        <v>95</v>
      </c>
      <c r="J119" s="29" t="s">
        <v>130</v>
      </c>
      <c r="K119" s="30">
        <v>0.99097222222222225</v>
      </c>
      <c r="L119" s="30">
        <v>4.0972222222222222E-2</v>
      </c>
      <c r="M119" s="29" t="s">
        <v>109</v>
      </c>
      <c r="N119" s="29" t="s">
        <v>109</v>
      </c>
      <c r="O119" s="29" t="s">
        <v>61</v>
      </c>
      <c r="P119" s="29" t="s">
        <v>131</v>
      </c>
      <c r="Q119" s="29" t="s">
        <v>95</v>
      </c>
      <c r="R119" s="29" t="s">
        <v>62</v>
      </c>
      <c r="S119" s="29" t="s">
        <v>109</v>
      </c>
      <c r="T119" s="29" t="s">
        <v>1081</v>
      </c>
      <c r="U119" s="29" t="b">
        <f t="shared" si="3"/>
        <v>0</v>
      </c>
      <c r="V119" s="29" t="s">
        <v>109</v>
      </c>
      <c r="W119" s="29" t="s">
        <v>109</v>
      </c>
      <c r="X119" s="29" t="s">
        <v>109</v>
      </c>
    </row>
    <row r="120" spans="1:24" x14ac:dyDescent="0.3">
      <c r="A120" s="38">
        <v>119</v>
      </c>
      <c r="B120" s="29" t="s">
        <v>24</v>
      </c>
      <c r="C120" s="29" t="s">
        <v>882</v>
      </c>
      <c r="D120" s="29">
        <v>61025015</v>
      </c>
      <c r="E120" s="29">
        <v>21</v>
      </c>
      <c r="F120" s="29">
        <v>18</v>
      </c>
      <c r="G120" s="29">
        <v>17</v>
      </c>
      <c r="H120" s="6" t="s">
        <v>274</v>
      </c>
      <c r="I120" s="29" t="s">
        <v>87</v>
      </c>
      <c r="J120" s="29" t="s">
        <v>130</v>
      </c>
      <c r="K120" s="30">
        <v>4.8611111111111112E-3</v>
      </c>
      <c r="L120" s="30">
        <v>1.1805555555555555E-2</v>
      </c>
      <c r="M120" s="29" t="s">
        <v>109</v>
      </c>
      <c r="N120" s="29" t="s">
        <v>109</v>
      </c>
      <c r="O120" s="29" t="s">
        <v>606</v>
      </c>
      <c r="P120" s="29" t="s">
        <v>131</v>
      </c>
      <c r="Q120" s="29" t="s">
        <v>87</v>
      </c>
      <c r="R120" s="29" t="s">
        <v>63</v>
      </c>
      <c r="S120" s="29" t="s">
        <v>109</v>
      </c>
      <c r="T120" s="29" t="s">
        <v>109</v>
      </c>
      <c r="U120" s="29" t="s">
        <v>109</v>
      </c>
      <c r="V120" s="29" t="s">
        <v>109</v>
      </c>
      <c r="W120" s="29" t="s">
        <v>109</v>
      </c>
      <c r="X120" s="29" t="s">
        <v>109</v>
      </c>
    </row>
    <row r="121" spans="1:24" x14ac:dyDescent="0.3">
      <c r="A121" s="38">
        <v>120</v>
      </c>
      <c r="B121" s="29" t="s">
        <v>24</v>
      </c>
      <c r="C121" s="29" t="s">
        <v>893</v>
      </c>
      <c r="D121" s="29">
        <v>60126004</v>
      </c>
      <c r="E121" s="29">
        <v>143</v>
      </c>
      <c r="F121" s="6">
        <v>106</v>
      </c>
      <c r="G121" s="29">
        <v>45</v>
      </c>
      <c r="H121" s="6" t="s">
        <v>186</v>
      </c>
      <c r="I121" s="29" t="s">
        <v>294</v>
      </c>
      <c r="J121" s="29" t="s">
        <v>130</v>
      </c>
      <c r="K121" s="30">
        <v>4.1666666666666666E-3</v>
      </c>
      <c r="L121" s="30">
        <v>1.7361111111111112E-2</v>
      </c>
      <c r="M121" s="29" t="s">
        <v>109</v>
      </c>
      <c r="N121" s="29" t="s">
        <v>109</v>
      </c>
      <c r="O121" s="29" t="s">
        <v>606</v>
      </c>
      <c r="P121" s="29" t="s">
        <v>131</v>
      </c>
      <c r="Q121" s="29" t="s">
        <v>88</v>
      </c>
      <c r="R121" s="29" t="s">
        <v>63</v>
      </c>
      <c r="S121" s="29" t="s">
        <v>109</v>
      </c>
      <c r="T121" s="29" t="s">
        <v>109</v>
      </c>
      <c r="U121" s="29" t="s">
        <v>109</v>
      </c>
      <c r="V121" s="29" t="s">
        <v>109</v>
      </c>
      <c r="W121" s="29" t="s">
        <v>109</v>
      </c>
      <c r="X121" s="29" t="s">
        <v>109</v>
      </c>
    </row>
  </sheetData>
  <conditionalFormatting sqref="D1">
    <cfRule type="duplicateValues" dxfId="104" priority="1"/>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8D28B-EBFA-40F0-B76E-5F3EC2E9B65A}">
  <sheetPr codeName="Sheet10"/>
  <dimension ref="A1:W96"/>
  <sheetViews>
    <sheetView topLeftCell="D1" workbookViewId="0">
      <pane ySplit="1" topLeftCell="A2" activePane="bottomLeft" state="frozen"/>
      <selection pane="bottomLeft" activeCell="J1" sqref="J1"/>
    </sheetView>
  </sheetViews>
  <sheetFormatPr defaultColWidth="10.33203125" defaultRowHeight="14.4" x14ac:dyDescent="0.3"/>
  <sheetData>
    <row r="1" spans="1:23"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c r="W1" s="5" t="s">
        <v>22</v>
      </c>
    </row>
    <row r="2" spans="1:23" x14ac:dyDescent="0.3">
      <c r="A2" s="7">
        <v>1</v>
      </c>
      <c r="B2" s="6" t="s">
        <v>25</v>
      </c>
      <c r="C2" s="6" t="s">
        <v>1085</v>
      </c>
      <c r="D2" s="6">
        <v>40126019</v>
      </c>
      <c r="E2" s="6">
        <v>289</v>
      </c>
      <c r="F2" s="7">
        <v>556</v>
      </c>
      <c r="G2" s="7">
        <v>267</v>
      </c>
      <c r="H2" s="33" t="s">
        <v>1086</v>
      </c>
      <c r="I2" s="7" t="s">
        <v>109</v>
      </c>
      <c r="J2" s="7" t="s">
        <v>130</v>
      </c>
      <c r="K2" s="11">
        <v>0.81874999999999998</v>
      </c>
      <c r="L2" s="7" t="s">
        <v>109</v>
      </c>
      <c r="M2" s="7" t="s">
        <v>109</v>
      </c>
      <c r="N2" s="6" t="s">
        <v>1006</v>
      </c>
      <c r="O2" s="6" t="s">
        <v>61</v>
      </c>
      <c r="P2" s="7" t="s">
        <v>131</v>
      </c>
      <c r="Q2" s="7" t="s">
        <v>90</v>
      </c>
      <c r="R2" s="7" t="s">
        <v>62</v>
      </c>
      <c r="S2" s="7" t="s">
        <v>123</v>
      </c>
      <c r="T2" s="7" t="s">
        <v>109</v>
      </c>
      <c r="U2" s="7" t="s">
        <v>109</v>
      </c>
      <c r="V2" s="7" t="s">
        <v>109</v>
      </c>
      <c r="W2" s="6" t="s">
        <v>762</v>
      </c>
    </row>
    <row r="3" spans="1:23" x14ac:dyDescent="0.3">
      <c r="A3" s="7">
        <v>2</v>
      </c>
      <c r="B3" s="6" t="s">
        <v>24</v>
      </c>
      <c r="C3" s="6" t="s">
        <v>1087</v>
      </c>
      <c r="D3" s="6">
        <v>60126009</v>
      </c>
      <c r="E3" s="6">
        <v>148</v>
      </c>
      <c r="F3" s="7">
        <v>148</v>
      </c>
      <c r="G3" s="7">
        <v>27</v>
      </c>
      <c r="H3" s="33" t="s">
        <v>1088</v>
      </c>
      <c r="I3" s="7" t="s">
        <v>109</v>
      </c>
      <c r="J3" s="7" t="s">
        <v>130</v>
      </c>
      <c r="K3" s="11">
        <v>0.74236111111111114</v>
      </c>
      <c r="L3" s="7" t="s">
        <v>109</v>
      </c>
      <c r="M3" s="7" t="s">
        <v>109</v>
      </c>
      <c r="N3" s="6" t="s">
        <v>110</v>
      </c>
      <c r="O3" s="6" t="s">
        <v>61</v>
      </c>
      <c r="P3" s="7" t="s">
        <v>131</v>
      </c>
      <c r="Q3" s="7" t="s">
        <v>153</v>
      </c>
      <c r="R3" s="7" t="s">
        <v>62</v>
      </c>
      <c r="S3" s="7" t="s">
        <v>123</v>
      </c>
      <c r="T3" s="7" t="s">
        <v>109</v>
      </c>
      <c r="U3" s="7" t="s">
        <v>109</v>
      </c>
      <c r="V3" s="7" t="s">
        <v>109</v>
      </c>
      <c r="W3" s="6" t="s">
        <v>1089</v>
      </c>
    </row>
    <row r="4" spans="1:23" x14ac:dyDescent="0.3">
      <c r="A4" s="7">
        <v>3</v>
      </c>
      <c r="B4" s="6" t="s">
        <v>24</v>
      </c>
      <c r="C4" s="6" t="s">
        <v>1090</v>
      </c>
      <c r="D4" s="6">
        <v>60126010</v>
      </c>
      <c r="E4" s="6">
        <v>198</v>
      </c>
      <c r="F4" s="7">
        <v>329</v>
      </c>
      <c r="G4" s="7">
        <v>135</v>
      </c>
      <c r="H4" s="33" t="s">
        <v>1091</v>
      </c>
      <c r="I4" s="7" t="s">
        <v>1092</v>
      </c>
      <c r="J4" s="7" t="s">
        <v>130</v>
      </c>
      <c r="K4" s="11">
        <v>0.7993055555555556</v>
      </c>
      <c r="L4" s="11">
        <v>0.90277777777777779</v>
      </c>
      <c r="M4" s="7" t="s">
        <v>109</v>
      </c>
      <c r="N4" s="6" t="s">
        <v>110</v>
      </c>
      <c r="O4" s="6" t="s">
        <v>61</v>
      </c>
      <c r="P4" s="7" t="s">
        <v>131</v>
      </c>
      <c r="Q4" s="7" t="s">
        <v>87</v>
      </c>
      <c r="R4" s="7" t="s">
        <v>63</v>
      </c>
      <c r="S4" s="7" t="s">
        <v>123</v>
      </c>
      <c r="T4" s="7" t="s">
        <v>109</v>
      </c>
      <c r="U4" s="7" t="s">
        <v>109</v>
      </c>
      <c r="V4" s="7" t="s">
        <v>109</v>
      </c>
      <c r="W4" s="6" t="s">
        <v>1089</v>
      </c>
    </row>
    <row r="5" spans="1:23" x14ac:dyDescent="0.3">
      <c r="A5" s="7">
        <v>4</v>
      </c>
      <c r="B5" s="6" t="s">
        <v>24</v>
      </c>
      <c r="C5" s="6" t="s">
        <v>579</v>
      </c>
      <c r="D5" s="6">
        <v>61125010</v>
      </c>
      <c r="E5" s="6">
        <v>149</v>
      </c>
      <c r="F5" s="7">
        <v>300</v>
      </c>
      <c r="G5" s="7">
        <v>67</v>
      </c>
      <c r="H5" s="33" t="s">
        <v>420</v>
      </c>
      <c r="I5" s="33" t="s">
        <v>1093</v>
      </c>
      <c r="J5" s="7" t="s">
        <v>130</v>
      </c>
      <c r="K5" s="11">
        <v>0.65416666666666667</v>
      </c>
      <c r="L5" s="46">
        <v>0.82986111111111116</v>
      </c>
      <c r="M5" s="7" t="s">
        <v>109</v>
      </c>
      <c r="N5" s="6" t="s">
        <v>1006</v>
      </c>
      <c r="O5" s="6" t="s">
        <v>61</v>
      </c>
      <c r="P5" s="7" t="s">
        <v>131</v>
      </c>
      <c r="Q5" s="7" t="s">
        <v>90</v>
      </c>
      <c r="R5" s="7" t="s">
        <v>63</v>
      </c>
      <c r="S5" s="7" t="s">
        <v>123</v>
      </c>
      <c r="T5" s="7" t="s">
        <v>109</v>
      </c>
      <c r="U5" s="7" t="s">
        <v>109</v>
      </c>
      <c r="V5" s="7" t="s">
        <v>109</v>
      </c>
      <c r="W5" s="6" t="s">
        <v>351</v>
      </c>
    </row>
    <row r="6" spans="1:23" x14ac:dyDescent="0.3">
      <c r="A6" s="7">
        <v>5</v>
      </c>
      <c r="B6" s="6" t="s">
        <v>23</v>
      </c>
      <c r="C6" s="6" t="s">
        <v>852</v>
      </c>
      <c r="D6" s="6">
        <v>50126207</v>
      </c>
      <c r="E6" s="6">
        <v>100</v>
      </c>
      <c r="F6" s="7">
        <v>157</v>
      </c>
      <c r="G6" s="7">
        <v>96</v>
      </c>
      <c r="H6" s="7" t="s">
        <v>95</v>
      </c>
      <c r="I6" s="7" t="s">
        <v>109</v>
      </c>
      <c r="J6" s="7" t="s">
        <v>130</v>
      </c>
      <c r="K6" s="11">
        <v>0.86041666666666672</v>
      </c>
      <c r="L6" s="7" t="s">
        <v>109</v>
      </c>
      <c r="M6" s="7" t="s">
        <v>109</v>
      </c>
      <c r="N6" s="6" t="s">
        <v>109</v>
      </c>
      <c r="O6" s="6" t="s">
        <v>61</v>
      </c>
      <c r="P6" s="7" t="s">
        <v>131</v>
      </c>
      <c r="Q6" s="7" t="s">
        <v>95</v>
      </c>
      <c r="R6" s="7" t="s">
        <v>62</v>
      </c>
      <c r="S6" s="7" t="s">
        <v>123</v>
      </c>
      <c r="T6" s="7" t="s">
        <v>109</v>
      </c>
      <c r="U6" s="7" t="s">
        <v>109</v>
      </c>
      <c r="V6" s="7" t="s">
        <v>109</v>
      </c>
      <c r="W6" s="6" t="s">
        <v>853</v>
      </c>
    </row>
    <row r="7" spans="1:23" x14ac:dyDescent="0.3">
      <c r="A7" s="7">
        <v>6</v>
      </c>
      <c r="B7" s="6" t="s">
        <v>23</v>
      </c>
      <c r="C7" s="6" t="s">
        <v>53</v>
      </c>
      <c r="D7" s="6">
        <v>51125142</v>
      </c>
      <c r="E7" s="6">
        <v>200</v>
      </c>
      <c r="F7" s="7">
        <v>366</v>
      </c>
      <c r="G7" s="7">
        <v>142</v>
      </c>
      <c r="H7" s="33" t="s">
        <v>1094</v>
      </c>
      <c r="I7" s="7" t="s">
        <v>109</v>
      </c>
      <c r="J7" s="7" t="s">
        <v>130</v>
      </c>
      <c r="K7" s="11">
        <v>0.77708333333333335</v>
      </c>
      <c r="L7" s="7" t="s">
        <v>109</v>
      </c>
      <c r="M7" s="7" t="s">
        <v>109</v>
      </c>
      <c r="N7" s="6" t="s">
        <v>110</v>
      </c>
      <c r="O7" s="6" t="s">
        <v>61</v>
      </c>
      <c r="P7" s="7" t="s">
        <v>131</v>
      </c>
      <c r="Q7" s="7" t="s">
        <v>70</v>
      </c>
      <c r="R7" s="7" t="s">
        <v>62</v>
      </c>
      <c r="S7" s="7" t="s">
        <v>123</v>
      </c>
      <c r="T7" s="7" t="s">
        <v>109</v>
      </c>
      <c r="U7" s="7" t="s">
        <v>109</v>
      </c>
      <c r="V7" s="7" t="s">
        <v>109</v>
      </c>
      <c r="W7" s="6" t="s">
        <v>116</v>
      </c>
    </row>
    <row r="8" spans="1:23" x14ac:dyDescent="0.3">
      <c r="A8" s="7">
        <v>7</v>
      </c>
      <c r="B8" s="6" t="s">
        <v>23</v>
      </c>
      <c r="C8" s="6" t="s">
        <v>869</v>
      </c>
      <c r="D8" s="6">
        <v>50126215</v>
      </c>
      <c r="E8" s="6">
        <v>70</v>
      </c>
      <c r="F8" s="7">
        <v>161</v>
      </c>
      <c r="G8" s="7">
        <v>7</v>
      </c>
      <c r="H8" s="7" t="s">
        <v>71</v>
      </c>
      <c r="I8" s="7" t="s">
        <v>109</v>
      </c>
      <c r="J8" s="7" t="s">
        <v>130</v>
      </c>
      <c r="K8" s="11">
        <v>0.97569444444444442</v>
      </c>
      <c r="L8" s="7" t="s">
        <v>109</v>
      </c>
      <c r="M8" s="7" t="s">
        <v>109</v>
      </c>
      <c r="N8" s="6" t="s">
        <v>109</v>
      </c>
      <c r="O8" s="6" t="s">
        <v>868</v>
      </c>
      <c r="P8" s="7" t="s">
        <v>131</v>
      </c>
      <c r="Q8" s="7" t="s">
        <v>71</v>
      </c>
      <c r="R8" s="7" t="s">
        <v>62</v>
      </c>
      <c r="S8" s="7" t="s">
        <v>123</v>
      </c>
      <c r="T8" s="7" t="s">
        <v>109</v>
      </c>
      <c r="U8" s="7" t="s">
        <v>109</v>
      </c>
      <c r="V8" s="7" t="s">
        <v>109</v>
      </c>
      <c r="W8" s="6" t="s">
        <v>870</v>
      </c>
    </row>
    <row r="9" spans="1:23" x14ac:dyDescent="0.3">
      <c r="A9" s="7">
        <v>8</v>
      </c>
      <c r="B9" s="6" t="s">
        <v>23</v>
      </c>
      <c r="C9" s="6" t="s">
        <v>474</v>
      </c>
      <c r="D9" s="6">
        <v>50126027</v>
      </c>
      <c r="E9" s="6">
        <v>50</v>
      </c>
      <c r="F9" s="7">
        <v>100</v>
      </c>
      <c r="G9" s="7">
        <v>41</v>
      </c>
      <c r="H9" s="33" t="s">
        <v>70</v>
      </c>
      <c r="I9" s="7" t="s">
        <v>109</v>
      </c>
      <c r="J9" s="7" t="s">
        <v>130</v>
      </c>
      <c r="K9" s="11">
        <v>5.5555555555555558E-3</v>
      </c>
      <c r="L9" s="7" t="s">
        <v>109</v>
      </c>
      <c r="M9" s="7" t="s">
        <v>109</v>
      </c>
      <c r="N9" s="6" t="s">
        <v>109</v>
      </c>
      <c r="O9" s="6" t="s">
        <v>868</v>
      </c>
      <c r="P9" s="7" t="s">
        <v>131</v>
      </c>
      <c r="Q9" s="7" t="s">
        <v>70</v>
      </c>
      <c r="R9" s="7" t="s">
        <v>62</v>
      </c>
      <c r="S9" s="7" t="s">
        <v>123</v>
      </c>
      <c r="T9" s="7" t="s">
        <v>109</v>
      </c>
      <c r="U9" s="7" t="s">
        <v>109</v>
      </c>
      <c r="V9" s="7" t="s">
        <v>109</v>
      </c>
      <c r="W9" s="6" t="s">
        <v>477</v>
      </c>
    </row>
    <row r="10" spans="1:23" x14ac:dyDescent="0.3">
      <c r="A10" s="7">
        <v>9</v>
      </c>
      <c r="B10" s="6" t="s">
        <v>23</v>
      </c>
      <c r="C10" s="6" t="s">
        <v>478</v>
      </c>
      <c r="D10" s="6">
        <v>50126028</v>
      </c>
      <c r="E10" s="6">
        <v>50</v>
      </c>
      <c r="F10" s="7" t="s">
        <v>109</v>
      </c>
      <c r="G10" s="7" t="s">
        <v>109</v>
      </c>
      <c r="H10" s="7" t="s">
        <v>214</v>
      </c>
      <c r="I10" s="7" t="s">
        <v>109</v>
      </c>
      <c r="J10" s="7" t="s">
        <v>85</v>
      </c>
      <c r="K10" s="7" t="s">
        <v>109</v>
      </c>
      <c r="L10" s="7" t="s">
        <v>109</v>
      </c>
      <c r="M10" s="7" t="s">
        <v>109</v>
      </c>
      <c r="N10" s="6" t="s">
        <v>109</v>
      </c>
      <c r="O10" s="6" t="s">
        <v>868</v>
      </c>
      <c r="P10" s="7" t="s">
        <v>109</v>
      </c>
      <c r="Q10" s="7" t="s">
        <v>109</v>
      </c>
      <c r="R10" s="7" t="s">
        <v>62</v>
      </c>
      <c r="S10" s="7" t="s">
        <v>123</v>
      </c>
      <c r="T10" s="7" t="s">
        <v>109</v>
      </c>
      <c r="U10" s="7" t="s">
        <v>109</v>
      </c>
      <c r="V10" s="7" t="s">
        <v>109</v>
      </c>
      <c r="W10" s="6" t="s">
        <v>477</v>
      </c>
    </row>
    <row r="11" spans="1:23" x14ac:dyDescent="0.3">
      <c r="A11" s="7">
        <v>10</v>
      </c>
      <c r="B11" s="6" t="s">
        <v>23</v>
      </c>
      <c r="C11" s="6" t="s">
        <v>273</v>
      </c>
      <c r="D11" s="6">
        <v>51225012</v>
      </c>
      <c r="E11" s="6">
        <v>25</v>
      </c>
      <c r="F11" s="7">
        <v>50</v>
      </c>
      <c r="G11" s="7">
        <v>10</v>
      </c>
      <c r="H11" s="33" t="s">
        <v>84</v>
      </c>
      <c r="I11" s="7" t="s">
        <v>109</v>
      </c>
      <c r="J11" s="7" t="s">
        <v>130</v>
      </c>
      <c r="K11" s="11">
        <v>2.8472222222222222E-2</v>
      </c>
      <c r="L11" s="7" t="s">
        <v>109</v>
      </c>
      <c r="M11" s="7" t="s">
        <v>109</v>
      </c>
      <c r="N11" s="6" t="s">
        <v>109</v>
      </c>
      <c r="O11" s="6" t="s">
        <v>868</v>
      </c>
      <c r="P11" s="7" t="s">
        <v>131</v>
      </c>
      <c r="Q11" s="7" t="s">
        <v>84</v>
      </c>
      <c r="R11" s="7" t="s">
        <v>62</v>
      </c>
      <c r="S11" s="7" t="s">
        <v>123</v>
      </c>
      <c r="T11" s="7" t="s">
        <v>109</v>
      </c>
      <c r="U11" s="7" t="s">
        <v>109</v>
      </c>
      <c r="V11" s="7" t="s">
        <v>109</v>
      </c>
      <c r="W11" s="6" t="s">
        <v>275</v>
      </c>
    </row>
    <row r="12" spans="1:23" x14ac:dyDescent="0.3">
      <c r="A12" s="7">
        <v>11</v>
      </c>
      <c r="B12" s="6" t="s">
        <v>23</v>
      </c>
      <c r="C12" s="6" t="s">
        <v>958</v>
      </c>
      <c r="D12" s="6">
        <v>51125186</v>
      </c>
      <c r="E12" s="6">
        <v>70</v>
      </c>
      <c r="F12" s="7">
        <v>114</v>
      </c>
      <c r="G12" s="7">
        <v>67</v>
      </c>
      <c r="H12" s="7" t="s">
        <v>196</v>
      </c>
      <c r="I12" s="7" t="s">
        <v>109</v>
      </c>
      <c r="J12" s="7" t="s">
        <v>130</v>
      </c>
      <c r="K12" s="11">
        <v>0.83611111111111114</v>
      </c>
      <c r="L12" s="7" t="s">
        <v>109</v>
      </c>
      <c r="M12" s="7" t="s">
        <v>109</v>
      </c>
      <c r="N12" s="6" t="s">
        <v>109</v>
      </c>
      <c r="O12" s="6" t="s">
        <v>868</v>
      </c>
      <c r="P12" s="7" t="s">
        <v>131</v>
      </c>
      <c r="Q12" s="7" t="s">
        <v>196</v>
      </c>
      <c r="R12" s="7" t="s">
        <v>62</v>
      </c>
      <c r="S12" s="7" t="s">
        <v>123</v>
      </c>
      <c r="T12" s="7" t="s">
        <v>109</v>
      </c>
      <c r="U12" s="7" t="s">
        <v>109</v>
      </c>
      <c r="V12" s="7" t="s">
        <v>109</v>
      </c>
      <c r="W12" s="6" t="s">
        <v>959</v>
      </c>
    </row>
    <row r="13" spans="1:23" x14ac:dyDescent="0.3">
      <c r="A13" s="7">
        <v>12</v>
      </c>
      <c r="B13" s="6" t="s">
        <v>23</v>
      </c>
      <c r="C13" s="6" t="s">
        <v>1095</v>
      </c>
      <c r="D13" s="6">
        <v>50126318</v>
      </c>
      <c r="E13" s="6">
        <v>50</v>
      </c>
      <c r="F13" s="7">
        <v>64</v>
      </c>
      <c r="G13" s="7">
        <v>9</v>
      </c>
      <c r="H13" s="7" t="s">
        <v>65</v>
      </c>
      <c r="I13" s="7" t="s">
        <v>109</v>
      </c>
      <c r="J13" s="7" t="s">
        <v>130</v>
      </c>
      <c r="K13" s="7" t="s">
        <v>1147</v>
      </c>
      <c r="L13" s="7" t="s">
        <v>109</v>
      </c>
      <c r="M13" s="7" t="s">
        <v>109</v>
      </c>
      <c r="N13" s="6" t="s">
        <v>109</v>
      </c>
      <c r="O13" s="6" t="s">
        <v>868</v>
      </c>
      <c r="P13" s="7" t="s">
        <v>131</v>
      </c>
      <c r="Q13" s="7" t="s">
        <v>1146</v>
      </c>
      <c r="R13" s="7" t="s">
        <v>62</v>
      </c>
      <c r="S13" s="7" t="s">
        <v>123</v>
      </c>
      <c r="T13" s="7" t="s">
        <v>109</v>
      </c>
      <c r="U13" s="7" t="s">
        <v>109</v>
      </c>
      <c r="V13" s="7" t="s">
        <v>109</v>
      </c>
      <c r="W13" s="6" t="s">
        <v>1096</v>
      </c>
    </row>
    <row r="14" spans="1:23" x14ac:dyDescent="0.3">
      <c r="A14" s="7">
        <v>13</v>
      </c>
      <c r="B14" s="6" t="s">
        <v>23</v>
      </c>
      <c r="C14" s="6" t="s">
        <v>137</v>
      </c>
      <c r="D14" s="6">
        <v>51225033</v>
      </c>
      <c r="E14" s="6">
        <v>70</v>
      </c>
      <c r="F14" s="7">
        <v>146</v>
      </c>
      <c r="G14" s="7">
        <v>71</v>
      </c>
      <c r="H14" s="7" t="s">
        <v>65</v>
      </c>
      <c r="I14" s="7" t="s">
        <v>109</v>
      </c>
      <c r="J14" s="7" t="s">
        <v>130</v>
      </c>
      <c r="K14" s="11">
        <v>0.86319444444444449</v>
      </c>
      <c r="L14" s="7" t="s">
        <v>109</v>
      </c>
      <c r="M14" s="7" t="s">
        <v>109</v>
      </c>
      <c r="N14" s="6" t="s">
        <v>109</v>
      </c>
      <c r="O14" s="6" t="s">
        <v>868</v>
      </c>
      <c r="P14" s="7" t="s">
        <v>131</v>
      </c>
      <c r="Q14" s="7" t="s">
        <v>65</v>
      </c>
      <c r="R14" s="7" t="s">
        <v>62</v>
      </c>
      <c r="S14" s="7" t="s">
        <v>123</v>
      </c>
      <c r="T14" s="7" t="s">
        <v>109</v>
      </c>
      <c r="U14" s="7" t="s">
        <v>109</v>
      </c>
      <c r="V14" s="7" t="s">
        <v>109</v>
      </c>
      <c r="W14" s="6" t="s">
        <v>142</v>
      </c>
    </row>
    <row r="15" spans="1:23" x14ac:dyDescent="0.3">
      <c r="A15" s="7">
        <v>14</v>
      </c>
      <c r="B15" s="6" t="s">
        <v>23</v>
      </c>
      <c r="C15" s="6" t="s">
        <v>138</v>
      </c>
      <c r="D15" s="6">
        <v>51225034</v>
      </c>
      <c r="E15" s="6">
        <v>15</v>
      </c>
      <c r="F15" s="7">
        <v>119</v>
      </c>
      <c r="G15" s="7">
        <v>7</v>
      </c>
      <c r="H15" s="33" t="s">
        <v>184</v>
      </c>
      <c r="I15" s="7" t="s">
        <v>109</v>
      </c>
      <c r="J15" s="7" t="s">
        <v>130</v>
      </c>
      <c r="K15" s="11">
        <v>0.95694444444444449</v>
      </c>
      <c r="L15" s="7" t="s">
        <v>109</v>
      </c>
      <c r="M15" s="7" t="s">
        <v>109</v>
      </c>
      <c r="N15" s="6" t="s">
        <v>109</v>
      </c>
      <c r="O15" s="6" t="s">
        <v>868</v>
      </c>
      <c r="P15" s="7" t="s">
        <v>131</v>
      </c>
      <c r="Q15" s="7" t="s">
        <v>184</v>
      </c>
      <c r="R15" s="7" t="s">
        <v>62</v>
      </c>
      <c r="S15" s="7" t="s">
        <v>123</v>
      </c>
      <c r="T15" s="7" t="s">
        <v>109</v>
      </c>
      <c r="U15" s="7" t="s">
        <v>109</v>
      </c>
      <c r="V15" s="7" t="s">
        <v>109</v>
      </c>
      <c r="W15" s="6" t="s">
        <v>142</v>
      </c>
    </row>
    <row r="16" spans="1:23" x14ac:dyDescent="0.3">
      <c r="A16" s="7">
        <v>15</v>
      </c>
      <c r="B16" s="6" t="s">
        <v>23</v>
      </c>
      <c r="C16" s="6" t="s">
        <v>139</v>
      </c>
      <c r="D16" s="6">
        <v>51225032</v>
      </c>
      <c r="E16" s="6">
        <v>40</v>
      </c>
      <c r="F16" s="7">
        <v>70</v>
      </c>
      <c r="G16" s="7">
        <v>40</v>
      </c>
      <c r="H16" s="7" t="s">
        <v>71</v>
      </c>
      <c r="I16" s="7" t="s">
        <v>109</v>
      </c>
      <c r="J16" s="7" t="s">
        <v>130</v>
      </c>
      <c r="K16" s="11">
        <v>0.72430555555555554</v>
      </c>
      <c r="L16" s="7" t="s">
        <v>109</v>
      </c>
      <c r="M16" s="7" t="s">
        <v>109</v>
      </c>
      <c r="N16" s="6" t="s">
        <v>109</v>
      </c>
      <c r="O16" s="6" t="s">
        <v>868</v>
      </c>
      <c r="P16" s="7" t="s">
        <v>131</v>
      </c>
      <c r="Q16" s="7" t="s">
        <v>71</v>
      </c>
      <c r="R16" s="7" t="s">
        <v>62</v>
      </c>
      <c r="S16" s="7" t="s">
        <v>123</v>
      </c>
      <c r="T16" s="7" t="s">
        <v>109</v>
      </c>
      <c r="U16" s="7" t="s">
        <v>109</v>
      </c>
      <c r="V16" s="7" t="s">
        <v>109</v>
      </c>
      <c r="W16" s="6" t="s">
        <v>142</v>
      </c>
    </row>
    <row r="17" spans="1:23" x14ac:dyDescent="0.3">
      <c r="A17" s="7">
        <v>16</v>
      </c>
      <c r="B17" s="6" t="s">
        <v>23</v>
      </c>
      <c r="C17" s="6" t="s">
        <v>479</v>
      </c>
      <c r="D17" s="6">
        <v>50126013</v>
      </c>
      <c r="E17" s="6">
        <v>50</v>
      </c>
      <c r="F17" s="7">
        <v>78</v>
      </c>
      <c r="G17" s="7">
        <v>43</v>
      </c>
      <c r="H17" s="7" t="s">
        <v>222</v>
      </c>
      <c r="I17" s="7" t="s">
        <v>109</v>
      </c>
      <c r="J17" s="7" t="s">
        <v>130</v>
      </c>
      <c r="K17" s="11">
        <v>0.76458333333333328</v>
      </c>
      <c r="L17" s="7" t="s">
        <v>109</v>
      </c>
      <c r="M17" s="7" t="s">
        <v>109</v>
      </c>
      <c r="N17" s="6" t="s">
        <v>109</v>
      </c>
      <c r="O17" s="6" t="s">
        <v>868</v>
      </c>
      <c r="P17" s="7" t="s">
        <v>131</v>
      </c>
      <c r="Q17" s="7" t="s">
        <v>222</v>
      </c>
      <c r="R17" s="7" t="s">
        <v>62</v>
      </c>
      <c r="S17" s="7" t="s">
        <v>123</v>
      </c>
      <c r="T17" s="7" t="s">
        <v>109</v>
      </c>
      <c r="U17" s="7" t="s">
        <v>109</v>
      </c>
      <c r="V17" s="7" t="s">
        <v>109</v>
      </c>
      <c r="W17" s="6" t="s">
        <v>480</v>
      </c>
    </row>
    <row r="18" spans="1:23" x14ac:dyDescent="0.3">
      <c r="A18" s="7">
        <v>17</v>
      </c>
      <c r="B18" s="6" t="s">
        <v>23</v>
      </c>
      <c r="C18" s="6" t="s">
        <v>483</v>
      </c>
      <c r="D18" s="6">
        <v>50126011</v>
      </c>
      <c r="E18" s="6">
        <v>15</v>
      </c>
      <c r="F18" s="7" t="s">
        <v>109</v>
      </c>
      <c r="G18" s="7" t="s">
        <v>109</v>
      </c>
      <c r="H18" s="33" t="s">
        <v>70</v>
      </c>
      <c r="I18" s="7" t="s">
        <v>109</v>
      </c>
      <c r="J18" s="7" t="s">
        <v>85</v>
      </c>
      <c r="K18" s="7" t="s">
        <v>109</v>
      </c>
      <c r="L18" s="7" t="s">
        <v>109</v>
      </c>
      <c r="M18" s="7" t="s">
        <v>109</v>
      </c>
      <c r="N18" s="6" t="s">
        <v>109</v>
      </c>
      <c r="O18" s="6" t="s">
        <v>868</v>
      </c>
      <c r="P18" s="7" t="s">
        <v>109</v>
      </c>
      <c r="Q18" s="7" t="s">
        <v>109</v>
      </c>
      <c r="R18" s="7" t="s">
        <v>62</v>
      </c>
      <c r="S18" s="7" t="s">
        <v>123</v>
      </c>
      <c r="T18" s="7" t="s">
        <v>109</v>
      </c>
      <c r="U18" s="7" t="s">
        <v>109</v>
      </c>
      <c r="V18" s="7" t="s">
        <v>109</v>
      </c>
      <c r="W18" s="6" t="s">
        <v>480</v>
      </c>
    </row>
    <row r="19" spans="1:23" x14ac:dyDescent="0.3">
      <c r="A19" s="7">
        <v>18</v>
      </c>
      <c r="B19" s="6" t="s">
        <v>23</v>
      </c>
      <c r="C19" s="6" t="s">
        <v>484</v>
      </c>
      <c r="D19" s="6">
        <v>50126012</v>
      </c>
      <c r="E19" s="6">
        <v>50</v>
      </c>
      <c r="F19" s="7">
        <v>100</v>
      </c>
      <c r="G19" s="7">
        <v>51</v>
      </c>
      <c r="H19" s="7" t="s">
        <v>89</v>
      </c>
      <c r="I19" s="7" t="s">
        <v>109</v>
      </c>
      <c r="J19" s="7" t="s">
        <v>130</v>
      </c>
      <c r="K19" s="11">
        <v>0.76944444444444449</v>
      </c>
      <c r="L19" s="7" t="s">
        <v>109</v>
      </c>
      <c r="M19" s="7" t="s">
        <v>109</v>
      </c>
      <c r="N19" s="6" t="s">
        <v>109</v>
      </c>
      <c r="O19" s="6" t="s">
        <v>868</v>
      </c>
      <c r="P19" s="7" t="s">
        <v>131</v>
      </c>
      <c r="Q19" s="7" t="s">
        <v>89</v>
      </c>
      <c r="R19" s="7" t="s">
        <v>62</v>
      </c>
      <c r="S19" s="7" t="s">
        <v>123</v>
      </c>
      <c r="T19" s="7" t="s">
        <v>109</v>
      </c>
      <c r="U19" s="7" t="s">
        <v>109</v>
      </c>
      <c r="V19" s="7" t="s">
        <v>109</v>
      </c>
      <c r="W19" s="6" t="s">
        <v>480</v>
      </c>
    </row>
    <row r="20" spans="1:23" x14ac:dyDescent="0.3">
      <c r="A20" s="7">
        <v>19</v>
      </c>
      <c r="B20" s="6" t="s">
        <v>23</v>
      </c>
      <c r="C20" s="6" t="s">
        <v>743</v>
      </c>
      <c r="D20" s="6">
        <v>50126124</v>
      </c>
      <c r="E20" s="6">
        <v>10</v>
      </c>
      <c r="F20" s="7">
        <v>19</v>
      </c>
      <c r="G20" s="7">
        <v>14</v>
      </c>
      <c r="H20" s="7" t="s">
        <v>82</v>
      </c>
      <c r="I20" s="7" t="s">
        <v>109</v>
      </c>
      <c r="J20" s="7" t="s">
        <v>130</v>
      </c>
      <c r="K20" s="7" t="s">
        <v>1097</v>
      </c>
      <c r="L20" s="7" t="s">
        <v>109</v>
      </c>
      <c r="M20" s="7" t="s">
        <v>109</v>
      </c>
      <c r="N20" s="6" t="s">
        <v>109</v>
      </c>
      <c r="O20" s="6" t="s">
        <v>868</v>
      </c>
      <c r="P20" s="7" t="s">
        <v>131</v>
      </c>
      <c r="Q20" s="7" t="s">
        <v>82</v>
      </c>
      <c r="R20" s="7" t="s">
        <v>62</v>
      </c>
      <c r="S20" s="7" t="s">
        <v>123</v>
      </c>
      <c r="T20" s="7" t="s">
        <v>109</v>
      </c>
      <c r="U20" s="7" t="s">
        <v>109</v>
      </c>
      <c r="V20" s="7" t="s">
        <v>109</v>
      </c>
      <c r="W20" s="6" t="s">
        <v>278</v>
      </c>
    </row>
    <row r="21" spans="1:23" x14ac:dyDescent="0.3">
      <c r="A21" s="7">
        <v>20</v>
      </c>
      <c r="B21" s="6" t="s">
        <v>23</v>
      </c>
      <c r="C21" s="6" t="s">
        <v>279</v>
      </c>
      <c r="D21" s="6">
        <v>51125228</v>
      </c>
      <c r="E21" s="6">
        <v>15</v>
      </c>
      <c r="F21" s="7" t="s">
        <v>109</v>
      </c>
      <c r="G21" s="7" t="s">
        <v>109</v>
      </c>
      <c r="H21" s="7" t="s">
        <v>64</v>
      </c>
      <c r="I21" s="7" t="s">
        <v>109</v>
      </c>
      <c r="J21" s="7" t="s">
        <v>85</v>
      </c>
      <c r="K21" s="7" t="s">
        <v>109</v>
      </c>
      <c r="L21" s="7" t="s">
        <v>109</v>
      </c>
      <c r="M21" s="7" t="s">
        <v>109</v>
      </c>
      <c r="N21" s="6" t="s">
        <v>109</v>
      </c>
      <c r="O21" s="6" t="s">
        <v>868</v>
      </c>
      <c r="P21" s="7" t="s">
        <v>109</v>
      </c>
      <c r="Q21" s="7" t="s">
        <v>109</v>
      </c>
      <c r="R21" s="7" t="s">
        <v>62</v>
      </c>
      <c r="S21" s="7" t="s">
        <v>123</v>
      </c>
      <c r="T21" s="7" t="s">
        <v>109</v>
      </c>
      <c r="U21" s="7" t="s">
        <v>109</v>
      </c>
      <c r="V21" s="7" t="s">
        <v>109</v>
      </c>
      <c r="W21" s="6" t="s">
        <v>278</v>
      </c>
    </row>
    <row r="22" spans="1:23" x14ac:dyDescent="0.3">
      <c r="A22" s="7">
        <v>21</v>
      </c>
      <c r="B22" s="6" t="s">
        <v>23</v>
      </c>
      <c r="C22" s="6" t="s">
        <v>280</v>
      </c>
      <c r="D22" s="6">
        <v>51125192</v>
      </c>
      <c r="E22" s="6">
        <v>20</v>
      </c>
      <c r="F22" s="7">
        <v>40</v>
      </c>
      <c r="G22" s="7">
        <v>18</v>
      </c>
      <c r="H22" s="7" t="s">
        <v>153</v>
      </c>
      <c r="I22" s="7" t="s">
        <v>109</v>
      </c>
      <c r="J22" s="7" t="s">
        <v>130</v>
      </c>
      <c r="K22" s="11">
        <v>0.75763888888888886</v>
      </c>
      <c r="L22" s="7" t="s">
        <v>109</v>
      </c>
      <c r="M22" s="7" t="s">
        <v>109</v>
      </c>
      <c r="N22" s="6" t="s">
        <v>109</v>
      </c>
      <c r="O22" s="6" t="s">
        <v>868</v>
      </c>
      <c r="P22" s="7" t="s">
        <v>131</v>
      </c>
      <c r="Q22" s="7" t="s">
        <v>527</v>
      </c>
      <c r="R22" s="7" t="s">
        <v>62</v>
      </c>
      <c r="S22" s="7" t="s">
        <v>123</v>
      </c>
      <c r="T22" s="7" t="s">
        <v>109</v>
      </c>
      <c r="U22" s="7" t="s">
        <v>109</v>
      </c>
      <c r="V22" s="7" t="s">
        <v>109</v>
      </c>
      <c r="W22" s="6" t="s">
        <v>278</v>
      </c>
    </row>
    <row r="23" spans="1:23" x14ac:dyDescent="0.3">
      <c r="A23" s="7">
        <v>22</v>
      </c>
      <c r="B23" s="6" t="s">
        <v>23</v>
      </c>
      <c r="C23" s="6" t="s">
        <v>269</v>
      </c>
      <c r="D23" s="6">
        <v>51125123</v>
      </c>
      <c r="E23" s="6">
        <v>20</v>
      </c>
      <c r="F23" s="7" t="s">
        <v>109</v>
      </c>
      <c r="G23" s="7" t="s">
        <v>109</v>
      </c>
      <c r="H23" s="7" t="s">
        <v>200</v>
      </c>
      <c r="I23" s="7" t="s">
        <v>109</v>
      </c>
      <c r="J23" s="7" t="s">
        <v>85</v>
      </c>
      <c r="K23" s="7" t="s">
        <v>109</v>
      </c>
      <c r="L23" s="7" t="s">
        <v>109</v>
      </c>
      <c r="M23" s="7" t="s">
        <v>109</v>
      </c>
      <c r="N23" s="6" t="s">
        <v>1098</v>
      </c>
      <c r="O23" s="6" t="s">
        <v>868</v>
      </c>
      <c r="P23" s="7" t="s">
        <v>109</v>
      </c>
      <c r="Q23" s="7" t="s">
        <v>109</v>
      </c>
      <c r="R23" s="7" t="s">
        <v>62</v>
      </c>
      <c r="S23" s="7" t="s">
        <v>123</v>
      </c>
      <c r="T23" s="7" t="s">
        <v>109</v>
      </c>
      <c r="U23" s="7" t="s">
        <v>109</v>
      </c>
      <c r="V23" s="7" t="s">
        <v>109</v>
      </c>
      <c r="W23" s="6" t="s">
        <v>270</v>
      </c>
    </row>
    <row r="24" spans="1:23" x14ac:dyDescent="0.3">
      <c r="A24" s="7">
        <v>23</v>
      </c>
      <c r="B24" s="6" t="s">
        <v>23</v>
      </c>
      <c r="C24" s="6" t="s">
        <v>405</v>
      </c>
      <c r="D24" s="6">
        <v>51125121</v>
      </c>
      <c r="E24" s="6">
        <v>20</v>
      </c>
      <c r="F24" s="7">
        <v>55</v>
      </c>
      <c r="G24" s="7">
        <v>11</v>
      </c>
      <c r="H24" s="33" t="s">
        <v>69</v>
      </c>
      <c r="I24" s="7" t="s">
        <v>109</v>
      </c>
      <c r="J24" s="7" t="s">
        <v>130</v>
      </c>
      <c r="K24" s="11">
        <v>0.69930555555555551</v>
      </c>
      <c r="L24" s="7" t="s">
        <v>109</v>
      </c>
      <c r="M24" s="7" t="s">
        <v>109</v>
      </c>
      <c r="N24" s="6" t="s">
        <v>1098</v>
      </c>
      <c r="O24" s="6" t="s">
        <v>868</v>
      </c>
      <c r="P24" s="7" t="s">
        <v>131</v>
      </c>
      <c r="Q24" s="7" t="s">
        <v>69</v>
      </c>
      <c r="R24" s="7" t="s">
        <v>62</v>
      </c>
      <c r="S24" s="7" t="s">
        <v>123</v>
      </c>
      <c r="T24" s="7" t="s">
        <v>109</v>
      </c>
      <c r="U24" s="7" t="s">
        <v>109</v>
      </c>
      <c r="V24" s="7" t="s">
        <v>109</v>
      </c>
      <c r="W24" s="6" t="s">
        <v>270</v>
      </c>
    </row>
    <row r="25" spans="1:23" x14ac:dyDescent="0.3">
      <c r="A25" s="7">
        <v>24</v>
      </c>
      <c r="B25" s="6" t="s">
        <v>23</v>
      </c>
      <c r="C25" s="6" t="s">
        <v>407</v>
      </c>
      <c r="D25" s="6">
        <v>51125119</v>
      </c>
      <c r="E25" s="6">
        <v>50</v>
      </c>
      <c r="F25" s="7">
        <v>106</v>
      </c>
      <c r="G25" s="7">
        <v>43</v>
      </c>
      <c r="H25" s="7" t="s">
        <v>209</v>
      </c>
      <c r="I25" s="7" t="s">
        <v>109</v>
      </c>
      <c r="J25" s="7" t="s">
        <v>130</v>
      </c>
      <c r="K25" s="11">
        <v>0.74930555555555556</v>
      </c>
      <c r="L25" s="7" t="s">
        <v>109</v>
      </c>
      <c r="M25" s="7" t="s">
        <v>109</v>
      </c>
      <c r="N25" s="6" t="s">
        <v>109</v>
      </c>
      <c r="O25" s="6" t="s">
        <v>868</v>
      </c>
      <c r="P25" s="7" t="s">
        <v>131</v>
      </c>
      <c r="Q25" s="7" t="s">
        <v>209</v>
      </c>
      <c r="R25" s="7" t="s">
        <v>62</v>
      </c>
      <c r="S25" s="7" t="s">
        <v>123</v>
      </c>
      <c r="T25" s="7" t="s">
        <v>109</v>
      </c>
      <c r="U25" s="7" t="s">
        <v>109</v>
      </c>
      <c r="V25" s="7" t="s">
        <v>109</v>
      </c>
      <c r="W25" s="6" t="s">
        <v>270</v>
      </c>
    </row>
    <row r="26" spans="1:23" x14ac:dyDescent="0.3">
      <c r="A26" s="7">
        <v>25</v>
      </c>
      <c r="B26" s="6" t="s">
        <v>23</v>
      </c>
      <c r="C26" s="6" t="s">
        <v>1099</v>
      </c>
      <c r="D26" s="6">
        <v>50126319</v>
      </c>
      <c r="E26" s="6">
        <v>70</v>
      </c>
      <c r="F26" s="7">
        <v>98</v>
      </c>
      <c r="G26" s="7">
        <v>30</v>
      </c>
      <c r="H26" s="7" t="s">
        <v>64</v>
      </c>
      <c r="I26" s="7" t="s">
        <v>109</v>
      </c>
      <c r="J26" s="7" t="s">
        <v>130</v>
      </c>
      <c r="K26" s="7" t="s">
        <v>1149</v>
      </c>
      <c r="L26" s="7" t="s">
        <v>109</v>
      </c>
      <c r="M26" s="7" t="s">
        <v>109</v>
      </c>
      <c r="N26" s="6" t="s">
        <v>109</v>
      </c>
      <c r="O26" s="6" t="s">
        <v>868</v>
      </c>
      <c r="P26" s="7" t="s">
        <v>131</v>
      </c>
      <c r="Q26" s="7" t="s">
        <v>64</v>
      </c>
      <c r="R26" s="7" t="s">
        <v>62</v>
      </c>
      <c r="S26" s="7" t="s">
        <v>123</v>
      </c>
      <c r="T26" s="7" t="s">
        <v>109</v>
      </c>
      <c r="U26" s="7" t="s">
        <v>109</v>
      </c>
      <c r="V26" s="7" t="s">
        <v>109</v>
      </c>
      <c r="W26" s="6" t="s">
        <v>142</v>
      </c>
    </row>
    <row r="27" spans="1:23" x14ac:dyDescent="0.3">
      <c r="A27" s="7">
        <v>26</v>
      </c>
      <c r="B27" s="6" t="s">
        <v>170</v>
      </c>
      <c r="C27" s="6" t="s">
        <v>408</v>
      </c>
      <c r="D27" s="6">
        <v>41025030</v>
      </c>
      <c r="E27" s="6">
        <v>250</v>
      </c>
      <c r="F27" s="7">
        <v>145</v>
      </c>
      <c r="G27" s="7">
        <v>7</v>
      </c>
      <c r="H27" s="33" t="s">
        <v>1139</v>
      </c>
      <c r="I27" s="7" t="s">
        <v>109</v>
      </c>
      <c r="J27" s="7" t="s">
        <v>130</v>
      </c>
      <c r="K27" s="11">
        <v>0.91597222222222219</v>
      </c>
      <c r="L27" s="7" t="s">
        <v>109</v>
      </c>
      <c r="M27" s="7" t="s">
        <v>109</v>
      </c>
      <c r="N27" s="6" t="s">
        <v>1100</v>
      </c>
      <c r="O27" s="6" t="s">
        <v>61</v>
      </c>
      <c r="P27" s="7" t="s">
        <v>131</v>
      </c>
      <c r="Q27" s="7" t="s">
        <v>214</v>
      </c>
      <c r="R27" s="7" t="s">
        <v>62</v>
      </c>
      <c r="S27" s="7" t="s">
        <v>123</v>
      </c>
      <c r="T27" s="7" t="s">
        <v>109</v>
      </c>
      <c r="U27" s="7" t="s">
        <v>109</v>
      </c>
      <c r="V27" s="7" t="s">
        <v>109</v>
      </c>
      <c r="W27" s="6" t="s">
        <v>410</v>
      </c>
    </row>
    <row r="28" spans="1:23" x14ac:dyDescent="0.3">
      <c r="A28" s="7">
        <v>27</v>
      </c>
      <c r="B28" s="6" t="s">
        <v>135</v>
      </c>
      <c r="C28" s="6" t="s">
        <v>670</v>
      </c>
      <c r="D28" s="6">
        <v>20126008</v>
      </c>
      <c r="E28" s="6">
        <v>61</v>
      </c>
      <c r="F28" s="7">
        <v>120</v>
      </c>
      <c r="G28" s="7">
        <v>35</v>
      </c>
      <c r="H28" s="33" t="s">
        <v>84</v>
      </c>
      <c r="I28" s="7" t="s">
        <v>109</v>
      </c>
      <c r="J28" s="7" t="s">
        <v>130</v>
      </c>
      <c r="K28" s="11">
        <v>0.9</v>
      </c>
      <c r="L28" s="7" t="s">
        <v>109</v>
      </c>
      <c r="M28" s="7" t="s">
        <v>109</v>
      </c>
      <c r="N28" s="6" t="s">
        <v>109</v>
      </c>
      <c r="O28" s="6" t="s">
        <v>61</v>
      </c>
      <c r="P28" s="7" t="s">
        <v>131</v>
      </c>
      <c r="Q28" s="7" t="s">
        <v>84</v>
      </c>
      <c r="R28" s="7" t="s">
        <v>62</v>
      </c>
      <c r="S28" s="7" t="s">
        <v>123</v>
      </c>
      <c r="T28" s="7" t="s">
        <v>109</v>
      </c>
      <c r="U28" s="7" t="s">
        <v>109</v>
      </c>
      <c r="V28" s="7" t="s">
        <v>109</v>
      </c>
      <c r="W28" s="6" t="s">
        <v>666</v>
      </c>
    </row>
    <row r="29" spans="1:23" x14ac:dyDescent="0.3">
      <c r="A29" s="7">
        <v>28</v>
      </c>
      <c r="B29" s="6" t="s">
        <v>135</v>
      </c>
      <c r="C29" s="6" t="s">
        <v>667</v>
      </c>
      <c r="D29" s="6">
        <v>20126007</v>
      </c>
      <c r="E29" s="6">
        <v>45</v>
      </c>
      <c r="F29" s="7">
        <v>89</v>
      </c>
      <c r="G29" s="7">
        <v>45</v>
      </c>
      <c r="H29" s="7" t="s">
        <v>196</v>
      </c>
      <c r="I29" s="7" t="s">
        <v>109</v>
      </c>
      <c r="J29" s="7" t="s">
        <v>130</v>
      </c>
      <c r="K29" s="11">
        <v>0.67291666666666672</v>
      </c>
      <c r="L29" s="7" t="s">
        <v>109</v>
      </c>
      <c r="M29" s="7" t="s">
        <v>109</v>
      </c>
      <c r="N29" s="6" t="s">
        <v>109</v>
      </c>
      <c r="O29" s="6" t="s">
        <v>61</v>
      </c>
      <c r="P29" s="7" t="s">
        <v>131</v>
      </c>
      <c r="Q29" s="7" t="s">
        <v>196</v>
      </c>
      <c r="R29" s="7" t="s">
        <v>62</v>
      </c>
      <c r="S29" s="7" t="s">
        <v>123</v>
      </c>
      <c r="T29" s="7" t="s">
        <v>109</v>
      </c>
      <c r="U29" s="7" t="s">
        <v>109</v>
      </c>
      <c r="V29" s="7" t="s">
        <v>109</v>
      </c>
      <c r="W29" s="6" t="s">
        <v>666</v>
      </c>
    </row>
    <row r="30" spans="1:23" x14ac:dyDescent="0.3">
      <c r="A30" s="7">
        <v>29</v>
      </c>
      <c r="B30" s="6" t="s">
        <v>135</v>
      </c>
      <c r="C30" s="6" t="s">
        <v>671</v>
      </c>
      <c r="D30" s="6">
        <v>20126010</v>
      </c>
      <c r="E30" s="6">
        <v>68</v>
      </c>
      <c r="F30" s="7">
        <v>99</v>
      </c>
      <c r="G30" s="7">
        <v>70</v>
      </c>
      <c r="H30" s="7" t="s">
        <v>72</v>
      </c>
      <c r="I30" s="7" t="s">
        <v>109</v>
      </c>
      <c r="J30" s="7" t="s">
        <v>130</v>
      </c>
      <c r="K30" s="11">
        <v>0.68263888888888891</v>
      </c>
      <c r="L30" s="7" t="s">
        <v>109</v>
      </c>
      <c r="M30" s="7" t="s">
        <v>109</v>
      </c>
      <c r="N30" s="6" t="s">
        <v>109</v>
      </c>
      <c r="O30" s="6" t="s">
        <v>61</v>
      </c>
      <c r="P30" s="7" t="s">
        <v>131</v>
      </c>
      <c r="Q30" s="7" t="s">
        <v>72</v>
      </c>
      <c r="R30" s="7" t="s">
        <v>62</v>
      </c>
      <c r="S30" s="7" t="s">
        <v>123</v>
      </c>
      <c r="T30" s="7" t="s">
        <v>109</v>
      </c>
      <c r="U30" s="7" t="s">
        <v>109</v>
      </c>
      <c r="V30" s="7" t="s">
        <v>109</v>
      </c>
      <c r="W30" s="6" t="s">
        <v>666</v>
      </c>
    </row>
    <row r="31" spans="1:23" x14ac:dyDescent="0.3">
      <c r="A31" s="7">
        <v>30</v>
      </c>
      <c r="B31" s="6" t="s">
        <v>135</v>
      </c>
      <c r="C31" s="6" t="s">
        <v>669</v>
      </c>
      <c r="D31" s="6">
        <v>20126012</v>
      </c>
      <c r="E31" s="6">
        <v>100</v>
      </c>
      <c r="F31" s="7">
        <v>106</v>
      </c>
      <c r="G31" s="7">
        <v>19</v>
      </c>
      <c r="H31" s="7" t="s">
        <v>93</v>
      </c>
      <c r="I31" s="7" t="s">
        <v>109</v>
      </c>
      <c r="J31" s="7" t="s">
        <v>130</v>
      </c>
      <c r="K31" s="11">
        <v>0.84722222222222221</v>
      </c>
      <c r="L31" s="7" t="s">
        <v>109</v>
      </c>
      <c r="M31" s="7" t="s">
        <v>109</v>
      </c>
      <c r="N31" s="6" t="s">
        <v>109</v>
      </c>
      <c r="O31" s="6" t="s">
        <v>61</v>
      </c>
      <c r="P31" s="7" t="s">
        <v>131</v>
      </c>
      <c r="Q31" s="7" t="s">
        <v>93</v>
      </c>
      <c r="R31" s="7" t="s">
        <v>62</v>
      </c>
      <c r="S31" s="7" t="s">
        <v>123</v>
      </c>
      <c r="T31" s="7" t="s">
        <v>109</v>
      </c>
      <c r="U31" s="7" t="s">
        <v>109</v>
      </c>
      <c r="V31" s="7" t="s">
        <v>109</v>
      </c>
      <c r="W31" s="6" t="s">
        <v>666</v>
      </c>
    </row>
    <row r="32" spans="1:23" x14ac:dyDescent="0.3">
      <c r="A32" s="7">
        <v>31</v>
      </c>
      <c r="B32" s="6" t="s">
        <v>135</v>
      </c>
      <c r="C32" s="6" t="s">
        <v>1101</v>
      </c>
      <c r="D32" s="6">
        <v>21125002</v>
      </c>
      <c r="E32" s="6">
        <v>150</v>
      </c>
      <c r="F32" s="7">
        <v>301</v>
      </c>
      <c r="G32" s="7">
        <v>100</v>
      </c>
      <c r="H32" s="33" t="s">
        <v>1102</v>
      </c>
      <c r="I32" s="7" t="s">
        <v>109</v>
      </c>
      <c r="J32" s="7" t="s">
        <v>130</v>
      </c>
      <c r="K32" s="11">
        <v>0.86944444444444446</v>
      </c>
      <c r="L32" s="7" t="s">
        <v>109</v>
      </c>
      <c r="M32" s="7" t="s">
        <v>109</v>
      </c>
      <c r="N32" s="6" t="s">
        <v>109</v>
      </c>
      <c r="O32" s="6" t="s">
        <v>61</v>
      </c>
      <c r="P32" s="7" t="s">
        <v>131</v>
      </c>
      <c r="Q32" s="7" t="s">
        <v>70</v>
      </c>
      <c r="R32" s="7" t="s">
        <v>62</v>
      </c>
      <c r="S32" s="7" t="s">
        <v>123</v>
      </c>
      <c r="T32" s="7" t="s">
        <v>109</v>
      </c>
      <c r="U32" s="7" t="s">
        <v>109</v>
      </c>
      <c r="V32" s="7" t="s">
        <v>109</v>
      </c>
      <c r="W32" s="6" t="s">
        <v>666</v>
      </c>
    </row>
    <row r="33" spans="1:23" x14ac:dyDescent="0.3">
      <c r="A33" s="7">
        <v>32</v>
      </c>
      <c r="B33" s="6" t="s">
        <v>135</v>
      </c>
      <c r="C33" s="6" t="s">
        <v>1103</v>
      </c>
      <c r="D33" s="6">
        <v>21125003</v>
      </c>
      <c r="E33" s="6">
        <v>210</v>
      </c>
      <c r="F33" s="7">
        <v>384</v>
      </c>
      <c r="G33" s="7">
        <v>154</v>
      </c>
      <c r="H33" s="7" t="s">
        <v>1104</v>
      </c>
      <c r="I33" s="7" t="s">
        <v>109</v>
      </c>
      <c r="J33" s="7" t="s">
        <v>130</v>
      </c>
      <c r="K33" s="11">
        <v>0.90902777777777777</v>
      </c>
      <c r="L33" s="7" t="s">
        <v>109</v>
      </c>
      <c r="M33" s="7" t="s">
        <v>109</v>
      </c>
      <c r="N33" s="6" t="s">
        <v>109</v>
      </c>
      <c r="O33" s="6" t="s">
        <v>61</v>
      </c>
      <c r="P33" s="7" t="s">
        <v>131</v>
      </c>
      <c r="Q33" s="7" t="s">
        <v>86</v>
      </c>
      <c r="R33" s="7" t="s">
        <v>62</v>
      </c>
      <c r="S33" s="7" t="s">
        <v>123</v>
      </c>
      <c r="T33" s="7" t="s">
        <v>109</v>
      </c>
      <c r="U33" s="7" t="s">
        <v>109</v>
      </c>
      <c r="V33" s="7" t="s">
        <v>109</v>
      </c>
      <c r="W33" s="6" t="s">
        <v>666</v>
      </c>
    </row>
    <row r="34" spans="1:23" x14ac:dyDescent="0.3">
      <c r="A34" s="7">
        <v>33</v>
      </c>
      <c r="B34" s="6" t="s">
        <v>135</v>
      </c>
      <c r="C34" s="6" t="s">
        <v>1105</v>
      </c>
      <c r="D34" s="6">
        <v>21125001</v>
      </c>
      <c r="E34" s="6">
        <v>70</v>
      </c>
      <c r="F34" s="7">
        <v>68</v>
      </c>
      <c r="G34" s="7">
        <v>18</v>
      </c>
      <c r="H34" s="7" t="s">
        <v>214</v>
      </c>
      <c r="I34" s="7" t="s">
        <v>109</v>
      </c>
      <c r="J34" s="7" t="s">
        <v>130</v>
      </c>
      <c r="K34" s="11">
        <v>0.9604166666666667</v>
      </c>
      <c r="L34" s="7" t="s">
        <v>109</v>
      </c>
      <c r="M34" s="7" t="s">
        <v>109</v>
      </c>
      <c r="N34" s="6" t="s">
        <v>109</v>
      </c>
      <c r="O34" s="6" t="s">
        <v>61</v>
      </c>
      <c r="P34" s="7" t="s">
        <v>131</v>
      </c>
      <c r="Q34" s="7" t="s">
        <v>214</v>
      </c>
      <c r="R34" s="7" t="s">
        <v>62</v>
      </c>
      <c r="S34" s="7" t="s">
        <v>123</v>
      </c>
      <c r="T34" s="7" t="s">
        <v>109</v>
      </c>
      <c r="U34" s="7" t="s">
        <v>109</v>
      </c>
      <c r="V34" s="7" t="s">
        <v>109</v>
      </c>
      <c r="W34" s="6" t="s">
        <v>666</v>
      </c>
    </row>
    <row r="35" spans="1:23" x14ac:dyDescent="0.3">
      <c r="A35" s="7">
        <v>34</v>
      </c>
      <c r="B35" s="6" t="s">
        <v>23</v>
      </c>
      <c r="C35" s="6" t="s">
        <v>1039</v>
      </c>
      <c r="D35" s="6">
        <v>50126298</v>
      </c>
      <c r="E35" s="6">
        <v>30</v>
      </c>
      <c r="F35" s="7">
        <v>55</v>
      </c>
      <c r="G35" s="7">
        <v>33</v>
      </c>
      <c r="H35" s="7" t="s">
        <v>72</v>
      </c>
      <c r="I35" s="7" t="s">
        <v>109</v>
      </c>
      <c r="J35" s="7" t="s">
        <v>130</v>
      </c>
      <c r="K35" s="11">
        <v>0.70277777777777772</v>
      </c>
      <c r="L35" s="7" t="s">
        <v>109</v>
      </c>
      <c r="M35" s="7" t="s">
        <v>109</v>
      </c>
      <c r="N35" s="6" t="s">
        <v>109</v>
      </c>
      <c r="O35" s="6" t="s">
        <v>61</v>
      </c>
      <c r="P35" s="7" t="s">
        <v>131</v>
      </c>
      <c r="Q35" s="7" t="s">
        <v>72</v>
      </c>
      <c r="R35" s="7" t="s">
        <v>62</v>
      </c>
      <c r="S35" s="7" t="s">
        <v>123</v>
      </c>
      <c r="T35" s="7" t="s">
        <v>109</v>
      </c>
      <c r="U35" s="7" t="s">
        <v>109</v>
      </c>
      <c r="V35" s="7" t="s">
        <v>109</v>
      </c>
      <c r="W35" s="6" t="s">
        <v>223</v>
      </c>
    </row>
    <row r="36" spans="1:23" x14ac:dyDescent="0.3">
      <c r="A36" s="7">
        <v>35</v>
      </c>
      <c r="B36" s="6" t="s">
        <v>23</v>
      </c>
      <c r="C36" s="6" t="s">
        <v>1035</v>
      </c>
      <c r="D36" s="6">
        <v>50126307</v>
      </c>
      <c r="E36" s="6">
        <v>50</v>
      </c>
      <c r="F36" s="7">
        <v>84</v>
      </c>
      <c r="G36" s="7">
        <v>15</v>
      </c>
      <c r="H36" s="7" t="s">
        <v>95</v>
      </c>
      <c r="I36" s="7" t="s">
        <v>109</v>
      </c>
      <c r="J36" s="7" t="s">
        <v>130</v>
      </c>
      <c r="K36" s="7">
        <v>50126307</v>
      </c>
      <c r="L36" s="7" t="s">
        <v>109</v>
      </c>
      <c r="M36" s="7" t="s">
        <v>109</v>
      </c>
      <c r="N36" s="6" t="s">
        <v>109</v>
      </c>
      <c r="O36" s="6" t="s">
        <v>61</v>
      </c>
      <c r="P36" s="7" t="s">
        <v>131</v>
      </c>
      <c r="Q36" s="7" t="s">
        <v>95</v>
      </c>
      <c r="R36" s="7" t="s">
        <v>62</v>
      </c>
      <c r="S36" s="7" t="s">
        <v>123</v>
      </c>
      <c r="T36" s="7" t="s">
        <v>109</v>
      </c>
      <c r="U36" s="7" t="s">
        <v>109</v>
      </c>
      <c r="V36" s="7" t="s">
        <v>109</v>
      </c>
      <c r="W36" s="6" t="s">
        <v>223</v>
      </c>
    </row>
    <row r="37" spans="1:23" x14ac:dyDescent="0.3">
      <c r="A37" s="7">
        <v>36</v>
      </c>
      <c r="B37" s="6" t="s">
        <v>23</v>
      </c>
      <c r="C37" s="6" t="s">
        <v>27</v>
      </c>
      <c r="D37" s="6">
        <v>51225107</v>
      </c>
      <c r="E37" s="6">
        <v>50</v>
      </c>
      <c r="F37" s="7">
        <v>87</v>
      </c>
      <c r="G37" s="7">
        <v>19</v>
      </c>
      <c r="H37" s="7" t="s">
        <v>93</v>
      </c>
      <c r="I37" s="7" t="s">
        <v>109</v>
      </c>
      <c r="J37" s="7" t="s">
        <v>130</v>
      </c>
      <c r="K37" s="11">
        <v>0.75486111111111109</v>
      </c>
      <c r="L37" s="7" t="s">
        <v>109</v>
      </c>
      <c r="M37" s="7" t="s">
        <v>109</v>
      </c>
      <c r="N37" s="6" t="s">
        <v>109</v>
      </c>
      <c r="O37" s="6" t="s">
        <v>61</v>
      </c>
      <c r="P37" s="7" t="s">
        <v>131</v>
      </c>
      <c r="Q37" s="7" t="s">
        <v>93</v>
      </c>
      <c r="R37" s="7" t="s">
        <v>62</v>
      </c>
      <c r="S37" s="7" t="s">
        <v>123</v>
      </c>
      <c r="T37" s="7" t="s">
        <v>109</v>
      </c>
      <c r="U37" s="7" t="s">
        <v>109</v>
      </c>
      <c r="V37" s="7" t="s">
        <v>109</v>
      </c>
      <c r="W37" s="6" t="s">
        <v>112</v>
      </c>
    </row>
    <row r="38" spans="1:23" x14ac:dyDescent="0.3">
      <c r="A38" s="7">
        <v>37</v>
      </c>
      <c r="B38" s="6" t="s">
        <v>23</v>
      </c>
      <c r="C38" s="6" t="s">
        <v>977</v>
      </c>
      <c r="D38" s="6">
        <v>50126274</v>
      </c>
      <c r="E38" s="6">
        <v>100</v>
      </c>
      <c r="F38" s="7">
        <v>178</v>
      </c>
      <c r="G38" s="7">
        <v>105</v>
      </c>
      <c r="H38" s="7" t="s">
        <v>89</v>
      </c>
      <c r="I38" s="7" t="s">
        <v>109</v>
      </c>
      <c r="J38" s="7" t="s">
        <v>130</v>
      </c>
      <c r="K38" s="11">
        <v>0.8618055555555556</v>
      </c>
      <c r="L38" s="7" t="s">
        <v>109</v>
      </c>
      <c r="M38" s="7" t="s">
        <v>109</v>
      </c>
      <c r="N38" s="6" t="s">
        <v>109</v>
      </c>
      <c r="O38" s="6" t="s">
        <v>61</v>
      </c>
      <c r="P38" s="7" t="s">
        <v>131</v>
      </c>
      <c r="Q38" s="7" t="s">
        <v>89</v>
      </c>
      <c r="R38" s="7" t="s">
        <v>62</v>
      </c>
      <c r="S38" s="7" t="s">
        <v>123</v>
      </c>
      <c r="T38" s="7" t="s">
        <v>109</v>
      </c>
      <c r="U38" s="7" t="s">
        <v>109</v>
      </c>
      <c r="V38" s="7" t="s">
        <v>109</v>
      </c>
      <c r="W38" s="6" t="s">
        <v>334</v>
      </c>
    </row>
    <row r="39" spans="1:23" x14ac:dyDescent="0.3">
      <c r="A39" s="7">
        <v>38</v>
      </c>
      <c r="B39" s="6" t="s">
        <v>23</v>
      </c>
      <c r="C39" s="6" t="s">
        <v>978</v>
      </c>
      <c r="D39" s="6">
        <v>50126276</v>
      </c>
      <c r="E39" s="6">
        <v>175</v>
      </c>
      <c r="F39" s="7">
        <v>249</v>
      </c>
      <c r="G39" s="7">
        <v>187</v>
      </c>
      <c r="H39" s="7" t="s">
        <v>262</v>
      </c>
      <c r="I39" s="7" t="s">
        <v>109</v>
      </c>
      <c r="J39" s="7" t="s">
        <v>130</v>
      </c>
      <c r="K39" s="11">
        <v>0.82916666666666672</v>
      </c>
      <c r="L39" s="7" t="s">
        <v>109</v>
      </c>
      <c r="M39" s="7" t="s">
        <v>109</v>
      </c>
      <c r="N39" s="6" t="s">
        <v>109</v>
      </c>
      <c r="O39" s="6" t="s">
        <v>61</v>
      </c>
      <c r="P39" s="7" t="s">
        <v>131</v>
      </c>
      <c r="Q39" s="7" t="s">
        <v>222</v>
      </c>
      <c r="R39" s="7" t="s">
        <v>62</v>
      </c>
      <c r="S39" s="7" t="s">
        <v>123</v>
      </c>
      <c r="T39" s="7" t="s">
        <v>109</v>
      </c>
      <c r="U39" s="7" t="s">
        <v>109</v>
      </c>
      <c r="V39" s="7" t="s">
        <v>109</v>
      </c>
      <c r="W39" s="6" t="s">
        <v>334</v>
      </c>
    </row>
    <row r="40" spans="1:23" x14ac:dyDescent="0.3">
      <c r="A40" s="7">
        <v>39</v>
      </c>
      <c r="B40" s="6" t="s">
        <v>23</v>
      </c>
      <c r="C40" s="6" t="s">
        <v>980</v>
      </c>
      <c r="D40" s="6">
        <v>50126278</v>
      </c>
      <c r="E40" s="6">
        <v>300</v>
      </c>
      <c r="F40" s="7">
        <v>420</v>
      </c>
      <c r="G40" s="7">
        <v>302</v>
      </c>
      <c r="H40" s="7" t="s">
        <v>1134</v>
      </c>
      <c r="I40" s="7" t="s">
        <v>109</v>
      </c>
      <c r="J40" s="7" t="s">
        <v>130</v>
      </c>
      <c r="K40" s="11">
        <v>0.86388888888888893</v>
      </c>
      <c r="L40" s="7" t="s">
        <v>109</v>
      </c>
      <c r="M40" s="7" t="s">
        <v>109</v>
      </c>
      <c r="N40" s="6" t="s">
        <v>109</v>
      </c>
      <c r="O40" s="6" t="s">
        <v>61</v>
      </c>
      <c r="P40" s="7" t="s">
        <v>131</v>
      </c>
      <c r="Q40" s="7" t="s">
        <v>200</v>
      </c>
      <c r="R40" s="7" t="s">
        <v>62</v>
      </c>
      <c r="S40" s="7" t="s">
        <v>123</v>
      </c>
      <c r="T40" s="7" t="s">
        <v>109</v>
      </c>
      <c r="U40" s="7" t="s">
        <v>109</v>
      </c>
      <c r="V40" s="7" t="s">
        <v>109</v>
      </c>
      <c r="W40" s="6" t="s">
        <v>334</v>
      </c>
    </row>
    <row r="41" spans="1:23" x14ac:dyDescent="0.3">
      <c r="A41" s="7">
        <v>40</v>
      </c>
      <c r="B41" s="6" t="s">
        <v>23</v>
      </c>
      <c r="C41" s="6" t="s">
        <v>981</v>
      </c>
      <c r="D41" s="6">
        <v>50126275</v>
      </c>
      <c r="E41" s="6">
        <v>125</v>
      </c>
      <c r="F41" s="7">
        <v>252</v>
      </c>
      <c r="G41" s="7">
        <v>128</v>
      </c>
      <c r="H41" s="7" t="s">
        <v>386</v>
      </c>
      <c r="I41" s="7" t="s">
        <v>109</v>
      </c>
      <c r="J41" s="7" t="s">
        <v>130</v>
      </c>
      <c r="K41" s="11">
        <v>0.7729166666666667</v>
      </c>
      <c r="L41" s="7" t="s">
        <v>109</v>
      </c>
      <c r="M41" s="7" t="s">
        <v>109</v>
      </c>
      <c r="N41" s="6" t="s">
        <v>109</v>
      </c>
      <c r="O41" s="6" t="s">
        <v>61</v>
      </c>
      <c r="P41" s="7" t="s">
        <v>131</v>
      </c>
      <c r="Q41" s="7" t="s">
        <v>82</v>
      </c>
      <c r="R41" s="7" t="s">
        <v>62</v>
      </c>
      <c r="S41" s="7" t="s">
        <v>123</v>
      </c>
      <c r="T41" s="7" t="s">
        <v>109</v>
      </c>
      <c r="U41" s="7" t="s">
        <v>109</v>
      </c>
      <c r="V41" s="7" t="s">
        <v>109</v>
      </c>
      <c r="W41" s="6" t="s">
        <v>334</v>
      </c>
    </row>
    <row r="42" spans="1:23" x14ac:dyDescent="0.3">
      <c r="A42" s="7">
        <v>41</v>
      </c>
      <c r="B42" s="6" t="s">
        <v>23</v>
      </c>
      <c r="C42" s="6" t="s">
        <v>982</v>
      </c>
      <c r="D42" s="6">
        <v>50126277</v>
      </c>
      <c r="E42" s="6">
        <v>250</v>
      </c>
      <c r="F42" s="7">
        <v>346</v>
      </c>
      <c r="G42" s="7">
        <v>255</v>
      </c>
      <c r="H42" s="7" t="s">
        <v>1106</v>
      </c>
      <c r="I42" s="7" t="s">
        <v>109</v>
      </c>
      <c r="J42" s="7" t="s">
        <v>130</v>
      </c>
      <c r="K42" s="11">
        <v>0.91874999999999996</v>
      </c>
      <c r="L42" s="7" t="s">
        <v>109</v>
      </c>
      <c r="M42" s="7" t="s">
        <v>109</v>
      </c>
      <c r="N42" s="6" t="s">
        <v>109</v>
      </c>
      <c r="O42" s="6" t="s">
        <v>61</v>
      </c>
      <c r="P42" s="7" t="s">
        <v>131</v>
      </c>
      <c r="Q42" s="7" t="s">
        <v>200</v>
      </c>
      <c r="R42" s="7" t="s">
        <v>62</v>
      </c>
      <c r="S42" s="7" t="s">
        <v>123</v>
      </c>
      <c r="T42" s="7" t="s">
        <v>109</v>
      </c>
      <c r="U42" s="7" t="s">
        <v>109</v>
      </c>
      <c r="V42" s="7" t="s">
        <v>109</v>
      </c>
      <c r="W42" s="6" t="s">
        <v>334</v>
      </c>
    </row>
    <row r="43" spans="1:23" x14ac:dyDescent="0.3">
      <c r="A43" s="7">
        <v>42</v>
      </c>
      <c r="B43" s="6" t="s">
        <v>23</v>
      </c>
      <c r="C43" s="6" t="s">
        <v>984</v>
      </c>
      <c r="D43" s="6">
        <v>50126272</v>
      </c>
      <c r="E43" s="6">
        <v>60</v>
      </c>
      <c r="F43" s="7">
        <v>121</v>
      </c>
      <c r="G43" s="7">
        <v>51</v>
      </c>
      <c r="H43" s="33" t="s">
        <v>184</v>
      </c>
      <c r="I43" s="7" t="s">
        <v>109</v>
      </c>
      <c r="J43" s="7" t="s">
        <v>130</v>
      </c>
      <c r="K43" s="11">
        <v>0.88541666666666663</v>
      </c>
      <c r="L43" s="7" t="s">
        <v>109</v>
      </c>
      <c r="M43" s="7" t="s">
        <v>109</v>
      </c>
      <c r="N43" s="6" t="s">
        <v>109</v>
      </c>
      <c r="O43" s="6" t="s">
        <v>61</v>
      </c>
      <c r="P43" s="7" t="s">
        <v>131</v>
      </c>
      <c r="Q43" s="7" t="s">
        <v>1143</v>
      </c>
      <c r="R43" s="7" t="s">
        <v>62</v>
      </c>
      <c r="S43" s="7" t="s">
        <v>123</v>
      </c>
      <c r="T43" s="7" t="s">
        <v>109</v>
      </c>
      <c r="U43" s="7" t="s">
        <v>109</v>
      </c>
      <c r="V43" s="7" t="s">
        <v>109</v>
      </c>
      <c r="W43" s="6" t="s">
        <v>334</v>
      </c>
    </row>
    <row r="44" spans="1:23" x14ac:dyDescent="0.3">
      <c r="A44" s="7">
        <v>43</v>
      </c>
      <c r="B44" s="6" t="s">
        <v>23</v>
      </c>
      <c r="C44" s="6" t="s">
        <v>985</v>
      </c>
      <c r="D44" s="6">
        <v>50126273</v>
      </c>
      <c r="E44" s="6">
        <v>250</v>
      </c>
      <c r="F44" s="7">
        <v>351</v>
      </c>
      <c r="G44" s="7">
        <v>232</v>
      </c>
      <c r="H44" s="33" t="s">
        <v>1107</v>
      </c>
      <c r="I44" s="7" t="s">
        <v>109</v>
      </c>
      <c r="J44" s="7" t="s">
        <v>130</v>
      </c>
      <c r="K44" s="11">
        <v>0.98611111111111116</v>
      </c>
      <c r="L44" s="7" t="s">
        <v>109</v>
      </c>
      <c r="M44" s="7" t="s">
        <v>109</v>
      </c>
      <c r="N44" s="6" t="s">
        <v>109</v>
      </c>
      <c r="O44" s="6" t="s">
        <v>61</v>
      </c>
      <c r="P44" s="7" t="s">
        <v>131</v>
      </c>
      <c r="Q44" s="7" t="s">
        <v>64</v>
      </c>
      <c r="R44" s="7" t="s">
        <v>62</v>
      </c>
      <c r="S44" s="7" t="s">
        <v>123</v>
      </c>
      <c r="T44" s="7" t="s">
        <v>109</v>
      </c>
      <c r="U44" s="7" t="s">
        <v>109</v>
      </c>
      <c r="V44" s="7" t="s">
        <v>109</v>
      </c>
      <c r="W44" s="6" t="s">
        <v>334</v>
      </c>
    </row>
    <row r="45" spans="1:23" x14ac:dyDescent="0.3">
      <c r="A45" s="7">
        <v>44</v>
      </c>
      <c r="B45" s="6" t="s">
        <v>23</v>
      </c>
      <c r="C45" s="6" t="s">
        <v>195</v>
      </c>
      <c r="D45" s="6">
        <v>50925076</v>
      </c>
      <c r="E45" s="6">
        <v>60</v>
      </c>
      <c r="F45" s="7">
        <v>88</v>
      </c>
      <c r="G45" s="7">
        <v>59</v>
      </c>
      <c r="H45" s="33" t="s">
        <v>70</v>
      </c>
      <c r="I45" s="7" t="s">
        <v>109</v>
      </c>
      <c r="J45" s="7" t="s">
        <v>130</v>
      </c>
      <c r="K45" s="11">
        <v>0.94097222222222221</v>
      </c>
      <c r="L45" s="7" t="s">
        <v>109</v>
      </c>
      <c r="M45" s="7" t="s">
        <v>109</v>
      </c>
      <c r="N45" s="6" t="s">
        <v>109</v>
      </c>
      <c r="O45" s="6" t="s">
        <v>61</v>
      </c>
      <c r="P45" s="7" t="s">
        <v>131</v>
      </c>
      <c r="Q45" s="7" t="s">
        <v>70</v>
      </c>
      <c r="R45" s="7" t="s">
        <v>62</v>
      </c>
      <c r="S45" s="7" t="s">
        <v>123</v>
      </c>
      <c r="T45" s="7" t="s">
        <v>109</v>
      </c>
      <c r="U45" s="7" t="s">
        <v>109</v>
      </c>
      <c r="V45" s="7" t="s">
        <v>109</v>
      </c>
      <c r="W45" s="6" t="s">
        <v>197</v>
      </c>
    </row>
    <row r="46" spans="1:23" x14ac:dyDescent="0.3">
      <c r="A46" s="7">
        <v>45</v>
      </c>
      <c r="B46" s="6" t="s">
        <v>23</v>
      </c>
      <c r="C46" s="6" t="s">
        <v>461</v>
      </c>
      <c r="D46" s="6">
        <v>51225062</v>
      </c>
      <c r="E46" s="6">
        <v>50</v>
      </c>
      <c r="F46" s="7">
        <v>85</v>
      </c>
      <c r="G46" s="7">
        <v>45</v>
      </c>
      <c r="H46" s="7" t="s">
        <v>89</v>
      </c>
      <c r="I46" s="7" t="s">
        <v>109</v>
      </c>
      <c r="J46" s="7" t="s">
        <v>130</v>
      </c>
      <c r="K46" s="11">
        <v>2.8472222222222222E-2</v>
      </c>
      <c r="L46" s="7" t="s">
        <v>109</v>
      </c>
      <c r="M46" s="7" t="s">
        <v>109</v>
      </c>
      <c r="N46" s="6" t="s">
        <v>109</v>
      </c>
      <c r="O46" s="6" t="s">
        <v>61</v>
      </c>
      <c r="P46" s="7" t="s">
        <v>131</v>
      </c>
      <c r="Q46" s="7" t="s">
        <v>89</v>
      </c>
      <c r="R46" s="7" t="s">
        <v>62</v>
      </c>
      <c r="S46" s="7" t="s">
        <v>123</v>
      </c>
      <c r="T46" s="7" t="s">
        <v>109</v>
      </c>
      <c r="U46" s="7" t="s">
        <v>109</v>
      </c>
      <c r="V46" s="7" t="s">
        <v>109</v>
      </c>
      <c r="W46" s="6" t="s">
        <v>197</v>
      </c>
    </row>
    <row r="47" spans="1:23" x14ac:dyDescent="0.3">
      <c r="A47" s="7">
        <v>46</v>
      </c>
      <c r="B47" s="6" t="s">
        <v>23</v>
      </c>
      <c r="C47" s="6" t="s">
        <v>458</v>
      </c>
      <c r="D47" s="6">
        <v>51225059</v>
      </c>
      <c r="E47" s="6">
        <v>50</v>
      </c>
      <c r="F47" s="7">
        <v>94</v>
      </c>
      <c r="G47" s="7">
        <v>56</v>
      </c>
      <c r="H47" s="7" t="s">
        <v>87</v>
      </c>
      <c r="I47" s="7" t="s">
        <v>109</v>
      </c>
      <c r="J47" s="7" t="s">
        <v>130</v>
      </c>
      <c r="K47" s="7" t="s">
        <v>1108</v>
      </c>
      <c r="L47" s="7" t="s">
        <v>109</v>
      </c>
      <c r="M47" s="7" t="s">
        <v>109</v>
      </c>
      <c r="N47" s="6" t="s">
        <v>109</v>
      </c>
      <c r="O47" s="6" t="s">
        <v>61</v>
      </c>
      <c r="P47" s="7" t="s">
        <v>131</v>
      </c>
      <c r="Q47" s="7" t="s">
        <v>87</v>
      </c>
      <c r="R47" s="7" t="s">
        <v>62</v>
      </c>
      <c r="S47" s="7" t="s">
        <v>123</v>
      </c>
      <c r="T47" s="7" t="s">
        <v>109</v>
      </c>
      <c r="U47" s="7" t="s">
        <v>109</v>
      </c>
      <c r="V47" s="7" t="s">
        <v>109</v>
      </c>
      <c r="W47" s="6" t="s">
        <v>197</v>
      </c>
    </row>
    <row r="48" spans="1:23" x14ac:dyDescent="0.3">
      <c r="A48" s="7">
        <v>47</v>
      </c>
      <c r="B48" s="6" t="s">
        <v>23</v>
      </c>
      <c r="C48" s="6" t="s">
        <v>457</v>
      </c>
      <c r="D48" s="6">
        <v>51225065</v>
      </c>
      <c r="E48" s="6">
        <v>50</v>
      </c>
      <c r="F48" s="7">
        <v>81</v>
      </c>
      <c r="G48" s="7">
        <v>51</v>
      </c>
      <c r="H48" s="7" t="s">
        <v>154</v>
      </c>
      <c r="I48" s="7" t="s">
        <v>109</v>
      </c>
      <c r="J48" s="7" t="s">
        <v>130</v>
      </c>
      <c r="K48" s="11">
        <v>0.72777777777777775</v>
      </c>
      <c r="L48" s="7" t="s">
        <v>109</v>
      </c>
      <c r="M48" s="7" t="s">
        <v>109</v>
      </c>
      <c r="N48" s="6" t="s">
        <v>109</v>
      </c>
      <c r="O48" s="6" t="s">
        <v>61</v>
      </c>
      <c r="P48" s="7" t="s">
        <v>131</v>
      </c>
      <c r="Q48" s="7" t="s">
        <v>154</v>
      </c>
      <c r="R48" s="7" t="s">
        <v>62</v>
      </c>
      <c r="S48" s="7" t="s">
        <v>123</v>
      </c>
      <c r="T48" s="7" t="s">
        <v>109</v>
      </c>
      <c r="U48" s="7" t="s">
        <v>109</v>
      </c>
      <c r="V48" s="7" t="s">
        <v>109</v>
      </c>
      <c r="W48" s="6" t="s">
        <v>197</v>
      </c>
    </row>
    <row r="49" spans="1:23" x14ac:dyDescent="0.3">
      <c r="A49" s="7">
        <v>48</v>
      </c>
      <c r="B49" s="6" t="s">
        <v>23</v>
      </c>
      <c r="C49" s="6" t="s">
        <v>1109</v>
      </c>
      <c r="D49" s="6">
        <v>51225042</v>
      </c>
      <c r="E49" s="6">
        <v>50</v>
      </c>
      <c r="F49" s="7">
        <v>104</v>
      </c>
      <c r="G49" s="7">
        <v>52</v>
      </c>
      <c r="H49" s="33" t="s">
        <v>90</v>
      </c>
      <c r="I49" s="7" t="s">
        <v>109</v>
      </c>
      <c r="J49" s="7" t="s">
        <v>130</v>
      </c>
      <c r="K49" s="11">
        <v>0.98819444444444449</v>
      </c>
      <c r="L49" s="7" t="s">
        <v>109</v>
      </c>
      <c r="M49" s="7" t="s">
        <v>109</v>
      </c>
      <c r="N49" s="6" t="s">
        <v>109</v>
      </c>
      <c r="O49" s="6" t="s">
        <v>61</v>
      </c>
      <c r="P49" s="7" t="s">
        <v>131</v>
      </c>
      <c r="Q49" s="7" t="s">
        <v>90</v>
      </c>
      <c r="R49" s="7" t="s">
        <v>62</v>
      </c>
      <c r="S49" s="7" t="s">
        <v>123</v>
      </c>
      <c r="T49" s="7" t="s">
        <v>109</v>
      </c>
      <c r="U49" s="7" t="s">
        <v>109</v>
      </c>
      <c r="V49" s="7" t="s">
        <v>109</v>
      </c>
      <c r="W49" s="6" t="s">
        <v>197</v>
      </c>
    </row>
    <row r="50" spans="1:23" x14ac:dyDescent="0.3">
      <c r="A50" s="7">
        <v>49</v>
      </c>
      <c r="B50" s="6" t="s">
        <v>23</v>
      </c>
      <c r="C50" s="6" t="s">
        <v>201</v>
      </c>
      <c r="D50" s="6">
        <v>51225045</v>
      </c>
      <c r="E50" s="6">
        <v>50</v>
      </c>
      <c r="F50" s="7">
        <v>120</v>
      </c>
      <c r="G50" s="7">
        <v>18</v>
      </c>
      <c r="H50" s="7" t="s">
        <v>86</v>
      </c>
      <c r="I50" s="7" t="s">
        <v>109</v>
      </c>
      <c r="J50" s="7" t="s">
        <v>130</v>
      </c>
      <c r="K50" s="11">
        <v>0.80277777777777781</v>
      </c>
      <c r="L50" s="7" t="s">
        <v>109</v>
      </c>
      <c r="M50" s="7" t="s">
        <v>109</v>
      </c>
      <c r="N50" s="6" t="s">
        <v>109</v>
      </c>
      <c r="O50" s="6" t="s">
        <v>61</v>
      </c>
      <c r="P50" s="7" t="s">
        <v>131</v>
      </c>
      <c r="Q50" s="7" t="s">
        <v>86</v>
      </c>
      <c r="R50" s="7" t="s">
        <v>62</v>
      </c>
      <c r="S50" s="7" t="s">
        <v>123</v>
      </c>
      <c r="T50" s="7" t="s">
        <v>109</v>
      </c>
      <c r="U50" s="7" t="s">
        <v>109</v>
      </c>
      <c r="V50" s="7" t="s">
        <v>109</v>
      </c>
      <c r="W50" s="6" t="s">
        <v>197</v>
      </c>
    </row>
    <row r="51" spans="1:23" x14ac:dyDescent="0.3">
      <c r="A51" s="7">
        <v>50</v>
      </c>
      <c r="B51" s="6" t="s">
        <v>23</v>
      </c>
      <c r="C51" s="6" t="s">
        <v>202</v>
      </c>
      <c r="D51" s="6">
        <v>51225044</v>
      </c>
      <c r="E51" s="6">
        <v>60</v>
      </c>
      <c r="F51" s="7">
        <v>122</v>
      </c>
      <c r="G51" s="7">
        <v>26</v>
      </c>
      <c r="H51" s="7" t="s">
        <v>64</v>
      </c>
      <c r="I51" s="7" t="s">
        <v>109</v>
      </c>
      <c r="J51" s="7" t="s">
        <v>130</v>
      </c>
      <c r="K51" s="11">
        <v>0.77777777777777779</v>
      </c>
      <c r="L51" s="7" t="s">
        <v>109</v>
      </c>
      <c r="M51" s="7" t="s">
        <v>109</v>
      </c>
      <c r="N51" s="6" t="s">
        <v>109</v>
      </c>
      <c r="O51" s="6" t="s">
        <v>61</v>
      </c>
      <c r="P51" s="7" t="s">
        <v>131</v>
      </c>
      <c r="Q51" s="7" t="s">
        <v>64</v>
      </c>
      <c r="R51" s="7" t="s">
        <v>62</v>
      </c>
      <c r="S51" s="7" t="s">
        <v>123</v>
      </c>
      <c r="T51" s="7" t="s">
        <v>109</v>
      </c>
      <c r="U51" s="7" t="s">
        <v>109</v>
      </c>
      <c r="V51" s="7" t="s">
        <v>109</v>
      </c>
      <c r="W51" s="6" t="s">
        <v>197</v>
      </c>
    </row>
    <row r="52" spans="1:23" x14ac:dyDescent="0.3">
      <c r="A52" s="7">
        <v>51</v>
      </c>
      <c r="B52" s="6" t="s">
        <v>23</v>
      </c>
      <c r="C52" s="6" t="s">
        <v>203</v>
      </c>
      <c r="D52" s="6">
        <v>51025063</v>
      </c>
      <c r="E52" s="6">
        <v>100</v>
      </c>
      <c r="F52" s="7">
        <v>167</v>
      </c>
      <c r="G52" s="7">
        <v>102</v>
      </c>
      <c r="H52" s="33" t="s">
        <v>87</v>
      </c>
      <c r="I52" s="7" t="s">
        <v>109</v>
      </c>
      <c r="J52" s="7" t="s">
        <v>130</v>
      </c>
      <c r="K52" s="11">
        <v>1.7361111111111112E-2</v>
      </c>
      <c r="L52" s="7" t="s">
        <v>109</v>
      </c>
      <c r="M52" s="7" t="s">
        <v>109</v>
      </c>
      <c r="N52" s="6" t="s">
        <v>109</v>
      </c>
      <c r="O52" s="6" t="s">
        <v>61</v>
      </c>
      <c r="P52" s="7" t="s">
        <v>131</v>
      </c>
      <c r="Q52" s="7" t="s">
        <v>87</v>
      </c>
      <c r="R52" s="7" t="s">
        <v>62</v>
      </c>
      <c r="S52" s="7" t="s">
        <v>123</v>
      </c>
      <c r="T52" s="7" t="s">
        <v>109</v>
      </c>
      <c r="U52" s="7" t="s">
        <v>109</v>
      </c>
      <c r="V52" s="7" t="s">
        <v>109</v>
      </c>
      <c r="W52" s="6" t="s">
        <v>197</v>
      </c>
    </row>
    <row r="53" spans="1:23" x14ac:dyDescent="0.3">
      <c r="A53" s="7">
        <v>52</v>
      </c>
      <c r="B53" s="6" t="s">
        <v>23</v>
      </c>
      <c r="C53" s="6" t="s">
        <v>199</v>
      </c>
      <c r="D53" s="6">
        <v>50925064</v>
      </c>
      <c r="E53" s="6">
        <v>60</v>
      </c>
      <c r="F53" s="7">
        <v>99</v>
      </c>
      <c r="G53" s="7">
        <v>55</v>
      </c>
      <c r="H53" s="7" t="s">
        <v>153</v>
      </c>
      <c r="I53" s="7" t="s">
        <v>109</v>
      </c>
      <c r="J53" s="7" t="s">
        <v>130</v>
      </c>
      <c r="K53" s="11">
        <v>0.66736111111111107</v>
      </c>
      <c r="L53" s="7" t="s">
        <v>109</v>
      </c>
      <c r="M53" s="7" t="s">
        <v>109</v>
      </c>
      <c r="N53" s="6" t="s">
        <v>109</v>
      </c>
      <c r="O53" s="6" t="s">
        <v>61</v>
      </c>
      <c r="P53" s="7" t="s">
        <v>131</v>
      </c>
      <c r="Q53" s="7" t="s">
        <v>527</v>
      </c>
      <c r="R53" s="7" t="s">
        <v>62</v>
      </c>
      <c r="S53" s="7" t="s">
        <v>123</v>
      </c>
      <c r="T53" s="7" t="s">
        <v>109</v>
      </c>
      <c r="U53" s="7" t="s">
        <v>109</v>
      </c>
      <c r="V53" s="7" t="s">
        <v>109</v>
      </c>
      <c r="W53" s="6" t="s">
        <v>197</v>
      </c>
    </row>
    <row r="54" spans="1:23" x14ac:dyDescent="0.3">
      <c r="A54" s="7">
        <v>53</v>
      </c>
      <c r="B54" s="6" t="s">
        <v>23</v>
      </c>
      <c r="C54" s="6" t="s">
        <v>1110</v>
      </c>
      <c r="D54" s="6">
        <v>50126322</v>
      </c>
      <c r="E54" s="6">
        <v>200</v>
      </c>
      <c r="F54" s="7">
        <v>362</v>
      </c>
      <c r="G54" s="7">
        <v>186</v>
      </c>
      <c r="H54" s="7" t="s">
        <v>1111</v>
      </c>
      <c r="I54" s="7" t="s">
        <v>109</v>
      </c>
      <c r="J54" s="7" t="s">
        <v>130</v>
      </c>
      <c r="K54" s="11">
        <v>0.95416666666666672</v>
      </c>
      <c r="L54" s="7" t="s">
        <v>109</v>
      </c>
      <c r="M54" s="7" t="s">
        <v>109</v>
      </c>
      <c r="N54" s="6" t="s">
        <v>109</v>
      </c>
      <c r="O54" s="6" t="s">
        <v>61</v>
      </c>
      <c r="P54" s="7" t="s">
        <v>131</v>
      </c>
      <c r="Q54" s="7" t="s">
        <v>86</v>
      </c>
      <c r="R54" s="7" t="s">
        <v>62</v>
      </c>
      <c r="S54" s="7" t="s">
        <v>123</v>
      </c>
      <c r="T54" s="7" t="s">
        <v>109</v>
      </c>
      <c r="U54" s="7" t="s">
        <v>109</v>
      </c>
      <c r="V54" s="7" t="s">
        <v>109</v>
      </c>
      <c r="W54" s="6" t="s">
        <v>1112</v>
      </c>
    </row>
    <row r="55" spans="1:23" x14ac:dyDescent="0.3">
      <c r="A55" s="7">
        <v>54</v>
      </c>
      <c r="B55" s="6" t="s">
        <v>23</v>
      </c>
      <c r="C55" s="6" t="s">
        <v>1113</v>
      </c>
      <c r="D55" s="6">
        <v>50126323</v>
      </c>
      <c r="E55" s="6">
        <v>150</v>
      </c>
      <c r="F55" s="7">
        <v>189</v>
      </c>
      <c r="G55" s="7">
        <v>144</v>
      </c>
      <c r="H55" s="33" t="s">
        <v>1114</v>
      </c>
      <c r="I55" s="7" t="s">
        <v>109</v>
      </c>
      <c r="J55" s="7" t="s">
        <v>130</v>
      </c>
      <c r="K55" s="11">
        <v>1.3194444444444444E-2</v>
      </c>
      <c r="L55" s="7" t="s">
        <v>109</v>
      </c>
      <c r="M55" s="7" t="s">
        <v>109</v>
      </c>
      <c r="N55" s="6" t="s">
        <v>109</v>
      </c>
      <c r="O55" s="6" t="s">
        <v>61</v>
      </c>
      <c r="P55" s="7" t="s">
        <v>131</v>
      </c>
      <c r="Q55" s="7" t="s">
        <v>209</v>
      </c>
      <c r="R55" s="7" t="s">
        <v>62</v>
      </c>
      <c r="S55" s="7" t="s">
        <v>123</v>
      </c>
      <c r="T55" s="7" t="s">
        <v>109</v>
      </c>
      <c r="U55" s="7" t="s">
        <v>109</v>
      </c>
      <c r="V55" s="7" t="s">
        <v>109</v>
      </c>
      <c r="W55" s="6" t="s">
        <v>1112</v>
      </c>
    </row>
    <row r="56" spans="1:23" x14ac:dyDescent="0.3">
      <c r="A56" s="7">
        <v>55</v>
      </c>
      <c r="B56" s="6" t="s">
        <v>23</v>
      </c>
      <c r="C56" s="6" t="s">
        <v>1115</v>
      </c>
      <c r="D56" s="6">
        <v>50126321</v>
      </c>
      <c r="E56" s="6">
        <v>200</v>
      </c>
      <c r="F56" s="7">
        <v>294</v>
      </c>
      <c r="G56" s="7">
        <v>208</v>
      </c>
      <c r="H56" s="7" t="s">
        <v>1116</v>
      </c>
      <c r="I56" s="7" t="s">
        <v>109</v>
      </c>
      <c r="J56" s="7" t="s">
        <v>130</v>
      </c>
      <c r="K56" s="11">
        <v>0.95694444444444449</v>
      </c>
      <c r="L56" s="7" t="s">
        <v>109</v>
      </c>
      <c r="M56" s="7" t="s">
        <v>109</v>
      </c>
      <c r="N56" s="6" t="s">
        <v>109</v>
      </c>
      <c r="O56" s="6" t="s">
        <v>61</v>
      </c>
      <c r="P56" s="7" t="s">
        <v>131</v>
      </c>
      <c r="Q56" s="7" t="s">
        <v>89</v>
      </c>
      <c r="R56" s="7" t="s">
        <v>62</v>
      </c>
      <c r="S56" s="7" t="s">
        <v>123</v>
      </c>
      <c r="T56" s="7" t="s">
        <v>109</v>
      </c>
      <c r="U56" s="7" t="s">
        <v>109</v>
      </c>
      <c r="V56" s="7" t="s">
        <v>109</v>
      </c>
      <c r="W56" s="6" t="s">
        <v>1112</v>
      </c>
    </row>
    <row r="57" spans="1:23" x14ac:dyDescent="0.3">
      <c r="A57" s="7">
        <v>56</v>
      </c>
      <c r="B57" s="6" t="s">
        <v>143</v>
      </c>
      <c r="C57" s="6" t="s">
        <v>954</v>
      </c>
      <c r="D57" s="6">
        <v>11125024</v>
      </c>
      <c r="E57" s="6">
        <v>60</v>
      </c>
      <c r="F57" s="7">
        <v>116</v>
      </c>
      <c r="G57" s="7">
        <v>68</v>
      </c>
      <c r="H57" s="7" t="s">
        <v>200</v>
      </c>
      <c r="I57" s="7" t="s">
        <v>109</v>
      </c>
      <c r="J57" s="7" t="s">
        <v>130</v>
      </c>
      <c r="K57" s="11">
        <v>0.67638888888888893</v>
      </c>
      <c r="L57" s="7" t="s">
        <v>109</v>
      </c>
      <c r="M57" s="7" t="s">
        <v>109</v>
      </c>
      <c r="N57" s="6" t="s">
        <v>109</v>
      </c>
      <c r="O57" s="6" t="s">
        <v>61</v>
      </c>
      <c r="P57" s="7" t="s">
        <v>131</v>
      </c>
      <c r="Q57" s="7" t="s">
        <v>200</v>
      </c>
      <c r="R57" s="7" t="s">
        <v>62</v>
      </c>
      <c r="S57" s="7" t="s">
        <v>123</v>
      </c>
      <c r="T57" s="7" t="s">
        <v>109</v>
      </c>
      <c r="U57" s="7" t="s">
        <v>109</v>
      </c>
      <c r="V57" s="7" t="s">
        <v>109</v>
      </c>
      <c r="W57" s="6" t="s">
        <v>116</v>
      </c>
    </row>
    <row r="58" spans="1:23" x14ac:dyDescent="0.3">
      <c r="A58" s="7">
        <v>57</v>
      </c>
      <c r="B58" s="6" t="s">
        <v>143</v>
      </c>
      <c r="C58" s="6" t="s">
        <v>347</v>
      </c>
      <c r="D58" s="6">
        <v>11225025</v>
      </c>
      <c r="E58" s="6">
        <v>100</v>
      </c>
      <c r="F58" s="7">
        <v>145</v>
      </c>
      <c r="G58" s="7">
        <v>100</v>
      </c>
      <c r="H58" s="7" t="s">
        <v>154</v>
      </c>
      <c r="I58" s="7" t="s">
        <v>109</v>
      </c>
      <c r="J58" s="7" t="s">
        <v>130</v>
      </c>
      <c r="K58" s="11">
        <v>0.96527777777777779</v>
      </c>
      <c r="L58" s="7" t="s">
        <v>109</v>
      </c>
      <c r="M58" s="7" t="s">
        <v>109</v>
      </c>
      <c r="N58" s="6" t="s">
        <v>109</v>
      </c>
      <c r="O58" s="6" t="s">
        <v>61</v>
      </c>
      <c r="P58" s="7" t="s">
        <v>131</v>
      </c>
      <c r="Q58" s="7" t="s">
        <v>154</v>
      </c>
      <c r="R58" s="7" t="s">
        <v>62</v>
      </c>
      <c r="S58" s="7" t="s">
        <v>123</v>
      </c>
      <c r="T58" s="7" t="s">
        <v>109</v>
      </c>
      <c r="U58" s="7" t="s">
        <v>109</v>
      </c>
      <c r="V58" s="7" t="s">
        <v>109</v>
      </c>
      <c r="W58" s="6" t="s">
        <v>116</v>
      </c>
    </row>
    <row r="59" spans="1:23" x14ac:dyDescent="0.3">
      <c r="A59" s="7">
        <v>58</v>
      </c>
      <c r="B59" s="6" t="s">
        <v>143</v>
      </c>
      <c r="C59" s="6" t="s">
        <v>955</v>
      </c>
      <c r="D59" s="6">
        <v>10126015</v>
      </c>
      <c r="E59" s="6">
        <v>75</v>
      </c>
      <c r="F59" s="7">
        <v>121</v>
      </c>
      <c r="G59" s="7">
        <v>84</v>
      </c>
      <c r="H59" s="7" t="s">
        <v>65</v>
      </c>
      <c r="I59" s="7" t="s">
        <v>109</v>
      </c>
      <c r="J59" s="7" t="s">
        <v>130</v>
      </c>
      <c r="K59" s="11">
        <v>0.94722222222222219</v>
      </c>
      <c r="L59" s="7" t="s">
        <v>109</v>
      </c>
      <c r="M59" s="7" t="s">
        <v>109</v>
      </c>
      <c r="N59" s="6" t="s">
        <v>109</v>
      </c>
      <c r="O59" s="6" t="s">
        <v>61</v>
      </c>
      <c r="P59" s="7" t="s">
        <v>131</v>
      </c>
      <c r="Q59" s="7" t="s">
        <v>65</v>
      </c>
      <c r="R59" s="7" t="s">
        <v>62</v>
      </c>
      <c r="S59" s="7" t="s">
        <v>123</v>
      </c>
      <c r="T59" s="7" t="s">
        <v>109</v>
      </c>
      <c r="U59" s="7" t="s">
        <v>109</v>
      </c>
      <c r="V59" s="7" t="s">
        <v>109</v>
      </c>
      <c r="W59" s="6" t="s">
        <v>956</v>
      </c>
    </row>
    <row r="60" spans="1:23" x14ac:dyDescent="0.3">
      <c r="A60" s="7">
        <v>59</v>
      </c>
      <c r="B60" s="6" t="s">
        <v>143</v>
      </c>
      <c r="C60" s="6" t="s">
        <v>786</v>
      </c>
      <c r="D60" s="6">
        <v>10126011</v>
      </c>
      <c r="E60" s="6">
        <v>40</v>
      </c>
      <c r="F60" s="7">
        <v>86</v>
      </c>
      <c r="G60" s="7">
        <v>39</v>
      </c>
      <c r="H60" s="7" t="s">
        <v>196</v>
      </c>
      <c r="I60" s="7" t="s">
        <v>603</v>
      </c>
      <c r="J60" s="7" t="s">
        <v>130</v>
      </c>
      <c r="K60" s="11">
        <v>0.87291666666666667</v>
      </c>
      <c r="L60" s="11">
        <v>4.1666666666666666E-3</v>
      </c>
      <c r="M60" s="7" t="s">
        <v>109</v>
      </c>
      <c r="N60" s="6" t="s">
        <v>109</v>
      </c>
      <c r="O60" s="6" t="s">
        <v>61</v>
      </c>
      <c r="P60" s="7" t="s">
        <v>131</v>
      </c>
      <c r="Q60" s="7" t="s">
        <v>603</v>
      </c>
      <c r="R60" s="7" t="s">
        <v>62</v>
      </c>
      <c r="S60" s="7" t="s">
        <v>123</v>
      </c>
      <c r="T60" s="7" t="s">
        <v>109</v>
      </c>
      <c r="U60" s="7" t="s">
        <v>109</v>
      </c>
      <c r="V60" s="7" t="s">
        <v>109</v>
      </c>
      <c r="W60" s="6" t="s">
        <v>398</v>
      </c>
    </row>
    <row r="61" spans="1:23" x14ac:dyDescent="0.3">
      <c r="A61" s="7">
        <v>60</v>
      </c>
      <c r="B61" s="6" t="s">
        <v>143</v>
      </c>
      <c r="C61" s="6" t="s">
        <v>775</v>
      </c>
      <c r="D61" s="6">
        <v>10126014</v>
      </c>
      <c r="E61" s="6" t="s">
        <v>287</v>
      </c>
      <c r="F61" s="7">
        <v>113</v>
      </c>
      <c r="G61" s="7">
        <v>6</v>
      </c>
      <c r="H61" s="7" t="s">
        <v>368</v>
      </c>
      <c r="I61" s="7" t="s">
        <v>109</v>
      </c>
      <c r="J61" s="7" t="s">
        <v>130</v>
      </c>
      <c r="K61" s="11">
        <v>0.96666666666666667</v>
      </c>
      <c r="L61" s="7" t="s">
        <v>109</v>
      </c>
      <c r="M61" s="7" t="s">
        <v>109</v>
      </c>
      <c r="N61" s="6" t="s">
        <v>109</v>
      </c>
      <c r="O61" s="6" t="s">
        <v>61</v>
      </c>
      <c r="P61" s="7" t="s">
        <v>131</v>
      </c>
      <c r="Q61" s="7" t="s">
        <v>1146</v>
      </c>
      <c r="R61" s="7" t="s">
        <v>62</v>
      </c>
      <c r="S61" s="7" t="s">
        <v>123</v>
      </c>
      <c r="T61" s="7" t="s">
        <v>109</v>
      </c>
      <c r="U61" s="7" t="s">
        <v>109</v>
      </c>
      <c r="V61" s="7" t="s">
        <v>109</v>
      </c>
      <c r="W61" s="6" t="s">
        <v>351</v>
      </c>
    </row>
    <row r="62" spans="1:23" x14ac:dyDescent="0.3">
      <c r="A62" s="7">
        <v>61</v>
      </c>
      <c r="B62" s="6" t="s">
        <v>23</v>
      </c>
      <c r="C62" s="6" t="s">
        <v>849</v>
      </c>
      <c r="D62" s="6">
        <v>50126213</v>
      </c>
      <c r="E62" s="6">
        <v>500</v>
      </c>
      <c r="F62" s="7">
        <v>780</v>
      </c>
      <c r="G62" s="7">
        <v>434</v>
      </c>
      <c r="H62" s="7" t="s">
        <v>1117</v>
      </c>
      <c r="I62" s="7" t="s">
        <v>109</v>
      </c>
      <c r="J62" s="7" t="s">
        <v>130</v>
      </c>
      <c r="K62" s="11">
        <v>0.78055555555555556</v>
      </c>
      <c r="L62" s="7" t="s">
        <v>109</v>
      </c>
      <c r="M62" s="7" t="s">
        <v>109</v>
      </c>
      <c r="N62" s="6" t="s">
        <v>110</v>
      </c>
      <c r="O62" s="6" t="s">
        <v>61</v>
      </c>
      <c r="P62" s="7" t="s">
        <v>131</v>
      </c>
      <c r="Q62" s="7" t="s">
        <v>209</v>
      </c>
      <c r="R62" s="7" t="s">
        <v>62</v>
      </c>
      <c r="S62" s="7" t="s">
        <v>123</v>
      </c>
      <c r="T62" s="7" t="s">
        <v>109</v>
      </c>
      <c r="U62" s="7" t="s">
        <v>109</v>
      </c>
      <c r="V62" s="7" t="s">
        <v>109</v>
      </c>
      <c r="W62" s="6" t="s">
        <v>424</v>
      </c>
    </row>
    <row r="63" spans="1:23" x14ac:dyDescent="0.3">
      <c r="A63" s="7">
        <v>62</v>
      </c>
      <c r="B63" s="6" t="s">
        <v>23</v>
      </c>
      <c r="C63" s="6" t="s">
        <v>825</v>
      </c>
      <c r="D63" s="6">
        <v>50126210</v>
      </c>
      <c r="E63" s="6">
        <v>85</v>
      </c>
      <c r="F63" s="7">
        <v>119</v>
      </c>
      <c r="G63" s="7">
        <v>11</v>
      </c>
      <c r="H63" s="7" t="s">
        <v>154</v>
      </c>
      <c r="I63" s="7" t="s">
        <v>109</v>
      </c>
      <c r="J63" s="7" t="s">
        <v>130</v>
      </c>
      <c r="K63" s="11">
        <v>0.96666666666666667</v>
      </c>
      <c r="L63" s="7" t="s">
        <v>109</v>
      </c>
      <c r="M63" s="7" t="s">
        <v>109</v>
      </c>
      <c r="N63" s="6" t="s">
        <v>109</v>
      </c>
      <c r="O63" s="6" t="s">
        <v>61</v>
      </c>
      <c r="P63" s="7" t="s">
        <v>131</v>
      </c>
      <c r="Q63" s="7" t="s">
        <v>154</v>
      </c>
      <c r="R63" s="7" t="s">
        <v>62</v>
      </c>
      <c r="S63" s="7" t="s">
        <v>123</v>
      </c>
      <c r="T63" s="7" t="s">
        <v>109</v>
      </c>
      <c r="U63" s="7" t="s">
        <v>109</v>
      </c>
      <c r="V63" s="7" t="s">
        <v>109</v>
      </c>
      <c r="W63" s="6" t="s">
        <v>424</v>
      </c>
    </row>
    <row r="64" spans="1:23" x14ac:dyDescent="0.3">
      <c r="A64" s="7">
        <v>63</v>
      </c>
      <c r="B64" s="6" t="s">
        <v>23</v>
      </c>
      <c r="C64" s="6" t="s">
        <v>540</v>
      </c>
      <c r="D64" s="6">
        <v>50126082</v>
      </c>
      <c r="E64" s="6">
        <v>100</v>
      </c>
      <c r="F64" s="7">
        <v>122</v>
      </c>
      <c r="G64" s="7">
        <v>103</v>
      </c>
      <c r="H64" s="33" t="s">
        <v>90</v>
      </c>
      <c r="I64" s="7" t="s">
        <v>109</v>
      </c>
      <c r="J64" s="7" t="s">
        <v>130</v>
      </c>
      <c r="K64" s="7" t="s">
        <v>1155</v>
      </c>
      <c r="L64" s="7" t="s">
        <v>109</v>
      </c>
      <c r="M64" s="7" t="s">
        <v>109</v>
      </c>
      <c r="N64" s="6" t="s">
        <v>109</v>
      </c>
      <c r="O64" s="6" t="s">
        <v>61</v>
      </c>
      <c r="P64" s="7" t="s">
        <v>131</v>
      </c>
      <c r="Q64" s="7" t="s">
        <v>90</v>
      </c>
      <c r="R64" s="7" t="s">
        <v>62</v>
      </c>
      <c r="S64" s="7" t="s">
        <v>123</v>
      </c>
      <c r="T64" s="7" t="s">
        <v>109</v>
      </c>
      <c r="U64" s="7" t="s">
        <v>109</v>
      </c>
      <c r="V64" s="7" t="s">
        <v>109</v>
      </c>
      <c r="W64" s="6" t="s">
        <v>424</v>
      </c>
    </row>
    <row r="65" spans="1:23" x14ac:dyDescent="0.3">
      <c r="A65" s="7">
        <v>64</v>
      </c>
      <c r="B65" s="6" t="s">
        <v>23</v>
      </c>
      <c r="C65" s="6" t="s">
        <v>538</v>
      </c>
      <c r="D65" s="6">
        <v>50126084</v>
      </c>
      <c r="E65" s="6">
        <v>120</v>
      </c>
      <c r="F65" s="7">
        <v>255</v>
      </c>
      <c r="G65" s="7">
        <v>39</v>
      </c>
      <c r="H65" s="7" t="s">
        <v>1138</v>
      </c>
      <c r="I65" s="7" t="s">
        <v>109</v>
      </c>
      <c r="J65" s="7" t="s">
        <v>130</v>
      </c>
      <c r="K65" s="11">
        <v>0.89027777777777772</v>
      </c>
      <c r="L65" s="7" t="s">
        <v>109</v>
      </c>
      <c r="M65" s="7" t="s">
        <v>109</v>
      </c>
      <c r="N65" s="6" t="s">
        <v>109</v>
      </c>
      <c r="O65" s="6" t="s">
        <v>61</v>
      </c>
      <c r="P65" s="7" t="s">
        <v>131</v>
      </c>
      <c r="Q65" s="7" t="s">
        <v>222</v>
      </c>
      <c r="R65" s="7" t="s">
        <v>62</v>
      </c>
      <c r="S65" s="7" t="s">
        <v>123</v>
      </c>
      <c r="T65" s="7" t="s">
        <v>109</v>
      </c>
      <c r="U65" s="7" t="s">
        <v>109</v>
      </c>
      <c r="V65" s="7" t="s">
        <v>109</v>
      </c>
      <c r="W65" s="6" t="s">
        <v>424</v>
      </c>
    </row>
    <row r="66" spans="1:23" x14ac:dyDescent="0.3">
      <c r="A66" s="7">
        <v>65</v>
      </c>
      <c r="B66" s="6" t="s">
        <v>23</v>
      </c>
      <c r="C66" s="6" t="s">
        <v>833</v>
      </c>
      <c r="D66" s="6">
        <v>50126108</v>
      </c>
      <c r="E66" s="6">
        <v>100</v>
      </c>
      <c r="F66" s="7">
        <v>205</v>
      </c>
      <c r="G66" s="7">
        <v>44</v>
      </c>
      <c r="H66" s="7" t="s">
        <v>86</v>
      </c>
      <c r="I66" s="7" t="s">
        <v>109</v>
      </c>
      <c r="J66" s="7" t="s">
        <v>130</v>
      </c>
      <c r="K66" s="11">
        <v>2.5694444444444443E-2</v>
      </c>
      <c r="L66" s="7" t="s">
        <v>109</v>
      </c>
      <c r="M66" s="7" t="s">
        <v>109</v>
      </c>
      <c r="N66" s="6" t="s">
        <v>109</v>
      </c>
      <c r="O66" s="6" t="s">
        <v>61</v>
      </c>
      <c r="P66" s="7" t="s">
        <v>131</v>
      </c>
      <c r="Q66" s="7" t="s">
        <v>86</v>
      </c>
      <c r="R66" s="7" t="s">
        <v>62</v>
      </c>
      <c r="S66" s="7" t="s">
        <v>123</v>
      </c>
      <c r="T66" s="7" t="s">
        <v>109</v>
      </c>
      <c r="U66" s="7" t="s">
        <v>109</v>
      </c>
      <c r="V66" s="7" t="s">
        <v>109</v>
      </c>
      <c r="W66" s="6" t="s">
        <v>424</v>
      </c>
    </row>
    <row r="67" spans="1:23" x14ac:dyDescent="0.3">
      <c r="A67" s="7">
        <v>66</v>
      </c>
      <c r="B67" s="6" t="s">
        <v>23</v>
      </c>
      <c r="C67" s="6" t="s">
        <v>835</v>
      </c>
      <c r="D67" s="6">
        <v>50126103</v>
      </c>
      <c r="E67" s="6">
        <v>120</v>
      </c>
      <c r="F67" s="7">
        <v>249</v>
      </c>
      <c r="G67" s="7">
        <v>115</v>
      </c>
      <c r="H67" s="7" t="s">
        <v>262</v>
      </c>
      <c r="I67" s="7" t="s">
        <v>109</v>
      </c>
      <c r="J67" s="7" t="s">
        <v>130</v>
      </c>
      <c r="K67" s="11">
        <v>0.95208333333333328</v>
      </c>
      <c r="L67" s="7" t="s">
        <v>109</v>
      </c>
      <c r="M67" s="7" t="s">
        <v>109</v>
      </c>
      <c r="N67" s="6" t="s">
        <v>109</v>
      </c>
      <c r="O67" s="6" t="s">
        <v>61</v>
      </c>
      <c r="P67" s="7" t="s">
        <v>131</v>
      </c>
      <c r="Q67" s="7" t="s">
        <v>222</v>
      </c>
      <c r="R67" s="7" t="s">
        <v>62</v>
      </c>
      <c r="S67" s="7" t="s">
        <v>123</v>
      </c>
      <c r="T67" s="7" t="s">
        <v>109</v>
      </c>
      <c r="U67" s="7" t="s">
        <v>109</v>
      </c>
      <c r="V67" s="7" t="s">
        <v>109</v>
      </c>
      <c r="W67" s="6" t="s">
        <v>424</v>
      </c>
    </row>
    <row r="68" spans="1:23" x14ac:dyDescent="0.3">
      <c r="A68" s="7">
        <v>67</v>
      </c>
      <c r="B68" s="6" t="s">
        <v>23</v>
      </c>
      <c r="C68" s="6" t="s">
        <v>837</v>
      </c>
      <c r="D68" s="6">
        <v>50126110</v>
      </c>
      <c r="E68" s="6">
        <v>100</v>
      </c>
      <c r="F68" s="7">
        <v>181</v>
      </c>
      <c r="G68" s="7">
        <v>28</v>
      </c>
      <c r="H68" s="7" t="s">
        <v>82</v>
      </c>
      <c r="I68" s="7" t="s">
        <v>109</v>
      </c>
      <c r="J68" s="7" t="s">
        <v>130</v>
      </c>
      <c r="K68" s="11">
        <v>1.6666666666666666E-2</v>
      </c>
      <c r="L68" s="7" t="s">
        <v>109</v>
      </c>
      <c r="M68" s="7" t="s">
        <v>109</v>
      </c>
      <c r="N68" s="6" t="s">
        <v>109</v>
      </c>
      <c r="O68" s="6" t="s">
        <v>61</v>
      </c>
      <c r="P68" s="7" t="s">
        <v>131</v>
      </c>
      <c r="Q68" s="7" t="s">
        <v>82</v>
      </c>
      <c r="R68" s="7" t="s">
        <v>62</v>
      </c>
      <c r="S68" s="7" t="s">
        <v>123</v>
      </c>
      <c r="T68" s="7" t="s">
        <v>109</v>
      </c>
      <c r="U68" s="7" t="s">
        <v>109</v>
      </c>
      <c r="V68" s="7" t="s">
        <v>109</v>
      </c>
      <c r="W68" s="6" t="s">
        <v>424</v>
      </c>
    </row>
    <row r="69" spans="1:23" x14ac:dyDescent="0.3">
      <c r="A69" s="7">
        <v>68</v>
      </c>
      <c r="B69" s="6" t="s">
        <v>23</v>
      </c>
      <c r="C69" s="6" t="s">
        <v>839</v>
      </c>
      <c r="D69" s="6">
        <v>50126106</v>
      </c>
      <c r="E69" s="6">
        <v>100</v>
      </c>
      <c r="F69" s="7">
        <v>200</v>
      </c>
      <c r="G69" s="7">
        <v>34</v>
      </c>
      <c r="H69" s="33" t="s">
        <v>184</v>
      </c>
      <c r="I69" s="7" t="s">
        <v>109</v>
      </c>
      <c r="J69" s="7" t="s">
        <v>130</v>
      </c>
      <c r="K69" s="11">
        <v>0.85277777777777775</v>
      </c>
      <c r="L69" s="7" t="s">
        <v>109</v>
      </c>
      <c r="M69" s="7" t="s">
        <v>109</v>
      </c>
      <c r="N69" s="6" t="s">
        <v>109</v>
      </c>
      <c r="O69" s="6" t="s">
        <v>61</v>
      </c>
      <c r="P69" s="11" t="s">
        <v>131</v>
      </c>
      <c r="Q69" s="7" t="s">
        <v>184</v>
      </c>
      <c r="R69" s="7" t="s">
        <v>62</v>
      </c>
      <c r="S69" s="7" t="s">
        <v>123</v>
      </c>
      <c r="T69" s="7" t="s">
        <v>109</v>
      </c>
      <c r="U69" s="7" t="s">
        <v>109</v>
      </c>
      <c r="V69" s="7" t="s">
        <v>109</v>
      </c>
      <c r="W69" s="6" t="s">
        <v>424</v>
      </c>
    </row>
    <row r="70" spans="1:23" x14ac:dyDescent="0.3">
      <c r="A70" s="7">
        <v>69</v>
      </c>
      <c r="B70" s="6" t="s">
        <v>23</v>
      </c>
      <c r="C70" s="6" t="s">
        <v>923</v>
      </c>
      <c r="D70" s="6">
        <v>50126259</v>
      </c>
      <c r="E70" s="6">
        <v>160</v>
      </c>
      <c r="F70" s="7">
        <v>202</v>
      </c>
      <c r="G70" s="7">
        <v>175</v>
      </c>
      <c r="H70" s="7" t="s">
        <v>620</v>
      </c>
      <c r="I70" s="7" t="s">
        <v>109</v>
      </c>
      <c r="J70" s="7" t="s">
        <v>130</v>
      </c>
      <c r="K70" s="11">
        <v>0.82708333333333328</v>
      </c>
      <c r="L70" s="7" t="s">
        <v>109</v>
      </c>
      <c r="M70" s="7" t="s">
        <v>109</v>
      </c>
      <c r="N70" s="6" t="s">
        <v>110</v>
      </c>
      <c r="O70" s="6" t="s">
        <v>61</v>
      </c>
      <c r="P70" s="7" t="s">
        <v>131</v>
      </c>
      <c r="Q70" s="7" t="s">
        <v>89</v>
      </c>
      <c r="R70" s="7" t="s">
        <v>62</v>
      </c>
      <c r="S70" s="7" t="s">
        <v>123</v>
      </c>
      <c r="T70" s="7" t="s">
        <v>109</v>
      </c>
      <c r="U70" s="7" t="s">
        <v>109</v>
      </c>
      <c r="V70" s="7" t="s">
        <v>109</v>
      </c>
      <c r="W70" s="6" t="s">
        <v>424</v>
      </c>
    </row>
    <row r="71" spans="1:23" x14ac:dyDescent="0.3">
      <c r="A71" s="7">
        <v>70</v>
      </c>
      <c r="B71" s="6" t="s">
        <v>23</v>
      </c>
      <c r="C71" s="6" t="s">
        <v>928</v>
      </c>
      <c r="D71" s="6">
        <v>50126264</v>
      </c>
      <c r="E71" s="6">
        <v>100</v>
      </c>
      <c r="F71" s="7">
        <v>133</v>
      </c>
      <c r="G71" s="7">
        <v>118</v>
      </c>
      <c r="H71" s="33" t="s">
        <v>70</v>
      </c>
      <c r="I71" s="7" t="s">
        <v>109</v>
      </c>
      <c r="J71" s="7" t="s">
        <v>130</v>
      </c>
      <c r="K71" s="11">
        <v>0.68958333333333333</v>
      </c>
      <c r="L71" s="7" t="s">
        <v>109</v>
      </c>
      <c r="M71" s="7" t="s">
        <v>109</v>
      </c>
      <c r="N71" s="6" t="s">
        <v>109</v>
      </c>
      <c r="O71" s="6" t="s">
        <v>61</v>
      </c>
      <c r="P71" s="7" t="s">
        <v>131</v>
      </c>
      <c r="Q71" s="7" t="s">
        <v>70</v>
      </c>
      <c r="R71" s="7" t="s">
        <v>62</v>
      </c>
      <c r="S71" s="7" t="s">
        <v>123</v>
      </c>
      <c r="T71" s="7" t="s">
        <v>109</v>
      </c>
      <c r="U71" s="7" t="s">
        <v>109</v>
      </c>
      <c r="V71" s="7" t="s">
        <v>109</v>
      </c>
      <c r="W71" s="6" t="s">
        <v>424</v>
      </c>
    </row>
    <row r="72" spans="1:23" x14ac:dyDescent="0.3">
      <c r="A72" s="7">
        <v>71</v>
      </c>
      <c r="B72" s="6" t="s">
        <v>23</v>
      </c>
      <c r="C72" s="6" t="s">
        <v>932</v>
      </c>
      <c r="D72" s="6">
        <v>50126263</v>
      </c>
      <c r="E72" s="6">
        <v>85</v>
      </c>
      <c r="F72" s="7">
        <v>104</v>
      </c>
      <c r="G72" s="7">
        <v>63</v>
      </c>
      <c r="H72" s="7" t="s">
        <v>209</v>
      </c>
      <c r="I72" s="7" t="s">
        <v>109</v>
      </c>
      <c r="J72" s="7" t="s">
        <v>130</v>
      </c>
      <c r="K72" s="7" t="s">
        <v>1150</v>
      </c>
      <c r="L72" s="7" t="s">
        <v>109</v>
      </c>
      <c r="M72" s="7" t="s">
        <v>109</v>
      </c>
      <c r="N72" s="6" t="s">
        <v>109</v>
      </c>
      <c r="O72" s="6" t="s">
        <v>61</v>
      </c>
      <c r="P72" s="7" t="s">
        <v>131</v>
      </c>
      <c r="Q72" s="7" t="s">
        <v>209</v>
      </c>
      <c r="R72" s="7" t="s">
        <v>62</v>
      </c>
      <c r="S72" s="7" t="s">
        <v>123</v>
      </c>
      <c r="T72" s="7" t="s">
        <v>109</v>
      </c>
      <c r="U72" s="7" t="s">
        <v>109</v>
      </c>
      <c r="V72" s="7" t="s">
        <v>109</v>
      </c>
      <c r="W72" s="6" t="s">
        <v>424</v>
      </c>
    </row>
    <row r="73" spans="1:23" x14ac:dyDescent="0.3">
      <c r="A73" s="7">
        <v>72</v>
      </c>
      <c r="B73" s="6" t="s">
        <v>23</v>
      </c>
      <c r="C73" s="6" t="s">
        <v>935</v>
      </c>
      <c r="D73" s="6">
        <v>50126266</v>
      </c>
      <c r="E73" s="6">
        <v>200</v>
      </c>
      <c r="F73" s="7">
        <v>243</v>
      </c>
      <c r="G73" s="7">
        <v>221</v>
      </c>
      <c r="H73" s="33" t="s">
        <v>1118</v>
      </c>
      <c r="I73" s="7" t="s">
        <v>109</v>
      </c>
      <c r="J73" s="7" t="s">
        <v>130</v>
      </c>
      <c r="K73" s="7" t="s">
        <v>1133</v>
      </c>
      <c r="L73" s="7" t="s">
        <v>109</v>
      </c>
      <c r="M73" s="7" t="s">
        <v>109</v>
      </c>
      <c r="N73" s="6" t="s">
        <v>110</v>
      </c>
      <c r="O73" s="6" t="s">
        <v>61</v>
      </c>
      <c r="P73" s="7" t="s">
        <v>131</v>
      </c>
      <c r="Q73" s="7" t="s">
        <v>87</v>
      </c>
      <c r="R73" s="7" t="s">
        <v>62</v>
      </c>
      <c r="S73" s="7" t="s">
        <v>123</v>
      </c>
      <c r="T73" s="7" t="s">
        <v>109</v>
      </c>
      <c r="U73" s="7" t="s">
        <v>109</v>
      </c>
      <c r="V73" s="7" t="s">
        <v>109</v>
      </c>
      <c r="W73" s="6" t="s">
        <v>424</v>
      </c>
    </row>
    <row r="74" spans="1:23" x14ac:dyDescent="0.3">
      <c r="A74" s="7">
        <v>73</v>
      </c>
      <c r="B74" s="6" t="s">
        <v>23</v>
      </c>
      <c r="C74" s="6" t="s">
        <v>937</v>
      </c>
      <c r="D74" s="6">
        <v>50126267</v>
      </c>
      <c r="E74" s="6">
        <v>750</v>
      </c>
      <c r="F74" s="7">
        <v>927</v>
      </c>
      <c r="G74" s="7">
        <v>75</v>
      </c>
      <c r="H74" s="33" t="s">
        <v>1119</v>
      </c>
      <c r="I74" s="7" t="s">
        <v>109</v>
      </c>
      <c r="J74" s="7" t="s">
        <v>130</v>
      </c>
      <c r="K74" s="11">
        <v>0.97152777777777777</v>
      </c>
      <c r="L74" s="7" t="s">
        <v>109</v>
      </c>
      <c r="M74" s="7" t="s">
        <v>109</v>
      </c>
      <c r="N74" s="6" t="s">
        <v>110</v>
      </c>
      <c r="O74" s="6" t="s">
        <v>61</v>
      </c>
      <c r="P74" s="7" t="s">
        <v>131</v>
      </c>
      <c r="Q74" s="7" t="s">
        <v>70</v>
      </c>
      <c r="R74" s="7" t="s">
        <v>62</v>
      </c>
      <c r="S74" s="7" t="s">
        <v>123</v>
      </c>
      <c r="T74" s="7" t="s">
        <v>109</v>
      </c>
      <c r="U74" s="7" t="s">
        <v>109</v>
      </c>
      <c r="V74" s="7" t="s">
        <v>109</v>
      </c>
      <c r="W74" s="6" t="s">
        <v>424</v>
      </c>
    </row>
    <row r="75" spans="1:23" x14ac:dyDescent="0.3">
      <c r="A75" s="7">
        <v>74</v>
      </c>
      <c r="B75" s="6" t="s">
        <v>23</v>
      </c>
      <c r="C75" s="6" t="s">
        <v>718</v>
      </c>
      <c r="D75" s="6">
        <v>50126205</v>
      </c>
      <c r="E75" s="6">
        <v>160</v>
      </c>
      <c r="F75" s="7">
        <v>214</v>
      </c>
      <c r="G75" s="7">
        <v>149</v>
      </c>
      <c r="H75" s="33" t="s">
        <v>1120</v>
      </c>
      <c r="I75" s="7" t="s">
        <v>109</v>
      </c>
      <c r="J75" s="7" t="s">
        <v>130</v>
      </c>
      <c r="K75" s="7" t="s">
        <v>1144</v>
      </c>
      <c r="L75" s="7" t="s">
        <v>109</v>
      </c>
      <c r="M75" s="7" t="s">
        <v>109</v>
      </c>
      <c r="N75" s="6" t="s">
        <v>110</v>
      </c>
      <c r="O75" s="6" t="s">
        <v>61</v>
      </c>
      <c r="P75" s="7" t="s">
        <v>131</v>
      </c>
      <c r="Q75" s="7" t="s">
        <v>154</v>
      </c>
      <c r="R75" s="7" t="s">
        <v>62</v>
      </c>
      <c r="S75" s="7" t="s">
        <v>123</v>
      </c>
      <c r="T75" s="7" t="s">
        <v>109</v>
      </c>
      <c r="U75" s="7" t="s">
        <v>109</v>
      </c>
      <c r="V75" s="7" t="s">
        <v>109</v>
      </c>
      <c r="W75" s="6" t="s">
        <v>424</v>
      </c>
    </row>
    <row r="76" spans="1:23" x14ac:dyDescent="0.3">
      <c r="A76" s="7">
        <v>75</v>
      </c>
      <c r="B76" s="6" t="s">
        <v>23</v>
      </c>
      <c r="C76" s="6" t="s">
        <v>843</v>
      </c>
      <c r="D76" s="6">
        <v>50126203</v>
      </c>
      <c r="E76" s="6">
        <v>100</v>
      </c>
      <c r="F76" s="7">
        <v>198</v>
      </c>
      <c r="G76" s="7">
        <v>75</v>
      </c>
      <c r="H76" s="7" t="s">
        <v>64</v>
      </c>
      <c r="I76" s="7" t="s">
        <v>109</v>
      </c>
      <c r="J76" s="7" t="s">
        <v>130</v>
      </c>
      <c r="K76" s="11">
        <v>0.73819444444444449</v>
      </c>
      <c r="L76" s="7" t="s">
        <v>109</v>
      </c>
      <c r="M76" s="7" t="s">
        <v>109</v>
      </c>
      <c r="N76" s="6" t="s">
        <v>109</v>
      </c>
      <c r="O76" s="6" t="s">
        <v>61</v>
      </c>
      <c r="P76" s="7" t="s">
        <v>131</v>
      </c>
      <c r="Q76" s="7" t="s">
        <v>64</v>
      </c>
      <c r="R76" s="7" t="s">
        <v>62</v>
      </c>
      <c r="S76" s="7" t="s">
        <v>123</v>
      </c>
      <c r="T76" s="7" t="s">
        <v>109</v>
      </c>
      <c r="U76" s="7" t="s">
        <v>109</v>
      </c>
      <c r="V76" s="7" t="s">
        <v>109</v>
      </c>
      <c r="W76" s="6" t="s">
        <v>424</v>
      </c>
    </row>
    <row r="77" spans="1:23" x14ac:dyDescent="0.3">
      <c r="A77" s="7">
        <v>76</v>
      </c>
      <c r="B77" s="6" t="s">
        <v>23</v>
      </c>
      <c r="C77" s="6" t="s">
        <v>845</v>
      </c>
      <c r="D77" s="6">
        <v>50126206</v>
      </c>
      <c r="E77" s="6">
        <v>120</v>
      </c>
      <c r="F77" s="7">
        <v>282</v>
      </c>
      <c r="G77" s="7">
        <v>51</v>
      </c>
      <c r="H77" s="7" t="s">
        <v>1121</v>
      </c>
      <c r="I77" s="7" t="s">
        <v>109</v>
      </c>
      <c r="J77" s="7" t="s">
        <v>130</v>
      </c>
      <c r="K77" s="11">
        <v>0.85833333333333328</v>
      </c>
      <c r="L77" s="7" t="s">
        <v>109</v>
      </c>
      <c r="M77" s="7" t="s">
        <v>109</v>
      </c>
      <c r="N77" s="6" t="s">
        <v>109</v>
      </c>
      <c r="O77" s="6" t="s">
        <v>61</v>
      </c>
      <c r="P77" s="7" t="s">
        <v>131</v>
      </c>
      <c r="Q77" s="7" t="s">
        <v>72</v>
      </c>
      <c r="R77" s="7" t="s">
        <v>62</v>
      </c>
      <c r="S77" s="7" t="s">
        <v>123</v>
      </c>
      <c r="T77" s="7" t="s">
        <v>109</v>
      </c>
      <c r="U77" s="7" t="s">
        <v>109</v>
      </c>
      <c r="V77" s="7" t="s">
        <v>109</v>
      </c>
      <c r="W77" s="6" t="s">
        <v>424</v>
      </c>
    </row>
    <row r="78" spans="1:23" x14ac:dyDescent="0.3">
      <c r="A78" s="7">
        <v>77</v>
      </c>
      <c r="B78" s="6" t="s">
        <v>23</v>
      </c>
      <c r="C78" s="6" t="s">
        <v>427</v>
      </c>
      <c r="D78" s="6">
        <v>50126022</v>
      </c>
      <c r="E78" s="6">
        <v>75</v>
      </c>
      <c r="F78" s="7">
        <v>107</v>
      </c>
      <c r="G78" s="7">
        <v>29</v>
      </c>
      <c r="H78" s="7" t="s">
        <v>222</v>
      </c>
      <c r="I78" s="7" t="s">
        <v>109</v>
      </c>
      <c r="J78" s="7" t="s">
        <v>130</v>
      </c>
      <c r="K78" s="11">
        <v>0.85902777777777772</v>
      </c>
      <c r="L78" s="7" t="s">
        <v>109</v>
      </c>
      <c r="M78" s="7" t="s">
        <v>109</v>
      </c>
      <c r="N78" s="6" t="s">
        <v>109</v>
      </c>
      <c r="O78" s="6" t="s">
        <v>61</v>
      </c>
      <c r="P78" s="7" t="s">
        <v>131</v>
      </c>
      <c r="Q78" s="7" t="s">
        <v>222</v>
      </c>
      <c r="R78" s="7" t="s">
        <v>62</v>
      </c>
      <c r="S78" s="7" t="s">
        <v>123</v>
      </c>
      <c r="T78" s="7" t="s">
        <v>109</v>
      </c>
      <c r="U78" s="7" t="s">
        <v>109</v>
      </c>
      <c r="V78" s="7" t="s">
        <v>109</v>
      </c>
      <c r="W78" s="6" t="s">
        <v>424</v>
      </c>
    </row>
    <row r="79" spans="1:23" x14ac:dyDescent="0.3">
      <c r="A79" s="7">
        <v>78</v>
      </c>
      <c r="B79" s="6" t="s">
        <v>23</v>
      </c>
      <c r="C79" s="6" t="s">
        <v>721</v>
      </c>
      <c r="D79" s="6">
        <v>50126076</v>
      </c>
      <c r="E79" s="6">
        <v>50</v>
      </c>
      <c r="F79" s="7">
        <v>104</v>
      </c>
      <c r="G79" s="7">
        <v>50</v>
      </c>
      <c r="H79" s="7" t="s">
        <v>82</v>
      </c>
      <c r="I79" s="7" t="s">
        <v>109</v>
      </c>
      <c r="J79" s="7" t="s">
        <v>130</v>
      </c>
      <c r="K79" s="11">
        <v>0.93125000000000002</v>
      </c>
      <c r="L79" s="7" t="s">
        <v>109</v>
      </c>
      <c r="M79" s="7" t="s">
        <v>109</v>
      </c>
      <c r="N79" s="6" t="s">
        <v>109</v>
      </c>
      <c r="O79" s="6" t="s">
        <v>61</v>
      </c>
      <c r="P79" s="7" t="s">
        <v>131</v>
      </c>
      <c r="Q79" s="7" t="s">
        <v>82</v>
      </c>
      <c r="R79" s="7" t="s">
        <v>62</v>
      </c>
      <c r="S79" s="7" t="s">
        <v>123</v>
      </c>
      <c r="T79" s="7" t="s">
        <v>109</v>
      </c>
      <c r="U79" s="7" t="s">
        <v>109</v>
      </c>
      <c r="V79" s="7" t="s">
        <v>109</v>
      </c>
      <c r="W79" s="6" t="s">
        <v>424</v>
      </c>
    </row>
    <row r="80" spans="1:23" x14ac:dyDescent="0.3">
      <c r="A80" s="7">
        <v>79</v>
      </c>
      <c r="B80" s="6" t="s">
        <v>23</v>
      </c>
      <c r="C80" s="6" t="s">
        <v>722</v>
      </c>
      <c r="D80" s="6">
        <v>50126077</v>
      </c>
      <c r="E80" s="6">
        <v>160</v>
      </c>
      <c r="F80" s="7">
        <v>320</v>
      </c>
      <c r="G80" s="7">
        <v>121</v>
      </c>
      <c r="H80" s="33" t="s">
        <v>1122</v>
      </c>
      <c r="I80" s="7" t="s">
        <v>109</v>
      </c>
      <c r="J80" s="7" t="s">
        <v>130</v>
      </c>
      <c r="K80" s="11">
        <v>0.7729166666666667</v>
      </c>
      <c r="L80" s="7" t="s">
        <v>109</v>
      </c>
      <c r="M80" s="7" t="s">
        <v>109</v>
      </c>
      <c r="N80" s="6" t="s">
        <v>110</v>
      </c>
      <c r="O80" s="6" t="s">
        <v>61</v>
      </c>
      <c r="P80" s="7" t="s">
        <v>131</v>
      </c>
      <c r="Q80" s="7" t="s">
        <v>86</v>
      </c>
      <c r="R80" s="7" t="s">
        <v>62</v>
      </c>
      <c r="S80" s="7" t="s">
        <v>123</v>
      </c>
      <c r="T80" s="7" t="s">
        <v>109</v>
      </c>
      <c r="U80" s="7" t="s">
        <v>109</v>
      </c>
      <c r="V80" s="7" t="s">
        <v>109</v>
      </c>
      <c r="W80" s="6" t="s">
        <v>424</v>
      </c>
    </row>
    <row r="81" spans="1:23" x14ac:dyDescent="0.3">
      <c r="A81" s="7">
        <v>80</v>
      </c>
      <c r="B81" s="6" t="s">
        <v>23</v>
      </c>
      <c r="C81" s="6" t="s">
        <v>548</v>
      </c>
      <c r="D81" s="6">
        <v>50126095</v>
      </c>
      <c r="E81" s="6">
        <v>100</v>
      </c>
      <c r="F81" s="7">
        <v>135</v>
      </c>
      <c r="G81" s="7">
        <v>111</v>
      </c>
      <c r="H81" s="7" t="s">
        <v>153</v>
      </c>
      <c r="I81" s="7" t="s">
        <v>109</v>
      </c>
      <c r="J81" s="7" t="s">
        <v>130</v>
      </c>
      <c r="K81" s="11">
        <v>0.7055555555555556</v>
      </c>
      <c r="L81" s="7" t="s">
        <v>109</v>
      </c>
      <c r="M81" s="7" t="s">
        <v>109</v>
      </c>
      <c r="N81" s="6" t="s">
        <v>109</v>
      </c>
      <c r="O81" s="6" t="s">
        <v>61</v>
      </c>
      <c r="P81" s="7" t="s">
        <v>131</v>
      </c>
      <c r="Q81" s="7" t="s">
        <v>153</v>
      </c>
      <c r="R81" s="7" t="s">
        <v>62</v>
      </c>
      <c r="S81" s="7" t="s">
        <v>123</v>
      </c>
      <c r="T81" s="7" t="s">
        <v>109</v>
      </c>
      <c r="U81" s="7" t="s">
        <v>109</v>
      </c>
      <c r="V81" s="7" t="s">
        <v>109</v>
      </c>
      <c r="W81" s="6" t="s">
        <v>424</v>
      </c>
    </row>
    <row r="82" spans="1:23" x14ac:dyDescent="0.3">
      <c r="A82" s="7">
        <v>81</v>
      </c>
      <c r="B82" s="6" t="s">
        <v>23</v>
      </c>
      <c r="C82" s="6" t="s">
        <v>1123</v>
      </c>
      <c r="D82" s="6">
        <v>50126211</v>
      </c>
      <c r="E82" s="6">
        <v>180</v>
      </c>
      <c r="F82" s="7">
        <v>193</v>
      </c>
      <c r="G82" s="7">
        <v>138</v>
      </c>
      <c r="H82" s="33" t="s">
        <v>1135</v>
      </c>
      <c r="I82" s="7" t="s">
        <v>109</v>
      </c>
      <c r="J82" s="7" t="s">
        <v>130</v>
      </c>
      <c r="K82" s="46">
        <v>5.4166666666666669E-2</v>
      </c>
      <c r="L82" s="7" t="s">
        <v>109</v>
      </c>
      <c r="M82" s="7" t="s">
        <v>109</v>
      </c>
      <c r="N82" s="6" t="s">
        <v>110</v>
      </c>
      <c r="O82" s="6" t="s">
        <v>61</v>
      </c>
      <c r="P82" s="7" t="s">
        <v>131</v>
      </c>
      <c r="Q82" s="7" t="s">
        <v>84</v>
      </c>
      <c r="R82" s="7" t="s">
        <v>62</v>
      </c>
      <c r="S82" s="7" t="s">
        <v>123</v>
      </c>
      <c r="T82" s="7" t="s">
        <v>109</v>
      </c>
      <c r="U82" s="7" t="s">
        <v>109</v>
      </c>
      <c r="V82" s="7" t="s">
        <v>109</v>
      </c>
      <c r="W82" s="6" t="s">
        <v>424</v>
      </c>
    </row>
    <row r="83" spans="1:23" x14ac:dyDescent="0.3">
      <c r="A83" s="7">
        <v>82</v>
      </c>
      <c r="B83" s="6" t="s">
        <v>23</v>
      </c>
      <c r="C83" s="6" t="s">
        <v>940</v>
      </c>
      <c r="D83" s="6">
        <v>50126249</v>
      </c>
      <c r="E83" s="6">
        <v>500</v>
      </c>
      <c r="F83" s="7">
        <v>701</v>
      </c>
      <c r="G83" s="7">
        <v>528</v>
      </c>
      <c r="H83" s="7" t="s">
        <v>1124</v>
      </c>
      <c r="I83" s="7" t="s">
        <v>109</v>
      </c>
      <c r="J83" s="7" t="s">
        <v>130</v>
      </c>
      <c r="K83" s="7" t="s">
        <v>1145</v>
      </c>
      <c r="L83" s="7" t="s">
        <v>109</v>
      </c>
      <c r="M83" s="7" t="s">
        <v>109</v>
      </c>
      <c r="N83" s="6" t="s">
        <v>110</v>
      </c>
      <c r="O83" s="6" t="s">
        <v>61</v>
      </c>
      <c r="P83" s="7" t="s">
        <v>131</v>
      </c>
      <c r="Q83" s="7" t="s">
        <v>82</v>
      </c>
      <c r="R83" s="7" t="s">
        <v>62</v>
      </c>
      <c r="S83" s="7" t="s">
        <v>123</v>
      </c>
      <c r="T83" s="7" t="s">
        <v>109</v>
      </c>
      <c r="U83" s="7" t="s">
        <v>109</v>
      </c>
      <c r="V83" s="7" t="s">
        <v>109</v>
      </c>
      <c r="W83" s="6" t="s">
        <v>424</v>
      </c>
    </row>
    <row r="84" spans="1:23" x14ac:dyDescent="0.3">
      <c r="A84" s="7">
        <v>83</v>
      </c>
      <c r="B84" s="6" t="s">
        <v>23</v>
      </c>
      <c r="C84" s="6" t="s">
        <v>953</v>
      </c>
      <c r="D84" s="6">
        <v>50126241</v>
      </c>
      <c r="E84" s="6">
        <v>120</v>
      </c>
      <c r="F84" s="7">
        <v>148</v>
      </c>
      <c r="G84" s="7">
        <v>130</v>
      </c>
      <c r="H84" s="7" t="s">
        <v>172</v>
      </c>
      <c r="I84" s="7" t="s">
        <v>109</v>
      </c>
      <c r="J84" s="7" t="s">
        <v>130</v>
      </c>
      <c r="K84" s="11">
        <v>0.69930555555555551</v>
      </c>
      <c r="L84" s="7" t="s">
        <v>109</v>
      </c>
      <c r="M84" s="7" t="s">
        <v>109</v>
      </c>
      <c r="N84" s="6" t="s">
        <v>110</v>
      </c>
      <c r="O84" s="6" t="s">
        <v>61</v>
      </c>
      <c r="P84" s="7" t="s">
        <v>131</v>
      </c>
      <c r="Q84" s="7" t="s">
        <v>200</v>
      </c>
      <c r="R84" s="7" t="s">
        <v>62</v>
      </c>
      <c r="S84" s="7" t="s">
        <v>123</v>
      </c>
      <c r="T84" s="7" t="s">
        <v>109</v>
      </c>
      <c r="U84" s="7" t="s">
        <v>109</v>
      </c>
      <c r="V84" s="7" t="s">
        <v>109</v>
      </c>
      <c r="W84" s="6" t="s">
        <v>424</v>
      </c>
    </row>
    <row r="85" spans="1:23" x14ac:dyDescent="0.3">
      <c r="A85" s="7">
        <v>84</v>
      </c>
      <c r="B85" s="6" t="s">
        <v>23</v>
      </c>
      <c r="C85" s="6" t="s">
        <v>1125</v>
      </c>
      <c r="D85" s="6">
        <v>50126320</v>
      </c>
      <c r="E85" s="6">
        <v>120</v>
      </c>
      <c r="F85" s="7">
        <v>146</v>
      </c>
      <c r="G85" s="7">
        <v>123</v>
      </c>
      <c r="H85" s="33" t="s">
        <v>1126</v>
      </c>
      <c r="I85" s="7" t="s">
        <v>109</v>
      </c>
      <c r="J85" s="7" t="s">
        <v>130</v>
      </c>
      <c r="K85" s="7" t="s">
        <v>1140</v>
      </c>
      <c r="L85" s="7" t="s">
        <v>109</v>
      </c>
      <c r="M85" s="7" t="s">
        <v>109</v>
      </c>
      <c r="N85" s="6" t="s">
        <v>110</v>
      </c>
      <c r="O85" s="6" t="s">
        <v>61</v>
      </c>
      <c r="P85" s="7" t="s">
        <v>131</v>
      </c>
      <c r="Q85" s="7" t="s">
        <v>1141</v>
      </c>
      <c r="R85" s="7" t="s">
        <v>62</v>
      </c>
      <c r="S85" s="7" t="s">
        <v>123</v>
      </c>
      <c r="T85" s="7" t="s">
        <v>109</v>
      </c>
      <c r="U85" s="7" t="s">
        <v>109</v>
      </c>
      <c r="V85" s="7" t="s">
        <v>109</v>
      </c>
      <c r="W85" s="6" t="s">
        <v>424</v>
      </c>
    </row>
    <row r="86" spans="1:23" x14ac:dyDescent="0.3">
      <c r="A86" s="7">
        <v>85</v>
      </c>
      <c r="B86" s="6" t="s">
        <v>23</v>
      </c>
      <c r="C86" s="6" t="s">
        <v>380</v>
      </c>
      <c r="D86" s="6">
        <v>50425241</v>
      </c>
      <c r="E86" s="6">
        <v>150</v>
      </c>
      <c r="F86" s="7">
        <v>81</v>
      </c>
      <c r="G86" s="7">
        <v>23</v>
      </c>
      <c r="H86" s="7" t="s">
        <v>1127</v>
      </c>
      <c r="I86" s="7" t="s">
        <v>109</v>
      </c>
      <c r="J86" s="7" t="s">
        <v>130</v>
      </c>
      <c r="K86" s="11">
        <v>0.96458333333333335</v>
      </c>
      <c r="L86" s="7" t="s">
        <v>109</v>
      </c>
      <c r="M86" s="7" t="s">
        <v>109</v>
      </c>
      <c r="N86" s="6" t="s">
        <v>61</v>
      </c>
      <c r="O86" s="6" t="s">
        <v>61</v>
      </c>
      <c r="P86" s="7" t="s">
        <v>131</v>
      </c>
      <c r="Q86" s="7" t="s">
        <v>93</v>
      </c>
      <c r="R86" s="7" t="s">
        <v>62</v>
      </c>
      <c r="S86" s="7" t="s">
        <v>123</v>
      </c>
      <c r="T86" s="7" t="s">
        <v>109</v>
      </c>
      <c r="U86" s="7" t="s">
        <v>109</v>
      </c>
      <c r="V86" s="7" t="s">
        <v>109</v>
      </c>
      <c r="W86" s="6" t="s">
        <v>379</v>
      </c>
    </row>
    <row r="87" spans="1:23" x14ac:dyDescent="0.3">
      <c r="A87" s="7">
        <v>86</v>
      </c>
      <c r="B87" s="6" t="s">
        <v>23</v>
      </c>
      <c r="C87" s="6" t="s">
        <v>224</v>
      </c>
      <c r="D87" s="6">
        <v>51225106</v>
      </c>
      <c r="E87" s="6">
        <v>245</v>
      </c>
      <c r="F87" s="7">
        <v>469</v>
      </c>
      <c r="G87" s="7">
        <v>160</v>
      </c>
      <c r="H87" s="33" t="s">
        <v>1128</v>
      </c>
      <c r="I87" s="7" t="s">
        <v>109</v>
      </c>
      <c r="J87" s="7" t="s">
        <v>130</v>
      </c>
      <c r="K87" s="46">
        <v>5.4166666666666669E-2</v>
      </c>
      <c r="L87" s="7" t="s">
        <v>109</v>
      </c>
      <c r="M87" s="7" t="s">
        <v>109</v>
      </c>
      <c r="N87" s="6" t="s">
        <v>61</v>
      </c>
      <c r="O87" s="6" t="s">
        <v>61</v>
      </c>
      <c r="P87" s="7" t="s">
        <v>131</v>
      </c>
      <c r="Q87" s="7" t="s">
        <v>209</v>
      </c>
      <c r="R87" s="7" t="s">
        <v>62</v>
      </c>
      <c r="S87" s="7" t="s">
        <v>123</v>
      </c>
      <c r="T87" s="7" t="s">
        <v>109</v>
      </c>
      <c r="U87" s="7" t="s">
        <v>109</v>
      </c>
      <c r="V87" s="7" t="s">
        <v>109</v>
      </c>
      <c r="W87" s="6" t="s">
        <v>117</v>
      </c>
    </row>
    <row r="88" spans="1:23" x14ac:dyDescent="0.3">
      <c r="A88" s="7">
        <v>87</v>
      </c>
      <c r="B88" s="6" t="s">
        <v>23</v>
      </c>
      <c r="C88" s="6" t="s">
        <v>227</v>
      </c>
      <c r="D88" s="6">
        <v>50825130</v>
      </c>
      <c r="E88" s="6">
        <v>60</v>
      </c>
      <c r="F88" s="7">
        <v>112</v>
      </c>
      <c r="G88" s="7">
        <v>59</v>
      </c>
      <c r="H88" s="33" t="s">
        <v>69</v>
      </c>
      <c r="I88" s="7" t="s">
        <v>109</v>
      </c>
      <c r="J88" s="7" t="s">
        <v>130</v>
      </c>
      <c r="K88" s="11">
        <v>0.80277777777777781</v>
      </c>
      <c r="L88" s="7" t="s">
        <v>109</v>
      </c>
      <c r="M88" s="7" t="s">
        <v>109</v>
      </c>
      <c r="N88" s="6" t="s">
        <v>61</v>
      </c>
      <c r="O88" s="6" t="s">
        <v>61</v>
      </c>
      <c r="P88" s="7" t="s">
        <v>131</v>
      </c>
      <c r="Q88" s="7" t="s">
        <v>69</v>
      </c>
      <c r="R88" s="7" t="s">
        <v>62</v>
      </c>
      <c r="S88" s="7" t="s">
        <v>123</v>
      </c>
      <c r="T88" s="7" t="s">
        <v>109</v>
      </c>
      <c r="U88" s="7" t="s">
        <v>109</v>
      </c>
      <c r="V88" s="7" t="s">
        <v>109</v>
      </c>
      <c r="W88" s="6" t="s">
        <v>117</v>
      </c>
    </row>
    <row r="89" spans="1:23" x14ac:dyDescent="0.3">
      <c r="A89" s="7">
        <v>88</v>
      </c>
      <c r="B89" s="6" t="s">
        <v>23</v>
      </c>
      <c r="C89" s="6" t="s">
        <v>228</v>
      </c>
      <c r="D89" s="6">
        <v>51225097</v>
      </c>
      <c r="E89" s="6">
        <v>250</v>
      </c>
      <c r="F89" s="7">
        <v>455</v>
      </c>
      <c r="G89" s="7">
        <v>58</v>
      </c>
      <c r="H89" s="33" t="s">
        <v>1129</v>
      </c>
      <c r="I89" s="7" t="s">
        <v>109</v>
      </c>
      <c r="J89" s="7" t="s">
        <v>130</v>
      </c>
      <c r="K89" s="7" t="s">
        <v>1148</v>
      </c>
      <c r="L89" s="7" t="s">
        <v>109</v>
      </c>
      <c r="M89" s="7" t="s">
        <v>109</v>
      </c>
      <c r="N89" s="6" t="s">
        <v>61</v>
      </c>
      <c r="O89" s="6" t="s">
        <v>61</v>
      </c>
      <c r="P89" s="7" t="s">
        <v>131</v>
      </c>
      <c r="Q89" s="7" t="s">
        <v>89</v>
      </c>
      <c r="R89" s="7" t="s">
        <v>62</v>
      </c>
      <c r="S89" s="7" t="s">
        <v>123</v>
      </c>
      <c r="T89" s="7" t="s">
        <v>109</v>
      </c>
      <c r="U89" s="7" t="s">
        <v>109</v>
      </c>
      <c r="V89" s="7" t="s">
        <v>109</v>
      </c>
      <c r="W89" s="6" t="s">
        <v>117</v>
      </c>
    </row>
    <row r="90" spans="1:23" x14ac:dyDescent="0.3">
      <c r="A90" s="7">
        <v>89</v>
      </c>
      <c r="B90" s="6" t="s">
        <v>23</v>
      </c>
      <c r="C90" s="6" t="s">
        <v>231</v>
      </c>
      <c r="D90" s="6">
        <v>51125019</v>
      </c>
      <c r="E90" s="6">
        <v>180</v>
      </c>
      <c r="F90" s="7">
        <v>320</v>
      </c>
      <c r="G90" s="7">
        <v>183</v>
      </c>
      <c r="H90" s="7" t="s">
        <v>172</v>
      </c>
      <c r="I90" s="7" t="s">
        <v>109</v>
      </c>
      <c r="J90" s="7" t="s">
        <v>130</v>
      </c>
      <c r="K90" s="11">
        <v>0.84166666666666667</v>
      </c>
      <c r="L90" s="7" t="s">
        <v>109</v>
      </c>
      <c r="M90" s="7" t="s">
        <v>109</v>
      </c>
      <c r="N90" s="6" t="s">
        <v>61</v>
      </c>
      <c r="O90" s="6" t="s">
        <v>61</v>
      </c>
      <c r="P90" s="7" t="s">
        <v>131</v>
      </c>
      <c r="Q90" s="7" t="s">
        <v>71</v>
      </c>
      <c r="R90" s="7" t="s">
        <v>62</v>
      </c>
      <c r="S90" s="7" t="s">
        <v>123</v>
      </c>
      <c r="T90" s="7" t="s">
        <v>109</v>
      </c>
      <c r="U90" s="7" t="s">
        <v>109</v>
      </c>
      <c r="V90" s="7" t="s">
        <v>109</v>
      </c>
      <c r="W90" s="6" t="s">
        <v>117</v>
      </c>
    </row>
    <row r="91" spans="1:23" x14ac:dyDescent="0.3">
      <c r="A91" s="7">
        <v>90</v>
      </c>
      <c r="B91" s="6" t="s">
        <v>23</v>
      </c>
      <c r="C91" s="6" t="s">
        <v>233</v>
      </c>
      <c r="D91" s="6">
        <v>51125020</v>
      </c>
      <c r="E91" s="6">
        <v>170</v>
      </c>
      <c r="F91" s="7">
        <v>231</v>
      </c>
      <c r="G91" s="7">
        <v>177</v>
      </c>
      <c r="H91" s="7" t="s">
        <v>1136</v>
      </c>
      <c r="I91" s="7" t="s">
        <v>109</v>
      </c>
      <c r="J91" s="7" t="s">
        <v>130</v>
      </c>
      <c r="K91" s="11">
        <v>0.87708333333333333</v>
      </c>
      <c r="L91" s="7" t="s">
        <v>109</v>
      </c>
      <c r="M91" s="7" t="s">
        <v>109</v>
      </c>
      <c r="N91" s="6" t="s">
        <v>1069</v>
      </c>
      <c r="O91" s="6" t="s">
        <v>1130</v>
      </c>
      <c r="P91" s="7" t="s">
        <v>131</v>
      </c>
      <c r="Q91" s="7" t="s">
        <v>71</v>
      </c>
      <c r="R91" s="7" t="s">
        <v>62</v>
      </c>
      <c r="S91" s="7" t="s">
        <v>123</v>
      </c>
      <c r="T91" s="7" t="s">
        <v>109</v>
      </c>
      <c r="U91" s="7" t="s">
        <v>109</v>
      </c>
      <c r="V91" s="7" t="s">
        <v>109</v>
      </c>
      <c r="W91" s="6" t="s">
        <v>117</v>
      </c>
    </row>
    <row r="92" spans="1:23" x14ac:dyDescent="0.3">
      <c r="A92" s="7">
        <v>91</v>
      </c>
      <c r="B92" s="6" t="s">
        <v>23</v>
      </c>
      <c r="C92" s="6" t="s">
        <v>234</v>
      </c>
      <c r="D92" s="6">
        <v>51125021</v>
      </c>
      <c r="E92" s="6">
        <v>250</v>
      </c>
      <c r="F92" s="7">
        <v>471</v>
      </c>
      <c r="G92" s="7">
        <v>76</v>
      </c>
      <c r="H92" s="33" t="s">
        <v>1131</v>
      </c>
      <c r="I92" s="7" t="s">
        <v>109</v>
      </c>
      <c r="J92" s="7" t="s">
        <v>130</v>
      </c>
      <c r="K92" s="7" t="s">
        <v>1153</v>
      </c>
      <c r="L92" s="7" t="s">
        <v>109</v>
      </c>
      <c r="M92" s="7" t="s">
        <v>109</v>
      </c>
      <c r="N92" s="6" t="s">
        <v>1069</v>
      </c>
      <c r="O92" s="6" t="s">
        <v>1130</v>
      </c>
      <c r="P92" s="7" t="s">
        <v>131</v>
      </c>
      <c r="Q92" s="7" t="s">
        <v>84</v>
      </c>
      <c r="R92" s="7" t="s">
        <v>62</v>
      </c>
      <c r="S92" s="7" t="s">
        <v>123</v>
      </c>
      <c r="T92" s="7" t="s">
        <v>109</v>
      </c>
      <c r="U92" s="7" t="s">
        <v>109</v>
      </c>
      <c r="V92" s="7" t="s">
        <v>109</v>
      </c>
      <c r="W92" s="6" t="s">
        <v>117</v>
      </c>
    </row>
    <row r="93" spans="1:23" x14ac:dyDescent="0.3">
      <c r="A93" s="7">
        <v>92</v>
      </c>
      <c r="B93" s="6" t="s">
        <v>23</v>
      </c>
      <c r="C93" s="6" t="s">
        <v>235</v>
      </c>
      <c r="D93" s="6">
        <v>51125022</v>
      </c>
      <c r="E93" s="6">
        <v>190</v>
      </c>
      <c r="F93" s="7">
        <v>328</v>
      </c>
      <c r="G93" s="7">
        <v>161</v>
      </c>
      <c r="H93" s="7" t="s">
        <v>1132</v>
      </c>
      <c r="I93" s="7" t="s">
        <v>109</v>
      </c>
      <c r="J93" s="7" t="s">
        <v>130</v>
      </c>
      <c r="K93" s="11">
        <v>0.9243055555555556</v>
      </c>
      <c r="L93" s="7" t="s">
        <v>109</v>
      </c>
      <c r="M93" s="7" t="s">
        <v>109</v>
      </c>
      <c r="N93" s="7" t="s">
        <v>109</v>
      </c>
      <c r="O93" s="6" t="s">
        <v>61</v>
      </c>
      <c r="P93" s="7" t="s">
        <v>131</v>
      </c>
      <c r="Q93" s="7" t="s">
        <v>64</v>
      </c>
      <c r="R93" s="7" t="s">
        <v>62</v>
      </c>
      <c r="S93" s="7" t="s">
        <v>123</v>
      </c>
      <c r="T93" s="7" t="s">
        <v>109</v>
      </c>
      <c r="U93" s="7" t="s">
        <v>109</v>
      </c>
      <c r="V93" s="7" t="s">
        <v>109</v>
      </c>
      <c r="W93" s="6" t="s">
        <v>117</v>
      </c>
    </row>
    <row r="94" spans="1:23" x14ac:dyDescent="0.3">
      <c r="A94" s="7">
        <v>93</v>
      </c>
      <c r="B94" s="6" t="s">
        <v>23</v>
      </c>
      <c r="C94" s="6" t="s">
        <v>236</v>
      </c>
      <c r="D94" s="6">
        <v>51125018</v>
      </c>
      <c r="E94" s="6">
        <v>210</v>
      </c>
      <c r="F94" s="7">
        <v>388</v>
      </c>
      <c r="G94" s="7">
        <v>223</v>
      </c>
      <c r="H94" s="7" t="s">
        <v>1137</v>
      </c>
      <c r="I94" s="7" t="s">
        <v>109</v>
      </c>
      <c r="J94" s="7" t="s">
        <v>130</v>
      </c>
      <c r="K94" s="11">
        <v>0.9604166666666667</v>
      </c>
      <c r="L94" s="7" t="s">
        <v>109</v>
      </c>
      <c r="M94" s="7" t="s">
        <v>109</v>
      </c>
      <c r="N94" s="7" t="s">
        <v>109</v>
      </c>
      <c r="O94" s="6" t="s">
        <v>61</v>
      </c>
      <c r="P94" s="7" t="s">
        <v>131</v>
      </c>
      <c r="Q94" s="7" t="s">
        <v>196</v>
      </c>
      <c r="R94" s="7" t="s">
        <v>62</v>
      </c>
      <c r="S94" s="7" t="s">
        <v>123</v>
      </c>
      <c r="T94" s="7" t="s">
        <v>109</v>
      </c>
      <c r="U94" s="7" t="s">
        <v>109</v>
      </c>
      <c r="V94" s="7" t="s">
        <v>109</v>
      </c>
      <c r="W94" s="6" t="s">
        <v>117</v>
      </c>
    </row>
    <row r="95" spans="1:23" x14ac:dyDescent="0.3">
      <c r="A95" s="7">
        <v>94</v>
      </c>
      <c r="B95" s="7" t="s">
        <v>143</v>
      </c>
      <c r="C95" s="7" t="s">
        <v>784</v>
      </c>
      <c r="D95" s="7">
        <v>10126012</v>
      </c>
      <c r="E95" s="7">
        <v>25</v>
      </c>
      <c r="F95" s="7">
        <v>36</v>
      </c>
      <c r="G95" s="7">
        <v>30</v>
      </c>
      <c r="H95" s="7" t="s">
        <v>72</v>
      </c>
      <c r="I95" s="7" t="s">
        <v>109</v>
      </c>
      <c r="J95" s="11" t="s">
        <v>130</v>
      </c>
      <c r="K95" s="11">
        <v>0.82916666666666672</v>
      </c>
      <c r="L95" s="7" t="s">
        <v>1142</v>
      </c>
      <c r="M95" s="7" t="s">
        <v>109</v>
      </c>
      <c r="N95" s="7" t="s">
        <v>109</v>
      </c>
      <c r="O95" s="6" t="s">
        <v>61</v>
      </c>
      <c r="P95" s="7" t="s">
        <v>131</v>
      </c>
      <c r="Q95" s="7" t="s">
        <v>72</v>
      </c>
      <c r="R95" s="7" t="s">
        <v>62</v>
      </c>
      <c r="S95" s="7" t="s">
        <v>878</v>
      </c>
      <c r="T95" s="7" t="s">
        <v>398</v>
      </c>
      <c r="U95" s="7" t="s">
        <v>109</v>
      </c>
      <c r="V95" s="7" t="s">
        <v>109</v>
      </c>
      <c r="W95" s="7" t="s">
        <v>398</v>
      </c>
    </row>
    <row r="96" spans="1:23" x14ac:dyDescent="0.3">
      <c r="A96" s="7">
        <v>95</v>
      </c>
      <c r="B96" s="7" t="s">
        <v>1152</v>
      </c>
      <c r="C96" s="7" t="s">
        <v>1151</v>
      </c>
      <c r="D96" s="7">
        <v>40126020</v>
      </c>
      <c r="E96" s="7">
        <v>255</v>
      </c>
      <c r="F96" s="7">
        <v>459</v>
      </c>
      <c r="G96" s="7">
        <v>49</v>
      </c>
      <c r="H96" s="7" t="s">
        <v>1154</v>
      </c>
      <c r="I96" s="7" t="s">
        <v>109</v>
      </c>
      <c r="J96" s="7" t="s">
        <v>130</v>
      </c>
      <c r="K96" s="46">
        <v>7.013888888888889E-2</v>
      </c>
      <c r="L96" s="7" t="s">
        <v>109</v>
      </c>
      <c r="M96" s="7" t="s">
        <v>109</v>
      </c>
      <c r="N96" s="7" t="s">
        <v>109</v>
      </c>
      <c r="O96" s="6" t="s">
        <v>61</v>
      </c>
      <c r="P96" s="7" t="s">
        <v>131</v>
      </c>
      <c r="Q96" s="7" t="s">
        <v>603</v>
      </c>
      <c r="R96" s="7" t="s">
        <v>62</v>
      </c>
      <c r="S96" s="7" t="s">
        <v>136</v>
      </c>
      <c r="T96" s="7" t="s">
        <v>109</v>
      </c>
      <c r="U96" s="7" t="s">
        <v>109</v>
      </c>
      <c r="V96" s="7" t="s">
        <v>109</v>
      </c>
      <c r="W96" s="67" t="s">
        <v>1152</v>
      </c>
    </row>
  </sheetData>
  <autoFilter ref="A1:W96" xr:uid="{3888D28B-EBFA-40F0-B76E-5F3EC2E9B65A}"/>
  <conditionalFormatting sqref="D1">
    <cfRule type="duplicateValues" dxfId="103" priority="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398EB-9CA3-495F-8ECD-13106AA1A798}">
  <sheetPr codeName="Sheet11"/>
  <dimension ref="A1:X81"/>
  <sheetViews>
    <sheetView topLeftCell="I1" workbookViewId="0">
      <pane ySplit="1" topLeftCell="A2" activePane="bottomLeft" state="frozen"/>
      <selection pane="bottomLeft" activeCell="C1" sqref="C1"/>
    </sheetView>
  </sheetViews>
  <sheetFormatPr defaultColWidth="12.44140625" defaultRowHeight="14.4" x14ac:dyDescent="0.3"/>
  <cols>
    <col min="1" max="1" width="3.109375" bestFit="1" customWidth="1"/>
    <col min="2" max="2" width="8.6640625" bestFit="1" customWidth="1"/>
    <col min="3" max="3" width="14.5546875" bestFit="1" customWidth="1"/>
    <col min="4" max="4" width="10.44140625" bestFit="1" customWidth="1"/>
    <col min="5" max="5" width="13.88671875" bestFit="1" customWidth="1"/>
    <col min="6" max="6" width="15.109375" bestFit="1" customWidth="1"/>
    <col min="7" max="7" width="8.5546875" bestFit="1" customWidth="1"/>
    <col min="8" max="8" width="30" bestFit="1" customWidth="1"/>
    <col min="9" max="9" width="15.88671875" bestFit="1" customWidth="1"/>
    <col min="10" max="10" width="6.21875" bestFit="1" customWidth="1"/>
    <col min="11" max="12" width="15.88671875" bestFit="1" customWidth="1"/>
    <col min="13" max="13" width="3.88671875" bestFit="1" customWidth="1"/>
    <col min="14" max="14" width="8.21875" bestFit="1" customWidth="1"/>
    <col min="15" max="15" width="6.77734375" bestFit="1" customWidth="1"/>
    <col min="16" max="16" width="14.33203125" bestFit="1" customWidth="1"/>
    <col min="17" max="17" width="11.77734375" bestFit="1" customWidth="1"/>
    <col min="18" max="18" width="14.33203125" bestFit="1" customWidth="1"/>
    <col min="19" max="19" width="15.88671875" bestFit="1" customWidth="1"/>
    <col min="20" max="20" width="5.77734375" bestFit="1" customWidth="1"/>
    <col min="21" max="21" width="37.44140625" bestFit="1" customWidth="1"/>
    <col min="22" max="22" width="10.109375" bestFit="1" customWidth="1"/>
    <col min="23" max="23" width="8.88671875" bestFit="1" customWidth="1"/>
    <col min="24" max="24" width="5.109375" bestFit="1" customWidth="1"/>
  </cols>
  <sheetData>
    <row r="1" spans="1:24" x14ac:dyDescent="0.3">
      <c r="A1" s="22" t="s">
        <v>0</v>
      </c>
      <c r="B1" s="22" t="s">
        <v>1</v>
      </c>
      <c r="C1" s="22" t="s">
        <v>2</v>
      </c>
      <c r="D1" s="22" t="s">
        <v>3</v>
      </c>
      <c r="E1" s="22" t="s">
        <v>4</v>
      </c>
      <c r="F1" s="22" t="s">
        <v>5</v>
      </c>
      <c r="G1" s="22" t="s">
        <v>6</v>
      </c>
      <c r="H1" s="22" t="s">
        <v>7</v>
      </c>
      <c r="I1" s="22" t="s">
        <v>8</v>
      </c>
      <c r="J1" s="22" t="s">
        <v>9</v>
      </c>
      <c r="K1" s="23" t="s">
        <v>10</v>
      </c>
      <c r="L1" s="23" t="s">
        <v>11</v>
      </c>
      <c r="M1" s="24" t="s">
        <v>12</v>
      </c>
      <c r="N1" s="25" t="s">
        <v>13</v>
      </c>
      <c r="O1" s="22" t="s">
        <v>14</v>
      </c>
      <c r="P1" s="22" t="s">
        <v>15</v>
      </c>
      <c r="Q1" s="22" t="s">
        <v>16</v>
      </c>
      <c r="R1" s="22" t="s">
        <v>17</v>
      </c>
      <c r="S1" s="22" t="s">
        <v>18</v>
      </c>
      <c r="T1" s="22" t="s">
        <v>19</v>
      </c>
      <c r="U1" s="22" t="s">
        <v>20</v>
      </c>
      <c r="V1" s="22" t="s">
        <v>21</v>
      </c>
      <c r="W1" s="26" t="s">
        <v>22</v>
      </c>
      <c r="X1" s="26" t="s">
        <v>1005</v>
      </c>
    </row>
    <row r="2" spans="1:24" x14ac:dyDescent="0.3">
      <c r="A2" s="7">
        <v>1</v>
      </c>
      <c r="B2" s="7" t="s">
        <v>25</v>
      </c>
      <c r="C2" s="7" t="s">
        <v>44</v>
      </c>
      <c r="D2" s="7">
        <v>41225022</v>
      </c>
      <c r="E2" s="7">
        <v>176</v>
      </c>
      <c r="F2" s="7">
        <v>119</v>
      </c>
      <c r="G2" s="7">
        <v>69</v>
      </c>
      <c r="H2" s="7" t="s">
        <v>386</v>
      </c>
      <c r="I2" s="7" t="s">
        <v>1156</v>
      </c>
      <c r="J2" s="7" t="s">
        <v>130</v>
      </c>
      <c r="K2" s="46">
        <v>0.84305555555555556</v>
      </c>
      <c r="L2" s="46">
        <v>0.91388888888888886</v>
      </c>
      <c r="M2" s="7" t="s">
        <v>109</v>
      </c>
      <c r="N2" s="7" t="s">
        <v>109</v>
      </c>
      <c r="O2" s="7" t="s">
        <v>109</v>
      </c>
      <c r="P2" s="7" t="s">
        <v>131</v>
      </c>
      <c r="Q2" s="7" t="s">
        <v>89</v>
      </c>
      <c r="R2" s="7" t="s">
        <v>62</v>
      </c>
      <c r="S2" s="7" t="s">
        <v>109</v>
      </c>
      <c r="T2" s="7" t="s">
        <v>114</v>
      </c>
      <c r="U2" s="7" t="s">
        <v>109</v>
      </c>
      <c r="V2" s="7" t="s">
        <v>109</v>
      </c>
      <c r="W2" s="7" t="s">
        <v>109</v>
      </c>
      <c r="X2" s="7" t="s">
        <v>109</v>
      </c>
    </row>
    <row r="3" spans="1:24" x14ac:dyDescent="0.3">
      <c r="A3" s="7">
        <v>2</v>
      </c>
      <c r="B3" s="7" t="s">
        <v>25</v>
      </c>
      <c r="C3" s="7" t="s">
        <v>616</v>
      </c>
      <c r="D3" s="7">
        <v>40126015</v>
      </c>
      <c r="E3" s="7">
        <v>602</v>
      </c>
      <c r="F3" s="7">
        <v>881</v>
      </c>
      <c r="G3" s="7">
        <v>342</v>
      </c>
      <c r="H3" s="7" t="s">
        <v>1157</v>
      </c>
      <c r="I3" s="7" t="s">
        <v>1158</v>
      </c>
      <c r="J3" s="7" t="s">
        <v>130</v>
      </c>
      <c r="K3" s="46">
        <v>0.9555555555555556</v>
      </c>
      <c r="L3" s="46">
        <v>1.5972222222222221E-2</v>
      </c>
      <c r="M3" s="7" t="s">
        <v>109</v>
      </c>
      <c r="N3" s="7" t="s">
        <v>109</v>
      </c>
      <c r="O3" s="7" t="s">
        <v>109</v>
      </c>
      <c r="P3" s="7" t="s">
        <v>131</v>
      </c>
      <c r="Q3" s="7" t="s">
        <v>89</v>
      </c>
      <c r="R3" s="7" t="s">
        <v>62</v>
      </c>
      <c r="S3" s="7" t="s">
        <v>109</v>
      </c>
      <c r="T3" s="7" t="s">
        <v>295</v>
      </c>
      <c r="U3" s="7" t="s">
        <v>109</v>
      </c>
      <c r="V3" s="7" t="s">
        <v>109</v>
      </c>
      <c r="W3" s="7" t="s">
        <v>109</v>
      </c>
      <c r="X3" s="7" t="s">
        <v>109</v>
      </c>
    </row>
    <row r="4" spans="1:24" x14ac:dyDescent="0.3">
      <c r="A4" s="7">
        <v>3</v>
      </c>
      <c r="B4" s="7" t="s">
        <v>24</v>
      </c>
      <c r="C4" s="7" t="s">
        <v>28</v>
      </c>
      <c r="D4" s="7">
        <v>61225007</v>
      </c>
      <c r="E4" s="7">
        <v>50</v>
      </c>
      <c r="F4" s="7">
        <v>115</v>
      </c>
      <c r="G4" s="7">
        <v>14</v>
      </c>
      <c r="H4" s="7" t="s">
        <v>65</v>
      </c>
      <c r="I4" s="7" t="s">
        <v>209</v>
      </c>
      <c r="J4" s="7" t="s">
        <v>130</v>
      </c>
      <c r="K4" s="46">
        <v>0.97291666666666665</v>
      </c>
      <c r="L4" s="46">
        <v>0.99375000000000002</v>
      </c>
      <c r="M4" s="7" t="s">
        <v>109</v>
      </c>
      <c r="N4" s="7" t="s">
        <v>109</v>
      </c>
      <c r="O4" s="7" t="s">
        <v>109</v>
      </c>
      <c r="P4" s="7" t="s">
        <v>131</v>
      </c>
      <c r="Q4" s="7" t="s">
        <v>209</v>
      </c>
      <c r="R4" s="7" t="s">
        <v>63</v>
      </c>
      <c r="S4" s="7" t="s">
        <v>109</v>
      </c>
      <c r="T4" s="7" t="s">
        <v>113</v>
      </c>
      <c r="U4" s="7" t="s">
        <v>109</v>
      </c>
      <c r="V4" s="7" t="s">
        <v>109</v>
      </c>
      <c r="W4" s="7" t="s">
        <v>109</v>
      </c>
      <c r="X4" s="7" t="s">
        <v>109</v>
      </c>
    </row>
    <row r="5" spans="1:24" x14ac:dyDescent="0.3">
      <c r="A5" s="7">
        <v>4</v>
      </c>
      <c r="B5" s="7" t="s">
        <v>24</v>
      </c>
      <c r="C5" s="7" t="s">
        <v>41</v>
      </c>
      <c r="D5" s="7">
        <v>61125005</v>
      </c>
      <c r="E5" s="7">
        <v>221</v>
      </c>
      <c r="F5" s="7">
        <v>454</v>
      </c>
      <c r="G5" s="7">
        <v>118</v>
      </c>
      <c r="H5" s="7" t="s">
        <v>1159</v>
      </c>
      <c r="I5" s="7" t="s">
        <v>1160</v>
      </c>
      <c r="J5" s="7" t="s">
        <v>130</v>
      </c>
      <c r="K5" s="46">
        <v>0.85347222222222219</v>
      </c>
      <c r="L5" s="46">
        <v>0.85347222222222219</v>
      </c>
      <c r="M5" s="7" t="s">
        <v>109</v>
      </c>
      <c r="N5" s="7" t="s">
        <v>1161</v>
      </c>
      <c r="O5" s="7" t="s">
        <v>109</v>
      </c>
      <c r="P5" s="7" t="s">
        <v>131</v>
      </c>
      <c r="Q5" s="7" t="s">
        <v>86</v>
      </c>
      <c r="R5" s="7" t="s">
        <v>63</v>
      </c>
      <c r="S5" s="7" t="s">
        <v>109</v>
      </c>
      <c r="T5" s="7" t="s">
        <v>117</v>
      </c>
      <c r="U5" s="7" t="s">
        <v>109</v>
      </c>
      <c r="V5" s="7" t="s">
        <v>109</v>
      </c>
      <c r="W5" s="7" t="s">
        <v>109</v>
      </c>
      <c r="X5" s="7" t="s">
        <v>109</v>
      </c>
    </row>
    <row r="6" spans="1:24" x14ac:dyDescent="0.3">
      <c r="A6" s="7">
        <v>5</v>
      </c>
      <c r="B6" s="7" t="s">
        <v>24</v>
      </c>
      <c r="C6" s="7" t="s">
        <v>45</v>
      </c>
      <c r="D6" s="7">
        <v>61125004</v>
      </c>
      <c r="E6" s="7">
        <v>278</v>
      </c>
      <c r="F6" s="7">
        <v>108</v>
      </c>
      <c r="G6" s="7">
        <v>33</v>
      </c>
      <c r="H6" s="7" t="s">
        <v>1220</v>
      </c>
      <c r="I6" s="7" t="s">
        <v>91</v>
      </c>
      <c r="J6" s="7" t="s">
        <v>130</v>
      </c>
      <c r="K6" s="46">
        <v>0.9819444444444444</v>
      </c>
      <c r="L6" s="46">
        <v>9.7222222222222224E-3</v>
      </c>
      <c r="M6" s="7" t="s">
        <v>109</v>
      </c>
      <c r="N6" s="7" t="s">
        <v>1161</v>
      </c>
      <c r="O6" s="7" t="s">
        <v>109</v>
      </c>
      <c r="P6" s="7" t="s">
        <v>131</v>
      </c>
      <c r="Q6" s="7" t="s">
        <v>91</v>
      </c>
      <c r="R6" s="7" t="s">
        <v>63</v>
      </c>
      <c r="S6" s="7" t="s">
        <v>109</v>
      </c>
      <c r="T6" s="7" t="s">
        <v>117</v>
      </c>
      <c r="U6" s="7" t="s">
        <v>109</v>
      </c>
      <c r="V6" s="7" t="s">
        <v>109</v>
      </c>
      <c r="W6" s="7" t="s">
        <v>109</v>
      </c>
      <c r="X6" s="7" t="s">
        <v>109</v>
      </c>
    </row>
    <row r="7" spans="1:24" x14ac:dyDescent="0.3">
      <c r="A7" s="7">
        <v>6</v>
      </c>
      <c r="B7" s="7" t="s">
        <v>24</v>
      </c>
      <c r="C7" s="7" t="s">
        <v>51</v>
      </c>
      <c r="D7" s="7">
        <v>61125015</v>
      </c>
      <c r="E7" s="7">
        <v>188</v>
      </c>
      <c r="F7" s="7">
        <v>353</v>
      </c>
      <c r="G7" s="7">
        <v>69</v>
      </c>
      <c r="H7" s="7" t="s">
        <v>1052</v>
      </c>
      <c r="I7" s="7" t="s">
        <v>297</v>
      </c>
      <c r="J7" s="7" t="s">
        <v>130</v>
      </c>
      <c r="K7" s="46">
        <v>0.8305555555555556</v>
      </c>
      <c r="L7" s="46">
        <v>0.92013888888888884</v>
      </c>
      <c r="M7" s="7" t="s">
        <v>109</v>
      </c>
      <c r="N7" s="7" t="s">
        <v>1161</v>
      </c>
      <c r="O7" s="7" t="s">
        <v>109</v>
      </c>
      <c r="P7" s="7" t="s">
        <v>131</v>
      </c>
      <c r="Q7" s="7" t="s">
        <v>90</v>
      </c>
      <c r="R7" s="7" t="s">
        <v>63</v>
      </c>
      <c r="S7" s="7" t="s">
        <v>109</v>
      </c>
      <c r="T7" s="7" t="s">
        <v>120</v>
      </c>
      <c r="U7" s="7" t="s">
        <v>109</v>
      </c>
      <c r="V7" s="7" t="s">
        <v>109</v>
      </c>
      <c r="W7" s="7" t="s">
        <v>109</v>
      </c>
      <c r="X7" s="7" t="s">
        <v>109</v>
      </c>
    </row>
    <row r="8" spans="1:24" x14ac:dyDescent="0.3">
      <c r="A8" s="7">
        <v>7</v>
      </c>
      <c r="B8" s="7" t="s">
        <v>24</v>
      </c>
      <c r="C8" s="7" t="s">
        <v>49</v>
      </c>
      <c r="D8" s="7">
        <v>61225008</v>
      </c>
      <c r="E8" s="7">
        <v>595</v>
      </c>
      <c r="F8" s="7">
        <v>587</v>
      </c>
      <c r="G8" s="7">
        <v>32</v>
      </c>
      <c r="H8" s="7" t="s">
        <v>1162</v>
      </c>
      <c r="I8" s="7" t="s">
        <v>1163</v>
      </c>
      <c r="J8" s="7" t="s">
        <v>130</v>
      </c>
      <c r="K8" s="46">
        <v>0.87222222222222223</v>
      </c>
      <c r="L8" s="46">
        <v>0.98541666666666672</v>
      </c>
      <c r="M8" s="7" t="s">
        <v>109</v>
      </c>
      <c r="N8" s="7" t="s">
        <v>110</v>
      </c>
      <c r="O8" s="7" t="s">
        <v>109</v>
      </c>
      <c r="P8" s="7" t="s">
        <v>131</v>
      </c>
      <c r="Q8" s="7" t="s">
        <v>89</v>
      </c>
      <c r="R8" s="7" t="s">
        <v>63</v>
      </c>
      <c r="S8" s="7" t="s">
        <v>109</v>
      </c>
      <c r="T8" s="7" t="s">
        <v>120</v>
      </c>
      <c r="U8" s="7" t="s">
        <v>109</v>
      </c>
      <c r="V8" s="7" t="s">
        <v>109</v>
      </c>
      <c r="W8" s="7" t="s">
        <v>109</v>
      </c>
      <c r="X8" s="7" t="s">
        <v>109</v>
      </c>
    </row>
    <row r="9" spans="1:24" x14ac:dyDescent="0.3">
      <c r="A9" s="7">
        <v>8</v>
      </c>
      <c r="B9" s="7" t="s">
        <v>26</v>
      </c>
      <c r="C9" s="7" t="s">
        <v>446</v>
      </c>
      <c r="D9" s="7">
        <v>41225005</v>
      </c>
      <c r="E9" s="7">
        <v>627</v>
      </c>
      <c r="F9" s="7">
        <v>430</v>
      </c>
      <c r="G9" s="7">
        <v>89</v>
      </c>
      <c r="H9" s="7" t="s">
        <v>1164</v>
      </c>
      <c r="I9" s="7" t="s">
        <v>1165</v>
      </c>
      <c r="J9" s="7" t="s">
        <v>130</v>
      </c>
      <c r="K9" s="46">
        <v>0.88472222222222219</v>
      </c>
      <c r="L9" s="46">
        <v>0.93541666666666667</v>
      </c>
      <c r="M9" s="7" t="s">
        <v>109</v>
      </c>
      <c r="N9" s="7" t="s">
        <v>1166</v>
      </c>
      <c r="O9" s="7" t="s">
        <v>109</v>
      </c>
      <c r="P9" s="7" t="s">
        <v>131</v>
      </c>
      <c r="Q9" s="7" t="s">
        <v>86</v>
      </c>
      <c r="R9" s="7" t="s">
        <v>62</v>
      </c>
      <c r="S9" s="7" t="s">
        <v>109</v>
      </c>
      <c r="T9" s="7" t="s">
        <v>122</v>
      </c>
      <c r="U9" s="7" t="s">
        <v>109</v>
      </c>
      <c r="V9" s="7" t="s">
        <v>109</v>
      </c>
      <c r="W9" s="7" t="s">
        <v>109</v>
      </c>
      <c r="X9" s="7" t="s">
        <v>109</v>
      </c>
    </row>
    <row r="10" spans="1:24" x14ac:dyDescent="0.3">
      <c r="A10" s="7">
        <v>9</v>
      </c>
      <c r="B10" s="7" t="s">
        <v>163</v>
      </c>
      <c r="C10" s="7" t="s">
        <v>167</v>
      </c>
      <c r="D10" s="7">
        <v>40126007</v>
      </c>
      <c r="E10" s="7">
        <v>255</v>
      </c>
      <c r="F10" s="7">
        <v>509</v>
      </c>
      <c r="G10" s="7">
        <v>211</v>
      </c>
      <c r="H10" s="7" t="s">
        <v>1167</v>
      </c>
      <c r="I10" s="7" t="s">
        <v>1168</v>
      </c>
      <c r="J10" s="7" t="s">
        <v>130</v>
      </c>
      <c r="K10" s="46">
        <v>0.80277777777777781</v>
      </c>
      <c r="L10" s="46">
        <v>0.83958333333333335</v>
      </c>
      <c r="M10" s="7" t="s">
        <v>109</v>
      </c>
      <c r="N10" s="7" t="s">
        <v>1161</v>
      </c>
      <c r="O10" s="7" t="s">
        <v>109</v>
      </c>
      <c r="P10" s="7" t="s">
        <v>131</v>
      </c>
      <c r="Q10" s="7" t="s">
        <v>86</v>
      </c>
      <c r="R10" s="7" t="s">
        <v>62</v>
      </c>
      <c r="S10" s="7" t="s">
        <v>109</v>
      </c>
      <c r="T10" s="7" t="s">
        <v>166</v>
      </c>
      <c r="U10" s="7" t="s">
        <v>109</v>
      </c>
      <c r="V10" s="7" t="s">
        <v>109</v>
      </c>
      <c r="W10" s="7" t="s">
        <v>109</v>
      </c>
      <c r="X10" s="7" t="s">
        <v>109</v>
      </c>
    </row>
    <row r="11" spans="1:24" x14ac:dyDescent="0.3">
      <c r="A11" s="7">
        <v>10</v>
      </c>
      <c r="B11" s="7" t="s">
        <v>23</v>
      </c>
      <c r="C11" s="7" t="s">
        <v>812</v>
      </c>
      <c r="D11" s="7">
        <v>50126224</v>
      </c>
      <c r="E11" s="7">
        <v>95</v>
      </c>
      <c r="F11" s="7">
        <v>121</v>
      </c>
      <c r="G11" s="7">
        <v>97</v>
      </c>
      <c r="H11" s="68" t="s">
        <v>222</v>
      </c>
      <c r="I11" s="7" t="s">
        <v>109</v>
      </c>
      <c r="J11" s="7" t="s">
        <v>130</v>
      </c>
      <c r="K11" s="46">
        <v>0.72916666666666663</v>
      </c>
      <c r="L11" s="7" t="s">
        <v>109</v>
      </c>
      <c r="M11" s="7" t="s">
        <v>109</v>
      </c>
      <c r="N11" s="7" t="s">
        <v>110</v>
      </c>
      <c r="O11" s="7" t="s">
        <v>61</v>
      </c>
      <c r="P11" s="7" t="s">
        <v>131</v>
      </c>
      <c r="Q11" s="7" t="s">
        <v>222</v>
      </c>
      <c r="R11" s="7" t="s">
        <v>62</v>
      </c>
      <c r="S11" s="7" t="s">
        <v>109</v>
      </c>
      <c r="T11" s="7" t="s">
        <v>424</v>
      </c>
      <c r="U11" s="7" t="s">
        <v>109</v>
      </c>
      <c r="V11" s="7" t="s">
        <v>109</v>
      </c>
      <c r="W11" s="7" t="s">
        <v>109</v>
      </c>
      <c r="X11" s="7" t="s">
        <v>109</v>
      </c>
    </row>
    <row r="12" spans="1:24" x14ac:dyDescent="0.3">
      <c r="A12" s="7">
        <v>11</v>
      </c>
      <c r="B12" s="7" t="s">
        <v>23</v>
      </c>
      <c r="C12" s="7" t="s">
        <v>814</v>
      </c>
      <c r="D12" s="7">
        <v>50126228</v>
      </c>
      <c r="E12" s="7">
        <v>100</v>
      </c>
      <c r="F12" s="7">
        <v>122</v>
      </c>
      <c r="G12" s="7">
        <v>62</v>
      </c>
      <c r="H12" s="7" t="s">
        <v>82</v>
      </c>
      <c r="I12" s="7" t="s">
        <v>109</v>
      </c>
      <c r="J12" s="7" t="s">
        <v>130</v>
      </c>
      <c r="K12" s="46">
        <v>0.90972222222222221</v>
      </c>
      <c r="L12" s="7" t="s">
        <v>109</v>
      </c>
      <c r="M12" s="7" t="s">
        <v>109</v>
      </c>
      <c r="N12" s="7" t="s">
        <v>110</v>
      </c>
      <c r="O12" s="7" t="s">
        <v>61</v>
      </c>
      <c r="P12" s="7" t="s">
        <v>131</v>
      </c>
      <c r="Q12" s="7" t="s">
        <v>82</v>
      </c>
      <c r="R12" s="7" t="s">
        <v>62</v>
      </c>
      <c r="S12" s="7" t="s">
        <v>109</v>
      </c>
      <c r="T12" s="7" t="s">
        <v>424</v>
      </c>
      <c r="U12" s="7" t="s">
        <v>109</v>
      </c>
      <c r="V12" s="7" t="s">
        <v>109</v>
      </c>
      <c r="W12" s="7" t="s">
        <v>109</v>
      </c>
      <c r="X12" s="7" t="s">
        <v>109</v>
      </c>
    </row>
    <row r="13" spans="1:24" x14ac:dyDescent="0.3">
      <c r="A13" s="7">
        <v>12</v>
      </c>
      <c r="B13" s="7" t="s">
        <v>23</v>
      </c>
      <c r="C13" s="7" t="s">
        <v>528</v>
      </c>
      <c r="D13" s="7">
        <v>50126058</v>
      </c>
      <c r="E13" s="7">
        <v>65</v>
      </c>
      <c r="F13" s="7">
        <v>81</v>
      </c>
      <c r="G13" s="7">
        <v>71</v>
      </c>
      <c r="H13" s="7" t="s">
        <v>82</v>
      </c>
      <c r="I13" s="7" t="s">
        <v>109</v>
      </c>
      <c r="J13" s="7" t="s">
        <v>130</v>
      </c>
      <c r="K13" s="46">
        <v>0.98263888888888884</v>
      </c>
      <c r="L13" s="7" t="s">
        <v>109</v>
      </c>
      <c r="M13" s="7" t="s">
        <v>109</v>
      </c>
      <c r="N13" s="7" t="s">
        <v>110</v>
      </c>
      <c r="O13" s="7" t="s">
        <v>61</v>
      </c>
      <c r="P13" s="7" t="s">
        <v>131</v>
      </c>
      <c r="Q13" s="7" t="s">
        <v>82</v>
      </c>
      <c r="R13" s="7" t="s">
        <v>62</v>
      </c>
      <c r="S13" s="7" t="s">
        <v>109</v>
      </c>
      <c r="T13" s="7" t="s">
        <v>424</v>
      </c>
      <c r="U13" s="7" t="s">
        <v>109</v>
      </c>
      <c r="V13" s="7" t="s">
        <v>109</v>
      </c>
      <c r="W13" s="7" t="s">
        <v>109</v>
      </c>
      <c r="X13" s="7" t="s">
        <v>109</v>
      </c>
    </row>
    <row r="14" spans="1:24" x14ac:dyDescent="0.3">
      <c r="A14" s="7">
        <v>13</v>
      </c>
      <c r="B14" s="7" t="s">
        <v>23</v>
      </c>
      <c r="C14" s="7" t="s">
        <v>539</v>
      </c>
      <c r="D14" s="7">
        <v>50126083</v>
      </c>
      <c r="E14" s="7">
        <v>135</v>
      </c>
      <c r="F14" s="7">
        <v>349</v>
      </c>
      <c r="G14" s="7">
        <v>122</v>
      </c>
      <c r="H14" s="7" t="s">
        <v>1169</v>
      </c>
      <c r="I14" s="7" t="s">
        <v>109</v>
      </c>
      <c r="J14" s="7" t="s">
        <v>130</v>
      </c>
      <c r="K14" s="46">
        <v>3.6111111111111108E-2</v>
      </c>
      <c r="L14" s="7" t="s">
        <v>109</v>
      </c>
      <c r="M14" s="7" t="s">
        <v>109</v>
      </c>
      <c r="N14" s="7" t="s">
        <v>110</v>
      </c>
      <c r="O14" s="7" t="s">
        <v>61</v>
      </c>
      <c r="P14" s="7" t="s">
        <v>131</v>
      </c>
      <c r="Q14" s="7" t="s">
        <v>888</v>
      </c>
      <c r="R14" s="7" t="s">
        <v>62</v>
      </c>
      <c r="S14" s="7" t="s">
        <v>109</v>
      </c>
      <c r="T14" s="7" t="s">
        <v>424</v>
      </c>
      <c r="U14" s="7" t="s">
        <v>109</v>
      </c>
      <c r="V14" s="7" t="s">
        <v>109</v>
      </c>
      <c r="W14" s="7" t="s">
        <v>109</v>
      </c>
      <c r="X14" s="7" t="s">
        <v>109</v>
      </c>
    </row>
    <row r="15" spans="1:24" x14ac:dyDescent="0.3">
      <c r="A15" s="7">
        <v>14</v>
      </c>
      <c r="B15" s="7" t="s">
        <v>23</v>
      </c>
      <c r="C15" s="7" t="s">
        <v>832</v>
      </c>
      <c r="D15" s="7">
        <v>50126109</v>
      </c>
      <c r="E15" s="7">
        <v>100</v>
      </c>
      <c r="F15" s="7">
        <v>157</v>
      </c>
      <c r="G15" s="7">
        <v>106</v>
      </c>
      <c r="H15" s="68" t="s">
        <v>1170</v>
      </c>
      <c r="I15" s="7" t="s">
        <v>109</v>
      </c>
      <c r="J15" s="7" t="s">
        <v>130</v>
      </c>
      <c r="K15" s="46">
        <v>0.84375</v>
      </c>
      <c r="L15" s="7" t="s">
        <v>109</v>
      </c>
      <c r="M15" s="7" t="s">
        <v>109</v>
      </c>
      <c r="N15" s="7" t="s">
        <v>110</v>
      </c>
      <c r="O15" s="7" t="s">
        <v>61</v>
      </c>
      <c r="P15" s="7" t="s">
        <v>131</v>
      </c>
      <c r="Q15" s="7" t="s">
        <v>214</v>
      </c>
      <c r="R15" s="7" t="s">
        <v>62</v>
      </c>
      <c r="S15" s="7" t="s">
        <v>109</v>
      </c>
      <c r="T15" s="7" t="s">
        <v>424</v>
      </c>
      <c r="U15" s="7" t="s">
        <v>109</v>
      </c>
      <c r="V15" s="7" t="s">
        <v>109</v>
      </c>
      <c r="W15" s="7" t="s">
        <v>109</v>
      </c>
      <c r="X15" s="7" t="s">
        <v>109</v>
      </c>
    </row>
    <row r="16" spans="1:24" x14ac:dyDescent="0.3">
      <c r="A16" s="7">
        <v>15</v>
      </c>
      <c r="B16" s="7" t="s">
        <v>23</v>
      </c>
      <c r="C16" s="7" t="s">
        <v>836</v>
      </c>
      <c r="D16" s="7">
        <v>50126104</v>
      </c>
      <c r="E16" s="7">
        <v>100</v>
      </c>
      <c r="F16" s="7">
        <v>210</v>
      </c>
      <c r="G16" s="7">
        <v>58</v>
      </c>
      <c r="H16" s="7" t="s">
        <v>88</v>
      </c>
      <c r="I16" s="7" t="s">
        <v>109</v>
      </c>
      <c r="J16" s="7" t="s">
        <v>130</v>
      </c>
      <c r="K16" s="46">
        <v>0.92291666666666672</v>
      </c>
      <c r="L16" s="7" t="s">
        <v>109</v>
      </c>
      <c r="M16" s="7" t="s">
        <v>109</v>
      </c>
      <c r="N16" s="7" t="s">
        <v>110</v>
      </c>
      <c r="O16" s="7" t="s">
        <v>61</v>
      </c>
      <c r="P16" s="7" t="s">
        <v>131</v>
      </c>
      <c r="Q16" s="7" t="s">
        <v>88</v>
      </c>
      <c r="R16" s="7" t="s">
        <v>62</v>
      </c>
      <c r="S16" s="7" t="s">
        <v>109</v>
      </c>
      <c r="T16" s="7" t="s">
        <v>424</v>
      </c>
      <c r="U16" s="7" t="s">
        <v>109</v>
      </c>
      <c r="V16" s="7" t="s">
        <v>109</v>
      </c>
      <c r="W16" s="7" t="s">
        <v>109</v>
      </c>
      <c r="X16" s="7" t="s">
        <v>109</v>
      </c>
    </row>
    <row r="17" spans="1:24" x14ac:dyDescent="0.3">
      <c r="A17" s="7">
        <v>16</v>
      </c>
      <c r="B17" s="7" t="s">
        <v>23</v>
      </c>
      <c r="C17" s="7" t="s">
        <v>838</v>
      </c>
      <c r="D17" s="7">
        <v>50126105</v>
      </c>
      <c r="E17" s="7">
        <v>65</v>
      </c>
      <c r="F17" s="7">
        <v>132</v>
      </c>
      <c r="G17" s="7">
        <v>84</v>
      </c>
      <c r="H17" s="7" t="s">
        <v>88</v>
      </c>
      <c r="I17" s="7" t="s">
        <v>109</v>
      </c>
      <c r="J17" s="7" t="s">
        <v>130</v>
      </c>
      <c r="K17" s="46">
        <v>0.99027777777777781</v>
      </c>
      <c r="L17" s="7" t="s">
        <v>109</v>
      </c>
      <c r="M17" s="7" t="s">
        <v>109</v>
      </c>
      <c r="N17" s="7" t="s">
        <v>110</v>
      </c>
      <c r="O17" s="7" t="s">
        <v>61</v>
      </c>
      <c r="P17" s="7" t="s">
        <v>131</v>
      </c>
      <c r="Q17" s="7" t="s">
        <v>88</v>
      </c>
      <c r="R17" s="7" t="s">
        <v>62</v>
      </c>
      <c r="S17" s="7" t="s">
        <v>109</v>
      </c>
      <c r="T17" s="7" t="s">
        <v>424</v>
      </c>
      <c r="U17" s="7" t="s">
        <v>109</v>
      </c>
      <c r="V17" s="7" t="s">
        <v>109</v>
      </c>
      <c r="W17" s="7" t="s">
        <v>109</v>
      </c>
      <c r="X17" s="7" t="s">
        <v>109</v>
      </c>
    </row>
    <row r="18" spans="1:24" x14ac:dyDescent="0.3">
      <c r="A18" s="7">
        <v>17</v>
      </c>
      <c r="B18" s="7" t="s">
        <v>23</v>
      </c>
      <c r="C18" s="7" t="s">
        <v>428</v>
      </c>
      <c r="D18" s="7">
        <v>50126024</v>
      </c>
      <c r="E18" s="7">
        <v>500</v>
      </c>
      <c r="F18" s="7">
        <v>792</v>
      </c>
      <c r="G18" s="7">
        <v>505</v>
      </c>
      <c r="H18" s="7" t="s">
        <v>1171</v>
      </c>
      <c r="I18" s="7" t="s">
        <v>109</v>
      </c>
      <c r="J18" s="7" t="s">
        <v>130</v>
      </c>
      <c r="K18" s="46">
        <v>0.82916666666666672</v>
      </c>
      <c r="L18" s="7" t="s">
        <v>109</v>
      </c>
      <c r="M18" s="7" t="s">
        <v>109</v>
      </c>
      <c r="N18" s="7" t="s">
        <v>110</v>
      </c>
      <c r="O18" s="7" t="s">
        <v>61</v>
      </c>
      <c r="P18" s="7" t="s">
        <v>131</v>
      </c>
      <c r="Q18" s="7" t="s">
        <v>200</v>
      </c>
      <c r="R18" s="7" t="s">
        <v>62</v>
      </c>
      <c r="S18" s="7" t="s">
        <v>109</v>
      </c>
      <c r="T18" s="7" t="s">
        <v>424</v>
      </c>
      <c r="U18" s="7" t="s">
        <v>109</v>
      </c>
      <c r="V18" s="7" t="s">
        <v>109</v>
      </c>
      <c r="W18" s="7" t="s">
        <v>109</v>
      </c>
      <c r="X18" s="7" t="s">
        <v>109</v>
      </c>
    </row>
    <row r="19" spans="1:24" x14ac:dyDescent="0.3">
      <c r="A19" s="7">
        <v>18</v>
      </c>
      <c r="B19" s="7" t="s">
        <v>23</v>
      </c>
      <c r="C19" s="7" t="s">
        <v>541</v>
      </c>
      <c r="D19" s="7">
        <v>50126096</v>
      </c>
      <c r="E19" s="7">
        <v>110</v>
      </c>
      <c r="F19" s="7">
        <v>152</v>
      </c>
      <c r="G19" s="7">
        <v>85</v>
      </c>
      <c r="H19" s="7" t="s">
        <v>209</v>
      </c>
      <c r="I19" s="7" t="s">
        <v>109</v>
      </c>
      <c r="J19" s="7" t="s">
        <v>130</v>
      </c>
      <c r="K19" s="46">
        <v>0.88263888888888886</v>
      </c>
      <c r="L19" s="7" t="s">
        <v>109</v>
      </c>
      <c r="M19" s="7" t="s">
        <v>109</v>
      </c>
      <c r="N19" s="7" t="s">
        <v>110</v>
      </c>
      <c r="O19" s="7" t="s">
        <v>61</v>
      </c>
      <c r="P19" s="7" t="s">
        <v>131</v>
      </c>
      <c r="Q19" s="7" t="s">
        <v>209</v>
      </c>
      <c r="R19" s="7" t="s">
        <v>62</v>
      </c>
      <c r="S19" s="7" t="s">
        <v>109</v>
      </c>
      <c r="T19" s="7" t="s">
        <v>424</v>
      </c>
      <c r="U19" s="7" t="s">
        <v>109</v>
      </c>
      <c r="V19" s="7" t="s">
        <v>109</v>
      </c>
      <c r="W19" s="7" t="s">
        <v>109</v>
      </c>
      <c r="X19" s="7" t="s">
        <v>109</v>
      </c>
    </row>
    <row r="20" spans="1:24" x14ac:dyDescent="0.3">
      <c r="A20" s="7">
        <v>19</v>
      </c>
      <c r="B20" s="7" t="s">
        <v>23</v>
      </c>
      <c r="C20" s="7" t="s">
        <v>1172</v>
      </c>
      <c r="D20" s="7">
        <v>50126328</v>
      </c>
      <c r="E20" s="7">
        <v>85</v>
      </c>
      <c r="F20" s="7">
        <v>162</v>
      </c>
      <c r="G20" s="7">
        <v>71</v>
      </c>
      <c r="H20" s="7" t="s">
        <v>67</v>
      </c>
      <c r="I20" s="7" t="s">
        <v>109</v>
      </c>
      <c r="J20" s="7" t="s">
        <v>130</v>
      </c>
      <c r="K20" s="46">
        <v>0.75416666666666665</v>
      </c>
      <c r="L20" s="7" t="s">
        <v>109</v>
      </c>
      <c r="M20" s="7" t="s">
        <v>109</v>
      </c>
      <c r="N20" s="7" t="s">
        <v>110</v>
      </c>
      <c r="O20" s="7" t="s">
        <v>61</v>
      </c>
      <c r="P20" s="7" t="s">
        <v>131</v>
      </c>
      <c r="Q20" s="7" t="s">
        <v>67</v>
      </c>
      <c r="R20" s="7" t="s">
        <v>62</v>
      </c>
      <c r="S20" s="7" t="s">
        <v>109</v>
      </c>
      <c r="T20" s="7" t="s">
        <v>424</v>
      </c>
      <c r="U20" s="7" t="s">
        <v>109</v>
      </c>
      <c r="V20" s="7" t="s">
        <v>109</v>
      </c>
      <c r="W20" s="7" t="s">
        <v>109</v>
      </c>
      <c r="X20" s="7" t="s">
        <v>109</v>
      </c>
    </row>
    <row r="21" spans="1:24" x14ac:dyDescent="0.3">
      <c r="A21" s="7">
        <v>20</v>
      </c>
      <c r="B21" s="7" t="s">
        <v>23</v>
      </c>
      <c r="C21" s="7" t="s">
        <v>1173</v>
      </c>
      <c r="D21" s="7">
        <v>50126327</v>
      </c>
      <c r="E21" s="7">
        <v>120</v>
      </c>
      <c r="F21" s="7">
        <v>136</v>
      </c>
      <c r="G21" s="7">
        <v>129</v>
      </c>
      <c r="H21" s="7" t="s">
        <v>1174</v>
      </c>
      <c r="I21" s="7" t="s">
        <v>109</v>
      </c>
      <c r="J21" s="7" t="s">
        <v>130</v>
      </c>
      <c r="K21" s="46">
        <v>0.74861111111111112</v>
      </c>
      <c r="L21" s="7" t="s">
        <v>109</v>
      </c>
      <c r="M21" s="7" t="s">
        <v>109</v>
      </c>
      <c r="N21" s="7" t="s">
        <v>110</v>
      </c>
      <c r="O21" s="7" t="s">
        <v>61</v>
      </c>
      <c r="P21" s="7" t="s">
        <v>131</v>
      </c>
      <c r="Q21" s="7" t="s">
        <v>241</v>
      </c>
      <c r="R21" s="7" t="s">
        <v>62</v>
      </c>
      <c r="S21" s="7" t="s">
        <v>109</v>
      </c>
      <c r="T21" s="7" t="s">
        <v>424</v>
      </c>
      <c r="U21" s="7" t="s">
        <v>109</v>
      </c>
      <c r="V21" s="7" t="s">
        <v>109</v>
      </c>
      <c r="W21" s="7" t="s">
        <v>109</v>
      </c>
      <c r="X21" s="7" t="s">
        <v>109</v>
      </c>
    </row>
    <row r="22" spans="1:24" x14ac:dyDescent="0.3">
      <c r="A22" s="7">
        <v>21</v>
      </c>
      <c r="B22" s="7" t="s">
        <v>23</v>
      </c>
      <c r="C22" s="7" t="s">
        <v>537</v>
      </c>
      <c r="D22" s="7">
        <v>50126097</v>
      </c>
      <c r="E22" s="7">
        <v>85</v>
      </c>
      <c r="F22" s="7">
        <v>64</v>
      </c>
      <c r="G22" s="7">
        <v>15</v>
      </c>
      <c r="H22" s="7" t="s">
        <v>89</v>
      </c>
      <c r="I22" s="7" t="s">
        <v>109</v>
      </c>
      <c r="J22" s="7" t="s">
        <v>130</v>
      </c>
      <c r="K22" s="46">
        <v>0.79791666666666672</v>
      </c>
      <c r="L22" s="7" t="s">
        <v>109</v>
      </c>
      <c r="M22" s="7" t="s">
        <v>109</v>
      </c>
      <c r="N22" s="7" t="s">
        <v>109</v>
      </c>
      <c r="O22" s="7" t="s">
        <v>61</v>
      </c>
      <c r="P22" s="7" t="s">
        <v>131</v>
      </c>
      <c r="Q22" s="7" t="s">
        <v>89</v>
      </c>
      <c r="R22" s="7" t="s">
        <v>62</v>
      </c>
      <c r="S22" s="7" t="s">
        <v>109</v>
      </c>
      <c r="T22" s="7" t="s">
        <v>424</v>
      </c>
      <c r="U22" s="7" t="s">
        <v>109</v>
      </c>
      <c r="V22" s="7" t="s">
        <v>109</v>
      </c>
      <c r="W22" s="7" t="s">
        <v>109</v>
      </c>
      <c r="X22" s="7" t="s">
        <v>109</v>
      </c>
    </row>
    <row r="23" spans="1:24" x14ac:dyDescent="0.3">
      <c r="A23" s="7">
        <v>22</v>
      </c>
      <c r="B23" s="7" t="s">
        <v>23</v>
      </c>
      <c r="C23" s="7" t="s">
        <v>536</v>
      </c>
      <c r="D23" s="7">
        <v>50126098</v>
      </c>
      <c r="E23" s="7">
        <v>85</v>
      </c>
      <c r="F23" s="7">
        <v>148</v>
      </c>
      <c r="G23" s="7">
        <v>8</v>
      </c>
      <c r="H23" s="7" t="s">
        <v>65</v>
      </c>
      <c r="I23" s="7" t="s">
        <v>109</v>
      </c>
      <c r="J23" s="7" t="s">
        <v>130</v>
      </c>
      <c r="K23" s="46">
        <v>0.75694444444444442</v>
      </c>
      <c r="L23" s="7" t="s">
        <v>109</v>
      </c>
      <c r="M23" s="7" t="s">
        <v>109</v>
      </c>
      <c r="N23" s="7" t="s">
        <v>109</v>
      </c>
      <c r="O23" s="7" t="s">
        <v>61</v>
      </c>
      <c r="P23" s="7" t="s">
        <v>131</v>
      </c>
      <c r="Q23" s="7" t="s">
        <v>65</v>
      </c>
      <c r="R23" s="7" t="s">
        <v>62</v>
      </c>
      <c r="S23" s="7" t="s">
        <v>109</v>
      </c>
      <c r="T23" s="7" t="s">
        <v>424</v>
      </c>
      <c r="U23" s="7" t="s">
        <v>109</v>
      </c>
      <c r="V23" s="7" t="s">
        <v>109</v>
      </c>
      <c r="W23" s="7" t="s">
        <v>109</v>
      </c>
      <c r="X23" s="7" t="s">
        <v>109</v>
      </c>
    </row>
    <row r="24" spans="1:24" x14ac:dyDescent="0.3">
      <c r="A24" s="7">
        <v>23</v>
      </c>
      <c r="B24" s="7" t="s">
        <v>23</v>
      </c>
      <c r="C24" s="7" t="s">
        <v>850</v>
      </c>
      <c r="D24" s="7">
        <v>50126214</v>
      </c>
      <c r="E24" s="7">
        <v>400</v>
      </c>
      <c r="F24" s="7">
        <v>362</v>
      </c>
      <c r="G24" s="7">
        <v>256</v>
      </c>
      <c r="H24" s="7" t="s">
        <v>1175</v>
      </c>
      <c r="I24" s="7" t="s">
        <v>109</v>
      </c>
      <c r="J24" s="7" t="s">
        <v>130</v>
      </c>
      <c r="K24" s="46">
        <v>0.85763888888888884</v>
      </c>
      <c r="L24" s="7" t="s">
        <v>109</v>
      </c>
      <c r="M24" s="7" t="s">
        <v>109</v>
      </c>
      <c r="N24" s="7" t="s">
        <v>109</v>
      </c>
      <c r="O24" s="7" t="s">
        <v>61</v>
      </c>
      <c r="P24" s="7" t="s">
        <v>131</v>
      </c>
      <c r="Q24" s="7" t="s">
        <v>70</v>
      </c>
      <c r="R24" s="7" t="s">
        <v>62</v>
      </c>
      <c r="S24" s="7" t="s">
        <v>109</v>
      </c>
      <c r="T24" s="7" t="s">
        <v>424</v>
      </c>
      <c r="U24" s="7" t="s">
        <v>109</v>
      </c>
      <c r="V24" s="7" t="s">
        <v>109</v>
      </c>
      <c r="W24" s="7" t="s">
        <v>109</v>
      </c>
      <c r="X24" s="7" t="s">
        <v>109</v>
      </c>
    </row>
    <row r="25" spans="1:24" x14ac:dyDescent="0.3">
      <c r="A25" s="7">
        <v>24</v>
      </c>
      <c r="B25" s="7" t="s">
        <v>23</v>
      </c>
      <c r="C25" s="7" t="s">
        <v>659</v>
      </c>
      <c r="D25" s="7">
        <v>50126153</v>
      </c>
      <c r="E25" s="7">
        <v>70</v>
      </c>
      <c r="F25" s="7">
        <v>137</v>
      </c>
      <c r="G25" s="7">
        <v>74</v>
      </c>
      <c r="H25" s="7" t="s">
        <v>520</v>
      </c>
      <c r="I25" s="7" t="s">
        <v>109</v>
      </c>
      <c r="J25" s="7" t="s">
        <v>130</v>
      </c>
      <c r="K25" s="46">
        <v>2.2222222222222223E-2</v>
      </c>
      <c r="L25" s="7" t="s">
        <v>109</v>
      </c>
      <c r="M25" s="7" t="s">
        <v>109</v>
      </c>
      <c r="N25" s="7" t="s">
        <v>660</v>
      </c>
      <c r="O25" s="7" t="s">
        <v>61</v>
      </c>
      <c r="P25" s="7" t="s">
        <v>131</v>
      </c>
      <c r="Q25" s="7" t="s">
        <v>520</v>
      </c>
      <c r="R25" s="7" t="s">
        <v>62</v>
      </c>
      <c r="S25" s="7" t="s">
        <v>109</v>
      </c>
      <c r="T25" s="7" t="s">
        <v>661</v>
      </c>
      <c r="U25" s="7" t="s">
        <v>109</v>
      </c>
      <c r="V25" s="7" t="s">
        <v>109</v>
      </c>
      <c r="W25" s="7" t="s">
        <v>109</v>
      </c>
      <c r="X25" s="7" t="s">
        <v>109</v>
      </c>
    </row>
    <row r="26" spans="1:24" x14ac:dyDescent="0.3">
      <c r="A26" s="7">
        <v>25</v>
      </c>
      <c r="B26" s="7" t="s">
        <v>23</v>
      </c>
      <c r="C26" s="7" t="s">
        <v>662</v>
      </c>
      <c r="D26" s="7">
        <v>50126152</v>
      </c>
      <c r="E26" s="7">
        <v>75</v>
      </c>
      <c r="F26" s="7">
        <v>124</v>
      </c>
      <c r="G26" s="7">
        <v>82</v>
      </c>
      <c r="H26" s="7" t="s">
        <v>65</v>
      </c>
      <c r="I26" s="7" t="s">
        <v>109</v>
      </c>
      <c r="J26" s="7" t="s">
        <v>130</v>
      </c>
      <c r="K26" s="46">
        <v>0.99722222222222223</v>
      </c>
      <c r="L26" s="7" t="s">
        <v>109</v>
      </c>
      <c r="M26" s="7" t="s">
        <v>109</v>
      </c>
      <c r="N26" s="7" t="s">
        <v>660</v>
      </c>
      <c r="O26" s="7" t="s">
        <v>61</v>
      </c>
      <c r="P26" s="7" t="s">
        <v>131</v>
      </c>
      <c r="Q26" s="7" t="s">
        <v>65</v>
      </c>
      <c r="R26" s="7" t="s">
        <v>62</v>
      </c>
      <c r="S26" s="7" t="s">
        <v>109</v>
      </c>
      <c r="T26" s="7" t="s">
        <v>661</v>
      </c>
      <c r="U26" s="7" t="s">
        <v>109</v>
      </c>
      <c r="V26" s="7" t="s">
        <v>109</v>
      </c>
      <c r="W26" s="7" t="s">
        <v>109</v>
      </c>
      <c r="X26" s="7" t="s">
        <v>109</v>
      </c>
    </row>
    <row r="27" spans="1:24" x14ac:dyDescent="0.3">
      <c r="A27" s="7">
        <v>26</v>
      </c>
      <c r="B27" s="7" t="s">
        <v>23</v>
      </c>
      <c r="C27" s="7" t="s">
        <v>268</v>
      </c>
      <c r="D27" s="7">
        <v>50126004</v>
      </c>
      <c r="E27" s="7">
        <v>50</v>
      </c>
      <c r="F27" s="7">
        <v>68</v>
      </c>
      <c r="G27" s="7">
        <v>27</v>
      </c>
      <c r="H27" s="7" t="s">
        <v>241</v>
      </c>
      <c r="I27" s="7" t="s">
        <v>109</v>
      </c>
      <c r="J27" s="7" t="s">
        <v>130</v>
      </c>
      <c r="K27" s="46">
        <v>0.86805555555555558</v>
      </c>
      <c r="L27" s="7" t="s">
        <v>109</v>
      </c>
      <c r="M27" s="7" t="s">
        <v>109</v>
      </c>
      <c r="N27" s="7" t="s">
        <v>109</v>
      </c>
      <c r="O27" s="7" t="s">
        <v>61</v>
      </c>
      <c r="P27" s="7" t="s">
        <v>131</v>
      </c>
      <c r="Q27" s="7" t="s">
        <v>241</v>
      </c>
      <c r="R27" s="7" t="s">
        <v>62</v>
      </c>
      <c r="S27" s="7" t="s">
        <v>109</v>
      </c>
      <c r="T27" s="7" t="s">
        <v>266</v>
      </c>
      <c r="U27" s="7" t="s">
        <v>109</v>
      </c>
      <c r="V27" s="7" t="s">
        <v>109</v>
      </c>
      <c r="W27" s="7" t="s">
        <v>109</v>
      </c>
      <c r="X27" s="7" t="s">
        <v>109</v>
      </c>
    </row>
    <row r="28" spans="1:24" x14ac:dyDescent="0.3">
      <c r="A28" s="7">
        <v>27</v>
      </c>
      <c r="B28" s="7" t="s">
        <v>23</v>
      </c>
      <c r="C28" s="7" t="s">
        <v>265</v>
      </c>
      <c r="D28" s="7">
        <v>50126006</v>
      </c>
      <c r="E28" s="7">
        <v>40</v>
      </c>
      <c r="F28" s="7">
        <v>54</v>
      </c>
      <c r="G28" s="7">
        <v>50</v>
      </c>
      <c r="H28" s="7" t="s">
        <v>196</v>
      </c>
      <c r="I28" s="7" t="s">
        <v>109</v>
      </c>
      <c r="J28" s="7" t="s">
        <v>130</v>
      </c>
      <c r="K28" s="11">
        <v>0.68194444444444446</v>
      </c>
      <c r="L28" s="7" t="s">
        <v>109</v>
      </c>
      <c r="M28" s="7" t="s">
        <v>109</v>
      </c>
      <c r="N28" s="7" t="s">
        <v>109</v>
      </c>
      <c r="O28" s="7" t="s">
        <v>61</v>
      </c>
      <c r="P28" s="7" t="s">
        <v>131</v>
      </c>
      <c r="Q28" s="7" t="s">
        <v>196</v>
      </c>
      <c r="R28" s="7" t="s">
        <v>62</v>
      </c>
      <c r="S28" s="7" t="s">
        <v>109</v>
      </c>
      <c r="T28" s="7" t="s">
        <v>266</v>
      </c>
      <c r="U28" s="7" t="s">
        <v>109</v>
      </c>
      <c r="V28" s="7" t="s">
        <v>109</v>
      </c>
      <c r="W28" s="7" t="s">
        <v>109</v>
      </c>
      <c r="X28" s="7" t="s">
        <v>109</v>
      </c>
    </row>
    <row r="29" spans="1:24" x14ac:dyDescent="0.3">
      <c r="A29" s="7">
        <v>28</v>
      </c>
      <c r="B29" s="7" t="s">
        <v>23</v>
      </c>
      <c r="C29" s="7" t="s">
        <v>267</v>
      </c>
      <c r="D29" s="7">
        <v>50126005</v>
      </c>
      <c r="E29" s="7">
        <v>50</v>
      </c>
      <c r="F29" s="7">
        <v>74</v>
      </c>
      <c r="G29" s="7">
        <v>35</v>
      </c>
      <c r="H29" s="7" t="s">
        <v>69</v>
      </c>
      <c r="I29" s="7" t="s">
        <v>109</v>
      </c>
      <c r="J29" s="7" t="s">
        <v>130</v>
      </c>
      <c r="K29" s="46">
        <v>0.69513888888888886</v>
      </c>
      <c r="L29" s="7" t="s">
        <v>109</v>
      </c>
      <c r="M29" s="7" t="s">
        <v>109</v>
      </c>
      <c r="N29" s="7" t="s">
        <v>109</v>
      </c>
      <c r="O29" s="7" t="s">
        <v>61</v>
      </c>
      <c r="P29" s="7" t="s">
        <v>131</v>
      </c>
      <c r="Q29" s="7" t="s">
        <v>69</v>
      </c>
      <c r="R29" s="7" t="s">
        <v>62</v>
      </c>
      <c r="S29" s="7" t="s">
        <v>109</v>
      </c>
      <c r="T29" s="7" t="s">
        <v>266</v>
      </c>
      <c r="U29" s="7" t="s">
        <v>109</v>
      </c>
      <c r="V29" s="7" t="s">
        <v>109</v>
      </c>
      <c r="W29" s="7" t="s">
        <v>109</v>
      </c>
      <c r="X29" s="7" t="s">
        <v>109</v>
      </c>
    </row>
    <row r="30" spans="1:24" x14ac:dyDescent="0.3">
      <c r="A30" s="7">
        <v>29</v>
      </c>
      <c r="B30" s="7" t="s">
        <v>23</v>
      </c>
      <c r="C30" s="7" t="s">
        <v>1021</v>
      </c>
      <c r="D30" s="7">
        <v>51225085</v>
      </c>
      <c r="E30" s="7">
        <v>50</v>
      </c>
      <c r="F30" s="7">
        <v>126</v>
      </c>
      <c r="G30" s="7">
        <v>23</v>
      </c>
      <c r="H30" s="7" t="s">
        <v>214</v>
      </c>
      <c r="I30" s="7" t="s">
        <v>109</v>
      </c>
      <c r="J30" s="7" t="s">
        <v>130</v>
      </c>
      <c r="K30" s="46">
        <v>6.9444444444444447E-4</v>
      </c>
      <c r="L30" s="7" t="s">
        <v>109</v>
      </c>
      <c r="M30" s="7" t="s">
        <v>109</v>
      </c>
      <c r="N30" s="7" t="s">
        <v>109</v>
      </c>
      <c r="O30" s="7" t="s">
        <v>61</v>
      </c>
      <c r="P30" s="7" t="s">
        <v>131</v>
      </c>
      <c r="Q30" s="7" t="s">
        <v>214</v>
      </c>
      <c r="R30" s="7" t="s">
        <v>62</v>
      </c>
      <c r="S30" s="7" t="s">
        <v>109</v>
      </c>
      <c r="T30" s="7" t="s">
        <v>252</v>
      </c>
      <c r="U30" s="7" t="s">
        <v>109</v>
      </c>
      <c r="V30" s="7" t="s">
        <v>109</v>
      </c>
      <c r="W30" s="7" t="s">
        <v>109</v>
      </c>
      <c r="X30" s="7" t="s">
        <v>109</v>
      </c>
    </row>
    <row r="31" spans="1:24" x14ac:dyDescent="0.3">
      <c r="A31" s="7">
        <v>30</v>
      </c>
      <c r="B31" s="7" t="s">
        <v>23</v>
      </c>
      <c r="C31" s="7" t="s">
        <v>377</v>
      </c>
      <c r="D31" s="7">
        <v>50425243</v>
      </c>
      <c r="E31" s="7">
        <v>133</v>
      </c>
      <c r="F31" s="7">
        <v>106</v>
      </c>
      <c r="G31" s="7">
        <v>18</v>
      </c>
      <c r="H31" s="7" t="s">
        <v>1176</v>
      </c>
      <c r="I31" s="7" t="s">
        <v>109</v>
      </c>
      <c r="J31" s="7" t="s">
        <v>130</v>
      </c>
      <c r="K31" s="46">
        <v>0.97361111111111109</v>
      </c>
      <c r="L31" s="7" t="s">
        <v>109</v>
      </c>
      <c r="M31" s="7" t="s">
        <v>109</v>
      </c>
      <c r="N31" s="7" t="s">
        <v>1069</v>
      </c>
      <c r="O31" s="7" t="s">
        <v>61</v>
      </c>
      <c r="P31" s="7" t="s">
        <v>131</v>
      </c>
      <c r="Q31" s="7" t="s">
        <v>70</v>
      </c>
      <c r="R31" s="7" t="s">
        <v>62</v>
      </c>
      <c r="S31" s="7" t="s">
        <v>109</v>
      </c>
      <c r="T31" s="7" t="s">
        <v>379</v>
      </c>
      <c r="U31" s="7" t="s">
        <v>109</v>
      </c>
      <c r="V31" s="7" t="s">
        <v>109</v>
      </c>
      <c r="W31" s="7" t="s">
        <v>109</v>
      </c>
      <c r="X31" s="7" t="s">
        <v>109</v>
      </c>
    </row>
    <row r="32" spans="1:24" x14ac:dyDescent="0.3">
      <c r="A32" s="7">
        <v>31</v>
      </c>
      <c r="B32" s="7" t="s">
        <v>23</v>
      </c>
      <c r="C32" s="7" t="s">
        <v>224</v>
      </c>
      <c r="D32" s="7">
        <v>51225106</v>
      </c>
      <c r="E32" s="7">
        <v>260</v>
      </c>
      <c r="F32" s="7" t="s">
        <v>109</v>
      </c>
      <c r="G32" s="7" t="s">
        <v>109</v>
      </c>
      <c r="H32" s="7" t="s">
        <v>1177</v>
      </c>
      <c r="I32" s="7" t="s">
        <v>109</v>
      </c>
      <c r="J32" s="7" t="s">
        <v>85</v>
      </c>
      <c r="K32" s="7" t="s">
        <v>109</v>
      </c>
      <c r="L32" s="7" t="s">
        <v>109</v>
      </c>
      <c r="M32" s="7" t="s">
        <v>109</v>
      </c>
      <c r="N32" s="7" t="s">
        <v>61</v>
      </c>
      <c r="O32" s="7" t="s">
        <v>61</v>
      </c>
      <c r="P32" s="7" t="s">
        <v>109</v>
      </c>
      <c r="Q32" s="7" t="s">
        <v>109</v>
      </c>
      <c r="R32" s="7" t="s">
        <v>62</v>
      </c>
      <c r="S32" s="7" t="s">
        <v>109</v>
      </c>
      <c r="T32" s="7" t="s">
        <v>117</v>
      </c>
      <c r="U32" s="7" t="s">
        <v>109</v>
      </c>
      <c r="V32" s="7" t="s">
        <v>109</v>
      </c>
      <c r="W32" s="7" t="s">
        <v>109</v>
      </c>
      <c r="X32" s="7" t="s">
        <v>109</v>
      </c>
    </row>
    <row r="33" spans="1:24" x14ac:dyDescent="0.3">
      <c r="A33" s="7">
        <v>32</v>
      </c>
      <c r="B33" s="7" t="s">
        <v>23</v>
      </c>
      <c r="C33" s="7" t="s">
        <v>227</v>
      </c>
      <c r="D33" s="7">
        <v>50825130</v>
      </c>
      <c r="E33" s="7">
        <v>35</v>
      </c>
      <c r="F33" s="7">
        <v>68</v>
      </c>
      <c r="G33" s="7">
        <v>41</v>
      </c>
      <c r="H33" s="68" t="s">
        <v>222</v>
      </c>
      <c r="I33" s="7" t="s">
        <v>109</v>
      </c>
      <c r="J33" s="7" t="s">
        <v>130</v>
      </c>
      <c r="K33" s="46">
        <v>0.77430555555555558</v>
      </c>
      <c r="L33" s="7" t="s">
        <v>109</v>
      </c>
      <c r="M33" s="7" t="s">
        <v>109</v>
      </c>
      <c r="N33" s="7" t="s">
        <v>61</v>
      </c>
      <c r="O33" s="7" t="s">
        <v>61</v>
      </c>
      <c r="P33" s="7" t="s">
        <v>131</v>
      </c>
      <c r="Q33" s="7" t="s">
        <v>222</v>
      </c>
      <c r="R33" s="7" t="s">
        <v>62</v>
      </c>
      <c r="S33" s="7" t="s">
        <v>109</v>
      </c>
      <c r="T33" s="7" t="s">
        <v>117</v>
      </c>
      <c r="U33" s="7" t="s">
        <v>109</v>
      </c>
      <c r="V33" s="7" t="s">
        <v>109</v>
      </c>
      <c r="W33" s="7" t="s">
        <v>109</v>
      </c>
      <c r="X33" s="7" t="s">
        <v>109</v>
      </c>
    </row>
    <row r="34" spans="1:24" x14ac:dyDescent="0.3">
      <c r="A34" s="7">
        <v>33</v>
      </c>
      <c r="B34" s="7" t="s">
        <v>23</v>
      </c>
      <c r="C34" s="7" t="s">
        <v>228</v>
      </c>
      <c r="D34" s="7">
        <v>51225097</v>
      </c>
      <c r="E34" s="7">
        <v>250</v>
      </c>
      <c r="F34" s="7">
        <v>432</v>
      </c>
      <c r="G34" s="7">
        <v>153</v>
      </c>
      <c r="H34" s="7" t="s">
        <v>1178</v>
      </c>
      <c r="I34" s="7" t="s">
        <v>109</v>
      </c>
      <c r="J34" s="7" t="s">
        <v>130</v>
      </c>
      <c r="K34" s="46">
        <v>2.7777777777777779E-3</v>
      </c>
      <c r="L34" s="7" t="s">
        <v>109</v>
      </c>
      <c r="M34" s="7" t="s">
        <v>109</v>
      </c>
      <c r="N34" s="7" t="s">
        <v>61</v>
      </c>
      <c r="O34" s="7" t="s">
        <v>61</v>
      </c>
      <c r="P34" s="7" t="s">
        <v>131</v>
      </c>
      <c r="Q34" s="7" t="s">
        <v>71</v>
      </c>
      <c r="R34" s="7" t="s">
        <v>62</v>
      </c>
      <c r="S34" s="7" t="s">
        <v>109</v>
      </c>
      <c r="T34" s="7" t="s">
        <v>117</v>
      </c>
      <c r="U34" s="7" t="s">
        <v>109</v>
      </c>
      <c r="V34" s="7" t="s">
        <v>109</v>
      </c>
      <c r="W34" s="7" t="s">
        <v>109</v>
      </c>
      <c r="X34" s="7" t="s">
        <v>109</v>
      </c>
    </row>
    <row r="35" spans="1:24" x14ac:dyDescent="0.3">
      <c r="A35" s="7">
        <v>34</v>
      </c>
      <c r="B35" s="7" t="s">
        <v>23</v>
      </c>
      <c r="C35" s="7" t="s">
        <v>231</v>
      </c>
      <c r="D35" s="7">
        <v>51125019</v>
      </c>
      <c r="E35" s="7">
        <v>150</v>
      </c>
      <c r="F35" s="7">
        <v>271</v>
      </c>
      <c r="G35" s="7">
        <v>121</v>
      </c>
      <c r="H35" s="7" t="s">
        <v>1179</v>
      </c>
      <c r="I35" s="7" t="s">
        <v>109</v>
      </c>
      <c r="J35" s="7" t="s">
        <v>130</v>
      </c>
      <c r="K35" s="46">
        <v>0.94374999999999998</v>
      </c>
      <c r="L35" s="7" t="s">
        <v>109</v>
      </c>
      <c r="M35" s="7" t="s">
        <v>109</v>
      </c>
      <c r="N35" s="7" t="s">
        <v>61</v>
      </c>
      <c r="O35" s="7" t="s">
        <v>61</v>
      </c>
      <c r="P35" s="7" t="s">
        <v>131</v>
      </c>
      <c r="Q35" s="7" t="s">
        <v>64</v>
      </c>
      <c r="R35" s="7" t="s">
        <v>62</v>
      </c>
      <c r="S35" s="7" t="s">
        <v>109</v>
      </c>
      <c r="T35" s="7" t="s">
        <v>117</v>
      </c>
      <c r="U35" s="7" t="s">
        <v>109</v>
      </c>
      <c r="V35" s="7" t="s">
        <v>109</v>
      </c>
      <c r="W35" s="7" t="s">
        <v>109</v>
      </c>
      <c r="X35" s="7" t="s">
        <v>109</v>
      </c>
    </row>
    <row r="36" spans="1:24" x14ac:dyDescent="0.3">
      <c r="A36" s="7">
        <v>35</v>
      </c>
      <c r="B36" s="7" t="s">
        <v>23</v>
      </c>
      <c r="C36" s="7" t="s">
        <v>233</v>
      </c>
      <c r="D36" s="7">
        <v>51125020</v>
      </c>
      <c r="E36" s="7">
        <v>90</v>
      </c>
      <c r="F36" s="7">
        <v>118</v>
      </c>
      <c r="G36" s="7">
        <v>98</v>
      </c>
      <c r="H36" s="7" t="s">
        <v>82</v>
      </c>
      <c r="I36" s="7" t="s">
        <v>109</v>
      </c>
      <c r="J36" s="7" t="s">
        <v>130</v>
      </c>
      <c r="K36" s="46">
        <v>3.1944444444444442E-2</v>
      </c>
      <c r="L36" s="7" t="s">
        <v>109</v>
      </c>
      <c r="M36" s="7" t="s">
        <v>109</v>
      </c>
      <c r="N36" s="7" t="s">
        <v>1069</v>
      </c>
      <c r="O36" s="7" t="s">
        <v>61</v>
      </c>
      <c r="P36" s="7" t="s">
        <v>131</v>
      </c>
      <c r="Q36" s="7" t="s">
        <v>82</v>
      </c>
      <c r="R36" s="7" t="s">
        <v>62</v>
      </c>
      <c r="S36" s="7" t="s">
        <v>109</v>
      </c>
      <c r="T36" s="7" t="s">
        <v>117</v>
      </c>
      <c r="U36" s="7" t="s">
        <v>109</v>
      </c>
      <c r="V36" s="7" t="s">
        <v>109</v>
      </c>
      <c r="W36" s="7" t="s">
        <v>109</v>
      </c>
      <c r="X36" s="7" t="s">
        <v>109</v>
      </c>
    </row>
    <row r="37" spans="1:24" x14ac:dyDescent="0.3">
      <c r="A37" s="7">
        <v>36</v>
      </c>
      <c r="B37" s="7" t="s">
        <v>23</v>
      </c>
      <c r="C37" s="7" t="s">
        <v>234</v>
      </c>
      <c r="D37" s="7">
        <v>51125021</v>
      </c>
      <c r="E37" s="7">
        <v>270</v>
      </c>
      <c r="F37" s="7">
        <v>437</v>
      </c>
      <c r="G37" s="7">
        <v>267</v>
      </c>
      <c r="H37" s="7" t="s">
        <v>1180</v>
      </c>
      <c r="I37" s="7" t="s">
        <v>109</v>
      </c>
      <c r="J37" s="7" t="s">
        <v>130</v>
      </c>
      <c r="K37" s="46">
        <v>2.9166666666666667E-2</v>
      </c>
      <c r="L37" s="7" t="s">
        <v>109</v>
      </c>
      <c r="M37" s="7" t="s">
        <v>109</v>
      </c>
      <c r="N37" s="7" t="s">
        <v>1069</v>
      </c>
      <c r="O37" s="7" t="s">
        <v>61</v>
      </c>
      <c r="P37" s="7" t="s">
        <v>131</v>
      </c>
      <c r="Q37" s="7" t="s">
        <v>1141</v>
      </c>
      <c r="R37" s="7" t="s">
        <v>62</v>
      </c>
      <c r="S37" s="7" t="s">
        <v>109</v>
      </c>
      <c r="T37" s="7" t="s">
        <v>117</v>
      </c>
      <c r="U37" s="7" t="s">
        <v>109</v>
      </c>
      <c r="V37" s="7" t="s">
        <v>109</v>
      </c>
      <c r="W37" s="7" t="s">
        <v>109</v>
      </c>
      <c r="X37" s="7" t="s">
        <v>109</v>
      </c>
    </row>
    <row r="38" spans="1:24" x14ac:dyDescent="0.3">
      <c r="A38" s="7">
        <v>37</v>
      </c>
      <c r="B38" s="7" t="s">
        <v>23</v>
      </c>
      <c r="C38" s="7" t="s">
        <v>235</v>
      </c>
      <c r="D38" s="7">
        <v>51125022</v>
      </c>
      <c r="E38" s="7">
        <v>160</v>
      </c>
      <c r="F38" s="7">
        <v>234</v>
      </c>
      <c r="G38" s="7">
        <v>139</v>
      </c>
      <c r="H38" s="7" t="s">
        <v>1181</v>
      </c>
      <c r="I38" s="7" t="s">
        <v>109</v>
      </c>
      <c r="J38" s="7" t="s">
        <v>130</v>
      </c>
      <c r="K38" s="46">
        <v>4.027777777777778E-2</v>
      </c>
      <c r="L38" s="7" t="s">
        <v>109</v>
      </c>
      <c r="M38" s="7" t="s">
        <v>109</v>
      </c>
      <c r="N38" s="7" t="s">
        <v>61</v>
      </c>
      <c r="O38" s="7" t="s">
        <v>61</v>
      </c>
      <c r="P38" s="7" t="s">
        <v>131</v>
      </c>
      <c r="Q38" s="7" t="s">
        <v>274</v>
      </c>
      <c r="R38" s="7" t="s">
        <v>62</v>
      </c>
      <c r="S38" s="7" t="s">
        <v>109</v>
      </c>
      <c r="T38" s="7" t="s">
        <v>117</v>
      </c>
      <c r="U38" s="7" t="s">
        <v>109</v>
      </c>
      <c r="V38" s="7" t="s">
        <v>109</v>
      </c>
      <c r="W38" s="7" t="s">
        <v>109</v>
      </c>
      <c r="X38" s="7" t="s">
        <v>109</v>
      </c>
    </row>
    <row r="39" spans="1:24" x14ac:dyDescent="0.3">
      <c r="A39" s="7">
        <v>38</v>
      </c>
      <c r="B39" s="7" t="s">
        <v>23</v>
      </c>
      <c r="C39" s="7" t="s">
        <v>236</v>
      </c>
      <c r="D39" s="7">
        <v>51125018</v>
      </c>
      <c r="E39" s="7">
        <v>320</v>
      </c>
      <c r="F39" s="7">
        <v>440</v>
      </c>
      <c r="G39" s="7">
        <v>300</v>
      </c>
      <c r="H39" s="7" t="s">
        <v>1182</v>
      </c>
      <c r="I39" s="7" t="s">
        <v>109</v>
      </c>
      <c r="J39" s="7" t="s">
        <v>130</v>
      </c>
      <c r="K39" s="46">
        <v>5.347222222222222E-2</v>
      </c>
      <c r="L39" s="7" t="s">
        <v>109</v>
      </c>
      <c r="M39" s="7" t="s">
        <v>109</v>
      </c>
      <c r="N39" s="7" t="s">
        <v>61</v>
      </c>
      <c r="O39" s="7" t="s">
        <v>61</v>
      </c>
      <c r="P39" s="7" t="s">
        <v>131</v>
      </c>
      <c r="Q39" s="7" t="s">
        <v>91</v>
      </c>
      <c r="R39" s="7" t="s">
        <v>62</v>
      </c>
      <c r="S39" s="7" t="s">
        <v>109</v>
      </c>
      <c r="T39" s="7" t="s">
        <v>117</v>
      </c>
      <c r="U39" s="7" t="s">
        <v>109</v>
      </c>
      <c r="V39" s="7" t="s">
        <v>109</v>
      </c>
      <c r="W39" s="7" t="s">
        <v>109</v>
      </c>
      <c r="X39" s="7" t="s">
        <v>109</v>
      </c>
    </row>
    <row r="40" spans="1:24" x14ac:dyDescent="0.3">
      <c r="A40" s="7">
        <v>39</v>
      </c>
      <c r="B40" s="7" t="s">
        <v>23</v>
      </c>
      <c r="C40" s="7" t="s">
        <v>1183</v>
      </c>
      <c r="D40" s="7">
        <v>50126324</v>
      </c>
      <c r="E40" s="7">
        <v>120</v>
      </c>
      <c r="F40" s="7">
        <v>236</v>
      </c>
      <c r="G40" s="7">
        <v>101</v>
      </c>
      <c r="H40" s="7" t="s">
        <v>262</v>
      </c>
      <c r="I40" s="7" t="s">
        <v>109</v>
      </c>
      <c r="J40" s="7" t="s">
        <v>130</v>
      </c>
      <c r="K40" s="46">
        <v>0.92847222222222225</v>
      </c>
      <c r="L40" s="7" t="s">
        <v>109</v>
      </c>
      <c r="M40" s="7" t="s">
        <v>109</v>
      </c>
      <c r="N40" s="7" t="s">
        <v>1184</v>
      </c>
      <c r="O40" s="7" t="s">
        <v>61</v>
      </c>
      <c r="P40" s="7" t="s">
        <v>131</v>
      </c>
      <c r="Q40" s="7" t="s">
        <v>65</v>
      </c>
      <c r="R40" s="7" t="s">
        <v>62</v>
      </c>
      <c r="S40" s="7" t="s">
        <v>109</v>
      </c>
      <c r="T40" s="7" t="s">
        <v>1185</v>
      </c>
      <c r="U40" s="7" t="s">
        <v>109</v>
      </c>
      <c r="V40" s="7" t="s">
        <v>109</v>
      </c>
      <c r="W40" s="7" t="s">
        <v>109</v>
      </c>
      <c r="X40" s="7" t="s">
        <v>109</v>
      </c>
    </row>
    <row r="41" spans="1:24" x14ac:dyDescent="0.3">
      <c r="A41" s="7">
        <v>40</v>
      </c>
      <c r="B41" s="7" t="s">
        <v>23</v>
      </c>
      <c r="C41" s="7" t="s">
        <v>1095</v>
      </c>
      <c r="D41" s="7">
        <v>50126318</v>
      </c>
      <c r="E41" s="7">
        <v>60</v>
      </c>
      <c r="F41" s="7" t="s">
        <v>109</v>
      </c>
      <c r="G41" s="7" t="s">
        <v>109</v>
      </c>
      <c r="H41" s="7" t="s">
        <v>1222</v>
      </c>
      <c r="I41" s="7" t="s">
        <v>109</v>
      </c>
      <c r="J41" s="7" t="s">
        <v>109</v>
      </c>
      <c r="K41" s="7" t="s">
        <v>109</v>
      </c>
      <c r="L41" s="7" t="s">
        <v>109</v>
      </c>
      <c r="M41" s="7" t="s">
        <v>109</v>
      </c>
      <c r="N41" s="7" t="s">
        <v>109</v>
      </c>
      <c r="O41" s="7" t="s">
        <v>61</v>
      </c>
      <c r="P41" s="7" t="s">
        <v>109</v>
      </c>
      <c r="Q41" s="7" t="s">
        <v>109</v>
      </c>
      <c r="R41" s="7" t="s">
        <v>62</v>
      </c>
      <c r="S41" s="7" t="s">
        <v>109</v>
      </c>
      <c r="T41" s="7" t="s">
        <v>1186</v>
      </c>
      <c r="U41" s="7" t="s">
        <v>109</v>
      </c>
      <c r="V41" s="7" t="s">
        <v>109</v>
      </c>
      <c r="W41" s="7" t="s">
        <v>109</v>
      </c>
      <c r="X41" s="7" t="s">
        <v>109</v>
      </c>
    </row>
    <row r="42" spans="1:24" x14ac:dyDescent="0.3">
      <c r="A42" s="7">
        <v>41</v>
      </c>
      <c r="B42" s="7" t="s">
        <v>23</v>
      </c>
      <c r="C42" s="7" t="s">
        <v>269</v>
      </c>
      <c r="D42" s="7">
        <v>51125123</v>
      </c>
      <c r="E42" s="7">
        <v>20</v>
      </c>
      <c r="F42" s="7">
        <v>43</v>
      </c>
      <c r="G42" s="7">
        <v>10</v>
      </c>
      <c r="H42" s="7" t="s">
        <v>70</v>
      </c>
      <c r="I42" s="7" t="s">
        <v>109</v>
      </c>
      <c r="J42" s="7" t="s">
        <v>130</v>
      </c>
      <c r="K42" s="46">
        <v>6.2500000000000003E-3</v>
      </c>
      <c r="L42" s="7" t="s">
        <v>109</v>
      </c>
      <c r="M42" s="7" t="s">
        <v>109</v>
      </c>
      <c r="N42" s="7" t="s">
        <v>109</v>
      </c>
      <c r="O42" s="7" t="s">
        <v>61</v>
      </c>
      <c r="P42" s="7" t="s">
        <v>131</v>
      </c>
      <c r="Q42" s="7" t="s">
        <v>70</v>
      </c>
      <c r="R42" s="7" t="s">
        <v>62</v>
      </c>
      <c r="S42" s="7" t="s">
        <v>109</v>
      </c>
      <c r="T42" s="7" t="s">
        <v>270</v>
      </c>
      <c r="U42" s="7" t="s">
        <v>109</v>
      </c>
      <c r="V42" s="7" t="s">
        <v>109</v>
      </c>
      <c r="W42" s="7" t="s">
        <v>109</v>
      </c>
      <c r="X42" s="7" t="s">
        <v>109</v>
      </c>
    </row>
    <row r="43" spans="1:24" x14ac:dyDescent="0.3">
      <c r="A43" s="7">
        <v>42</v>
      </c>
      <c r="B43" s="7" t="s">
        <v>23</v>
      </c>
      <c r="C43" s="7" t="s">
        <v>1066</v>
      </c>
      <c r="D43" s="7">
        <v>50126302</v>
      </c>
      <c r="E43" s="7">
        <v>30</v>
      </c>
      <c r="F43" s="7" t="s">
        <v>109</v>
      </c>
      <c r="G43" s="7" t="s">
        <v>109</v>
      </c>
      <c r="H43" s="7" t="s">
        <v>64</v>
      </c>
      <c r="I43" s="7" t="s">
        <v>109</v>
      </c>
      <c r="J43" s="7" t="s">
        <v>85</v>
      </c>
      <c r="K43" s="7" t="s">
        <v>109</v>
      </c>
      <c r="L43" s="7" t="s">
        <v>109</v>
      </c>
      <c r="M43" s="7" t="s">
        <v>109</v>
      </c>
      <c r="N43" s="7" t="s">
        <v>109</v>
      </c>
      <c r="O43" s="7" t="s">
        <v>61</v>
      </c>
      <c r="P43" s="7" t="s">
        <v>109</v>
      </c>
      <c r="Q43" s="7" t="s">
        <v>109</v>
      </c>
      <c r="R43" s="7" t="s">
        <v>62</v>
      </c>
      <c r="S43" s="7" t="s">
        <v>109</v>
      </c>
      <c r="T43" s="7" t="s">
        <v>1067</v>
      </c>
      <c r="U43" s="7" t="s">
        <v>109</v>
      </c>
      <c r="V43" s="7" t="s">
        <v>109</v>
      </c>
      <c r="W43" s="7" t="s">
        <v>109</v>
      </c>
      <c r="X43" s="7" t="s">
        <v>109</v>
      </c>
    </row>
    <row r="44" spans="1:24" x14ac:dyDescent="0.3">
      <c r="A44" s="7">
        <v>43</v>
      </c>
      <c r="B44" s="7" t="s">
        <v>23</v>
      </c>
      <c r="C44" s="7" t="s">
        <v>1068</v>
      </c>
      <c r="D44" s="7">
        <v>50126303</v>
      </c>
      <c r="E44" s="7">
        <v>20</v>
      </c>
      <c r="F44" s="7" t="s">
        <v>109</v>
      </c>
      <c r="G44" s="7" t="s">
        <v>109</v>
      </c>
      <c r="H44" s="7" t="s">
        <v>200</v>
      </c>
      <c r="I44" s="7" t="s">
        <v>109</v>
      </c>
      <c r="J44" s="7" t="s">
        <v>85</v>
      </c>
      <c r="K44" s="7" t="s">
        <v>109</v>
      </c>
      <c r="L44" s="7" t="s">
        <v>109</v>
      </c>
      <c r="M44" s="7" t="s">
        <v>109</v>
      </c>
      <c r="N44" s="7" t="s">
        <v>109</v>
      </c>
      <c r="O44" s="7" t="s">
        <v>61</v>
      </c>
      <c r="P44" s="7" t="s">
        <v>109</v>
      </c>
      <c r="Q44" s="7" t="s">
        <v>109</v>
      </c>
      <c r="R44" s="7" t="s">
        <v>62</v>
      </c>
      <c r="S44" s="7" t="s">
        <v>109</v>
      </c>
      <c r="T44" s="7" t="s">
        <v>1067</v>
      </c>
      <c r="U44" s="7" t="s">
        <v>109</v>
      </c>
      <c r="V44" s="7" t="s">
        <v>109</v>
      </c>
      <c r="W44" s="7" t="s">
        <v>109</v>
      </c>
      <c r="X44" s="7" t="s">
        <v>109</v>
      </c>
    </row>
    <row r="45" spans="1:24" x14ac:dyDescent="0.3">
      <c r="A45" s="7">
        <v>44</v>
      </c>
      <c r="B45" s="7" t="s">
        <v>23</v>
      </c>
      <c r="C45" s="7" t="s">
        <v>583</v>
      </c>
      <c r="D45" s="7">
        <v>51125122</v>
      </c>
      <c r="E45" s="7">
        <v>40</v>
      </c>
      <c r="F45" s="7" t="s">
        <v>109</v>
      </c>
      <c r="G45" s="7" t="s">
        <v>109</v>
      </c>
      <c r="H45" s="7" t="s">
        <v>67</v>
      </c>
      <c r="I45" s="7" t="s">
        <v>109</v>
      </c>
      <c r="J45" s="7" t="s">
        <v>85</v>
      </c>
      <c r="K45" s="7" t="s">
        <v>109</v>
      </c>
      <c r="L45" s="7" t="s">
        <v>109</v>
      </c>
      <c r="M45" s="7" t="s">
        <v>109</v>
      </c>
      <c r="N45" s="7" t="s">
        <v>109</v>
      </c>
      <c r="O45" s="7" t="s">
        <v>61</v>
      </c>
      <c r="P45" s="7" t="s">
        <v>109</v>
      </c>
      <c r="Q45" s="7" t="s">
        <v>109</v>
      </c>
      <c r="R45" s="7" t="s">
        <v>62</v>
      </c>
      <c r="S45" s="7" t="s">
        <v>109</v>
      </c>
      <c r="T45" s="7" t="s">
        <v>270</v>
      </c>
      <c r="U45" s="7" t="s">
        <v>109</v>
      </c>
      <c r="V45" s="7" t="s">
        <v>109</v>
      </c>
      <c r="W45" s="7" t="s">
        <v>109</v>
      </c>
      <c r="X45" s="7" t="s">
        <v>109</v>
      </c>
    </row>
    <row r="46" spans="1:24" x14ac:dyDescent="0.3">
      <c r="A46" s="7">
        <v>45</v>
      </c>
      <c r="B46" s="7" t="s">
        <v>143</v>
      </c>
      <c r="C46" s="7" t="s">
        <v>1060</v>
      </c>
      <c r="D46" s="7">
        <v>10126017</v>
      </c>
      <c r="E46" s="7">
        <v>60</v>
      </c>
      <c r="F46" s="7">
        <v>98</v>
      </c>
      <c r="G46" s="7">
        <v>7</v>
      </c>
      <c r="H46" s="7" t="s">
        <v>222</v>
      </c>
      <c r="I46" s="7" t="s">
        <v>209</v>
      </c>
      <c r="J46" s="7" t="s">
        <v>130</v>
      </c>
      <c r="K46" s="46">
        <v>0.81319444444444444</v>
      </c>
      <c r="L46" s="46">
        <v>0.94513888888888886</v>
      </c>
      <c r="M46" s="7" t="s">
        <v>109</v>
      </c>
      <c r="N46" s="7" t="s">
        <v>109</v>
      </c>
      <c r="O46" s="7" t="s">
        <v>61</v>
      </c>
      <c r="P46" s="7" t="s">
        <v>131</v>
      </c>
      <c r="Q46" s="7" t="s">
        <v>605</v>
      </c>
      <c r="R46" s="7" t="s">
        <v>62</v>
      </c>
      <c r="S46" s="7" t="s">
        <v>109</v>
      </c>
      <c r="T46" s="7" t="s">
        <v>398</v>
      </c>
      <c r="U46" s="7" t="s">
        <v>109</v>
      </c>
      <c r="V46" s="7" t="s">
        <v>109</v>
      </c>
      <c r="W46" s="7" t="s">
        <v>109</v>
      </c>
      <c r="X46" s="7" t="s">
        <v>109</v>
      </c>
    </row>
    <row r="47" spans="1:24" x14ac:dyDescent="0.3">
      <c r="A47" s="7">
        <v>46</v>
      </c>
      <c r="B47" s="7" t="s">
        <v>143</v>
      </c>
      <c r="C47" s="7" t="s">
        <v>1187</v>
      </c>
      <c r="D47" s="7">
        <v>10126020</v>
      </c>
      <c r="E47" s="7">
        <v>85</v>
      </c>
      <c r="F47" s="7">
        <v>150</v>
      </c>
      <c r="G47" s="7">
        <v>74</v>
      </c>
      <c r="H47" s="7" t="s">
        <v>196</v>
      </c>
      <c r="I47" s="7" t="s">
        <v>603</v>
      </c>
      <c r="J47" s="7" t="s">
        <v>130</v>
      </c>
      <c r="K47" s="7" t="s">
        <v>109</v>
      </c>
      <c r="L47" s="7" t="s">
        <v>109</v>
      </c>
      <c r="M47" s="7" t="s">
        <v>109</v>
      </c>
      <c r="N47" s="7" t="s">
        <v>109</v>
      </c>
      <c r="O47" s="7" t="s">
        <v>61</v>
      </c>
      <c r="P47" s="7" t="s">
        <v>131</v>
      </c>
      <c r="Q47" s="7" t="s">
        <v>603</v>
      </c>
      <c r="R47" s="7" t="s">
        <v>62</v>
      </c>
      <c r="S47" s="7" t="s">
        <v>109</v>
      </c>
      <c r="T47" s="7" t="s">
        <v>398</v>
      </c>
      <c r="U47" s="7" t="s">
        <v>109</v>
      </c>
      <c r="V47" s="7" t="s">
        <v>109</v>
      </c>
      <c r="W47" s="7" t="s">
        <v>109</v>
      </c>
      <c r="X47" s="7" t="s">
        <v>109</v>
      </c>
    </row>
    <row r="48" spans="1:24" x14ac:dyDescent="0.3">
      <c r="A48" s="7">
        <v>47</v>
      </c>
      <c r="B48" s="7" t="s">
        <v>143</v>
      </c>
      <c r="C48" s="7" t="s">
        <v>1188</v>
      </c>
      <c r="D48" s="7">
        <v>10126019</v>
      </c>
      <c r="E48" s="7">
        <v>75</v>
      </c>
      <c r="F48" s="7">
        <v>156</v>
      </c>
      <c r="G48" s="7">
        <v>62</v>
      </c>
      <c r="H48" s="7" t="s">
        <v>520</v>
      </c>
      <c r="I48" s="7" t="s">
        <v>94</v>
      </c>
      <c r="J48" s="7" t="s">
        <v>130</v>
      </c>
      <c r="K48" s="46">
        <v>0.98055555555555551</v>
      </c>
      <c r="L48" s="46">
        <v>2.0833333333333332E-2</v>
      </c>
      <c r="M48" s="7" t="s">
        <v>109</v>
      </c>
      <c r="N48" s="7" t="s">
        <v>109</v>
      </c>
      <c r="O48" s="7" t="s">
        <v>61</v>
      </c>
      <c r="P48" s="7" t="s">
        <v>131</v>
      </c>
      <c r="Q48" s="7" t="s">
        <v>94</v>
      </c>
      <c r="R48" s="7" t="s">
        <v>62</v>
      </c>
      <c r="S48" s="7" t="s">
        <v>109</v>
      </c>
      <c r="T48" s="7" t="s">
        <v>1189</v>
      </c>
      <c r="U48" s="7" t="s">
        <v>109</v>
      </c>
      <c r="V48" s="7" t="s">
        <v>109</v>
      </c>
      <c r="W48" s="7" t="s">
        <v>109</v>
      </c>
      <c r="X48" s="7" t="s">
        <v>109</v>
      </c>
    </row>
    <row r="49" spans="1:24" x14ac:dyDescent="0.3">
      <c r="A49" s="7">
        <v>48</v>
      </c>
      <c r="B49" s="7" t="s">
        <v>23</v>
      </c>
      <c r="C49" s="7" t="s">
        <v>1055</v>
      </c>
      <c r="D49" s="7">
        <v>50126317</v>
      </c>
      <c r="E49" s="7">
        <v>150</v>
      </c>
      <c r="F49" s="7">
        <v>248</v>
      </c>
      <c r="G49" s="7">
        <v>94</v>
      </c>
      <c r="H49" s="7" t="s">
        <v>386</v>
      </c>
      <c r="I49" s="7" t="s">
        <v>109</v>
      </c>
      <c r="J49" s="7" t="s">
        <v>130</v>
      </c>
      <c r="K49" s="46">
        <v>0.94444444444444442</v>
      </c>
      <c r="L49" s="7" t="s">
        <v>109</v>
      </c>
      <c r="M49" s="7" t="s">
        <v>109</v>
      </c>
      <c r="N49" s="7" t="s">
        <v>109</v>
      </c>
      <c r="O49" s="7" t="s">
        <v>61</v>
      </c>
      <c r="P49" s="7" t="s">
        <v>131</v>
      </c>
      <c r="Q49" s="7" t="s">
        <v>82</v>
      </c>
      <c r="R49" s="7" t="s">
        <v>62</v>
      </c>
      <c r="S49" s="7" t="s">
        <v>109</v>
      </c>
      <c r="T49" s="7" t="s">
        <v>480</v>
      </c>
      <c r="U49" s="7" t="s">
        <v>109</v>
      </c>
      <c r="V49" s="7" t="s">
        <v>109</v>
      </c>
      <c r="W49" s="7" t="s">
        <v>109</v>
      </c>
      <c r="X49" s="7" t="s">
        <v>109</v>
      </c>
    </row>
    <row r="50" spans="1:24" x14ac:dyDescent="0.3">
      <c r="A50" s="7">
        <v>49</v>
      </c>
      <c r="B50" s="7" t="s">
        <v>23</v>
      </c>
      <c r="C50" s="7" t="s">
        <v>220</v>
      </c>
      <c r="D50" s="7">
        <v>51225068</v>
      </c>
      <c r="E50" s="7">
        <v>200</v>
      </c>
      <c r="F50" s="7">
        <v>262</v>
      </c>
      <c r="G50" s="7">
        <v>63</v>
      </c>
      <c r="H50" s="7" t="s">
        <v>1190</v>
      </c>
      <c r="I50" s="7" t="s">
        <v>109</v>
      </c>
      <c r="J50" s="7" t="s">
        <v>130</v>
      </c>
      <c r="K50" s="46">
        <v>0.97569444444444442</v>
      </c>
      <c r="L50" s="7" t="s">
        <v>109</v>
      </c>
      <c r="M50" s="7" t="s">
        <v>109</v>
      </c>
      <c r="N50" s="7" t="s">
        <v>109</v>
      </c>
      <c r="O50" s="7" t="s">
        <v>61</v>
      </c>
      <c r="P50" s="7" t="s">
        <v>131</v>
      </c>
      <c r="Q50" s="7" t="s">
        <v>69</v>
      </c>
      <c r="R50" s="7" t="s">
        <v>62</v>
      </c>
      <c r="S50" s="7" t="s">
        <v>109</v>
      </c>
      <c r="T50" s="7" t="s">
        <v>218</v>
      </c>
      <c r="U50" s="7" t="s">
        <v>109</v>
      </c>
      <c r="V50" s="7" t="s">
        <v>109</v>
      </c>
      <c r="W50" s="7" t="s">
        <v>109</v>
      </c>
      <c r="X50" s="7" t="s">
        <v>109</v>
      </c>
    </row>
    <row r="51" spans="1:24" x14ac:dyDescent="0.3">
      <c r="A51" s="7">
        <v>50</v>
      </c>
      <c r="B51" s="7" t="s">
        <v>23</v>
      </c>
      <c r="C51" s="7" t="s">
        <v>1026</v>
      </c>
      <c r="D51" s="7">
        <v>50126291</v>
      </c>
      <c r="E51" s="7">
        <v>150</v>
      </c>
      <c r="F51" s="7">
        <v>303</v>
      </c>
      <c r="G51" s="7">
        <v>96</v>
      </c>
      <c r="H51" s="7" t="s">
        <v>1191</v>
      </c>
      <c r="I51" s="7" t="s">
        <v>109</v>
      </c>
      <c r="J51" s="7" t="s">
        <v>130</v>
      </c>
      <c r="K51" s="46">
        <v>0.93194444444444446</v>
      </c>
      <c r="L51" s="7" t="s">
        <v>109</v>
      </c>
      <c r="M51" s="7" t="s">
        <v>109</v>
      </c>
      <c r="N51" s="7" t="s">
        <v>109</v>
      </c>
      <c r="O51" s="7" t="s">
        <v>61</v>
      </c>
      <c r="P51" s="7" t="s">
        <v>131</v>
      </c>
      <c r="Q51" s="7" t="s">
        <v>70</v>
      </c>
      <c r="R51" s="7" t="s">
        <v>62</v>
      </c>
      <c r="S51" s="7" t="s">
        <v>109</v>
      </c>
      <c r="T51" s="7" t="s">
        <v>223</v>
      </c>
      <c r="U51" s="7" t="s">
        <v>109</v>
      </c>
      <c r="V51" s="7" t="s">
        <v>109</v>
      </c>
      <c r="W51" s="7" t="s">
        <v>109</v>
      </c>
      <c r="X51" s="7" t="s">
        <v>109</v>
      </c>
    </row>
    <row r="52" spans="1:24" x14ac:dyDescent="0.3">
      <c r="A52" s="7">
        <v>51</v>
      </c>
      <c r="B52" s="7" t="s">
        <v>23</v>
      </c>
      <c r="C52" s="7" t="s">
        <v>1027</v>
      </c>
      <c r="D52" s="7">
        <v>50126290</v>
      </c>
      <c r="E52" s="7">
        <v>200</v>
      </c>
      <c r="F52" s="7">
        <v>363</v>
      </c>
      <c r="G52" s="7">
        <v>63</v>
      </c>
      <c r="H52" s="7" t="s">
        <v>1192</v>
      </c>
      <c r="I52" s="7" t="s">
        <v>109</v>
      </c>
      <c r="J52" s="7" t="s">
        <v>130</v>
      </c>
      <c r="K52" s="46">
        <v>0.80625000000000002</v>
      </c>
      <c r="L52" s="7" t="s">
        <v>109</v>
      </c>
      <c r="M52" s="7" t="s">
        <v>109</v>
      </c>
      <c r="N52" s="7" t="s">
        <v>109</v>
      </c>
      <c r="O52" s="7" t="s">
        <v>61</v>
      </c>
      <c r="P52" s="7" t="s">
        <v>131</v>
      </c>
      <c r="Q52" s="7" t="s">
        <v>64</v>
      </c>
      <c r="R52" s="7" t="s">
        <v>62</v>
      </c>
      <c r="S52" s="7" t="s">
        <v>109</v>
      </c>
      <c r="T52" s="7" t="s">
        <v>223</v>
      </c>
      <c r="U52" s="7" t="s">
        <v>109</v>
      </c>
      <c r="V52" s="7" t="s">
        <v>109</v>
      </c>
      <c r="W52" s="7" t="s">
        <v>109</v>
      </c>
      <c r="X52" s="7" t="s">
        <v>109</v>
      </c>
    </row>
    <row r="53" spans="1:24" x14ac:dyDescent="0.3">
      <c r="A53" s="7">
        <v>52</v>
      </c>
      <c r="B53" s="7" t="s">
        <v>23</v>
      </c>
      <c r="C53" s="7" t="s">
        <v>1028</v>
      </c>
      <c r="D53" s="7">
        <v>50126289</v>
      </c>
      <c r="E53" s="7">
        <v>150</v>
      </c>
      <c r="F53" s="7">
        <v>265</v>
      </c>
      <c r="G53" s="7">
        <v>121</v>
      </c>
      <c r="H53" s="7" t="s">
        <v>302</v>
      </c>
      <c r="I53" s="7" t="s">
        <v>109</v>
      </c>
      <c r="J53" s="7" t="s">
        <v>130</v>
      </c>
      <c r="K53" s="46">
        <v>0.87847222222222221</v>
      </c>
      <c r="L53" s="7" t="s">
        <v>109</v>
      </c>
      <c r="M53" s="7" t="s">
        <v>109</v>
      </c>
      <c r="N53" s="7" t="s">
        <v>109</v>
      </c>
      <c r="O53" s="7" t="s">
        <v>61</v>
      </c>
      <c r="P53" s="7" t="s">
        <v>131</v>
      </c>
      <c r="Q53" s="7" t="s">
        <v>84</v>
      </c>
      <c r="R53" s="7" t="s">
        <v>62</v>
      </c>
      <c r="S53" s="7" t="s">
        <v>109</v>
      </c>
      <c r="T53" s="7" t="s">
        <v>223</v>
      </c>
      <c r="U53" s="7" t="s">
        <v>109</v>
      </c>
      <c r="V53" s="7" t="s">
        <v>109</v>
      </c>
      <c r="W53" s="7" t="s">
        <v>109</v>
      </c>
      <c r="X53" s="7" t="s">
        <v>109</v>
      </c>
    </row>
    <row r="54" spans="1:24" x14ac:dyDescent="0.3">
      <c r="A54" s="7">
        <v>53</v>
      </c>
      <c r="B54" s="7" t="s">
        <v>23</v>
      </c>
      <c r="C54" s="7" t="s">
        <v>1029</v>
      </c>
      <c r="D54" s="7">
        <v>50126288</v>
      </c>
      <c r="E54" s="7">
        <v>150</v>
      </c>
      <c r="F54" s="7">
        <v>292</v>
      </c>
      <c r="G54" s="7">
        <v>21</v>
      </c>
      <c r="H54" s="7" t="s">
        <v>1193</v>
      </c>
      <c r="I54" s="7" t="s">
        <v>109</v>
      </c>
      <c r="J54" s="7" t="s">
        <v>130</v>
      </c>
      <c r="K54" s="46">
        <v>0.93055555555555558</v>
      </c>
      <c r="L54" s="7" t="s">
        <v>109</v>
      </c>
      <c r="M54" s="7" t="s">
        <v>109</v>
      </c>
      <c r="N54" s="7" t="s">
        <v>109</v>
      </c>
      <c r="O54" s="7" t="s">
        <v>61</v>
      </c>
      <c r="P54" s="7" t="s">
        <v>131</v>
      </c>
      <c r="Q54" s="7" t="s">
        <v>274</v>
      </c>
      <c r="R54" s="7" t="s">
        <v>62</v>
      </c>
      <c r="S54" s="7" t="s">
        <v>109</v>
      </c>
      <c r="T54" s="7" t="s">
        <v>223</v>
      </c>
      <c r="U54" s="7" t="s">
        <v>109</v>
      </c>
      <c r="V54" s="7" t="s">
        <v>109</v>
      </c>
      <c r="W54" s="7" t="s">
        <v>109</v>
      </c>
      <c r="X54" s="7" t="s">
        <v>109</v>
      </c>
    </row>
    <row r="55" spans="1:24" x14ac:dyDescent="0.3">
      <c r="A55" s="7">
        <v>54</v>
      </c>
      <c r="B55" s="7" t="s">
        <v>23</v>
      </c>
      <c r="C55" s="7" t="s">
        <v>1030</v>
      </c>
      <c r="D55" s="7">
        <v>50126292</v>
      </c>
      <c r="E55" s="7">
        <v>150</v>
      </c>
      <c r="F55" s="7">
        <v>323</v>
      </c>
      <c r="G55" s="7">
        <v>47</v>
      </c>
      <c r="H55" s="7" t="s">
        <v>262</v>
      </c>
      <c r="I55" s="7" t="s">
        <v>109</v>
      </c>
      <c r="J55" s="7" t="s">
        <v>130</v>
      </c>
      <c r="K55" s="46">
        <v>0.96736111111111112</v>
      </c>
      <c r="L55" s="7" t="s">
        <v>109</v>
      </c>
      <c r="M55" s="7" t="s">
        <v>109</v>
      </c>
      <c r="N55" s="7" t="s">
        <v>109</v>
      </c>
      <c r="O55" s="7" t="s">
        <v>61</v>
      </c>
      <c r="P55" s="7" t="s">
        <v>131</v>
      </c>
      <c r="Q55" s="7" t="s">
        <v>222</v>
      </c>
      <c r="R55" s="7" t="s">
        <v>62</v>
      </c>
      <c r="S55" s="7" t="s">
        <v>109</v>
      </c>
      <c r="T55" s="7" t="s">
        <v>223</v>
      </c>
      <c r="U55" s="7" t="s">
        <v>109</v>
      </c>
      <c r="V55" s="7" t="s">
        <v>109</v>
      </c>
      <c r="W55" s="7" t="s">
        <v>109</v>
      </c>
      <c r="X55" s="7" t="s">
        <v>109</v>
      </c>
    </row>
    <row r="56" spans="1:24" x14ac:dyDescent="0.3">
      <c r="A56" s="7">
        <v>55</v>
      </c>
      <c r="B56" s="7" t="s">
        <v>23</v>
      </c>
      <c r="C56" s="7" t="s">
        <v>1032</v>
      </c>
      <c r="D56" s="7">
        <v>50126294</v>
      </c>
      <c r="E56" s="7">
        <v>150</v>
      </c>
      <c r="F56" s="7">
        <v>276</v>
      </c>
      <c r="G56" s="7">
        <v>125</v>
      </c>
      <c r="H56" s="7" t="s">
        <v>1194</v>
      </c>
      <c r="I56" s="7" t="s">
        <v>109</v>
      </c>
      <c r="J56" s="7" t="s">
        <v>130</v>
      </c>
      <c r="K56" s="46">
        <v>0.95277777777777772</v>
      </c>
      <c r="L56" s="7" t="s">
        <v>109</v>
      </c>
      <c r="M56" s="7" t="s">
        <v>109</v>
      </c>
      <c r="N56" s="7" t="s">
        <v>109</v>
      </c>
      <c r="O56" s="7" t="s">
        <v>61</v>
      </c>
      <c r="P56" s="7" t="s">
        <v>131</v>
      </c>
      <c r="Q56" s="7" t="s">
        <v>67</v>
      </c>
      <c r="R56" s="7" t="s">
        <v>62</v>
      </c>
      <c r="S56" s="7" t="s">
        <v>109</v>
      </c>
      <c r="T56" s="7" t="s">
        <v>223</v>
      </c>
      <c r="U56" s="7" t="s">
        <v>109</v>
      </c>
      <c r="V56" s="7" t="s">
        <v>109</v>
      </c>
      <c r="W56" s="7" t="s">
        <v>109</v>
      </c>
      <c r="X56" s="7" t="s">
        <v>109</v>
      </c>
    </row>
    <row r="57" spans="1:24" x14ac:dyDescent="0.3">
      <c r="A57" s="7">
        <v>56</v>
      </c>
      <c r="B57" s="7" t="s">
        <v>23</v>
      </c>
      <c r="C57" s="7" t="s">
        <v>1033</v>
      </c>
      <c r="D57" s="7">
        <v>50126295</v>
      </c>
      <c r="E57" s="7">
        <v>145</v>
      </c>
      <c r="F57" s="7">
        <v>288</v>
      </c>
      <c r="G57" s="7">
        <v>76</v>
      </c>
      <c r="H57" s="7" t="s">
        <v>1195</v>
      </c>
      <c r="I57" s="7" t="s">
        <v>109</v>
      </c>
      <c r="J57" s="7" t="s">
        <v>130</v>
      </c>
      <c r="K57" s="46">
        <v>0.93958333333333333</v>
      </c>
      <c r="L57" s="7" t="s">
        <v>109</v>
      </c>
      <c r="M57" s="7" t="s">
        <v>109</v>
      </c>
      <c r="N57" s="7" t="s">
        <v>109</v>
      </c>
      <c r="O57" s="7" t="s">
        <v>61</v>
      </c>
      <c r="P57" s="7" t="s">
        <v>131</v>
      </c>
      <c r="Q57" s="7" t="s">
        <v>71</v>
      </c>
      <c r="R57" s="7" t="s">
        <v>62</v>
      </c>
      <c r="S57" s="7" t="s">
        <v>109</v>
      </c>
      <c r="T57" s="7" t="s">
        <v>223</v>
      </c>
      <c r="U57" s="7" t="s">
        <v>109</v>
      </c>
      <c r="V57" s="7" t="s">
        <v>109</v>
      </c>
      <c r="W57" s="7" t="s">
        <v>109</v>
      </c>
      <c r="X57" s="7" t="s">
        <v>109</v>
      </c>
    </row>
    <row r="58" spans="1:24" x14ac:dyDescent="0.3">
      <c r="A58" s="7">
        <v>57</v>
      </c>
      <c r="B58" s="7" t="s">
        <v>23</v>
      </c>
      <c r="C58" s="7" t="s">
        <v>1041</v>
      </c>
      <c r="D58" s="7">
        <v>50126300</v>
      </c>
      <c r="E58" s="7">
        <v>100</v>
      </c>
      <c r="F58" s="7">
        <v>167</v>
      </c>
      <c r="G58" s="7">
        <v>61</v>
      </c>
      <c r="H58" s="7" t="s">
        <v>70</v>
      </c>
      <c r="I58" s="7" t="s">
        <v>109</v>
      </c>
      <c r="J58" s="7" t="s">
        <v>130</v>
      </c>
      <c r="K58" s="46">
        <v>0.70138888888888884</v>
      </c>
      <c r="L58" s="7" t="s">
        <v>109</v>
      </c>
      <c r="M58" s="7" t="s">
        <v>109</v>
      </c>
      <c r="N58" s="7" t="s">
        <v>109</v>
      </c>
      <c r="O58" s="7" t="s">
        <v>61</v>
      </c>
      <c r="P58" s="7" t="s">
        <v>131</v>
      </c>
      <c r="Q58" s="7" t="s">
        <v>70</v>
      </c>
      <c r="R58" s="7" t="s">
        <v>62</v>
      </c>
      <c r="S58" s="7" t="s">
        <v>109</v>
      </c>
      <c r="T58" s="7" t="s">
        <v>223</v>
      </c>
      <c r="U58" s="7" t="s">
        <v>109</v>
      </c>
      <c r="V58" s="7" t="s">
        <v>109</v>
      </c>
      <c r="W58" s="7" t="s">
        <v>109</v>
      </c>
      <c r="X58" s="7" t="s">
        <v>109</v>
      </c>
    </row>
    <row r="59" spans="1:24" x14ac:dyDescent="0.3">
      <c r="A59" s="7">
        <v>58</v>
      </c>
      <c r="B59" s="7" t="s">
        <v>23</v>
      </c>
      <c r="C59" s="7" t="s">
        <v>1042</v>
      </c>
      <c r="D59" s="7">
        <v>50126301</v>
      </c>
      <c r="E59" s="7">
        <v>135</v>
      </c>
      <c r="F59" s="7">
        <v>272</v>
      </c>
      <c r="G59" s="7">
        <v>124</v>
      </c>
      <c r="H59" s="7" t="s">
        <v>1196</v>
      </c>
      <c r="I59" s="7" t="s">
        <v>109</v>
      </c>
      <c r="J59" s="7" t="s">
        <v>130</v>
      </c>
      <c r="K59" s="46">
        <v>0.99861111111111112</v>
      </c>
      <c r="L59" s="7" t="s">
        <v>109</v>
      </c>
      <c r="M59" s="7" t="s">
        <v>109</v>
      </c>
      <c r="N59" s="7" t="s">
        <v>109</v>
      </c>
      <c r="O59" s="7" t="s">
        <v>61</v>
      </c>
      <c r="P59" s="7" t="s">
        <v>131</v>
      </c>
      <c r="Q59" s="7" t="s">
        <v>200</v>
      </c>
      <c r="R59" s="7" t="s">
        <v>62</v>
      </c>
      <c r="S59" s="7" t="s">
        <v>109</v>
      </c>
      <c r="T59" s="7" t="s">
        <v>223</v>
      </c>
      <c r="U59" s="7" t="s">
        <v>109</v>
      </c>
      <c r="V59" s="7" t="s">
        <v>109</v>
      </c>
      <c r="W59" s="7" t="s">
        <v>109</v>
      </c>
      <c r="X59" s="7" t="s">
        <v>109</v>
      </c>
    </row>
    <row r="60" spans="1:24" x14ac:dyDescent="0.3">
      <c r="A60" s="7">
        <v>59</v>
      </c>
      <c r="B60" s="7" t="s">
        <v>23</v>
      </c>
      <c r="C60" s="7" t="s">
        <v>1046</v>
      </c>
      <c r="D60" s="7">
        <v>50126283</v>
      </c>
      <c r="E60" s="7">
        <v>200</v>
      </c>
      <c r="F60" s="7">
        <v>341</v>
      </c>
      <c r="G60" s="7">
        <v>40</v>
      </c>
      <c r="H60" s="7" t="s">
        <v>1197</v>
      </c>
      <c r="I60" s="7" t="s">
        <v>109</v>
      </c>
      <c r="J60" s="7" t="s">
        <v>130</v>
      </c>
      <c r="K60" s="46">
        <v>0.86319444444444449</v>
      </c>
      <c r="L60" s="7" t="s">
        <v>109</v>
      </c>
      <c r="M60" s="7" t="s">
        <v>109</v>
      </c>
      <c r="N60" s="7" t="s">
        <v>109</v>
      </c>
      <c r="O60" s="7" t="s">
        <v>61</v>
      </c>
      <c r="P60" s="7" t="s">
        <v>131</v>
      </c>
      <c r="Q60" s="7" t="s">
        <v>89</v>
      </c>
      <c r="R60" s="7" t="s">
        <v>62</v>
      </c>
      <c r="S60" s="7" t="s">
        <v>109</v>
      </c>
      <c r="T60" s="7" t="s">
        <v>223</v>
      </c>
      <c r="U60" s="7" t="s">
        <v>109</v>
      </c>
      <c r="V60" s="7" t="s">
        <v>109</v>
      </c>
      <c r="W60" s="7" t="s">
        <v>109</v>
      </c>
      <c r="X60" s="7" t="s">
        <v>109</v>
      </c>
    </row>
    <row r="61" spans="1:24" x14ac:dyDescent="0.3">
      <c r="A61" s="7">
        <v>60</v>
      </c>
      <c r="B61" s="7" t="s">
        <v>23</v>
      </c>
      <c r="C61" s="7" t="s">
        <v>1050</v>
      </c>
      <c r="D61" s="7">
        <v>50126285</v>
      </c>
      <c r="E61" s="7">
        <v>200</v>
      </c>
      <c r="F61" s="7">
        <v>410</v>
      </c>
      <c r="G61" s="7">
        <v>104</v>
      </c>
      <c r="H61" s="7" t="s">
        <v>1198</v>
      </c>
      <c r="I61" s="7" t="s">
        <v>109</v>
      </c>
      <c r="J61" s="7" t="s">
        <v>130</v>
      </c>
      <c r="K61" s="46">
        <v>0.99791666666666667</v>
      </c>
      <c r="L61" s="7" t="s">
        <v>109</v>
      </c>
      <c r="M61" s="7" t="s">
        <v>109</v>
      </c>
      <c r="N61" s="7" t="s">
        <v>109</v>
      </c>
      <c r="O61" s="7" t="s">
        <v>61</v>
      </c>
      <c r="P61" s="7" t="s">
        <v>131</v>
      </c>
      <c r="Q61" s="7" t="s">
        <v>196</v>
      </c>
      <c r="R61" s="7" t="s">
        <v>62</v>
      </c>
      <c r="S61" s="7" t="s">
        <v>109</v>
      </c>
      <c r="T61" s="7" t="s">
        <v>223</v>
      </c>
      <c r="U61" s="7" t="s">
        <v>109</v>
      </c>
      <c r="V61" s="7" t="s">
        <v>109</v>
      </c>
      <c r="W61" s="7" t="s">
        <v>109</v>
      </c>
      <c r="X61" s="7" t="s">
        <v>109</v>
      </c>
    </row>
    <row r="62" spans="1:24" x14ac:dyDescent="0.3">
      <c r="A62" s="7">
        <v>61</v>
      </c>
      <c r="B62" s="7" t="s">
        <v>23</v>
      </c>
      <c r="C62" s="7" t="s">
        <v>208</v>
      </c>
      <c r="D62" s="7">
        <v>50925078</v>
      </c>
      <c r="E62" s="7">
        <v>40</v>
      </c>
      <c r="F62" s="7">
        <v>38</v>
      </c>
      <c r="G62" s="7">
        <v>8</v>
      </c>
      <c r="H62" s="7" t="s">
        <v>84</v>
      </c>
      <c r="I62" s="7" t="s">
        <v>109</v>
      </c>
      <c r="J62" s="7" t="s">
        <v>130</v>
      </c>
      <c r="K62" s="46">
        <v>0.99236111111111114</v>
      </c>
      <c r="L62" s="7" t="s">
        <v>109</v>
      </c>
      <c r="M62" s="7" t="s">
        <v>109</v>
      </c>
      <c r="N62" s="7" t="s">
        <v>109</v>
      </c>
      <c r="O62" s="7" t="s">
        <v>61</v>
      </c>
      <c r="P62" s="7" t="s">
        <v>131</v>
      </c>
      <c r="Q62" s="7" t="s">
        <v>84</v>
      </c>
      <c r="R62" s="7" t="s">
        <v>62</v>
      </c>
      <c r="S62" s="7" t="s">
        <v>109</v>
      </c>
      <c r="T62" s="7" t="s">
        <v>197</v>
      </c>
      <c r="U62" s="7" t="s">
        <v>109</v>
      </c>
      <c r="V62" s="7" t="s">
        <v>109</v>
      </c>
      <c r="W62" s="7" t="s">
        <v>109</v>
      </c>
      <c r="X62" s="7" t="s">
        <v>109</v>
      </c>
    </row>
    <row r="63" spans="1:24" x14ac:dyDescent="0.3">
      <c r="A63" s="7">
        <v>62</v>
      </c>
      <c r="B63" s="7" t="s">
        <v>23</v>
      </c>
      <c r="C63" s="7" t="s">
        <v>286</v>
      </c>
      <c r="D63" s="7">
        <v>51125166</v>
      </c>
      <c r="E63" s="7">
        <v>100</v>
      </c>
      <c r="F63" s="7">
        <v>206</v>
      </c>
      <c r="G63" s="7">
        <v>98</v>
      </c>
      <c r="H63" s="7" t="s">
        <v>527</v>
      </c>
      <c r="I63" s="7" t="s">
        <v>109</v>
      </c>
      <c r="J63" s="7" t="s">
        <v>130</v>
      </c>
      <c r="K63" s="46">
        <v>0.83333333333333337</v>
      </c>
      <c r="L63" s="7" t="s">
        <v>109</v>
      </c>
      <c r="M63" s="7" t="s">
        <v>109</v>
      </c>
      <c r="N63" s="7" t="s">
        <v>109</v>
      </c>
      <c r="O63" s="7" t="s">
        <v>61</v>
      </c>
      <c r="P63" s="7" t="s">
        <v>131</v>
      </c>
      <c r="Q63" s="7" t="s">
        <v>527</v>
      </c>
      <c r="R63" s="7" t="s">
        <v>62</v>
      </c>
      <c r="S63" s="7" t="s">
        <v>109</v>
      </c>
      <c r="T63" s="7" t="s">
        <v>289</v>
      </c>
      <c r="U63" s="7" t="s">
        <v>109</v>
      </c>
      <c r="V63" s="7" t="s">
        <v>109</v>
      </c>
      <c r="W63" s="7" t="s">
        <v>109</v>
      </c>
      <c r="X63" s="7" t="s">
        <v>109</v>
      </c>
    </row>
    <row r="64" spans="1:24" x14ac:dyDescent="0.3">
      <c r="A64" s="7">
        <v>63</v>
      </c>
      <c r="B64" s="7" t="s">
        <v>23</v>
      </c>
      <c r="C64" s="7" t="s">
        <v>355</v>
      </c>
      <c r="D64" s="7">
        <v>51125135</v>
      </c>
      <c r="E64" s="7">
        <v>50</v>
      </c>
      <c r="F64" s="7">
        <v>98</v>
      </c>
      <c r="G64" s="7">
        <v>33</v>
      </c>
      <c r="H64" s="7" t="s">
        <v>90</v>
      </c>
      <c r="I64" s="7" t="s">
        <v>109</v>
      </c>
      <c r="J64" s="7" t="s">
        <v>130</v>
      </c>
      <c r="K64" s="46">
        <v>0.75416666666666665</v>
      </c>
      <c r="L64" s="7" t="s">
        <v>109</v>
      </c>
      <c r="M64" s="7" t="s">
        <v>109</v>
      </c>
      <c r="N64" s="7" t="s">
        <v>109</v>
      </c>
      <c r="O64" s="7" t="s">
        <v>61</v>
      </c>
      <c r="P64" s="7" t="s">
        <v>131</v>
      </c>
      <c r="Q64" s="7" t="s">
        <v>90</v>
      </c>
      <c r="R64" s="7" t="s">
        <v>62</v>
      </c>
      <c r="S64" s="7" t="s">
        <v>109</v>
      </c>
      <c r="T64" s="7" t="s">
        <v>289</v>
      </c>
      <c r="U64" s="7" t="s">
        <v>109</v>
      </c>
      <c r="V64" s="7" t="s">
        <v>109</v>
      </c>
      <c r="W64" s="7" t="s">
        <v>109</v>
      </c>
      <c r="X64" s="7" t="s">
        <v>109</v>
      </c>
    </row>
    <row r="65" spans="1:24" x14ac:dyDescent="0.3">
      <c r="A65" s="7">
        <v>64</v>
      </c>
      <c r="B65" s="7" t="s">
        <v>411</v>
      </c>
      <c r="C65" s="7" t="s">
        <v>1199</v>
      </c>
      <c r="D65" s="7">
        <v>30126005</v>
      </c>
      <c r="E65" s="7">
        <v>50</v>
      </c>
      <c r="F65" s="7">
        <v>65</v>
      </c>
      <c r="G65" s="7">
        <v>48</v>
      </c>
      <c r="H65" s="31" t="s">
        <v>72</v>
      </c>
      <c r="I65" s="7" t="s">
        <v>89</v>
      </c>
      <c r="J65" s="7" t="s">
        <v>130</v>
      </c>
      <c r="K65" s="46">
        <v>0.71736111111111112</v>
      </c>
      <c r="L65" s="46">
        <v>0.96111111111111114</v>
      </c>
      <c r="M65" s="7" t="s">
        <v>109</v>
      </c>
      <c r="N65" s="7" t="s">
        <v>109</v>
      </c>
      <c r="O65" s="7" t="s">
        <v>61</v>
      </c>
      <c r="P65" s="7" t="s">
        <v>131</v>
      </c>
      <c r="Q65" s="7" t="s">
        <v>89</v>
      </c>
      <c r="R65" s="7" t="s">
        <v>62</v>
      </c>
      <c r="S65" s="7" t="s">
        <v>109</v>
      </c>
      <c r="T65" s="7" t="s">
        <v>675</v>
      </c>
      <c r="U65" s="7" t="s">
        <v>109</v>
      </c>
      <c r="V65" s="7" t="s">
        <v>109</v>
      </c>
      <c r="W65" s="7" t="s">
        <v>109</v>
      </c>
      <c r="X65" s="7" t="s">
        <v>109</v>
      </c>
    </row>
    <row r="66" spans="1:24" x14ac:dyDescent="0.3">
      <c r="A66" s="7">
        <v>65</v>
      </c>
      <c r="B66" s="7" t="s">
        <v>411</v>
      </c>
      <c r="C66" s="7" t="s">
        <v>1200</v>
      </c>
      <c r="D66" s="7">
        <v>30126008</v>
      </c>
      <c r="E66" s="7">
        <v>50</v>
      </c>
      <c r="F66" s="7">
        <v>82</v>
      </c>
      <c r="G66" s="7">
        <v>60</v>
      </c>
      <c r="H66" s="7" t="s">
        <v>200</v>
      </c>
      <c r="I66" s="7" t="s">
        <v>91</v>
      </c>
      <c r="J66" s="7" t="s">
        <v>130</v>
      </c>
      <c r="K66" s="11">
        <v>0.68680555555555556</v>
      </c>
      <c r="L66" s="46">
        <v>0.7368055555555556</v>
      </c>
      <c r="M66" s="7" t="s">
        <v>109</v>
      </c>
      <c r="N66" s="7" t="s">
        <v>109</v>
      </c>
      <c r="O66" s="7" t="s">
        <v>61</v>
      </c>
      <c r="P66" s="7" t="s">
        <v>131</v>
      </c>
      <c r="Q66" s="7" t="s">
        <v>91</v>
      </c>
      <c r="R66" s="7" t="s">
        <v>62</v>
      </c>
      <c r="S66" s="7" t="s">
        <v>109</v>
      </c>
      <c r="T66" s="7" t="s">
        <v>675</v>
      </c>
      <c r="U66" s="7" t="s">
        <v>109</v>
      </c>
      <c r="V66" s="7" t="s">
        <v>109</v>
      </c>
      <c r="W66" s="7" t="s">
        <v>109</v>
      </c>
      <c r="X66" s="7" t="s">
        <v>109</v>
      </c>
    </row>
    <row r="67" spans="1:24" x14ac:dyDescent="0.3">
      <c r="A67" s="7">
        <v>66</v>
      </c>
      <c r="B67" s="7" t="s">
        <v>411</v>
      </c>
      <c r="C67" s="7" t="s">
        <v>1201</v>
      </c>
      <c r="D67" s="7">
        <v>30126006</v>
      </c>
      <c r="E67" s="7">
        <v>50</v>
      </c>
      <c r="F67" s="7">
        <v>105</v>
      </c>
      <c r="G67" s="7">
        <v>33</v>
      </c>
      <c r="H67" s="7" t="s">
        <v>64</v>
      </c>
      <c r="I67" s="7" t="s">
        <v>1202</v>
      </c>
      <c r="J67" s="7" t="s">
        <v>130</v>
      </c>
      <c r="K67" s="46">
        <v>0.67361111111111116</v>
      </c>
      <c r="L67" s="46">
        <v>0.74652777777777779</v>
      </c>
      <c r="M67" s="7" t="s">
        <v>109</v>
      </c>
      <c r="N67" s="7" t="s">
        <v>109</v>
      </c>
      <c r="O67" s="7" t="s">
        <v>61</v>
      </c>
      <c r="P67" s="7" t="s">
        <v>131</v>
      </c>
      <c r="Q67" s="7" t="s">
        <v>86</v>
      </c>
      <c r="R67" s="7" t="s">
        <v>62</v>
      </c>
      <c r="S67" s="7" t="s">
        <v>109</v>
      </c>
      <c r="T67" s="7" t="s">
        <v>675</v>
      </c>
      <c r="U67" s="7" t="s">
        <v>109</v>
      </c>
      <c r="V67" s="7" t="s">
        <v>109</v>
      </c>
      <c r="W67" s="7" t="s">
        <v>109</v>
      </c>
      <c r="X67" s="7" t="s">
        <v>109</v>
      </c>
    </row>
    <row r="68" spans="1:24" x14ac:dyDescent="0.3">
      <c r="A68" s="7">
        <v>67</v>
      </c>
      <c r="B68" s="7" t="s">
        <v>411</v>
      </c>
      <c r="C68" s="7" t="s">
        <v>1203</v>
      </c>
      <c r="D68" s="7">
        <v>30126007</v>
      </c>
      <c r="E68" s="7">
        <v>50</v>
      </c>
      <c r="F68" s="7">
        <v>101</v>
      </c>
      <c r="G68" s="7">
        <v>15</v>
      </c>
      <c r="H68" s="7" t="s">
        <v>527</v>
      </c>
      <c r="I68" s="7" t="s">
        <v>154</v>
      </c>
      <c r="J68" s="7" t="s">
        <v>130</v>
      </c>
      <c r="K68" s="11">
        <v>0.68263888888888891</v>
      </c>
      <c r="L68" s="46">
        <v>0.71388888888888891</v>
      </c>
      <c r="M68" s="7" t="s">
        <v>109</v>
      </c>
      <c r="N68" s="7" t="s">
        <v>109</v>
      </c>
      <c r="O68" s="7" t="s">
        <v>61</v>
      </c>
      <c r="P68" s="7" t="s">
        <v>131</v>
      </c>
      <c r="Q68" s="7" t="s">
        <v>154</v>
      </c>
      <c r="R68" s="7" t="s">
        <v>62</v>
      </c>
      <c r="S68" s="7" t="s">
        <v>109</v>
      </c>
      <c r="T68" s="7" t="s">
        <v>675</v>
      </c>
      <c r="U68" s="7" t="s">
        <v>109</v>
      </c>
      <c r="V68" s="7" t="s">
        <v>109</v>
      </c>
      <c r="W68" s="7" t="s">
        <v>109</v>
      </c>
      <c r="X68" s="7" t="s">
        <v>109</v>
      </c>
    </row>
    <row r="69" spans="1:24" x14ac:dyDescent="0.3">
      <c r="A69" s="7">
        <v>68</v>
      </c>
      <c r="B69" s="7" t="s">
        <v>411</v>
      </c>
      <c r="C69" s="7" t="s">
        <v>1204</v>
      </c>
      <c r="D69" s="7">
        <v>30126009</v>
      </c>
      <c r="E69" s="7">
        <v>50</v>
      </c>
      <c r="F69" s="7">
        <v>78</v>
      </c>
      <c r="G69" s="7">
        <v>51</v>
      </c>
      <c r="H69" s="7" t="s">
        <v>70</v>
      </c>
      <c r="I69" s="7" t="s">
        <v>90</v>
      </c>
      <c r="J69" s="7" t="s">
        <v>130</v>
      </c>
      <c r="K69" s="46">
        <v>0.84305555555555556</v>
      </c>
      <c r="L69" s="46">
        <v>0.84930555555555554</v>
      </c>
      <c r="M69" s="7" t="s">
        <v>109</v>
      </c>
      <c r="N69" s="7" t="s">
        <v>109</v>
      </c>
      <c r="O69" s="7" t="s">
        <v>61</v>
      </c>
      <c r="P69" s="7" t="s">
        <v>131</v>
      </c>
      <c r="Q69" s="7" t="s">
        <v>90</v>
      </c>
      <c r="R69" s="7" t="s">
        <v>62</v>
      </c>
      <c r="S69" s="7" t="s">
        <v>109</v>
      </c>
      <c r="T69" s="7" t="s">
        <v>675</v>
      </c>
      <c r="U69" s="7" t="s">
        <v>109</v>
      </c>
      <c r="V69" s="7" t="s">
        <v>109</v>
      </c>
      <c r="W69" s="7" t="s">
        <v>109</v>
      </c>
      <c r="X69" s="7" t="s">
        <v>109</v>
      </c>
    </row>
    <row r="70" spans="1:24" x14ac:dyDescent="0.3">
      <c r="A70" s="7">
        <v>69</v>
      </c>
      <c r="B70" s="7" t="s">
        <v>414</v>
      </c>
      <c r="C70" s="7" t="s">
        <v>421</v>
      </c>
      <c r="D70" s="7">
        <v>40126013</v>
      </c>
      <c r="E70" s="7">
        <v>350</v>
      </c>
      <c r="F70" s="7">
        <v>708</v>
      </c>
      <c r="G70" s="7">
        <v>92</v>
      </c>
      <c r="H70" s="7" t="s">
        <v>1205</v>
      </c>
      <c r="I70" s="7" t="s">
        <v>1206</v>
      </c>
      <c r="J70" s="7" t="s">
        <v>130</v>
      </c>
      <c r="K70" s="46">
        <v>0.83611111111111114</v>
      </c>
      <c r="L70" s="46">
        <v>0.87708333333333333</v>
      </c>
      <c r="M70" s="7" t="s">
        <v>109</v>
      </c>
      <c r="N70" s="7" t="s">
        <v>1207</v>
      </c>
      <c r="O70" s="7" t="s">
        <v>61</v>
      </c>
      <c r="P70" s="7" t="s">
        <v>131</v>
      </c>
      <c r="Q70" s="7" t="s">
        <v>91</v>
      </c>
      <c r="R70" s="7" t="s">
        <v>62</v>
      </c>
      <c r="S70" s="7" t="s">
        <v>109</v>
      </c>
      <c r="T70" s="7" t="s">
        <v>416</v>
      </c>
      <c r="U70" s="7" t="s">
        <v>109</v>
      </c>
      <c r="V70" s="7" t="s">
        <v>109</v>
      </c>
      <c r="W70" s="7" t="s">
        <v>109</v>
      </c>
      <c r="X70" s="7" t="s">
        <v>109</v>
      </c>
    </row>
    <row r="71" spans="1:24" x14ac:dyDescent="0.3">
      <c r="A71" s="7">
        <v>70</v>
      </c>
      <c r="B71" s="7" t="s">
        <v>414</v>
      </c>
      <c r="C71" s="7" t="s">
        <v>422</v>
      </c>
      <c r="D71" s="7">
        <v>40126014</v>
      </c>
      <c r="E71" s="7">
        <v>285</v>
      </c>
      <c r="F71" s="7">
        <v>183</v>
      </c>
      <c r="G71" s="7">
        <v>22</v>
      </c>
      <c r="H71" s="7" t="s">
        <v>191</v>
      </c>
      <c r="I71" s="7" t="s">
        <v>294</v>
      </c>
      <c r="J71" s="7" t="s">
        <v>130</v>
      </c>
      <c r="K71" s="46">
        <v>0.72152777777777777</v>
      </c>
      <c r="L71" s="46">
        <v>0.72847222222222219</v>
      </c>
      <c r="M71" s="7" t="s">
        <v>109</v>
      </c>
      <c r="N71" s="7" t="s">
        <v>1207</v>
      </c>
      <c r="O71" s="7" t="s">
        <v>61</v>
      </c>
      <c r="P71" s="7" t="s">
        <v>131</v>
      </c>
      <c r="Q71" s="7" t="s">
        <v>209</v>
      </c>
      <c r="R71" s="7" t="s">
        <v>62</v>
      </c>
      <c r="S71" s="7" t="s">
        <v>109</v>
      </c>
      <c r="T71" s="7" t="s">
        <v>416</v>
      </c>
      <c r="U71" s="7" t="s">
        <v>109</v>
      </c>
      <c r="V71" s="7" t="s">
        <v>109</v>
      </c>
      <c r="W71" s="7" t="s">
        <v>109</v>
      </c>
      <c r="X71" s="7" t="s">
        <v>109</v>
      </c>
    </row>
    <row r="72" spans="1:24" x14ac:dyDescent="0.3">
      <c r="A72" s="7">
        <v>71</v>
      </c>
      <c r="B72" s="7" t="s">
        <v>414</v>
      </c>
      <c r="C72" s="7" t="s">
        <v>417</v>
      </c>
      <c r="D72" s="7">
        <v>40126010</v>
      </c>
      <c r="E72" s="7">
        <v>295</v>
      </c>
      <c r="F72" s="7">
        <v>162</v>
      </c>
      <c r="G72" s="7">
        <v>48</v>
      </c>
      <c r="H72" s="7" t="s">
        <v>1208</v>
      </c>
      <c r="I72" s="7" t="s">
        <v>1209</v>
      </c>
      <c r="J72" s="7" t="s">
        <v>130</v>
      </c>
      <c r="K72" s="46">
        <v>0.72986111111111107</v>
      </c>
      <c r="L72" s="46">
        <v>0.76111111111111107</v>
      </c>
      <c r="M72" s="7" t="s">
        <v>109</v>
      </c>
      <c r="N72" s="7" t="s">
        <v>1207</v>
      </c>
      <c r="O72" s="7" t="s">
        <v>61</v>
      </c>
      <c r="P72" s="7" t="s">
        <v>131</v>
      </c>
      <c r="Q72" s="7" t="s">
        <v>88</v>
      </c>
      <c r="R72" s="7" t="s">
        <v>62</v>
      </c>
      <c r="S72" s="7" t="s">
        <v>109</v>
      </c>
      <c r="T72" s="7" t="s">
        <v>416</v>
      </c>
      <c r="U72" s="7" t="s">
        <v>109</v>
      </c>
      <c r="V72" s="7" t="s">
        <v>109</v>
      </c>
      <c r="W72" s="7" t="s">
        <v>109</v>
      </c>
      <c r="X72" s="7" t="s">
        <v>109</v>
      </c>
    </row>
    <row r="73" spans="1:24" x14ac:dyDescent="0.3">
      <c r="A73" s="7">
        <v>72</v>
      </c>
      <c r="B73" s="7" t="s">
        <v>414</v>
      </c>
      <c r="C73" s="7" t="s">
        <v>418</v>
      </c>
      <c r="D73" s="7">
        <v>40126011</v>
      </c>
      <c r="E73" s="7">
        <v>350</v>
      </c>
      <c r="F73" s="7">
        <v>384</v>
      </c>
      <c r="G73" s="7">
        <v>93</v>
      </c>
      <c r="H73" s="7" t="s">
        <v>1210</v>
      </c>
      <c r="I73" s="7" t="s">
        <v>1211</v>
      </c>
      <c r="J73" s="7" t="s">
        <v>130</v>
      </c>
      <c r="K73" s="46">
        <v>0.81458333333333333</v>
      </c>
      <c r="L73" s="46">
        <v>0.85416666666666663</v>
      </c>
      <c r="M73" s="7" t="s">
        <v>109</v>
      </c>
      <c r="N73" s="7" t="s">
        <v>1207</v>
      </c>
      <c r="O73" s="7" t="s">
        <v>61</v>
      </c>
      <c r="P73" s="7" t="s">
        <v>131</v>
      </c>
      <c r="Q73" s="7" t="s">
        <v>91</v>
      </c>
      <c r="R73" s="7" t="s">
        <v>62</v>
      </c>
      <c r="S73" s="7" t="s">
        <v>109</v>
      </c>
      <c r="T73" s="7" t="s">
        <v>416</v>
      </c>
      <c r="U73" s="7" t="s">
        <v>109</v>
      </c>
      <c r="V73" s="7" t="s">
        <v>109</v>
      </c>
      <c r="W73" s="7" t="s">
        <v>109</v>
      </c>
      <c r="X73" s="7" t="s">
        <v>109</v>
      </c>
    </row>
    <row r="74" spans="1:24" x14ac:dyDescent="0.3">
      <c r="A74" s="7">
        <v>73</v>
      </c>
      <c r="B74" s="7" t="s">
        <v>414</v>
      </c>
      <c r="C74" s="7" t="s">
        <v>419</v>
      </c>
      <c r="D74" s="7">
        <v>40126012</v>
      </c>
      <c r="E74" s="7">
        <v>310</v>
      </c>
      <c r="F74" s="7">
        <v>402</v>
      </c>
      <c r="G74" s="7">
        <v>57</v>
      </c>
      <c r="H74" s="7" t="s">
        <v>1212</v>
      </c>
      <c r="I74" s="7" t="s">
        <v>1213</v>
      </c>
      <c r="J74" s="7" t="s">
        <v>130</v>
      </c>
      <c r="K74" s="46">
        <v>0.82291666666666663</v>
      </c>
      <c r="L74" s="46">
        <v>0.84236111111111112</v>
      </c>
      <c r="M74" s="7" t="s">
        <v>109</v>
      </c>
      <c r="N74" s="7" t="s">
        <v>1207</v>
      </c>
      <c r="O74" s="7" t="s">
        <v>61</v>
      </c>
      <c r="P74" s="7" t="s">
        <v>131</v>
      </c>
      <c r="Q74" s="7" t="s">
        <v>209</v>
      </c>
      <c r="R74" s="7" t="s">
        <v>62</v>
      </c>
      <c r="S74" s="7" t="s">
        <v>109</v>
      </c>
      <c r="T74" s="7" t="s">
        <v>1214</v>
      </c>
      <c r="U74" s="7" t="s">
        <v>109</v>
      </c>
      <c r="V74" s="7" t="s">
        <v>109</v>
      </c>
      <c r="W74" s="7" t="s">
        <v>109</v>
      </c>
      <c r="X74" s="7" t="s">
        <v>109</v>
      </c>
    </row>
    <row r="75" spans="1:24" x14ac:dyDescent="0.3">
      <c r="A75" s="7">
        <v>74</v>
      </c>
      <c r="B75" s="7" t="s">
        <v>414</v>
      </c>
      <c r="C75" s="7" t="s">
        <v>415</v>
      </c>
      <c r="D75" s="7">
        <v>40126009</v>
      </c>
      <c r="E75" s="7">
        <v>316</v>
      </c>
      <c r="F75" s="7">
        <v>623</v>
      </c>
      <c r="G75" s="7">
        <v>226</v>
      </c>
      <c r="H75" s="7" t="s">
        <v>1215</v>
      </c>
      <c r="I75" s="7" t="s">
        <v>1216</v>
      </c>
      <c r="J75" s="7" t="s">
        <v>130</v>
      </c>
      <c r="K75" s="46">
        <v>0.75624999999999998</v>
      </c>
      <c r="L75" s="46">
        <v>0.84027777777777779</v>
      </c>
      <c r="M75" s="7" t="s">
        <v>109</v>
      </c>
      <c r="N75" s="7" t="s">
        <v>1207</v>
      </c>
      <c r="O75" s="7" t="s">
        <v>61</v>
      </c>
      <c r="P75" s="7" t="s">
        <v>131</v>
      </c>
      <c r="Q75" s="7" t="s">
        <v>88</v>
      </c>
      <c r="R75" s="7" t="s">
        <v>62</v>
      </c>
      <c r="S75" s="7" t="s">
        <v>109</v>
      </c>
      <c r="T75" s="7" t="s">
        <v>1214</v>
      </c>
      <c r="U75" s="7" t="s">
        <v>109</v>
      </c>
      <c r="V75" s="7" t="s">
        <v>109</v>
      </c>
      <c r="W75" s="7" t="s">
        <v>109</v>
      </c>
      <c r="X75" s="7" t="s">
        <v>109</v>
      </c>
    </row>
    <row r="76" spans="1:24" x14ac:dyDescent="0.3">
      <c r="A76" s="7">
        <v>75</v>
      </c>
      <c r="B76" s="7" t="s">
        <v>23</v>
      </c>
      <c r="C76" s="7" t="s">
        <v>937</v>
      </c>
      <c r="D76" s="7">
        <v>50126267</v>
      </c>
      <c r="E76" s="7">
        <v>650</v>
      </c>
      <c r="F76" s="7">
        <v>880</v>
      </c>
      <c r="G76" s="7">
        <v>676</v>
      </c>
      <c r="H76" s="7" t="s">
        <v>1217</v>
      </c>
      <c r="I76" s="7" t="s">
        <v>109</v>
      </c>
      <c r="J76" s="7" t="s">
        <v>130</v>
      </c>
      <c r="K76" s="46">
        <v>0.96736111111111112</v>
      </c>
      <c r="L76" s="7" t="s">
        <v>109</v>
      </c>
      <c r="M76" s="7" t="s">
        <v>109</v>
      </c>
      <c r="N76" s="7" t="s">
        <v>109</v>
      </c>
      <c r="O76" s="7" t="s">
        <v>61</v>
      </c>
      <c r="P76" s="7" t="s">
        <v>131</v>
      </c>
      <c r="Q76" s="7" t="s">
        <v>196</v>
      </c>
      <c r="R76" s="7" t="s">
        <v>62</v>
      </c>
      <c r="S76" s="7" t="s">
        <v>109</v>
      </c>
      <c r="T76" s="7" t="s">
        <v>424</v>
      </c>
      <c r="U76" s="7" t="s">
        <v>109</v>
      </c>
      <c r="V76" s="7" t="s">
        <v>109</v>
      </c>
      <c r="W76" s="7" t="s">
        <v>109</v>
      </c>
      <c r="X76" s="7" t="s">
        <v>109</v>
      </c>
    </row>
    <row r="77" spans="1:24" x14ac:dyDescent="0.3">
      <c r="A77" s="7">
        <v>76</v>
      </c>
      <c r="B77" s="7" t="s">
        <v>143</v>
      </c>
      <c r="C77" s="7" t="s">
        <v>877</v>
      </c>
      <c r="D77" s="7">
        <v>11125073</v>
      </c>
      <c r="E77" s="7" t="s">
        <v>287</v>
      </c>
      <c r="F77" s="7">
        <v>312</v>
      </c>
      <c r="G77" s="7">
        <v>49</v>
      </c>
      <c r="H77" s="7" t="s">
        <v>1219</v>
      </c>
      <c r="I77" s="7" t="s">
        <v>109</v>
      </c>
      <c r="J77" s="7" t="s">
        <v>130</v>
      </c>
      <c r="K77" s="46">
        <v>0.99375000000000002</v>
      </c>
      <c r="L77" s="7" t="s">
        <v>109</v>
      </c>
      <c r="M77" s="7" t="s">
        <v>109</v>
      </c>
      <c r="N77" s="7" t="s">
        <v>109</v>
      </c>
      <c r="O77" s="7" t="s">
        <v>61</v>
      </c>
      <c r="P77" s="7" t="s">
        <v>131</v>
      </c>
      <c r="Q77" s="7" t="s">
        <v>91</v>
      </c>
      <c r="R77" s="7" t="s">
        <v>62</v>
      </c>
      <c r="S77" s="7" t="s">
        <v>109</v>
      </c>
      <c r="T77" s="7" t="s">
        <v>879</v>
      </c>
      <c r="U77" s="7" t="s">
        <v>109</v>
      </c>
      <c r="V77" s="7" t="s">
        <v>109</v>
      </c>
      <c r="W77" s="7" t="s">
        <v>109</v>
      </c>
      <c r="X77" s="7" t="s">
        <v>109</v>
      </c>
    </row>
    <row r="78" spans="1:24" x14ac:dyDescent="0.3">
      <c r="A78" s="7">
        <v>77</v>
      </c>
      <c r="B78" s="7" t="s">
        <v>143</v>
      </c>
      <c r="C78" s="7" t="s">
        <v>776</v>
      </c>
      <c r="D78" s="7">
        <v>11125075</v>
      </c>
      <c r="E78" s="7">
        <v>40</v>
      </c>
      <c r="F78" s="7">
        <v>32</v>
      </c>
      <c r="G78" s="7">
        <v>22</v>
      </c>
      <c r="H78" s="7" t="s">
        <v>154</v>
      </c>
      <c r="I78" s="7" t="s">
        <v>109</v>
      </c>
      <c r="J78" s="7" t="s">
        <v>130</v>
      </c>
      <c r="K78" s="46">
        <v>0.97986111111111107</v>
      </c>
      <c r="L78" s="7" t="s">
        <v>109</v>
      </c>
      <c r="M78" s="7" t="s">
        <v>109</v>
      </c>
      <c r="N78" s="7" t="s">
        <v>109</v>
      </c>
      <c r="O78" s="7" t="s">
        <v>61</v>
      </c>
      <c r="P78" s="7" t="s">
        <v>131</v>
      </c>
      <c r="Q78" s="7" t="s">
        <v>154</v>
      </c>
      <c r="R78" s="7" t="s">
        <v>62</v>
      </c>
      <c r="S78" s="7" t="s">
        <v>109</v>
      </c>
      <c r="T78" s="7" t="s">
        <v>879</v>
      </c>
      <c r="U78" s="7" t="s">
        <v>109</v>
      </c>
      <c r="V78" s="7" t="s">
        <v>109</v>
      </c>
      <c r="W78" s="7" t="s">
        <v>109</v>
      </c>
      <c r="X78" s="7" t="s">
        <v>109</v>
      </c>
    </row>
    <row r="79" spans="1:24" x14ac:dyDescent="0.3">
      <c r="A79" s="7">
        <v>78</v>
      </c>
      <c r="B79" s="7" t="s">
        <v>23</v>
      </c>
      <c r="C79" s="7" t="s">
        <v>1218</v>
      </c>
      <c r="D79" s="7">
        <v>51025064</v>
      </c>
      <c r="E79" s="7">
        <v>50</v>
      </c>
      <c r="F79" s="7">
        <v>27</v>
      </c>
      <c r="G79" s="7">
        <v>21</v>
      </c>
      <c r="H79" s="7" t="s">
        <v>94</v>
      </c>
      <c r="I79" s="7" t="s">
        <v>109</v>
      </c>
      <c r="J79" s="7" t="s">
        <v>130</v>
      </c>
      <c r="K79" s="46">
        <v>5.5555555555555558E-3</v>
      </c>
      <c r="L79" s="7" t="s">
        <v>109</v>
      </c>
      <c r="M79" s="7" t="s">
        <v>109</v>
      </c>
      <c r="N79" s="7" t="s">
        <v>109</v>
      </c>
      <c r="O79" s="7" t="s">
        <v>606</v>
      </c>
      <c r="P79" s="7" t="s">
        <v>131</v>
      </c>
      <c r="Q79" s="7" t="s">
        <v>94</v>
      </c>
      <c r="R79" s="7" t="s">
        <v>62</v>
      </c>
      <c r="S79" s="7" t="s">
        <v>109</v>
      </c>
      <c r="T79" s="67" t="s">
        <v>197</v>
      </c>
      <c r="U79" s="7" t="s">
        <v>109</v>
      </c>
      <c r="V79" s="7" t="s">
        <v>109</v>
      </c>
      <c r="W79" s="7" t="s">
        <v>109</v>
      </c>
      <c r="X79" s="7" t="s">
        <v>109</v>
      </c>
    </row>
    <row r="80" spans="1:24" x14ac:dyDescent="0.3">
      <c r="A80" s="69">
        <v>79</v>
      </c>
      <c r="B80" s="69" t="s">
        <v>23</v>
      </c>
      <c r="C80" s="70" t="s">
        <v>210</v>
      </c>
      <c r="D80" s="69">
        <v>50925063</v>
      </c>
      <c r="E80" s="69">
        <v>10</v>
      </c>
      <c r="F80" s="69">
        <v>10</v>
      </c>
      <c r="G80" s="69">
        <v>7</v>
      </c>
      <c r="H80" s="69" t="s">
        <v>90</v>
      </c>
      <c r="I80" s="69" t="s">
        <v>109</v>
      </c>
      <c r="J80" s="69" t="s">
        <v>130</v>
      </c>
      <c r="K80" s="71">
        <v>0.93125000000000002</v>
      </c>
      <c r="L80" s="69" t="s">
        <v>109</v>
      </c>
      <c r="M80" s="69" t="s">
        <v>109</v>
      </c>
      <c r="N80" s="69" t="s">
        <v>109</v>
      </c>
      <c r="O80" s="69" t="s">
        <v>606</v>
      </c>
      <c r="P80" s="69" t="s">
        <v>131</v>
      </c>
      <c r="Q80" s="69" t="s">
        <v>90</v>
      </c>
      <c r="R80" s="69" t="s">
        <v>62</v>
      </c>
      <c r="S80" s="69" t="s">
        <v>109</v>
      </c>
      <c r="T80" s="72" t="s">
        <v>197</v>
      </c>
      <c r="U80" s="69" t="s">
        <v>109</v>
      </c>
      <c r="V80" s="69" t="s">
        <v>109</v>
      </c>
      <c r="W80" s="69" t="s">
        <v>109</v>
      </c>
      <c r="X80" s="69" t="s">
        <v>109</v>
      </c>
    </row>
    <row r="81" spans="1:24" x14ac:dyDescent="0.3">
      <c r="A81" s="7">
        <v>80</v>
      </c>
      <c r="B81" s="7" t="s">
        <v>23</v>
      </c>
      <c r="C81" s="7" t="s">
        <v>1221</v>
      </c>
      <c r="D81" s="7">
        <v>50126329</v>
      </c>
      <c r="E81" s="7">
        <v>100</v>
      </c>
      <c r="F81" s="7">
        <v>149</v>
      </c>
      <c r="G81" s="7">
        <v>108</v>
      </c>
      <c r="H81" s="7" t="s">
        <v>1058</v>
      </c>
      <c r="I81" s="7" t="s">
        <v>109</v>
      </c>
      <c r="J81" s="69" t="s">
        <v>130</v>
      </c>
      <c r="K81" s="46">
        <v>3.5416666666666666E-2</v>
      </c>
      <c r="L81" s="7" t="s">
        <v>109</v>
      </c>
      <c r="M81" s="7" t="s">
        <v>109</v>
      </c>
      <c r="N81" s="7" t="s">
        <v>109</v>
      </c>
      <c r="O81" s="7" t="s">
        <v>61</v>
      </c>
      <c r="P81" s="69" t="s">
        <v>131</v>
      </c>
      <c r="Q81" s="69" t="s">
        <v>90</v>
      </c>
      <c r="R81" s="7" t="s">
        <v>62</v>
      </c>
      <c r="S81" s="7" t="s">
        <v>109</v>
      </c>
      <c r="T81" s="7" t="s">
        <v>424</v>
      </c>
      <c r="U81" s="7" t="s">
        <v>109</v>
      </c>
      <c r="V81" s="7" t="s">
        <v>109</v>
      </c>
      <c r="W81" s="7" t="s">
        <v>109</v>
      </c>
      <c r="X81" s="7" t="s">
        <v>109</v>
      </c>
    </row>
  </sheetData>
  <conditionalFormatting sqref="D1">
    <cfRule type="duplicateValues" dxfId="102" priority="1"/>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BE768-F53F-48F5-9B67-E196FE9F1915}">
  <sheetPr codeName="Sheet12"/>
  <dimension ref="A1:V82"/>
  <sheetViews>
    <sheetView workbookViewId="0"/>
  </sheetViews>
  <sheetFormatPr defaultRowHeight="14.4" x14ac:dyDescent="0.3"/>
  <cols>
    <col min="8" max="8" width="74.88671875" bestFit="1" customWidth="1"/>
    <col min="9" max="9" width="25.21875" bestFit="1" customWidth="1"/>
  </cols>
  <sheetData>
    <row r="1" spans="1:22"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row>
    <row r="2" spans="1:22" x14ac:dyDescent="0.3">
      <c r="A2" s="28">
        <v>1</v>
      </c>
      <c r="B2" s="29" t="s">
        <v>25</v>
      </c>
      <c r="C2" s="28" t="s">
        <v>760</v>
      </c>
      <c r="D2" s="29">
        <v>40126016</v>
      </c>
      <c r="E2" s="28">
        <v>183</v>
      </c>
      <c r="F2" s="28">
        <v>331</v>
      </c>
      <c r="G2" s="28">
        <v>183</v>
      </c>
      <c r="H2" s="28" t="s">
        <v>1223</v>
      </c>
      <c r="I2" s="28" t="s">
        <v>1224</v>
      </c>
      <c r="J2" s="28" t="s">
        <v>130</v>
      </c>
      <c r="K2" s="41">
        <v>0.6791666666666667</v>
      </c>
      <c r="L2" s="41">
        <v>0.75902777777777775</v>
      </c>
      <c r="M2" s="28" t="s">
        <v>109</v>
      </c>
      <c r="N2" s="28" t="s">
        <v>1161</v>
      </c>
      <c r="O2" s="28" t="s">
        <v>61</v>
      </c>
      <c r="P2" s="28" t="s">
        <v>131</v>
      </c>
      <c r="Q2" s="28" t="s">
        <v>93</v>
      </c>
      <c r="R2" s="28" t="s">
        <v>62</v>
      </c>
      <c r="S2" s="28" t="s">
        <v>123</v>
      </c>
      <c r="T2" s="29" t="s">
        <v>762</v>
      </c>
      <c r="U2" s="28" t="s">
        <v>109</v>
      </c>
      <c r="V2" s="28" t="s">
        <v>109</v>
      </c>
    </row>
    <row r="3" spans="1:22" x14ac:dyDescent="0.3">
      <c r="A3" s="28">
        <v>2</v>
      </c>
      <c r="B3" s="29" t="s">
        <v>23</v>
      </c>
      <c r="C3" s="28" t="s">
        <v>538</v>
      </c>
      <c r="D3" s="29">
        <v>50126084</v>
      </c>
      <c r="E3" s="28">
        <v>100</v>
      </c>
      <c r="F3" s="28">
        <v>191</v>
      </c>
      <c r="G3" s="28">
        <v>23</v>
      </c>
      <c r="H3" s="28" t="s">
        <v>1262</v>
      </c>
      <c r="I3" s="28" t="s">
        <v>109</v>
      </c>
      <c r="J3" s="28" t="s">
        <v>130</v>
      </c>
      <c r="K3" s="28" t="s">
        <v>109</v>
      </c>
      <c r="L3" s="41">
        <v>0.87986111111111109</v>
      </c>
      <c r="M3" s="28" t="s">
        <v>109</v>
      </c>
      <c r="N3" s="28" t="s">
        <v>109</v>
      </c>
      <c r="O3" s="28" t="s">
        <v>61</v>
      </c>
      <c r="P3" s="28" t="s">
        <v>131</v>
      </c>
      <c r="Q3" s="28" t="s">
        <v>83</v>
      </c>
      <c r="R3" s="28" t="s">
        <v>62</v>
      </c>
      <c r="S3" s="28" t="s">
        <v>123</v>
      </c>
      <c r="T3" s="29" t="s">
        <v>424</v>
      </c>
      <c r="U3" s="28" t="s">
        <v>109</v>
      </c>
      <c r="V3" s="28" t="s">
        <v>109</v>
      </c>
    </row>
    <row r="4" spans="1:22" x14ac:dyDescent="0.3">
      <c r="A4" s="28">
        <v>3</v>
      </c>
      <c r="B4" s="29" t="s">
        <v>26</v>
      </c>
      <c r="C4" s="28" t="s">
        <v>768</v>
      </c>
      <c r="D4" s="29">
        <v>40126005</v>
      </c>
      <c r="E4" s="28">
        <v>264</v>
      </c>
      <c r="F4" s="28">
        <v>511</v>
      </c>
      <c r="G4" s="28">
        <v>126</v>
      </c>
      <c r="H4" s="28" t="s">
        <v>1225</v>
      </c>
      <c r="I4" s="28" t="s">
        <v>1226</v>
      </c>
      <c r="J4" s="28" t="s">
        <v>130</v>
      </c>
      <c r="K4" s="41">
        <v>0.95</v>
      </c>
      <c r="L4" s="41">
        <v>6.9444444444444447E-4</v>
      </c>
      <c r="M4" s="28" t="s">
        <v>109</v>
      </c>
      <c r="N4" s="28" t="s">
        <v>109</v>
      </c>
      <c r="O4" s="28" t="s">
        <v>61</v>
      </c>
      <c r="P4" s="28" t="s">
        <v>131</v>
      </c>
      <c r="Q4" s="28" t="s">
        <v>90</v>
      </c>
      <c r="R4" s="28" t="s">
        <v>63</v>
      </c>
      <c r="S4" s="28" t="s">
        <v>123</v>
      </c>
      <c r="T4" s="29" t="s">
        <v>767</v>
      </c>
      <c r="U4" s="28" t="s">
        <v>109</v>
      </c>
      <c r="V4" s="28" t="s">
        <v>109</v>
      </c>
    </row>
    <row r="5" spans="1:22" x14ac:dyDescent="0.3">
      <c r="A5" s="28">
        <v>4</v>
      </c>
      <c r="B5" s="29" t="s">
        <v>26</v>
      </c>
      <c r="C5" s="28" t="s">
        <v>769</v>
      </c>
      <c r="D5" s="29">
        <v>40126006</v>
      </c>
      <c r="E5" s="28">
        <v>168</v>
      </c>
      <c r="F5" s="28">
        <v>357</v>
      </c>
      <c r="G5" s="28">
        <v>127</v>
      </c>
      <c r="H5" s="28" t="s">
        <v>73</v>
      </c>
      <c r="I5" s="28" t="s">
        <v>1156</v>
      </c>
      <c r="J5" s="28" t="s">
        <v>130</v>
      </c>
      <c r="K5" s="41">
        <v>0.98750000000000004</v>
      </c>
      <c r="L5" s="41">
        <v>3.4722222222222224E-2</v>
      </c>
      <c r="M5" s="28" t="s">
        <v>109</v>
      </c>
      <c r="N5" s="28" t="s">
        <v>109</v>
      </c>
      <c r="O5" s="28" t="s">
        <v>61</v>
      </c>
      <c r="P5" s="28" t="s">
        <v>131</v>
      </c>
      <c r="Q5" s="28" t="s">
        <v>89</v>
      </c>
      <c r="R5" s="28" t="s">
        <v>63</v>
      </c>
      <c r="S5" s="28" t="s">
        <v>123</v>
      </c>
      <c r="T5" s="29" t="s">
        <v>767</v>
      </c>
      <c r="U5" s="28" t="s">
        <v>109</v>
      </c>
      <c r="V5" s="28" t="s">
        <v>109</v>
      </c>
    </row>
    <row r="6" spans="1:22" x14ac:dyDescent="0.3">
      <c r="A6" s="28">
        <v>5</v>
      </c>
      <c r="B6" s="29" t="s">
        <v>26</v>
      </c>
      <c r="C6" s="28" t="s">
        <v>770</v>
      </c>
      <c r="D6" s="29">
        <v>40126003</v>
      </c>
      <c r="E6" s="28">
        <v>326</v>
      </c>
      <c r="F6" s="28">
        <v>453</v>
      </c>
      <c r="G6" s="28">
        <v>159</v>
      </c>
      <c r="H6" s="28" t="s">
        <v>1227</v>
      </c>
      <c r="I6" s="28" t="s">
        <v>1267</v>
      </c>
      <c r="J6" s="28" t="s">
        <v>130</v>
      </c>
      <c r="K6" s="41">
        <v>0.97638888888888886</v>
      </c>
      <c r="L6" s="41">
        <v>0.99375000000000002</v>
      </c>
      <c r="M6" s="28" t="s">
        <v>109</v>
      </c>
      <c r="N6" s="28" t="s">
        <v>109</v>
      </c>
      <c r="O6" s="28" t="s">
        <v>61</v>
      </c>
      <c r="P6" s="28" t="s">
        <v>131</v>
      </c>
      <c r="Q6" s="28" t="s">
        <v>87</v>
      </c>
      <c r="R6" s="28" t="s">
        <v>63</v>
      </c>
      <c r="S6" s="28" t="s">
        <v>123</v>
      </c>
      <c r="T6" s="29" t="s">
        <v>767</v>
      </c>
      <c r="U6" s="28" t="s">
        <v>109</v>
      </c>
      <c r="V6" s="28" t="s">
        <v>109</v>
      </c>
    </row>
    <row r="7" spans="1:22" x14ac:dyDescent="0.3">
      <c r="A7" s="28">
        <v>6</v>
      </c>
      <c r="B7" s="29" t="s">
        <v>26</v>
      </c>
      <c r="C7" s="28" t="s">
        <v>773</v>
      </c>
      <c r="D7" s="29">
        <v>40126002</v>
      </c>
      <c r="E7" s="28">
        <v>280</v>
      </c>
      <c r="F7" s="28">
        <v>448</v>
      </c>
      <c r="G7" s="28">
        <v>298</v>
      </c>
      <c r="H7" s="28" t="s">
        <v>1228</v>
      </c>
      <c r="I7" s="28" t="s">
        <v>1229</v>
      </c>
      <c r="J7" s="28" t="s">
        <v>130</v>
      </c>
      <c r="K7" s="41">
        <v>0.92986111111111114</v>
      </c>
      <c r="L7" s="41">
        <v>0.97777777777777775</v>
      </c>
      <c r="M7" s="28" t="s">
        <v>109</v>
      </c>
      <c r="N7" s="28" t="s">
        <v>109</v>
      </c>
      <c r="O7" s="28" t="s">
        <v>61</v>
      </c>
      <c r="P7" s="28" t="s">
        <v>131</v>
      </c>
      <c r="Q7" s="28" t="s">
        <v>91</v>
      </c>
      <c r="R7" s="28" t="s">
        <v>63</v>
      </c>
      <c r="S7" s="28" t="s">
        <v>123</v>
      </c>
      <c r="T7" s="29" t="s">
        <v>767</v>
      </c>
      <c r="U7" s="28" t="s">
        <v>109</v>
      </c>
      <c r="V7" s="28" t="s">
        <v>109</v>
      </c>
    </row>
    <row r="8" spans="1:22" x14ac:dyDescent="0.3">
      <c r="A8" s="28">
        <v>7</v>
      </c>
      <c r="B8" s="29" t="s">
        <v>26</v>
      </c>
      <c r="C8" s="28" t="s">
        <v>774</v>
      </c>
      <c r="D8" s="29">
        <v>40126001</v>
      </c>
      <c r="E8" s="28">
        <v>260</v>
      </c>
      <c r="F8" s="28">
        <v>490</v>
      </c>
      <c r="G8" s="28">
        <v>117</v>
      </c>
      <c r="H8" s="28" t="s">
        <v>1230</v>
      </c>
      <c r="I8" s="28" t="s">
        <v>1231</v>
      </c>
      <c r="J8" s="28" t="s">
        <v>130</v>
      </c>
      <c r="K8" s="41">
        <v>0.97986111111111107</v>
      </c>
      <c r="L8" s="41">
        <v>0.99375000000000002</v>
      </c>
      <c r="M8" s="28" t="s">
        <v>109</v>
      </c>
      <c r="N8" s="28" t="s">
        <v>109</v>
      </c>
      <c r="O8" s="28" t="s">
        <v>61</v>
      </c>
      <c r="P8" s="28" t="s">
        <v>131</v>
      </c>
      <c r="Q8" s="28" t="s">
        <v>93</v>
      </c>
      <c r="R8" s="28" t="s">
        <v>63</v>
      </c>
      <c r="S8" s="28" t="s">
        <v>123</v>
      </c>
      <c r="T8" s="29" t="s">
        <v>767</v>
      </c>
      <c r="U8" s="28" t="s">
        <v>109</v>
      </c>
      <c r="V8" s="28" t="s">
        <v>109</v>
      </c>
    </row>
    <row r="9" spans="1:22" x14ac:dyDescent="0.3">
      <c r="A9" s="28">
        <v>8</v>
      </c>
      <c r="B9" s="29" t="s">
        <v>23</v>
      </c>
      <c r="C9" s="28" t="s">
        <v>227</v>
      </c>
      <c r="D9" s="29">
        <v>51125017</v>
      </c>
      <c r="E9" s="28">
        <v>60</v>
      </c>
      <c r="F9" s="28">
        <v>84</v>
      </c>
      <c r="G9" s="28">
        <v>65</v>
      </c>
      <c r="H9" s="28" t="s">
        <v>82</v>
      </c>
      <c r="I9" s="28" t="s">
        <v>109</v>
      </c>
      <c r="J9" s="28" t="s">
        <v>130</v>
      </c>
      <c r="K9" s="28" t="s">
        <v>109</v>
      </c>
      <c r="L9" s="41">
        <v>0.70763888888888893</v>
      </c>
      <c r="M9" s="28" t="s">
        <v>109</v>
      </c>
      <c r="N9" s="28" t="s">
        <v>1232</v>
      </c>
      <c r="O9" s="28" t="s">
        <v>61</v>
      </c>
      <c r="P9" s="28" t="s">
        <v>131</v>
      </c>
      <c r="Q9" s="28" t="s">
        <v>82</v>
      </c>
      <c r="R9" s="28" t="s">
        <v>62</v>
      </c>
      <c r="S9" s="28" t="s">
        <v>123</v>
      </c>
      <c r="T9" s="29" t="s">
        <v>117</v>
      </c>
      <c r="U9" s="28" t="s">
        <v>109</v>
      </c>
      <c r="V9" s="28" t="s">
        <v>109</v>
      </c>
    </row>
    <row r="10" spans="1:22" x14ac:dyDescent="0.3">
      <c r="A10" s="28">
        <v>9</v>
      </c>
      <c r="B10" s="29" t="s">
        <v>23</v>
      </c>
      <c r="C10" s="28" t="s">
        <v>228</v>
      </c>
      <c r="D10" s="29">
        <v>51225097</v>
      </c>
      <c r="E10" s="28">
        <v>360</v>
      </c>
      <c r="F10" s="28">
        <v>606</v>
      </c>
      <c r="G10" s="28">
        <v>178</v>
      </c>
      <c r="H10" s="28" t="s">
        <v>1233</v>
      </c>
      <c r="I10" s="28" t="s">
        <v>109</v>
      </c>
      <c r="J10" s="28" t="s">
        <v>130</v>
      </c>
      <c r="K10" s="28" t="s">
        <v>109</v>
      </c>
      <c r="L10" s="41">
        <v>0.90138888888888891</v>
      </c>
      <c r="M10" s="28" t="s">
        <v>109</v>
      </c>
      <c r="N10" s="28" t="s">
        <v>1232</v>
      </c>
      <c r="O10" s="28" t="s">
        <v>61</v>
      </c>
      <c r="P10" s="28" t="s">
        <v>131</v>
      </c>
      <c r="Q10" s="28" t="s">
        <v>184</v>
      </c>
      <c r="R10" s="28" t="s">
        <v>62</v>
      </c>
      <c r="S10" s="28" t="s">
        <v>123</v>
      </c>
      <c r="T10" s="29" t="s">
        <v>117</v>
      </c>
      <c r="U10" s="28" t="s">
        <v>109</v>
      </c>
      <c r="V10" s="28" t="s">
        <v>109</v>
      </c>
    </row>
    <row r="11" spans="1:22" x14ac:dyDescent="0.3">
      <c r="A11" s="28">
        <v>10</v>
      </c>
      <c r="B11" s="29" t="s">
        <v>23</v>
      </c>
      <c r="C11" s="28" t="s">
        <v>231</v>
      </c>
      <c r="D11" s="29">
        <v>51125019</v>
      </c>
      <c r="E11" s="28">
        <v>200</v>
      </c>
      <c r="F11" s="28">
        <v>330</v>
      </c>
      <c r="G11" s="28">
        <v>109</v>
      </c>
      <c r="H11" s="28" t="s">
        <v>1174</v>
      </c>
      <c r="I11" s="28" t="s">
        <v>109</v>
      </c>
      <c r="J11" s="28" t="s">
        <v>130</v>
      </c>
      <c r="K11" s="41" t="s">
        <v>109</v>
      </c>
      <c r="L11" s="41">
        <v>0.99791666666666667</v>
      </c>
      <c r="M11" s="28" t="s">
        <v>109</v>
      </c>
      <c r="N11" s="28" t="s">
        <v>1232</v>
      </c>
      <c r="O11" s="28" t="s">
        <v>61</v>
      </c>
      <c r="P11" s="28" t="s">
        <v>131</v>
      </c>
      <c r="Q11" s="28" t="s">
        <v>241</v>
      </c>
      <c r="R11" s="28" t="s">
        <v>62</v>
      </c>
      <c r="S11" s="28" t="s">
        <v>123</v>
      </c>
      <c r="T11" s="29" t="s">
        <v>117</v>
      </c>
      <c r="U11" s="28" t="s">
        <v>109</v>
      </c>
      <c r="V11" s="28" t="s">
        <v>109</v>
      </c>
    </row>
    <row r="12" spans="1:22" x14ac:dyDescent="0.3">
      <c r="A12" s="28">
        <v>11</v>
      </c>
      <c r="B12" s="29" t="s">
        <v>23</v>
      </c>
      <c r="C12" s="28" t="s">
        <v>233</v>
      </c>
      <c r="D12" s="29">
        <v>51125020</v>
      </c>
      <c r="E12" s="28">
        <v>100</v>
      </c>
      <c r="F12" s="28">
        <v>153</v>
      </c>
      <c r="G12" s="28">
        <v>100</v>
      </c>
      <c r="H12" s="28" t="s">
        <v>68</v>
      </c>
      <c r="I12" s="28" t="s">
        <v>109</v>
      </c>
      <c r="J12" s="28" t="s">
        <v>130</v>
      </c>
      <c r="K12" s="28" t="s">
        <v>109</v>
      </c>
      <c r="L12" s="41">
        <v>0.78055555555555556</v>
      </c>
      <c r="M12" s="28" t="s">
        <v>109</v>
      </c>
      <c r="N12" s="28" t="s">
        <v>1232</v>
      </c>
      <c r="O12" s="28" t="s">
        <v>61</v>
      </c>
      <c r="P12" s="28" t="s">
        <v>131</v>
      </c>
      <c r="Q12" s="28" t="s">
        <v>68</v>
      </c>
      <c r="R12" s="28" t="s">
        <v>62</v>
      </c>
      <c r="S12" s="28" t="s">
        <v>123</v>
      </c>
      <c r="T12" s="29" t="s">
        <v>117</v>
      </c>
      <c r="U12" s="28" t="s">
        <v>109</v>
      </c>
      <c r="V12" s="28" t="s">
        <v>109</v>
      </c>
    </row>
    <row r="13" spans="1:22" x14ac:dyDescent="0.3">
      <c r="A13" s="28">
        <v>12</v>
      </c>
      <c r="B13" s="29" t="s">
        <v>23</v>
      </c>
      <c r="C13" s="28" t="s">
        <v>234</v>
      </c>
      <c r="D13" s="29">
        <v>51125021</v>
      </c>
      <c r="E13" s="28">
        <v>260</v>
      </c>
      <c r="F13" s="28">
        <v>376</v>
      </c>
      <c r="G13" s="28">
        <v>279</v>
      </c>
      <c r="H13" s="28" t="s">
        <v>1234</v>
      </c>
      <c r="I13" s="28" t="s">
        <v>109</v>
      </c>
      <c r="J13" s="28" t="s">
        <v>130</v>
      </c>
      <c r="K13" s="28" t="s">
        <v>109</v>
      </c>
      <c r="L13" s="41">
        <v>0.73472222222222228</v>
      </c>
      <c r="M13" s="28" t="s">
        <v>109</v>
      </c>
      <c r="N13" s="28" t="s">
        <v>1232</v>
      </c>
      <c r="O13" s="28" t="s">
        <v>61</v>
      </c>
      <c r="P13" s="28" t="s">
        <v>131</v>
      </c>
      <c r="Q13" s="28" t="s">
        <v>274</v>
      </c>
      <c r="R13" s="28" t="s">
        <v>62</v>
      </c>
      <c r="S13" s="28" t="s">
        <v>123</v>
      </c>
      <c r="T13" s="29" t="s">
        <v>117</v>
      </c>
      <c r="U13" s="28" t="s">
        <v>109</v>
      </c>
      <c r="V13" s="28" t="s">
        <v>109</v>
      </c>
    </row>
    <row r="14" spans="1:22" x14ac:dyDescent="0.3">
      <c r="A14" s="28">
        <v>13</v>
      </c>
      <c r="B14" s="29" t="s">
        <v>23</v>
      </c>
      <c r="C14" s="28" t="s">
        <v>235</v>
      </c>
      <c r="D14" s="29">
        <v>51125022</v>
      </c>
      <c r="E14" s="28">
        <v>120</v>
      </c>
      <c r="F14" s="28">
        <v>232</v>
      </c>
      <c r="G14" s="28">
        <v>92</v>
      </c>
      <c r="H14" s="28" t="s">
        <v>1235</v>
      </c>
      <c r="I14" s="28" t="s">
        <v>109</v>
      </c>
      <c r="J14" s="28" t="s">
        <v>130</v>
      </c>
      <c r="K14" s="28" t="s">
        <v>109</v>
      </c>
      <c r="L14" s="41">
        <v>0.8979166666666667</v>
      </c>
      <c r="M14" s="28" t="s">
        <v>109</v>
      </c>
      <c r="N14" s="28" t="s">
        <v>1232</v>
      </c>
      <c r="O14" s="28" t="s">
        <v>61</v>
      </c>
      <c r="P14" s="28" t="s">
        <v>131</v>
      </c>
      <c r="Q14" s="28" t="s">
        <v>86</v>
      </c>
      <c r="R14" s="28" t="s">
        <v>62</v>
      </c>
      <c r="S14" s="28" t="s">
        <v>123</v>
      </c>
      <c r="T14" s="29" t="s">
        <v>117</v>
      </c>
      <c r="U14" s="28" t="s">
        <v>109</v>
      </c>
      <c r="V14" s="28" t="s">
        <v>109</v>
      </c>
    </row>
    <row r="15" spans="1:22" x14ac:dyDescent="0.3">
      <c r="A15" s="28">
        <v>14</v>
      </c>
      <c r="B15" s="29" t="s">
        <v>23</v>
      </c>
      <c r="C15" s="28" t="s">
        <v>236</v>
      </c>
      <c r="D15" s="29">
        <v>51125018</v>
      </c>
      <c r="E15" s="28">
        <v>240</v>
      </c>
      <c r="F15" s="28">
        <v>476</v>
      </c>
      <c r="G15" s="28">
        <v>244</v>
      </c>
      <c r="H15" s="28" t="s">
        <v>1223</v>
      </c>
      <c r="I15" s="28" t="s">
        <v>109</v>
      </c>
      <c r="J15" s="28" t="s">
        <v>130</v>
      </c>
      <c r="K15" s="28" t="s">
        <v>109</v>
      </c>
      <c r="L15" s="41">
        <v>0.84583333333333333</v>
      </c>
      <c r="M15" s="28" t="s">
        <v>109</v>
      </c>
      <c r="N15" s="28" t="s">
        <v>1232</v>
      </c>
      <c r="O15" s="28" t="s">
        <v>61</v>
      </c>
      <c r="P15" s="28" t="s">
        <v>131</v>
      </c>
      <c r="Q15" s="28" t="s">
        <v>69</v>
      </c>
      <c r="R15" s="28" t="s">
        <v>62</v>
      </c>
      <c r="S15" s="28" t="s">
        <v>123</v>
      </c>
      <c r="T15" s="29" t="s">
        <v>117</v>
      </c>
      <c r="U15" s="28" t="s">
        <v>109</v>
      </c>
      <c r="V15" s="28" t="s">
        <v>109</v>
      </c>
    </row>
    <row r="16" spans="1:22" x14ac:dyDescent="0.3">
      <c r="A16" s="28">
        <v>2</v>
      </c>
      <c r="B16" s="29" t="s">
        <v>26</v>
      </c>
      <c r="C16" s="28" t="s">
        <v>766</v>
      </c>
      <c r="D16" s="29">
        <v>40126004</v>
      </c>
      <c r="E16" s="28">
        <v>228</v>
      </c>
      <c r="F16" s="28">
        <v>470</v>
      </c>
      <c r="G16" s="28">
        <v>72</v>
      </c>
      <c r="H16" s="28" t="s">
        <v>74</v>
      </c>
      <c r="I16" s="28" t="s">
        <v>263</v>
      </c>
      <c r="J16" s="28" t="s">
        <v>130</v>
      </c>
      <c r="K16" s="41">
        <v>0.98750000000000004</v>
      </c>
      <c r="L16" s="41">
        <v>1.1805555555555555E-2</v>
      </c>
      <c r="M16" s="28" t="s">
        <v>109</v>
      </c>
      <c r="N16" s="28" t="s">
        <v>109</v>
      </c>
      <c r="O16" s="28" t="s">
        <v>61</v>
      </c>
      <c r="P16" s="28" t="s">
        <v>131</v>
      </c>
      <c r="Q16" s="28" t="s">
        <v>89</v>
      </c>
      <c r="R16" s="28" t="s">
        <v>63</v>
      </c>
      <c r="S16" s="28" t="s">
        <v>123</v>
      </c>
      <c r="T16" s="29" t="s">
        <v>767</v>
      </c>
      <c r="U16" s="28" t="s">
        <v>109</v>
      </c>
      <c r="V16" s="28" t="s">
        <v>109</v>
      </c>
    </row>
    <row r="17" spans="1:22" x14ac:dyDescent="0.3">
      <c r="A17" s="28">
        <v>16</v>
      </c>
      <c r="B17" s="29" t="s">
        <v>23</v>
      </c>
      <c r="C17" s="28" t="s">
        <v>1238</v>
      </c>
      <c r="D17" s="29">
        <v>50126326</v>
      </c>
      <c r="E17" s="28">
        <v>100</v>
      </c>
      <c r="F17" s="28">
        <v>188</v>
      </c>
      <c r="G17" s="28">
        <v>48</v>
      </c>
      <c r="H17" s="28" t="s">
        <v>527</v>
      </c>
      <c r="I17" s="28" t="s">
        <v>109</v>
      </c>
      <c r="J17" s="28" t="s">
        <v>130</v>
      </c>
      <c r="K17" s="28" t="s">
        <v>109</v>
      </c>
      <c r="L17" s="41">
        <v>0.70972222222222225</v>
      </c>
      <c r="M17" s="28" t="s">
        <v>109</v>
      </c>
      <c r="N17" s="28" t="s">
        <v>1239</v>
      </c>
      <c r="O17" s="28" t="s">
        <v>61</v>
      </c>
      <c r="P17" s="28" t="s">
        <v>131</v>
      </c>
      <c r="Q17" s="28" t="s">
        <v>527</v>
      </c>
      <c r="R17" s="28" t="s">
        <v>62</v>
      </c>
      <c r="S17" s="28" t="s">
        <v>123</v>
      </c>
      <c r="T17" s="29" t="s">
        <v>1240</v>
      </c>
      <c r="U17" s="28" t="s">
        <v>109</v>
      </c>
      <c r="V17" s="28" t="s">
        <v>109</v>
      </c>
    </row>
    <row r="18" spans="1:22" x14ac:dyDescent="0.3">
      <c r="A18" s="28">
        <v>17</v>
      </c>
      <c r="B18" s="29" t="s">
        <v>23</v>
      </c>
      <c r="C18" s="28" t="s">
        <v>1241</v>
      </c>
      <c r="D18" s="29">
        <v>50126325</v>
      </c>
      <c r="E18" s="28">
        <v>170</v>
      </c>
      <c r="F18" s="28">
        <v>190</v>
      </c>
      <c r="G18" s="28">
        <v>31</v>
      </c>
      <c r="H18" s="28" t="s">
        <v>1242</v>
      </c>
      <c r="I18" s="28" t="s">
        <v>109</v>
      </c>
      <c r="J18" s="28" t="s">
        <v>130</v>
      </c>
      <c r="K18" s="28" t="s">
        <v>109</v>
      </c>
      <c r="L18" s="41">
        <v>0.89583333333333337</v>
      </c>
      <c r="M18" s="28" t="s">
        <v>109</v>
      </c>
      <c r="N18" s="28" t="s">
        <v>1243</v>
      </c>
      <c r="O18" s="28" t="s">
        <v>61</v>
      </c>
      <c r="P18" s="28" t="s">
        <v>131</v>
      </c>
      <c r="Q18" s="28" t="s">
        <v>66</v>
      </c>
      <c r="R18" s="28" t="s">
        <v>62</v>
      </c>
      <c r="S18" s="28" t="s">
        <v>123</v>
      </c>
      <c r="T18" s="29" t="s">
        <v>1240</v>
      </c>
      <c r="U18" s="28" t="s">
        <v>109</v>
      </c>
      <c r="V18" s="28" t="s">
        <v>109</v>
      </c>
    </row>
    <row r="19" spans="1:22" x14ac:dyDescent="0.3">
      <c r="A19" s="28">
        <v>18</v>
      </c>
      <c r="B19" s="29" t="s">
        <v>23</v>
      </c>
      <c r="C19" s="28" t="s">
        <v>27</v>
      </c>
      <c r="D19" s="29">
        <v>51225107</v>
      </c>
      <c r="E19" s="28">
        <v>200</v>
      </c>
      <c r="F19" s="28">
        <v>353</v>
      </c>
      <c r="G19" s="28">
        <v>153</v>
      </c>
      <c r="H19" s="28" t="s">
        <v>302</v>
      </c>
      <c r="I19" s="28" t="s">
        <v>109</v>
      </c>
      <c r="J19" s="28" t="s">
        <v>130</v>
      </c>
      <c r="K19" s="28" t="s">
        <v>109</v>
      </c>
      <c r="L19" s="41">
        <v>0.99513888888888891</v>
      </c>
      <c r="M19" s="28" t="s">
        <v>109</v>
      </c>
      <c r="N19" s="28" t="s">
        <v>109</v>
      </c>
      <c r="O19" s="28" t="s">
        <v>61</v>
      </c>
      <c r="P19" s="28" t="s">
        <v>131</v>
      </c>
      <c r="Q19" s="28" t="s">
        <v>69</v>
      </c>
      <c r="R19" s="28" t="s">
        <v>62</v>
      </c>
      <c r="S19" s="28" t="s">
        <v>123</v>
      </c>
      <c r="T19" s="29" t="s">
        <v>112</v>
      </c>
      <c r="U19" s="28" t="s">
        <v>109</v>
      </c>
      <c r="V19" s="28" t="s">
        <v>109</v>
      </c>
    </row>
    <row r="20" spans="1:22" x14ac:dyDescent="0.3">
      <c r="A20" s="28">
        <v>19</v>
      </c>
      <c r="B20" s="29" t="s">
        <v>23</v>
      </c>
      <c r="C20" s="28" t="s">
        <v>39</v>
      </c>
      <c r="D20" s="29">
        <v>51225109</v>
      </c>
      <c r="E20" s="28">
        <v>200</v>
      </c>
      <c r="F20" s="28">
        <v>58</v>
      </c>
      <c r="G20" s="28">
        <v>21</v>
      </c>
      <c r="H20" s="28" t="s">
        <v>70</v>
      </c>
      <c r="I20" s="28" t="s">
        <v>109</v>
      </c>
      <c r="J20" s="28" t="s">
        <v>130</v>
      </c>
      <c r="K20" s="28" t="s">
        <v>109</v>
      </c>
      <c r="L20" s="41">
        <v>0.81111111111111112</v>
      </c>
      <c r="M20" s="28" t="s">
        <v>109</v>
      </c>
      <c r="N20" s="28" t="s">
        <v>109</v>
      </c>
      <c r="O20" s="28" t="s">
        <v>61</v>
      </c>
      <c r="P20" s="28" t="s">
        <v>131</v>
      </c>
      <c r="Q20" s="28" t="s">
        <v>70</v>
      </c>
      <c r="R20" s="28" t="s">
        <v>62</v>
      </c>
      <c r="S20" s="28" t="s">
        <v>123</v>
      </c>
      <c r="T20" s="29" t="s">
        <v>112</v>
      </c>
      <c r="U20" s="28" t="s">
        <v>109</v>
      </c>
      <c r="V20" s="28" t="s">
        <v>109</v>
      </c>
    </row>
    <row r="21" spans="1:22" x14ac:dyDescent="0.3">
      <c r="A21" s="28">
        <v>20</v>
      </c>
      <c r="B21" s="29" t="s">
        <v>23</v>
      </c>
      <c r="C21" s="28" t="s">
        <v>749</v>
      </c>
      <c r="D21" s="29">
        <v>51225108</v>
      </c>
      <c r="E21" s="28">
        <v>250</v>
      </c>
      <c r="F21" s="28">
        <v>434</v>
      </c>
      <c r="G21" s="28">
        <v>100</v>
      </c>
      <c r="H21" s="28" t="s">
        <v>1244</v>
      </c>
      <c r="I21" s="28" t="s">
        <v>109</v>
      </c>
      <c r="J21" s="28" t="s">
        <v>130</v>
      </c>
      <c r="K21" s="28" t="s">
        <v>109</v>
      </c>
      <c r="L21" s="41">
        <v>0.87847222222222221</v>
      </c>
      <c r="M21" s="28" t="s">
        <v>109</v>
      </c>
      <c r="N21" s="28" t="s">
        <v>109</v>
      </c>
      <c r="O21" s="28" t="s">
        <v>61</v>
      </c>
      <c r="P21" s="28" t="s">
        <v>131</v>
      </c>
      <c r="Q21" s="28" t="s">
        <v>64</v>
      </c>
      <c r="R21" s="28" t="s">
        <v>62</v>
      </c>
      <c r="S21" s="28" t="s">
        <v>123</v>
      </c>
      <c r="T21" s="29" t="s">
        <v>112</v>
      </c>
      <c r="U21" s="28" t="s">
        <v>109</v>
      </c>
      <c r="V21" s="28" t="s">
        <v>109</v>
      </c>
    </row>
    <row r="22" spans="1:22" x14ac:dyDescent="0.3">
      <c r="A22" s="28">
        <v>21</v>
      </c>
      <c r="B22" s="29" t="s">
        <v>23</v>
      </c>
      <c r="C22" s="28" t="s">
        <v>751</v>
      </c>
      <c r="D22" s="29">
        <v>50126143</v>
      </c>
      <c r="E22" s="28">
        <v>50</v>
      </c>
      <c r="F22" s="28">
        <v>81</v>
      </c>
      <c r="G22" s="28">
        <v>18</v>
      </c>
      <c r="H22" s="28" t="s">
        <v>67</v>
      </c>
      <c r="I22" s="28" t="s">
        <v>89</v>
      </c>
      <c r="J22" s="28" t="s">
        <v>130</v>
      </c>
      <c r="K22" s="41">
        <v>0.76111111111111107</v>
      </c>
      <c r="L22" s="41">
        <v>0.78541666666666665</v>
      </c>
      <c r="M22" s="28" t="s">
        <v>109</v>
      </c>
      <c r="N22" s="28" t="s">
        <v>109</v>
      </c>
      <c r="O22" s="28" t="s">
        <v>61</v>
      </c>
      <c r="P22" s="28" t="s">
        <v>131</v>
      </c>
      <c r="Q22" s="28" t="s">
        <v>89</v>
      </c>
      <c r="R22" s="28" t="s">
        <v>62</v>
      </c>
      <c r="S22" s="28" t="s">
        <v>123</v>
      </c>
      <c r="T22" s="29" t="s">
        <v>480</v>
      </c>
      <c r="U22" s="28" t="s">
        <v>109</v>
      </c>
      <c r="V22" s="28" t="s">
        <v>109</v>
      </c>
    </row>
    <row r="23" spans="1:22" x14ac:dyDescent="0.3">
      <c r="A23" s="28">
        <v>22</v>
      </c>
      <c r="B23" s="29" t="s">
        <v>23</v>
      </c>
      <c r="C23" s="28" t="s">
        <v>752</v>
      </c>
      <c r="D23" s="29">
        <v>50126141</v>
      </c>
      <c r="E23" s="28">
        <v>75</v>
      </c>
      <c r="F23" s="28">
        <v>176</v>
      </c>
      <c r="G23" s="28">
        <v>61</v>
      </c>
      <c r="H23" s="28" t="s">
        <v>83</v>
      </c>
      <c r="I23" s="28" t="s">
        <v>93</v>
      </c>
      <c r="J23" s="28" t="s">
        <v>130</v>
      </c>
      <c r="K23" s="41">
        <v>0.82291666666666663</v>
      </c>
      <c r="L23" s="41">
        <v>0.83472222222222225</v>
      </c>
      <c r="M23" s="28" t="s">
        <v>109</v>
      </c>
      <c r="N23" s="28" t="s">
        <v>109</v>
      </c>
      <c r="O23" s="28" t="s">
        <v>61</v>
      </c>
      <c r="P23" s="28" t="s">
        <v>131</v>
      </c>
      <c r="Q23" s="28" t="s">
        <v>93</v>
      </c>
      <c r="R23" s="28" t="s">
        <v>62</v>
      </c>
      <c r="S23" s="28" t="s">
        <v>123</v>
      </c>
      <c r="T23" s="29" t="s">
        <v>480</v>
      </c>
      <c r="U23" s="28" t="s">
        <v>109</v>
      </c>
      <c r="V23" s="28" t="s">
        <v>109</v>
      </c>
    </row>
    <row r="24" spans="1:22" x14ac:dyDescent="0.3">
      <c r="A24" s="28">
        <v>23</v>
      </c>
      <c r="B24" s="29" t="s">
        <v>23</v>
      </c>
      <c r="C24" s="28" t="s">
        <v>755</v>
      </c>
      <c r="D24" s="29">
        <v>50126149</v>
      </c>
      <c r="E24" s="28">
        <v>25</v>
      </c>
      <c r="F24" s="28">
        <v>37</v>
      </c>
      <c r="G24" s="28">
        <v>9</v>
      </c>
      <c r="H24" s="28" t="s">
        <v>184</v>
      </c>
      <c r="I24" s="28" t="s">
        <v>90</v>
      </c>
      <c r="J24" s="28" t="s">
        <v>130</v>
      </c>
      <c r="K24" s="41">
        <v>0.92500000000000004</v>
      </c>
      <c r="L24" s="41">
        <v>0.9375</v>
      </c>
      <c r="M24" s="28" t="s">
        <v>109</v>
      </c>
      <c r="N24" s="28" t="s">
        <v>109</v>
      </c>
      <c r="O24" s="28" t="s">
        <v>61</v>
      </c>
      <c r="P24" s="28" t="s">
        <v>131</v>
      </c>
      <c r="Q24" s="28" t="s">
        <v>90</v>
      </c>
      <c r="R24" s="28" t="s">
        <v>62</v>
      </c>
      <c r="S24" s="28" t="s">
        <v>123</v>
      </c>
      <c r="T24" s="29" t="s">
        <v>480</v>
      </c>
      <c r="U24" s="28" t="s">
        <v>109</v>
      </c>
      <c r="V24" s="28" t="s">
        <v>109</v>
      </c>
    </row>
    <row r="25" spans="1:22" x14ac:dyDescent="0.3">
      <c r="A25" s="28">
        <v>24</v>
      </c>
      <c r="B25" s="29" t="s">
        <v>23</v>
      </c>
      <c r="C25" s="28" t="s">
        <v>758</v>
      </c>
      <c r="D25" s="29">
        <v>50126142</v>
      </c>
      <c r="E25" s="28">
        <v>100</v>
      </c>
      <c r="F25" s="28">
        <v>148</v>
      </c>
      <c r="G25" s="28">
        <v>92</v>
      </c>
      <c r="H25" s="28" t="s">
        <v>82</v>
      </c>
      <c r="I25" s="28" t="s">
        <v>86</v>
      </c>
      <c r="J25" s="28" t="s">
        <v>130</v>
      </c>
      <c r="K25" s="41">
        <v>0.83888888888888891</v>
      </c>
      <c r="L25" s="41">
        <v>0.95416666666666672</v>
      </c>
      <c r="M25" s="28" t="s">
        <v>109</v>
      </c>
      <c r="N25" s="28" t="s">
        <v>109</v>
      </c>
      <c r="O25" s="28" t="s">
        <v>61</v>
      </c>
      <c r="P25" s="28" t="s">
        <v>131</v>
      </c>
      <c r="Q25" s="28" t="s">
        <v>86</v>
      </c>
      <c r="R25" s="28" t="s">
        <v>62</v>
      </c>
      <c r="S25" s="28" t="s">
        <v>123</v>
      </c>
      <c r="T25" s="29" t="s">
        <v>480</v>
      </c>
      <c r="U25" s="28" t="s">
        <v>109</v>
      </c>
      <c r="V25" s="28" t="s">
        <v>109</v>
      </c>
    </row>
    <row r="26" spans="1:22" x14ac:dyDescent="0.3">
      <c r="A26" s="28">
        <v>25</v>
      </c>
      <c r="B26" s="29" t="s">
        <v>23</v>
      </c>
      <c r="C26" s="28" t="s">
        <v>759</v>
      </c>
      <c r="D26" s="29">
        <v>50126147</v>
      </c>
      <c r="E26" s="28">
        <v>200</v>
      </c>
      <c r="F26" s="28">
        <v>141</v>
      </c>
      <c r="G26" s="28">
        <v>34</v>
      </c>
      <c r="H26" s="28" t="s">
        <v>1242</v>
      </c>
      <c r="I26" s="28" t="s">
        <v>1245</v>
      </c>
      <c r="J26" s="28" t="s">
        <v>130</v>
      </c>
      <c r="K26" s="41">
        <v>0.95972222222222225</v>
      </c>
      <c r="L26" s="41">
        <v>0.96597222222222223</v>
      </c>
      <c r="M26" s="28" t="s">
        <v>109</v>
      </c>
      <c r="N26" s="28" t="s">
        <v>109</v>
      </c>
      <c r="O26" s="28" t="s">
        <v>61</v>
      </c>
      <c r="P26" s="28" t="s">
        <v>131</v>
      </c>
      <c r="Q26" s="28" t="s">
        <v>154</v>
      </c>
      <c r="R26" s="28" t="s">
        <v>62</v>
      </c>
      <c r="S26" s="28" t="s">
        <v>123</v>
      </c>
      <c r="T26" s="29" t="s">
        <v>480</v>
      </c>
      <c r="U26" s="28" t="s">
        <v>109</v>
      </c>
      <c r="V26" s="28" t="s">
        <v>109</v>
      </c>
    </row>
    <row r="27" spans="1:22" x14ac:dyDescent="0.3">
      <c r="A27" s="28">
        <v>26</v>
      </c>
      <c r="B27" s="29" t="s">
        <v>23</v>
      </c>
      <c r="C27" s="28" t="s">
        <v>1054</v>
      </c>
      <c r="D27" s="29">
        <v>50126315</v>
      </c>
      <c r="E27" s="28">
        <v>200</v>
      </c>
      <c r="F27" s="28">
        <v>411</v>
      </c>
      <c r="G27" s="28">
        <v>210</v>
      </c>
      <c r="H27" s="28" t="s">
        <v>1220</v>
      </c>
      <c r="I27" s="28" t="s">
        <v>1246</v>
      </c>
      <c r="J27" s="28" t="s">
        <v>130</v>
      </c>
      <c r="K27" s="41">
        <v>0.98541666666666672</v>
      </c>
      <c r="L27" s="41">
        <v>1.5972222222222221E-2</v>
      </c>
      <c r="M27" s="28" t="s">
        <v>109</v>
      </c>
      <c r="N27" s="28" t="s">
        <v>109</v>
      </c>
      <c r="O27" s="28" t="s">
        <v>61</v>
      </c>
      <c r="P27" s="28" t="s">
        <v>131</v>
      </c>
      <c r="Q27" s="28" t="s">
        <v>87</v>
      </c>
      <c r="R27" s="28" t="s">
        <v>62</v>
      </c>
      <c r="S27" s="28" t="s">
        <v>123</v>
      </c>
      <c r="T27" s="29" t="s">
        <v>480</v>
      </c>
      <c r="U27" s="28" t="s">
        <v>109</v>
      </c>
      <c r="V27" s="28" t="s">
        <v>109</v>
      </c>
    </row>
    <row r="28" spans="1:22" x14ac:dyDescent="0.3">
      <c r="A28" s="28">
        <v>27</v>
      </c>
      <c r="B28" s="29" t="s">
        <v>23</v>
      </c>
      <c r="C28" s="28" t="s">
        <v>1056</v>
      </c>
      <c r="D28" s="29">
        <v>50126316</v>
      </c>
      <c r="E28" s="28">
        <v>200</v>
      </c>
      <c r="F28" s="28">
        <v>312</v>
      </c>
      <c r="G28" s="28">
        <v>93</v>
      </c>
      <c r="H28" s="28" t="s">
        <v>1247</v>
      </c>
      <c r="I28" s="28" t="s">
        <v>1248</v>
      </c>
      <c r="J28" s="28" t="s">
        <v>130</v>
      </c>
      <c r="K28" s="41">
        <v>0.96250000000000002</v>
      </c>
      <c r="L28" s="41">
        <v>2.9166666666666667E-2</v>
      </c>
      <c r="M28" s="28" t="s">
        <v>109</v>
      </c>
      <c r="N28" s="28" t="s">
        <v>109</v>
      </c>
      <c r="O28" s="28" t="s">
        <v>61</v>
      </c>
      <c r="P28" s="28" t="s">
        <v>131</v>
      </c>
      <c r="Q28" s="28" t="s">
        <v>91</v>
      </c>
      <c r="R28" s="28" t="s">
        <v>62</v>
      </c>
      <c r="S28" s="28" t="s">
        <v>123</v>
      </c>
      <c r="T28" s="29" t="s">
        <v>480</v>
      </c>
      <c r="U28" s="28" t="s">
        <v>109</v>
      </c>
      <c r="V28" s="28" t="s">
        <v>109</v>
      </c>
    </row>
    <row r="29" spans="1:22" x14ac:dyDescent="0.3">
      <c r="A29" s="28">
        <v>28</v>
      </c>
      <c r="B29" s="29" t="s">
        <v>23</v>
      </c>
      <c r="C29" s="28" t="s">
        <v>686</v>
      </c>
      <c r="D29" s="29">
        <v>50126137</v>
      </c>
      <c r="E29" s="28">
        <v>100</v>
      </c>
      <c r="F29" s="28" t="s">
        <v>109</v>
      </c>
      <c r="G29" s="28" t="s">
        <v>109</v>
      </c>
      <c r="H29" s="28" t="s">
        <v>84</v>
      </c>
      <c r="I29" s="28" t="s">
        <v>109</v>
      </c>
      <c r="J29" s="28" t="s">
        <v>109</v>
      </c>
      <c r="K29" s="28" t="s">
        <v>109</v>
      </c>
      <c r="L29" s="28" t="s">
        <v>109</v>
      </c>
      <c r="M29" s="28" t="s">
        <v>109</v>
      </c>
      <c r="N29" s="28" t="s">
        <v>109</v>
      </c>
      <c r="O29" s="28" t="s">
        <v>61</v>
      </c>
      <c r="P29" s="28" t="s">
        <v>109</v>
      </c>
      <c r="Q29" s="28" t="s">
        <v>109</v>
      </c>
      <c r="R29" s="28" t="s">
        <v>62</v>
      </c>
      <c r="S29" s="28" t="s">
        <v>123</v>
      </c>
      <c r="T29" s="29" t="s">
        <v>688</v>
      </c>
      <c r="U29" s="28" t="s">
        <v>109</v>
      </c>
      <c r="V29" s="28" t="s">
        <v>109</v>
      </c>
    </row>
    <row r="30" spans="1:22" x14ac:dyDescent="0.3">
      <c r="A30" s="28">
        <v>29</v>
      </c>
      <c r="B30" s="29" t="s">
        <v>23</v>
      </c>
      <c r="C30" s="28" t="s">
        <v>461</v>
      </c>
      <c r="D30" s="29">
        <v>51225062</v>
      </c>
      <c r="E30" s="28">
        <v>75</v>
      </c>
      <c r="F30" s="28">
        <v>144</v>
      </c>
      <c r="G30" s="28">
        <v>87</v>
      </c>
      <c r="H30" s="28" t="s">
        <v>274</v>
      </c>
      <c r="I30" s="28" t="s">
        <v>109</v>
      </c>
      <c r="J30" s="28" t="s">
        <v>130</v>
      </c>
      <c r="K30" s="28" t="s">
        <v>109</v>
      </c>
      <c r="L30" s="41">
        <v>1.9444444444444445E-2</v>
      </c>
      <c r="M30" s="28" t="s">
        <v>109</v>
      </c>
      <c r="N30" s="28" t="s">
        <v>109</v>
      </c>
      <c r="O30" s="28" t="s">
        <v>61</v>
      </c>
      <c r="P30" s="28" t="s">
        <v>131</v>
      </c>
      <c r="Q30" s="28" t="s">
        <v>274</v>
      </c>
      <c r="R30" s="28" t="s">
        <v>62</v>
      </c>
      <c r="S30" s="28" t="s">
        <v>123</v>
      </c>
      <c r="T30" s="29" t="s">
        <v>197</v>
      </c>
      <c r="U30" s="28" t="s">
        <v>109</v>
      </c>
      <c r="V30" s="28" t="s">
        <v>109</v>
      </c>
    </row>
    <row r="31" spans="1:22" x14ac:dyDescent="0.3">
      <c r="A31" s="28">
        <v>30</v>
      </c>
      <c r="B31" s="29" t="s">
        <v>23</v>
      </c>
      <c r="C31" s="28" t="s">
        <v>588</v>
      </c>
      <c r="D31" s="29">
        <v>50126064</v>
      </c>
      <c r="E31" s="28">
        <v>100</v>
      </c>
      <c r="F31" s="28">
        <v>80</v>
      </c>
      <c r="G31" s="28">
        <v>10</v>
      </c>
      <c r="H31" s="28" t="s">
        <v>69</v>
      </c>
      <c r="I31" s="28" t="s">
        <v>109</v>
      </c>
      <c r="J31" s="28" t="s">
        <v>130</v>
      </c>
      <c r="K31" s="28" t="s">
        <v>109</v>
      </c>
      <c r="L31" s="41">
        <v>2.6388888888888889E-2</v>
      </c>
      <c r="M31" s="28" t="s">
        <v>109</v>
      </c>
      <c r="N31" s="28" t="s">
        <v>109</v>
      </c>
      <c r="O31" s="28" t="s">
        <v>61</v>
      </c>
      <c r="P31" s="28" t="s">
        <v>131</v>
      </c>
      <c r="Q31" s="28" t="s">
        <v>69</v>
      </c>
      <c r="R31" s="28" t="s">
        <v>62</v>
      </c>
      <c r="S31" s="28" t="s">
        <v>123</v>
      </c>
      <c r="T31" s="29" t="s">
        <v>610</v>
      </c>
      <c r="U31" s="28" t="s">
        <v>109</v>
      </c>
      <c r="V31" s="28" t="s">
        <v>109</v>
      </c>
    </row>
    <row r="32" spans="1:22" x14ac:dyDescent="0.3">
      <c r="A32" s="28">
        <v>31</v>
      </c>
      <c r="B32" s="29" t="s">
        <v>23</v>
      </c>
      <c r="C32" s="28" t="s">
        <v>589</v>
      </c>
      <c r="D32" s="29">
        <v>50126062</v>
      </c>
      <c r="E32" s="28">
        <v>75</v>
      </c>
      <c r="F32" s="28">
        <v>142</v>
      </c>
      <c r="G32" s="28">
        <v>86</v>
      </c>
      <c r="H32" s="28" t="s">
        <v>196</v>
      </c>
      <c r="I32" s="28" t="s">
        <v>109</v>
      </c>
      <c r="J32" s="28" t="s">
        <v>130</v>
      </c>
      <c r="K32" s="28" t="s">
        <v>109</v>
      </c>
      <c r="L32" s="41">
        <v>0.78749999999999998</v>
      </c>
      <c r="M32" s="28" t="s">
        <v>109</v>
      </c>
      <c r="N32" s="28" t="s">
        <v>109</v>
      </c>
      <c r="O32" s="28" t="s">
        <v>61</v>
      </c>
      <c r="P32" s="28" t="s">
        <v>131</v>
      </c>
      <c r="Q32" s="28" t="s">
        <v>196</v>
      </c>
      <c r="R32" s="28" t="s">
        <v>62</v>
      </c>
      <c r="S32" s="28" t="s">
        <v>123</v>
      </c>
      <c r="T32" s="29" t="s">
        <v>610</v>
      </c>
      <c r="U32" s="28" t="s">
        <v>109</v>
      </c>
      <c r="V32" s="28" t="s">
        <v>109</v>
      </c>
    </row>
    <row r="33" spans="1:22" x14ac:dyDescent="0.3">
      <c r="A33" s="28">
        <v>32</v>
      </c>
      <c r="B33" s="29" t="s">
        <v>23</v>
      </c>
      <c r="C33" s="28" t="s">
        <v>591</v>
      </c>
      <c r="D33" s="29">
        <v>50126066</v>
      </c>
      <c r="E33" s="28">
        <v>150</v>
      </c>
      <c r="F33" s="28">
        <v>147</v>
      </c>
      <c r="G33" s="28">
        <v>40</v>
      </c>
      <c r="H33" s="28" t="s">
        <v>1057</v>
      </c>
      <c r="I33" s="28" t="s">
        <v>109</v>
      </c>
      <c r="J33" s="28" t="s">
        <v>130</v>
      </c>
      <c r="K33" s="28" t="s">
        <v>109</v>
      </c>
      <c r="L33" s="41">
        <v>0.87638888888888888</v>
      </c>
      <c r="M33" s="28" t="s">
        <v>109</v>
      </c>
      <c r="N33" s="28" t="s">
        <v>109</v>
      </c>
      <c r="O33" s="28" t="s">
        <v>61</v>
      </c>
      <c r="P33" s="28" t="s">
        <v>131</v>
      </c>
      <c r="Q33" s="28" t="s">
        <v>200</v>
      </c>
      <c r="R33" s="28" t="s">
        <v>62</v>
      </c>
      <c r="S33" s="28" t="s">
        <v>123</v>
      </c>
      <c r="T33" s="29" t="s">
        <v>610</v>
      </c>
      <c r="U33" s="28" t="s">
        <v>109</v>
      </c>
      <c r="V33" s="28" t="s">
        <v>109</v>
      </c>
    </row>
    <row r="34" spans="1:22" x14ac:dyDescent="0.3">
      <c r="A34" s="28">
        <v>33</v>
      </c>
      <c r="B34" s="29" t="s">
        <v>23</v>
      </c>
      <c r="C34" s="28" t="s">
        <v>595</v>
      </c>
      <c r="D34" s="29">
        <v>50126068</v>
      </c>
      <c r="E34" s="28">
        <v>50</v>
      </c>
      <c r="F34" s="28">
        <v>84</v>
      </c>
      <c r="G34" s="28">
        <v>51</v>
      </c>
      <c r="H34" s="28" t="s">
        <v>82</v>
      </c>
      <c r="I34" s="28" t="s">
        <v>109</v>
      </c>
      <c r="J34" s="28" t="s">
        <v>130</v>
      </c>
      <c r="K34" s="28" t="s">
        <v>109</v>
      </c>
      <c r="L34" s="41">
        <v>0.9868055555555556</v>
      </c>
      <c r="M34" s="28" t="s">
        <v>109</v>
      </c>
      <c r="N34" s="28" t="s">
        <v>109</v>
      </c>
      <c r="O34" s="28" t="s">
        <v>61</v>
      </c>
      <c r="P34" s="28" t="s">
        <v>131</v>
      </c>
      <c r="Q34" s="28" t="s">
        <v>82</v>
      </c>
      <c r="R34" s="28" t="s">
        <v>62</v>
      </c>
      <c r="S34" s="28" t="s">
        <v>123</v>
      </c>
      <c r="T34" s="29" t="s">
        <v>610</v>
      </c>
      <c r="U34" s="28" t="s">
        <v>109</v>
      </c>
      <c r="V34" s="28" t="s">
        <v>109</v>
      </c>
    </row>
    <row r="35" spans="1:22" x14ac:dyDescent="0.3">
      <c r="A35" s="28">
        <v>34</v>
      </c>
      <c r="B35" s="29" t="s">
        <v>23</v>
      </c>
      <c r="C35" s="28" t="s">
        <v>597</v>
      </c>
      <c r="D35" s="29">
        <v>50126072</v>
      </c>
      <c r="E35" s="28">
        <v>25</v>
      </c>
      <c r="F35" s="28">
        <v>17</v>
      </c>
      <c r="G35" s="28">
        <v>9</v>
      </c>
      <c r="H35" s="28" t="s">
        <v>200</v>
      </c>
      <c r="I35" s="28" t="s">
        <v>109</v>
      </c>
      <c r="J35" s="28" t="s">
        <v>130</v>
      </c>
      <c r="K35" s="28" t="s">
        <v>109</v>
      </c>
      <c r="L35" s="41">
        <v>0.69444444444444442</v>
      </c>
      <c r="M35" s="28" t="s">
        <v>109</v>
      </c>
      <c r="N35" s="28" t="s">
        <v>109</v>
      </c>
      <c r="O35" s="28" t="s">
        <v>61</v>
      </c>
      <c r="P35" s="28" t="s">
        <v>131</v>
      </c>
      <c r="Q35" s="28" t="s">
        <v>200</v>
      </c>
      <c r="R35" s="28" t="s">
        <v>62</v>
      </c>
      <c r="S35" s="28" t="s">
        <v>123</v>
      </c>
      <c r="T35" s="29" t="s">
        <v>610</v>
      </c>
      <c r="U35" s="28" t="s">
        <v>109</v>
      </c>
      <c r="V35" s="28" t="s">
        <v>109</v>
      </c>
    </row>
    <row r="36" spans="1:22" x14ac:dyDescent="0.3">
      <c r="A36" s="28">
        <v>35</v>
      </c>
      <c r="B36" s="29" t="s">
        <v>23</v>
      </c>
      <c r="C36" s="28" t="s">
        <v>614</v>
      </c>
      <c r="D36" s="29">
        <v>50126069</v>
      </c>
      <c r="E36" s="28">
        <v>125</v>
      </c>
      <c r="F36" s="28">
        <v>194</v>
      </c>
      <c r="G36" s="28">
        <v>47</v>
      </c>
      <c r="H36" s="28" t="s">
        <v>1249</v>
      </c>
      <c r="I36" s="28" t="s">
        <v>109</v>
      </c>
      <c r="J36" s="28" t="s">
        <v>130</v>
      </c>
      <c r="K36" s="28" t="s">
        <v>109</v>
      </c>
      <c r="L36" s="41">
        <v>0.95763888888888893</v>
      </c>
      <c r="M36" s="28" t="s">
        <v>109</v>
      </c>
      <c r="N36" s="28" t="s">
        <v>109</v>
      </c>
      <c r="O36" s="28" t="s">
        <v>61</v>
      </c>
      <c r="P36" s="28" t="s">
        <v>131</v>
      </c>
      <c r="Q36" s="28" t="s">
        <v>64</v>
      </c>
      <c r="R36" s="28" t="s">
        <v>62</v>
      </c>
      <c r="S36" s="28" t="s">
        <v>123</v>
      </c>
      <c r="T36" s="29" t="s">
        <v>610</v>
      </c>
      <c r="U36" s="28" t="s">
        <v>109</v>
      </c>
      <c r="V36" s="28" t="s">
        <v>109</v>
      </c>
    </row>
    <row r="37" spans="1:22" x14ac:dyDescent="0.3">
      <c r="A37" s="28">
        <v>36</v>
      </c>
      <c r="B37" s="29" t="s">
        <v>23</v>
      </c>
      <c r="C37" s="28" t="s">
        <v>216</v>
      </c>
      <c r="D37" s="29">
        <v>51225066</v>
      </c>
      <c r="E37" s="28">
        <v>50</v>
      </c>
      <c r="F37" s="28">
        <v>100</v>
      </c>
      <c r="G37" s="28">
        <v>20</v>
      </c>
      <c r="H37" s="28" t="s">
        <v>241</v>
      </c>
      <c r="I37" s="28" t="s">
        <v>109</v>
      </c>
      <c r="J37" s="28" t="s">
        <v>130</v>
      </c>
      <c r="K37" s="28" t="s">
        <v>109</v>
      </c>
      <c r="L37" s="41">
        <v>0.73333333333333328</v>
      </c>
      <c r="M37" s="28" t="s">
        <v>109</v>
      </c>
      <c r="N37" s="28" t="s">
        <v>109</v>
      </c>
      <c r="O37" s="28" t="s">
        <v>61</v>
      </c>
      <c r="P37" s="28" t="s">
        <v>131</v>
      </c>
      <c r="Q37" s="28" t="s">
        <v>241</v>
      </c>
      <c r="R37" s="28" t="s">
        <v>62</v>
      </c>
      <c r="S37" s="28" t="s">
        <v>123</v>
      </c>
      <c r="T37" s="29" t="s">
        <v>218</v>
      </c>
      <c r="U37" s="28" t="s">
        <v>109</v>
      </c>
      <c r="V37" s="28" t="s">
        <v>109</v>
      </c>
    </row>
    <row r="38" spans="1:22" x14ac:dyDescent="0.3">
      <c r="A38" s="28">
        <v>37</v>
      </c>
      <c r="B38" s="29" t="s">
        <v>23</v>
      </c>
      <c r="C38" s="28" t="s">
        <v>219</v>
      </c>
      <c r="D38" s="29">
        <v>51225067</v>
      </c>
      <c r="E38" s="28">
        <v>150</v>
      </c>
      <c r="F38" s="28">
        <v>246</v>
      </c>
      <c r="G38" s="28">
        <v>77</v>
      </c>
      <c r="H38" s="28" t="s">
        <v>73</v>
      </c>
      <c r="I38" s="28" t="s">
        <v>109</v>
      </c>
      <c r="J38" s="28" t="s">
        <v>130</v>
      </c>
      <c r="K38" s="28" t="s">
        <v>109</v>
      </c>
      <c r="L38" s="41">
        <v>0.9868055555555556</v>
      </c>
      <c r="M38" s="28" t="s">
        <v>109</v>
      </c>
      <c r="N38" s="28" t="s">
        <v>109</v>
      </c>
      <c r="O38" s="28" t="s">
        <v>61</v>
      </c>
      <c r="P38" s="28" t="s">
        <v>131</v>
      </c>
      <c r="Q38" s="28" t="s">
        <v>68</v>
      </c>
      <c r="R38" s="28" t="s">
        <v>62</v>
      </c>
      <c r="S38" s="28" t="s">
        <v>123</v>
      </c>
      <c r="T38" s="29" t="s">
        <v>218</v>
      </c>
      <c r="U38" s="28" t="s">
        <v>109</v>
      </c>
      <c r="V38" s="28" t="s">
        <v>109</v>
      </c>
    </row>
    <row r="39" spans="1:22" x14ac:dyDescent="0.3">
      <c r="A39" s="28">
        <v>38</v>
      </c>
      <c r="B39" s="29" t="s">
        <v>23</v>
      </c>
      <c r="C39" s="28" t="s">
        <v>220</v>
      </c>
      <c r="D39" s="29">
        <v>51225068</v>
      </c>
      <c r="E39" s="28">
        <v>50</v>
      </c>
      <c r="F39" s="28">
        <v>133</v>
      </c>
      <c r="G39" s="28">
        <v>38</v>
      </c>
      <c r="H39" s="28" t="s">
        <v>527</v>
      </c>
      <c r="I39" s="28" t="s">
        <v>109</v>
      </c>
      <c r="J39" s="28" t="s">
        <v>130</v>
      </c>
      <c r="K39" s="28" t="s">
        <v>109</v>
      </c>
      <c r="L39" s="41">
        <v>0.83611111111111114</v>
      </c>
      <c r="M39" s="28" t="s">
        <v>109</v>
      </c>
      <c r="N39" s="28" t="s">
        <v>109</v>
      </c>
      <c r="O39" s="28" t="s">
        <v>61</v>
      </c>
      <c r="P39" s="28" t="s">
        <v>131</v>
      </c>
      <c r="Q39" s="28" t="s">
        <v>527</v>
      </c>
      <c r="R39" s="28" t="s">
        <v>62</v>
      </c>
      <c r="S39" s="28" t="s">
        <v>123</v>
      </c>
      <c r="T39" s="29" t="s">
        <v>218</v>
      </c>
      <c r="U39" s="28" t="s">
        <v>109</v>
      </c>
      <c r="V39" s="28" t="s">
        <v>109</v>
      </c>
    </row>
    <row r="40" spans="1:22" x14ac:dyDescent="0.3">
      <c r="A40" s="50">
        <v>39</v>
      </c>
      <c r="B40" s="35" t="s">
        <v>23</v>
      </c>
      <c r="C40" s="50" t="s">
        <v>869</v>
      </c>
      <c r="D40" s="35">
        <v>50126215</v>
      </c>
      <c r="E40" s="50">
        <v>100</v>
      </c>
      <c r="F40" s="50" t="s">
        <v>109</v>
      </c>
      <c r="G40" s="50" t="s">
        <v>109</v>
      </c>
      <c r="H40" s="50" t="s">
        <v>274</v>
      </c>
      <c r="I40" s="50" t="s">
        <v>109</v>
      </c>
      <c r="J40" s="50" t="s">
        <v>85</v>
      </c>
      <c r="K40" s="50" t="s">
        <v>109</v>
      </c>
      <c r="L40" s="50" t="s">
        <v>109</v>
      </c>
      <c r="M40" s="50" t="s">
        <v>109</v>
      </c>
      <c r="N40" s="50" t="s">
        <v>109</v>
      </c>
      <c r="O40" s="50" t="s">
        <v>61</v>
      </c>
      <c r="P40" s="50" t="s">
        <v>109</v>
      </c>
      <c r="Q40" s="50" t="s">
        <v>109</v>
      </c>
      <c r="R40" s="50" t="s">
        <v>62</v>
      </c>
      <c r="S40" s="50" t="s">
        <v>123</v>
      </c>
      <c r="T40" s="35" t="s">
        <v>870</v>
      </c>
      <c r="U40" s="50" t="s">
        <v>109</v>
      </c>
      <c r="V40" s="50" t="s">
        <v>109</v>
      </c>
    </row>
    <row r="41" spans="1:22" x14ac:dyDescent="0.3">
      <c r="A41" s="28">
        <v>15</v>
      </c>
      <c r="B41" s="29" t="s">
        <v>23</v>
      </c>
      <c r="C41" s="28" t="s">
        <v>1183</v>
      </c>
      <c r="D41" s="29">
        <v>50126324</v>
      </c>
      <c r="E41" s="28">
        <v>360</v>
      </c>
      <c r="F41" s="28">
        <v>444</v>
      </c>
      <c r="G41" s="28">
        <v>199</v>
      </c>
      <c r="H41" s="28" t="s">
        <v>1236</v>
      </c>
      <c r="I41" s="28" t="s">
        <v>109</v>
      </c>
      <c r="J41" s="28" t="s">
        <v>130</v>
      </c>
      <c r="K41" s="28" t="s">
        <v>109</v>
      </c>
      <c r="L41" s="41">
        <v>0.94027777777777777</v>
      </c>
      <c r="M41" s="28" t="s">
        <v>109</v>
      </c>
      <c r="N41" s="28" t="s">
        <v>1237</v>
      </c>
      <c r="O41" s="28" t="s">
        <v>61</v>
      </c>
      <c r="P41" s="28" t="s">
        <v>131</v>
      </c>
      <c r="Q41" s="28" t="s">
        <v>82</v>
      </c>
      <c r="R41" s="28" t="s">
        <v>62</v>
      </c>
      <c r="S41" s="28" t="s">
        <v>123</v>
      </c>
      <c r="T41" s="29" t="s">
        <v>1185</v>
      </c>
      <c r="U41" s="28" t="s">
        <v>109</v>
      </c>
      <c r="V41" s="28" t="s">
        <v>109</v>
      </c>
    </row>
    <row r="42" spans="1:22" x14ac:dyDescent="0.3">
      <c r="A42" s="28">
        <v>41</v>
      </c>
      <c r="B42" s="29" t="s">
        <v>23</v>
      </c>
      <c r="C42" s="28" t="s">
        <v>1064</v>
      </c>
      <c r="D42" s="29">
        <v>50126306</v>
      </c>
      <c r="E42" s="28">
        <v>50</v>
      </c>
      <c r="F42" s="28">
        <v>68</v>
      </c>
      <c r="G42" s="28">
        <v>52</v>
      </c>
      <c r="H42" s="28" t="s">
        <v>83</v>
      </c>
      <c r="I42" s="28" t="s">
        <v>109</v>
      </c>
      <c r="J42" s="28" t="s">
        <v>130</v>
      </c>
      <c r="K42" s="28" t="s">
        <v>109</v>
      </c>
      <c r="L42" s="41">
        <v>0.82291666666666663</v>
      </c>
      <c r="M42" s="28" t="s">
        <v>109</v>
      </c>
      <c r="N42" s="28" t="s">
        <v>109</v>
      </c>
      <c r="O42" s="28" t="s">
        <v>61</v>
      </c>
      <c r="P42" s="28" t="s">
        <v>131</v>
      </c>
      <c r="Q42" s="28" t="s">
        <v>83</v>
      </c>
      <c r="R42" s="28" t="s">
        <v>62</v>
      </c>
      <c r="S42" s="28" t="s">
        <v>123</v>
      </c>
      <c r="T42" s="29" t="s">
        <v>1063</v>
      </c>
      <c r="U42" s="28" t="s">
        <v>109</v>
      </c>
      <c r="V42" s="28" t="s">
        <v>109</v>
      </c>
    </row>
    <row r="43" spans="1:22" x14ac:dyDescent="0.3">
      <c r="A43" s="28">
        <v>42</v>
      </c>
      <c r="B43" s="29" t="s">
        <v>23</v>
      </c>
      <c r="C43" s="28" t="s">
        <v>1065</v>
      </c>
      <c r="D43" s="29">
        <v>50126305</v>
      </c>
      <c r="E43" s="28">
        <v>50</v>
      </c>
      <c r="F43" s="28">
        <v>64</v>
      </c>
      <c r="G43" s="28">
        <v>53</v>
      </c>
      <c r="H43" s="28" t="s">
        <v>200</v>
      </c>
      <c r="I43" s="28" t="s">
        <v>109</v>
      </c>
      <c r="J43" s="28" t="s">
        <v>130</v>
      </c>
      <c r="K43" s="28" t="s">
        <v>109</v>
      </c>
      <c r="L43" s="41">
        <v>0.68194444444444446</v>
      </c>
      <c r="M43" s="28" t="s">
        <v>109</v>
      </c>
      <c r="N43" s="28" t="s">
        <v>109</v>
      </c>
      <c r="O43" s="28" t="s">
        <v>61</v>
      </c>
      <c r="P43" s="28" t="s">
        <v>131</v>
      </c>
      <c r="Q43" s="28" t="s">
        <v>200</v>
      </c>
      <c r="R43" s="28" t="s">
        <v>62</v>
      </c>
      <c r="S43" s="28" t="s">
        <v>123</v>
      </c>
      <c r="T43" s="29" t="s">
        <v>1063</v>
      </c>
      <c r="U43" s="28" t="s">
        <v>109</v>
      </c>
      <c r="V43" s="28" t="s">
        <v>109</v>
      </c>
    </row>
    <row r="44" spans="1:22" x14ac:dyDescent="0.3">
      <c r="A44" s="28">
        <v>43</v>
      </c>
      <c r="B44" s="29" t="s">
        <v>23</v>
      </c>
      <c r="C44" s="28" t="s">
        <v>484</v>
      </c>
      <c r="D44" s="29">
        <v>50126012</v>
      </c>
      <c r="E44" s="28">
        <v>25</v>
      </c>
      <c r="F44" s="28">
        <v>67</v>
      </c>
      <c r="G44" s="28">
        <v>3</v>
      </c>
      <c r="H44" s="28" t="s">
        <v>64</v>
      </c>
      <c r="I44" s="28" t="s">
        <v>86</v>
      </c>
      <c r="J44" s="28" t="s">
        <v>130</v>
      </c>
      <c r="K44" s="41">
        <v>0.65763888888888888</v>
      </c>
      <c r="L44" s="41">
        <v>0.90833333333333333</v>
      </c>
      <c r="M44" s="28" t="s">
        <v>109</v>
      </c>
      <c r="N44" s="28" t="s">
        <v>109</v>
      </c>
      <c r="O44" s="28" t="s">
        <v>61</v>
      </c>
      <c r="P44" s="28" t="s">
        <v>131</v>
      </c>
      <c r="Q44" s="28" t="s">
        <v>86</v>
      </c>
      <c r="R44" s="28" t="s">
        <v>62</v>
      </c>
      <c r="S44" s="28" t="s">
        <v>123</v>
      </c>
      <c r="T44" s="29" t="s">
        <v>480</v>
      </c>
      <c r="U44" s="28" t="s">
        <v>109</v>
      </c>
      <c r="V44" s="28" t="s">
        <v>109</v>
      </c>
    </row>
    <row r="45" spans="1:22" x14ac:dyDescent="0.3">
      <c r="A45" s="28">
        <v>44</v>
      </c>
      <c r="B45" s="29" t="s">
        <v>23</v>
      </c>
      <c r="C45" s="28" t="s">
        <v>407</v>
      </c>
      <c r="D45" s="29">
        <v>51125119</v>
      </c>
      <c r="E45" s="28">
        <v>10</v>
      </c>
      <c r="F45" s="28">
        <v>27</v>
      </c>
      <c r="G45" s="28">
        <v>12</v>
      </c>
      <c r="H45" s="28" t="s">
        <v>68</v>
      </c>
      <c r="I45" s="28" t="s">
        <v>109</v>
      </c>
      <c r="J45" s="28" t="s">
        <v>130</v>
      </c>
      <c r="K45" s="28" t="s">
        <v>109</v>
      </c>
      <c r="L45" s="41">
        <v>0</v>
      </c>
      <c r="M45" s="28" t="s">
        <v>109</v>
      </c>
      <c r="N45" s="28" t="s">
        <v>109</v>
      </c>
      <c r="O45" s="28" t="s">
        <v>61</v>
      </c>
      <c r="P45" s="28" t="s">
        <v>131</v>
      </c>
      <c r="Q45" s="28" t="s">
        <v>68</v>
      </c>
      <c r="R45" s="28" t="s">
        <v>62</v>
      </c>
      <c r="S45" s="28" t="s">
        <v>123</v>
      </c>
      <c r="T45" s="29" t="s">
        <v>270</v>
      </c>
      <c r="U45" s="28" t="s">
        <v>109</v>
      </c>
      <c r="V45" s="28" t="s">
        <v>109</v>
      </c>
    </row>
    <row r="46" spans="1:22" x14ac:dyDescent="0.3">
      <c r="A46" s="28">
        <v>45</v>
      </c>
      <c r="B46" s="29" t="s">
        <v>23</v>
      </c>
      <c r="C46" s="28" t="s">
        <v>1066</v>
      </c>
      <c r="D46" s="29">
        <v>50126302</v>
      </c>
      <c r="E46" s="28">
        <v>60</v>
      </c>
      <c r="F46" s="28">
        <v>67</v>
      </c>
      <c r="G46" s="28">
        <v>12</v>
      </c>
      <c r="H46" s="28" t="s">
        <v>84</v>
      </c>
      <c r="I46" s="28" t="s">
        <v>109</v>
      </c>
      <c r="J46" s="28" t="s">
        <v>130</v>
      </c>
      <c r="K46" s="28" t="s">
        <v>109</v>
      </c>
      <c r="L46" s="41">
        <v>0.76388888888888884</v>
      </c>
      <c r="M46" s="28" t="s">
        <v>109</v>
      </c>
      <c r="N46" s="28" t="s">
        <v>109</v>
      </c>
      <c r="O46" s="28" t="s">
        <v>61</v>
      </c>
      <c r="P46" s="28" t="s">
        <v>131</v>
      </c>
      <c r="Q46" s="28" t="s">
        <v>84</v>
      </c>
      <c r="R46" s="28" t="s">
        <v>62</v>
      </c>
      <c r="S46" s="28" t="s">
        <v>123</v>
      </c>
      <c r="T46" s="29" t="s">
        <v>1067</v>
      </c>
      <c r="U46" s="28" t="s">
        <v>109</v>
      </c>
      <c r="V46" s="28" t="s">
        <v>109</v>
      </c>
    </row>
    <row r="47" spans="1:22" x14ac:dyDescent="0.3">
      <c r="A47" s="28">
        <v>40</v>
      </c>
      <c r="B47" s="29" t="s">
        <v>23</v>
      </c>
      <c r="C47" s="28" t="s">
        <v>1062</v>
      </c>
      <c r="D47" s="29">
        <v>50126304</v>
      </c>
      <c r="E47" s="28">
        <v>50</v>
      </c>
      <c r="F47" s="28">
        <v>86</v>
      </c>
      <c r="G47" s="28">
        <v>52</v>
      </c>
      <c r="H47" s="28" t="s">
        <v>72</v>
      </c>
      <c r="I47" s="28" t="s">
        <v>109</v>
      </c>
      <c r="J47" s="28" t="s">
        <v>130</v>
      </c>
      <c r="K47" s="28" t="s">
        <v>109</v>
      </c>
      <c r="L47" s="41">
        <v>0.76041666666666663</v>
      </c>
      <c r="M47" s="28" t="s">
        <v>109</v>
      </c>
      <c r="N47" s="28" t="s">
        <v>109</v>
      </c>
      <c r="O47" s="28" t="s">
        <v>61</v>
      </c>
      <c r="P47" s="28" t="s">
        <v>131</v>
      </c>
      <c r="Q47" s="28" t="s">
        <v>72</v>
      </c>
      <c r="R47" s="28" t="s">
        <v>62</v>
      </c>
      <c r="S47" s="28" t="s">
        <v>123</v>
      </c>
      <c r="T47" s="29" t="s">
        <v>1063</v>
      </c>
      <c r="U47" s="28" t="s">
        <v>109</v>
      </c>
      <c r="V47" s="28" t="s">
        <v>109</v>
      </c>
    </row>
    <row r="48" spans="1:22" x14ac:dyDescent="0.3">
      <c r="A48" s="28">
        <v>47</v>
      </c>
      <c r="B48" s="29" t="s">
        <v>143</v>
      </c>
      <c r="C48" s="28" t="s">
        <v>955</v>
      </c>
      <c r="D48" s="29">
        <v>10126015</v>
      </c>
      <c r="E48" s="28">
        <v>65</v>
      </c>
      <c r="F48" s="28">
        <v>116</v>
      </c>
      <c r="G48" s="28">
        <v>73</v>
      </c>
      <c r="H48" s="28" t="s">
        <v>64</v>
      </c>
      <c r="I48" s="28" t="s">
        <v>86</v>
      </c>
      <c r="J48" s="28" t="s">
        <v>130</v>
      </c>
      <c r="K48" s="41">
        <v>0.72291666666666665</v>
      </c>
      <c r="L48" s="41">
        <v>0.92500000000000004</v>
      </c>
      <c r="M48" s="28" t="s">
        <v>109</v>
      </c>
      <c r="N48" s="28" t="s">
        <v>109</v>
      </c>
      <c r="O48" s="28" t="s">
        <v>61</v>
      </c>
      <c r="P48" s="28" t="s">
        <v>131</v>
      </c>
      <c r="Q48" s="28" t="s">
        <v>86</v>
      </c>
      <c r="R48" s="28" t="s">
        <v>62</v>
      </c>
      <c r="S48" s="28" t="s">
        <v>123</v>
      </c>
      <c r="T48" s="29" t="s">
        <v>956</v>
      </c>
      <c r="U48" s="28" t="s">
        <v>109</v>
      </c>
      <c r="V48" s="28" t="s">
        <v>109</v>
      </c>
    </row>
    <row r="49" spans="1:22" x14ac:dyDescent="0.3">
      <c r="A49" s="28">
        <v>46</v>
      </c>
      <c r="B49" s="29" t="s">
        <v>143</v>
      </c>
      <c r="C49" s="28" t="s">
        <v>347</v>
      </c>
      <c r="D49" s="29">
        <v>11225025</v>
      </c>
      <c r="E49" s="28">
        <v>100</v>
      </c>
      <c r="F49" s="28">
        <v>124</v>
      </c>
      <c r="G49" s="28">
        <v>101</v>
      </c>
      <c r="H49" s="28" t="s">
        <v>72</v>
      </c>
      <c r="I49" s="28" t="s">
        <v>95</v>
      </c>
      <c r="J49" s="28" t="s">
        <v>130</v>
      </c>
      <c r="K49" s="41">
        <v>0.69305555555555554</v>
      </c>
      <c r="L49" s="41">
        <v>0.71875</v>
      </c>
      <c r="M49" s="28" t="s">
        <v>109</v>
      </c>
      <c r="N49" s="28" t="s">
        <v>109</v>
      </c>
      <c r="O49" s="28" t="s">
        <v>61</v>
      </c>
      <c r="P49" s="28" t="s">
        <v>131</v>
      </c>
      <c r="Q49" s="28" t="s">
        <v>95</v>
      </c>
      <c r="R49" s="28" t="s">
        <v>62</v>
      </c>
      <c r="S49" s="28" t="s">
        <v>123</v>
      </c>
      <c r="T49" s="29" t="s">
        <v>116</v>
      </c>
      <c r="U49" s="28" t="s">
        <v>109</v>
      </c>
      <c r="V49" s="28" t="s">
        <v>109</v>
      </c>
    </row>
    <row r="50" spans="1:22" x14ac:dyDescent="0.3">
      <c r="A50" s="28">
        <v>49</v>
      </c>
      <c r="B50" s="29" t="s">
        <v>143</v>
      </c>
      <c r="C50" s="28" t="s">
        <v>1252</v>
      </c>
      <c r="D50" s="29">
        <v>10126021</v>
      </c>
      <c r="E50" s="28">
        <v>20</v>
      </c>
      <c r="F50" s="28">
        <v>23</v>
      </c>
      <c r="G50" s="28">
        <v>11</v>
      </c>
      <c r="H50" s="28" t="s">
        <v>68</v>
      </c>
      <c r="I50" s="28" t="s">
        <v>744</v>
      </c>
      <c r="J50" s="28" t="s">
        <v>130</v>
      </c>
      <c r="K50" s="41">
        <v>0.85277777777777775</v>
      </c>
      <c r="L50" s="41">
        <v>0.9194444444444444</v>
      </c>
      <c r="M50" s="28" t="s">
        <v>109</v>
      </c>
      <c r="N50" s="28" t="s">
        <v>109</v>
      </c>
      <c r="O50" s="28" t="s">
        <v>61</v>
      </c>
      <c r="P50" s="28" t="s">
        <v>131</v>
      </c>
      <c r="Q50" s="28" t="s">
        <v>744</v>
      </c>
      <c r="R50" s="28" t="s">
        <v>62</v>
      </c>
      <c r="S50" s="28" t="s">
        <v>123</v>
      </c>
      <c r="T50" s="29" t="s">
        <v>1251</v>
      </c>
      <c r="U50" s="28" t="s">
        <v>109</v>
      </c>
      <c r="V50" s="28" t="s">
        <v>109</v>
      </c>
    </row>
    <row r="51" spans="1:22" x14ac:dyDescent="0.3">
      <c r="A51" s="28">
        <v>50</v>
      </c>
      <c r="B51" s="29" t="s">
        <v>143</v>
      </c>
      <c r="C51" s="28" t="s">
        <v>1253</v>
      </c>
      <c r="D51" s="29">
        <v>10126025</v>
      </c>
      <c r="E51" s="28">
        <v>105</v>
      </c>
      <c r="F51" s="28">
        <v>282</v>
      </c>
      <c r="G51" s="28">
        <v>37</v>
      </c>
      <c r="H51" s="28" t="s">
        <v>204</v>
      </c>
      <c r="I51" s="28" t="s">
        <v>192</v>
      </c>
      <c r="J51" s="28" t="s">
        <v>130</v>
      </c>
      <c r="K51" s="41">
        <v>0.8125</v>
      </c>
      <c r="L51" s="41">
        <v>3.6111111111111108E-2</v>
      </c>
      <c r="M51" s="28" t="s">
        <v>109</v>
      </c>
      <c r="N51" s="28" t="s">
        <v>109</v>
      </c>
      <c r="O51" s="28" t="s">
        <v>61</v>
      </c>
      <c r="P51" s="28" t="s">
        <v>131</v>
      </c>
      <c r="Q51" s="28" t="s">
        <v>605</v>
      </c>
      <c r="R51" s="28" t="s">
        <v>62</v>
      </c>
      <c r="S51" s="28" t="s">
        <v>123</v>
      </c>
      <c r="T51" s="29" t="s">
        <v>398</v>
      </c>
      <c r="U51" s="28" t="s">
        <v>109</v>
      </c>
      <c r="V51" s="28" t="s">
        <v>109</v>
      </c>
    </row>
    <row r="52" spans="1:22" x14ac:dyDescent="0.3">
      <c r="A52" s="28">
        <v>51</v>
      </c>
      <c r="B52" s="29" t="s">
        <v>143</v>
      </c>
      <c r="C52" s="28" t="s">
        <v>1254</v>
      </c>
      <c r="D52" s="29">
        <v>10126023</v>
      </c>
      <c r="E52" s="28">
        <v>150</v>
      </c>
      <c r="F52" s="28">
        <v>285</v>
      </c>
      <c r="G52" s="28">
        <v>103</v>
      </c>
      <c r="H52" s="28" t="s">
        <v>1174</v>
      </c>
      <c r="I52" s="28" t="s">
        <v>157</v>
      </c>
      <c r="J52" s="28" t="s">
        <v>130</v>
      </c>
      <c r="K52" s="41">
        <v>0.92569444444444449</v>
      </c>
      <c r="L52" s="41">
        <v>0.99722222222222223</v>
      </c>
      <c r="M52" s="28" t="s">
        <v>109</v>
      </c>
      <c r="N52" s="28" t="s">
        <v>109</v>
      </c>
      <c r="O52" s="28" t="s">
        <v>61</v>
      </c>
      <c r="P52" s="28" t="s">
        <v>131</v>
      </c>
      <c r="Q52" s="28" t="s">
        <v>93</v>
      </c>
      <c r="R52" s="28" t="s">
        <v>62</v>
      </c>
      <c r="S52" s="28" t="s">
        <v>123</v>
      </c>
      <c r="T52" s="29" t="s">
        <v>398</v>
      </c>
      <c r="U52" s="28" t="s">
        <v>109</v>
      </c>
      <c r="V52" s="28" t="s">
        <v>109</v>
      </c>
    </row>
    <row r="53" spans="1:22" x14ac:dyDescent="0.3">
      <c r="A53" s="28">
        <v>52</v>
      </c>
      <c r="B53" s="29" t="s">
        <v>143</v>
      </c>
      <c r="C53" s="28" t="s">
        <v>1255</v>
      </c>
      <c r="D53" s="29">
        <v>10126024</v>
      </c>
      <c r="E53" s="28">
        <v>201</v>
      </c>
      <c r="F53" s="28">
        <v>158</v>
      </c>
      <c r="G53" s="28">
        <v>70</v>
      </c>
      <c r="H53" s="28" t="s">
        <v>296</v>
      </c>
      <c r="I53" s="28" t="s">
        <v>1256</v>
      </c>
      <c r="J53" s="28" t="s">
        <v>130</v>
      </c>
      <c r="K53" s="41">
        <v>0.90069444444444446</v>
      </c>
      <c r="L53" s="41">
        <v>0.94097222222222221</v>
      </c>
      <c r="M53" s="28" t="s">
        <v>109</v>
      </c>
      <c r="N53" s="28" t="s">
        <v>109</v>
      </c>
      <c r="O53" s="28" t="s">
        <v>61</v>
      </c>
      <c r="P53" s="28" t="s">
        <v>131</v>
      </c>
      <c r="Q53" s="28" t="s">
        <v>91</v>
      </c>
      <c r="R53" s="28" t="s">
        <v>62</v>
      </c>
      <c r="S53" s="28" t="s">
        <v>123</v>
      </c>
      <c r="T53" s="29" t="s">
        <v>1257</v>
      </c>
      <c r="U53" s="28" t="s">
        <v>109</v>
      </c>
      <c r="V53" s="28" t="s">
        <v>109</v>
      </c>
    </row>
    <row r="54" spans="1:22" x14ac:dyDescent="0.3">
      <c r="A54" s="28">
        <v>53</v>
      </c>
      <c r="B54" s="29" t="s">
        <v>23</v>
      </c>
      <c r="C54" s="28" t="s">
        <v>937</v>
      </c>
      <c r="D54" s="29">
        <v>50126267</v>
      </c>
      <c r="E54" s="28">
        <v>900</v>
      </c>
      <c r="F54" s="28">
        <v>1186</v>
      </c>
      <c r="G54" s="28">
        <v>938</v>
      </c>
      <c r="H54" s="28" t="s">
        <v>1258</v>
      </c>
      <c r="I54" s="28" t="s">
        <v>109</v>
      </c>
      <c r="J54" s="28" t="s">
        <v>130</v>
      </c>
      <c r="K54" s="28" t="s">
        <v>109</v>
      </c>
      <c r="L54" s="41">
        <v>0.71527777777777779</v>
      </c>
      <c r="M54" s="28" t="s">
        <v>109</v>
      </c>
      <c r="N54" s="28" t="s">
        <v>110</v>
      </c>
      <c r="O54" s="28" t="s">
        <v>61</v>
      </c>
      <c r="P54" s="28" t="s">
        <v>131</v>
      </c>
      <c r="Q54" s="28" t="s">
        <v>89</v>
      </c>
      <c r="R54" s="28" t="s">
        <v>62</v>
      </c>
      <c r="S54" s="28" t="s">
        <v>123</v>
      </c>
      <c r="T54" s="29" t="s">
        <v>424</v>
      </c>
      <c r="U54" s="28" t="s">
        <v>109</v>
      </c>
      <c r="V54" s="28" t="s">
        <v>109</v>
      </c>
    </row>
    <row r="55" spans="1:22" x14ac:dyDescent="0.3">
      <c r="A55" s="28">
        <v>54</v>
      </c>
      <c r="B55" s="29" t="s">
        <v>23</v>
      </c>
      <c r="C55" s="28" t="s">
        <v>428</v>
      </c>
      <c r="D55" s="29">
        <v>50126024</v>
      </c>
      <c r="E55" s="28">
        <v>300</v>
      </c>
      <c r="F55" s="28">
        <v>546</v>
      </c>
      <c r="G55" s="28">
        <v>264</v>
      </c>
      <c r="H55" s="28" t="s">
        <v>1259</v>
      </c>
      <c r="I55" s="28" t="s">
        <v>109</v>
      </c>
      <c r="J55" s="28" t="s">
        <v>130</v>
      </c>
      <c r="K55" s="28" t="s">
        <v>109</v>
      </c>
      <c r="L55" s="41">
        <v>0.8208333333333333</v>
      </c>
      <c r="M55" s="28" t="s">
        <v>109</v>
      </c>
      <c r="N55" s="28" t="s">
        <v>110</v>
      </c>
      <c r="O55" s="28" t="s">
        <v>61</v>
      </c>
      <c r="P55" s="28" t="s">
        <v>131</v>
      </c>
      <c r="Q55" s="28" t="s">
        <v>209</v>
      </c>
      <c r="R55" s="28" t="s">
        <v>62</v>
      </c>
      <c r="S55" s="28" t="s">
        <v>123</v>
      </c>
      <c r="T55" s="29" t="s">
        <v>424</v>
      </c>
      <c r="U55" s="28" t="s">
        <v>109</v>
      </c>
      <c r="V55" s="28" t="s">
        <v>109</v>
      </c>
    </row>
    <row r="56" spans="1:22" x14ac:dyDescent="0.3">
      <c r="A56" s="28">
        <v>55</v>
      </c>
      <c r="B56" s="29" t="s">
        <v>23</v>
      </c>
      <c r="C56" s="28" t="s">
        <v>940</v>
      </c>
      <c r="D56" s="29">
        <v>50126249</v>
      </c>
      <c r="E56" s="28">
        <v>700</v>
      </c>
      <c r="F56" s="28">
        <v>1005</v>
      </c>
      <c r="G56" s="28">
        <v>660</v>
      </c>
      <c r="H56" s="28" t="s">
        <v>1260</v>
      </c>
      <c r="I56" s="28" t="s">
        <v>109</v>
      </c>
      <c r="J56" s="28" t="s">
        <v>130</v>
      </c>
      <c r="K56" s="28" t="s">
        <v>109</v>
      </c>
      <c r="L56" s="41">
        <v>0.89513888888888893</v>
      </c>
      <c r="M56" s="28" t="s">
        <v>109</v>
      </c>
      <c r="N56" s="28" t="s">
        <v>110</v>
      </c>
      <c r="O56" s="28" t="s">
        <v>61</v>
      </c>
      <c r="P56" s="28" t="s">
        <v>131</v>
      </c>
      <c r="Q56" s="28" t="s">
        <v>209</v>
      </c>
      <c r="R56" s="28" t="s">
        <v>62</v>
      </c>
      <c r="S56" s="28" t="s">
        <v>123</v>
      </c>
      <c r="T56" s="29" t="s">
        <v>424</v>
      </c>
      <c r="U56" s="28" t="s">
        <v>109</v>
      </c>
      <c r="V56" s="28" t="s">
        <v>109</v>
      </c>
    </row>
    <row r="57" spans="1:22" x14ac:dyDescent="0.3">
      <c r="A57" s="28">
        <v>56</v>
      </c>
      <c r="B57" s="29" t="s">
        <v>23</v>
      </c>
      <c r="C57" s="28" t="s">
        <v>953</v>
      </c>
      <c r="D57" s="29">
        <v>50126241</v>
      </c>
      <c r="E57" s="28">
        <v>400</v>
      </c>
      <c r="F57" s="28">
        <v>571</v>
      </c>
      <c r="G57" s="28">
        <v>398</v>
      </c>
      <c r="H57" s="28" t="s">
        <v>1261</v>
      </c>
      <c r="I57" s="28" t="s">
        <v>109</v>
      </c>
      <c r="J57" s="28" t="s">
        <v>130</v>
      </c>
      <c r="K57" s="28" t="s">
        <v>109</v>
      </c>
      <c r="L57" s="41">
        <v>0.78749999999999998</v>
      </c>
      <c r="M57" s="28" t="s">
        <v>109</v>
      </c>
      <c r="N57" s="28" t="s">
        <v>110</v>
      </c>
      <c r="O57" s="28" t="s">
        <v>61</v>
      </c>
      <c r="P57" s="28" t="s">
        <v>131</v>
      </c>
      <c r="Q57" s="28" t="s">
        <v>86</v>
      </c>
      <c r="R57" s="28" t="s">
        <v>62</v>
      </c>
      <c r="S57" s="28" t="s">
        <v>123</v>
      </c>
      <c r="T57" s="29" t="s">
        <v>424</v>
      </c>
      <c r="U57" s="28" t="s">
        <v>109</v>
      </c>
      <c r="V57" s="28" t="s">
        <v>109</v>
      </c>
    </row>
    <row r="58" spans="1:22" x14ac:dyDescent="0.3">
      <c r="A58" s="28">
        <v>48</v>
      </c>
      <c r="B58" s="29" t="s">
        <v>143</v>
      </c>
      <c r="C58" s="28" t="s">
        <v>1250</v>
      </c>
      <c r="D58" s="29">
        <v>10126022</v>
      </c>
      <c r="E58" s="28">
        <v>10</v>
      </c>
      <c r="F58" s="28">
        <v>10</v>
      </c>
      <c r="G58" s="28">
        <v>3</v>
      </c>
      <c r="H58" s="28" t="s">
        <v>72</v>
      </c>
      <c r="I58" s="28" t="s">
        <v>787</v>
      </c>
      <c r="J58" s="28" t="s">
        <v>130</v>
      </c>
      <c r="K58" s="41">
        <v>0.7729166666666667</v>
      </c>
      <c r="L58" s="41">
        <v>0.8354166666666667</v>
      </c>
      <c r="M58" s="28" t="s">
        <v>109</v>
      </c>
      <c r="N58" s="28" t="s">
        <v>109</v>
      </c>
      <c r="O58" s="28" t="s">
        <v>61</v>
      </c>
      <c r="P58" s="28" t="s">
        <v>131</v>
      </c>
      <c r="Q58" s="28" t="s">
        <v>787</v>
      </c>
      <c r="R58" s="28" t="s">
        <v>62</v>
      </c>
      <c r="S58" s="28" t="s">
        <v>123</v>
      </c>
      <c r="T58" s="29" t="s">
        <v>1251</v>
      </c>
      <c r="U58" s="28" t="s">
        <v>109</v>
      </c>
      <c r="V58" s="28" t="s">
        <v>109</v>
      </c>
    </row>
    <row r="59" spans="1:22" x14ac:dyDescent="0.3">
      <c r="A59" s="28">
        <v>58</v>
      </c>
      <c r="B59" s="29" t="s">
        <v>23</v>
      </c>
      <c r="C59" s="28" t="s">
        <v>835</v>
      </c>
      <c r="D59" s="29">
        <v>50126103</v>
      </c>
      <c r="E59" s="28">
        <v>100</v>
      </c>
      <c r="F59" s="28">
        <v>142</v>
      </c>
      <c r="G59" s="28">
        <v>36</v>
      </c>
      <c r="H59" s="28" t="s">
        <v>66</v>
      </c>
      <c r="I59" s="28" t="s">
        <v>109</v>
      </c>
      <c r="J59" s="28" t="s">
        <v>130</v>
      </c>
      <c r="K59" s="28" t="s">
        <v>109</v>
      </c>
      <c r="L59" s="41">
        <v>0.87152777777777779</v>
      </c>
      <c r="M59" s="28" t="s">
        <v>109</v>
      </c>
      <c r="N59" s="28" t="s">
        <v>109</v>
      </c>
      <c r="O59" s="28" t="s">
        <v>61</v>
      </c>
      <c r="P59" s="28" t="s">
        <v>131</v>
      </c>
      <c r="Q59" s="28" t="s">
        <v>66</v>
      </c>
      <c r="R59" s="28" t="s">
        <v>62</v>
      </c>
      <c r="S59" s="28" t="s">
        <v>123</v>
      </c>
      <c r="T59" s="29" t="s">
        <v>424</v>
      </c>
      <c r="U59" s="28" t="s">
        <v>109</v>
      </c>
      <c r="V59" s="28" t="s">
        <v>109</v>
      </c>
    </row>
    <row r="60" spans="1:22" x14ac:dyDescent="0.3">
      <c r="A60" s="28">
        <v>59</v>
      </c>
      <c r="B60" s="29" t="s">
        <v>23</v>
      </c>
      <c r="C60" s="28" t="s">
        <v>839</v>
      </c>
      <c r="D60" s="29">
        <v>50126106</v>
      </c>
      <c r="E60" s="28">
        <v>65</v>
      </c>
      <c r="F60" s="28">
        <v>127</v>
      </c>
      <c r="G60" s="28">
        <v>42</v>
      </c>
      <c r="H60" s="28" t="s">
        <v>241</v>
      </c>
      <c r="I60" s="28" t="s">
        <v>109</v>
      </c>
      <c r="J60" s="28" t="s">
        <v>130</v>
      </c>
      <c r="K60" s="28" t="s">
        <v>109</v>
      </c>
      <c r="L60" s="41">
        <v>1.9444444444444445E-2</v>
      </c>
      <c r="M60" s="28" t="s">
        <v>109</v>
      </c>
      <c r="N60" s="28" t="s">
        <v>109</v>
      </c>
      <c r="O60" s="28" t="s">
        <v>61</v>
      </c>
      <c r="P60" s="28" t="s">
        <v>131</v>
      </c>
      <c r="Q60" s="28" t="s">
        <v>241</v>
      </c>
      <c r="R60" s="28" t="s">
        <v>62</v>
      </c>
      <c r="S60" s="28" t="s">
        <v>123</v>
      </c>
      <c r="T60" s="29" t="s">
        <v>424</v>
      </c>
      <c r="U60" s="28" t="s">
        <v>109</v>
      </c>
      <c r="V60" s="28" t="s">
        <v>109</v>
      </c>
    </row>
    <row r="61" spans="1:22" x14ac:dyDescent="0.3">
      <c r="A61" s="28">
        <v>60</v>
      </c>
      <c r="B61" s="29" t="s">
        <v>23</v>
      </c>
      <c r="C61" s="28" t="s">
        <v>923</v>
      </c>
      <c r="D61" s="29">
        <v>50126259</v>
      </c>
      <c r="E61" s="28">
        <v>85</v>
      </c>
      <c r="F61" s="28">
        <v>99</v>
      </c>
      <c r="G61" s="28">
        <v>91</v>
      </c>
      <c r="H61" s="28" t="s">
        <v>214</v>
      </c>
      <c r="I61" s="28" t="s">
        <v>109</v>
      </c>
      <c r="J61" s="28" t="s">
        <v>130</v>
      </c>
      <c r="K61" s="28" t="s">
        <v>109</v>
      </c>
      <c r="L61" s="41">
        <v>1.0416666666666666E-2</v>
      </c>
      <c r="M61" s="28" t="s">
        <v>109</v>
      </c>
      <c r="N61" s="28" t="s">
        <v>109</v>
      </c>
      <c r="O61" s="28" t="s">
        <v>61</v>
      </c>
      <c r="P61" s="28" t="s">
        <v>131</v>
      </c>
      <c r="Q61" s="28" t="s">
        <v>214</v>
      </c>
      <c r="R61" s="28" t="s">
        <v>62</v>
      </c>
      <c r="S61" s="28" t="s">
        <v>123</v>
      </c>
      <c r="T61" s="29" t="s">
        <v>424</v>
      </c>
      <c r="U61" s="28" t="s">
        <v>109</v>
      </c>
      <c r="V61" s="28" t="s">
        <v>109</v>
      </c>
    </row>
    <row r="62" spans="1:22" x14ac:dyDescent="0.3">
      <c r="A62" s="28">
        <v>61</v>
      </c>
      <c r="B62" s="29" t="s">
        <v>23</v>
      </c>
      <c r="C62" s="28" t="s">
        <v>1125</v>
      </c>
      <c r="D62" s="29">
        <v>50126320</v>
      </c>
      <c r="E62" s="28">
        <v>85</v>
      </c>
      <c r="F62" s="28">
        <v>96</v>
      </c>
      <c r="G62" s="28">
        <v>87</v>
      </c>
      <c r="H62" s="28" t="s">
        <v>527</v>
      </c>
      <c r="I62" s="28" t="s">
        <v>109</v>
      </c>
      <c r="J62" s="28" t="s">
        <v>130</v>
      </c>
      <c r="K62" s="28" t="s">
        <v>109</v>
      </c>
      <c r="L62" s="41">
        <v>0.78888888888888886</v>
      </c>
      <c r="M62" s="28" t="s">
        <v>109</v>
      </c>
      <c r="N62" s="28" t="s">
        <v>109</v>
      </c>
      <c r="O62" s="28" t="s">
        <v>61</v>
      </c>
      <c r="P62" s="28" t="s">
        <v>131</v>
      </c>
      <c r="Q62" s="28" t="s">
        <v>527</v>
      </c>
      <c r="R62" s="28" t="s">
        <v>62</v>
      </c>
      <c r="S62" s="28" t="s">
        <v>123</v>
      </c>
      <c r="T62" s="29" t="s">
        <v>424</v>
      </c>
      <c r="U62" s="28" t="s">
        <v>109</v>
      </c>
      <c r="V62" s="28" t="s">
        <v>109</v>
      </c>
    </row>
    <row r="63" spans="1:22" x14ac:dyDescent="0.3">
      <c r="A63" s="28">
        <v>62</v>
      </c>
      <c r="B63" s="29" t="s">
        <v>23</v>
      </c>
      <c r="C63" s="28" t="s">
        <v>926</v>
      </c>
      <c r="D63" s="29">
        <v>50126265</v>
      </c>
      <c r="E63" s="28">
        <v>65</v>
      </c>
      <c r="F63" s="28">
        <v>130</v>
      </c>
      <c r="G63" s="28">
        <v>73</v>
      </c>
      <c r="H63" s="28" t="s">
        <v>67</v>
      </c>
      <c r="I63" s="28" t="s">
        <v>109</v>
      </c>
      <c r="J63" s="28" t="s">
        <v>130</v>
      </c>
      <c r="K63" s="28" t="s">
        <v>109</v>
      </c>
      <c r="L63" s="41">
        <v>0.79583333333333328</v>
      </c>
      <c r="M63" s="28" t="s">
        <v>109</v>
      </c>
      <c r="N63" s="28" t="s">
        <v>109</v>
      </c>
      <c r="O63" s="28" t="s">
        <v>61</v>
      </c>
      <c r="P63" s="28" t="s">
        <v>131</v>
      </c>
      <c r="Q63" s="28" t="s">
        <v>67</v>
      </c>
      <c r="R63" s="28" t="s">
        <v>62</v>
      </c>
      <c r="S63" s="28" t="s">
        <v>123</v>
      </c>
      <c r="T63" s="29" t="s">
        <v>424</v>
      </c>
      <c r="U63" s="28" t="s">
        <v>109</v>
      </c>
      <c r="V63" s="28" t="s">
        <v>109</v>
      </c>
    </row>
    <row r="64" spans="1:22" x14ac:dyDescent="0.3">
      <c r="A64" s="28">
        <v>63</v>
      </c>
      <c r="B64" s="29" t="s">
        <v>23</v>
      </c>
      <c r="C64" s="28" t="s">
        <v>935</v>
      </c>
      <c r="D64" s="29">
        <v>50126266</v>
      </c>
      <c r="E64" s="28">
        <v>120</v>
      </c>
      <c r="F64" s="28">
        <v>163</v>
      </c>
      <c r="G64" s="28">
        <v>125</v>
      </c>
      <c r="H64" s="28" t="s">
        <v>97</v>
      </c>
      <c r="I64" s="28" t="s">
        <v>109</v>
      </c>
      <c r="J64" s="28" t="s">
        <v>130</v>
      </c>
      <c r="K64" s="28" t="s">
        <v>109</v>
      </c>
      <c r="L64" s="41">
        <v>0.73958333333333337</v>
      </c>
      <c r="M64" s="28" t="s">
        <v>109</v>
      </c>
      <c r="N64" s="28" t="s">
        <v>109</v>
      </c>
      <c r="O64" s="28" t="s">
        <v>61</v>
      </c>
      <c r="P64" s="28" t="s">
        <v>131</v>
      </c>
      <c r="Q64" s="28" t="s">
        <v>89</v>
      </c>
      <c r="R64" s="28" t="s">
        <v>62</v>
      </c>
      <c r="S64" s="28" t="s">
        <v>123</v>
      </c>
      <c r="T64" s="29" t="s">
        <v>424</v>
      </c>
      <c r="U64" s="28" t="s">
        <v>109</v>
      </c>
      <c r="V64" s="28" t="s">
        <v>109</v>
      </c>
    </row>
    <row r="65" spans="1:22" x14ac:dyDescent="0.3">
      <c r="A65" s="28">
        <v>64</v>
      </c>
      <c r="B65" s="29" t="s">
        <v>23</v>
      </c>
      <c r="C65" s="28" t="s">
        <v>722</v>
      </c>
      <c r="D65" s="29">
        <v>50126077</v>
      </c>
      <c r="E65" s="28">
        <v>85</v>
      </c>
      <c r="F65" s="28" t="s">
        <v>109</v>
      </c>
      <c r="G65" s="28" t="s">
        <v>109</v>
      </c>
      <c r="H65" s="28" t="s">
        <v>274</v>
      </c>
      <c r="I65" s="28" t="s">
        <v>109</v>
      </c>
      <c r="J65" s="28" t="s">
        <v>109</v>
      </c>
      <c r="K65" s="28" t="s">
        <v>109</v>
      </c>
      <c r="L65" s="28" t="s">
        <v>109</v>
      </c>
      <c r="M65" s="28" t="s">
        <v>109</v>
      </c>
      <c r="N65" s="28" t="s">
        <v>109</v>
      </c>
      <c r="O65" s="28" t="s">
        <v>61</v>
      </c>
      <c r="P65" s="28" t="s">
        <v>109</v>
      </c>
      <c r="Q65" s="28" t="s">
        <v>109</v>
      </c>
      <c r="R65" s="28" t="s">
        <v>62</v>
      </c>
      <c r="S65" s="28" t="s">
        <v>123</v>
      </c>
      <c r="T65" s="29" t="s">
        <v>424</v>
      </c>
      <c r="U65" s="28" t="s">
        <v>109</v>
      </c>
      <c r="V65" s="28" t="s">
        <v>109</v>
      </c>
    </row>
    <row r="66" spans="1:22" x14ac:dyDescent="0.3">
      <c r="A66" s="28">
        <v>65</v>
      </c>
      <c r="B66" s="29" t="s">
        <v>23</v>
      </c>
      <c r="C66" s="28" t="s">
        <v>540</v>
      </c>
      <c r="D66" s="29">
        <v>50126082</v>
      </c>
      <c r="E66" s="28">
        <v>100</v>
      </c>
      <c r="F66" s="28">
        <v>126</v>
      </c>
      <c r="G66" s="28">
        <v>103</v>
      </c>
      <c r="H66" s="28" t="s">
        <v>154</v>
      </c>
      <c r="I66" s="28" t="s">
        <v>109</v>
      </c>
      <c r="J66" s="28" t="s">
        <v>130</v>
      </c>
      <c r="K66" s="28" t="s">
        <v>109</v>
      </c>
      <c r="L66" s="41">
        <v>0.73263888888888884</v>
      </c>
      <c r="M66" s="28" t="s">
        <v>109</v>
      </c>
      <c r="N66" s="28" t="s">
        <v>109</v>
      </c>
      <c r="O66" s="28" t="s">
        <v>61</v>
      </c>
      <c r="P66" s="28" t="s">
        <v>131</v>
      </c>
      <c r="Q66" s="28" t="s">
        <v>154</v>
      </c>
      <c r="R66" s="28" t="s">
        <v>62</v>
      </c>
      <c r="S66" s="28" t="s">
        <v>123</v>
      </c>
      <c r="T66" s="29" t="s">
        <v>424</v>
      </c>
      <c r="U66" s="28" t="s">
        <v>109</v>
      </c>
      <c r="V66" s="28" t="s">
        <v>109</v>
      </c>
    </row>
    <row r="67" spans="1:22" x14ac:dyDescent="0.3">
      <c r="A67" s="28">
        <v>66</v>
      </c>
      <c r="B67" s="29" t="s">
        <v>23</v>
      </c>
      <c r="C67" s="28" t="s">
        <v>837</v>
      </c>
      <c r="D67" s="29">
        <v>50126110</v>
      </c>
      <c r="E67" s="28">
        <v>100</v>
      </c>
      <c r="F67" s="28">
        <v>182</v>
      </c>
      <c r="G67" s="28">
        <v>35</v>
      </c>
      <c r="H67" s="28" t="s">
        <v>87</v>
      </c>
      <c r="I67" s="28" t="s">
        <v>109</v>
      </c>
      <c r="J67" s="28" t="s">
        <v>130</v>
      </c>
      <c r="K67" s="28" t="s">
        <v>109</v>
      </c>
      <c r="L67" s="41">
        <v>0.7319444444444444</v>
      </c>
      <c r="M67" s="41" t="s">
        <v>109</v>
      </c>
      <c r="N67" s="28" t="s">
        <v>109</v>
      </c>
      <c r="O67" s="28" t="s">
        <v>61</v>
      </c>
      <c r="P67" s="28" t="s">
        <v>131</v>
      </c>
      <c r="Q67" s="28" t="s">
        <v>87</v>
      </c>
      <c r="R67" s="28" t="s">
        <v>62</v>
      </c>
      <c r="S67" s="28" t="s">
        <v>123</v>
      </c>
      <c r="T67" s="29" t="s">
        <v>424</v>
      </c>
      <c r="U67" s="28" t="s">
        <v>109</v>
      </c>
      <c r="V67" s="28" t="s">
        <v>109</v>
      </c>
    </row>
    <row r="68" spans="1:22" x14ac:dyDescent="0.3">
      <c r="A68" s="28">
        <v>67</v>
      </c>
      <c r="B68" s="29" t="s">
        <v>23</v>
      </c>
      <c r="C68" s="28" t="s">
        <v>928</v>
      </c>
      <c r="D68" s="29">
        <v>50126264</v>
      </c>
      <c r="E68" s="28">
        <v>100</v>
      </c>
      <c r="F68" s="28">
        <v>166</v>
      </c>
      <c r="G68" s="28">
        <v>109</v>
      </c>
      <c r="H68" s="28" t="s">
        <v>82</v>
      </c>
      <c r="I68" s="28" t="s">
        <v>109</v>
      </c>
      <c r="J68" s="28" t="s">
        <v>130</v>
      </c>
      <c r="K68" s="28" t="s">
        <v>109</v>
      </c>
      <c r="L68" s="41">
        <v>0.83750000000000002</v>
      </c>
      <c r="M68" s="28" t="s">
        <v>109</v>
      </c>
      <c r="N68" s="28" t="s">
        <v>109</v>
      </c>
      <c r="O68" s="28" t="s">
        <v>61</v>
      </c>
      <c r="P68" s="28" t="s">
        <v>131</v>
      </c>
      <c r="Q68" s="28" t="s">
        <v>82</v>
      </c>
      <c r="R68" s="28" t="s">
        <v>62</v>
      </c>
      <c r="S68" s="28" t="s">
        <v>123</v>
      </c>
      <c r="T68" s="29" t="s">
        <v>424</v>
      </c>
      <c r="U68" s="28" t="s">
        <v>109</v>
      </c>
      <c r="V68" s="28" t="s">
        <v>109</v>
      </c>
    </row>
    <row r="69" spans="1:22" x14ac:dyDescent="0.3">
      <c r="A69" s="28">
        <v>68</v>
      </c>
      <c r="B69" s="29" t="s">
        <v>135</v>
      </c>
      <c r="C69" s="28" t="s">
        <v>671</v>
      </c>
      <c r="D69" s="29">
        <v>20126010</v>
      </c>
      <c r="E69" s="28">
        <v>110</v>
      </c>
      <c r="F69" s="28">
        <v>210</v>
      </c>
      <c r="G69" s="28">
        <v>65</v>
      </c>
      <c r="H69" s="28" t="s">
        <v>196</v>
      </c>
      <c r="I69" s="28" t="s">
        <v>87</v>
      </c>
      <c r="J69" s="28" t="s">
        <v>130</v>
      </c>
      <c r="K69" s="41">
        <v>0.99583333333333335</v>
      </c>
      <c r="L69" s="41">
        <v>3.4722222222222224E-2</v>
      </c>
      <c r="M69" s="28" t="s">
        <v>109</v>
      </c>
      <c r="N69" s="28" t="s">
        <v>109</v>
      </c>
      <c r="O69" s="28" t="s">
        <v>61</v>
      </c>
      <c r="P69" s="28" t="s">
        <v>131</v>
      </c>
      <c r="Q69" s="28" t="s">
        <v>87</v>
      </c>
      <c r="R69" s="28" t="s">
        <v>62</v>
      </c>
      <c r="S69" s="28" t="s">
        <v>123</v>
      </c>
      <c r="T69" s="29" t="s">
        <v>666</v>
      </c>
      <c r="U69" s="28" t="s">
        <v>109</v>
      </c>
      <c r="V69" s="28" t="s">
        <v>109</v>
      </c>
    </row>
    <row r="70" spans="1:22" x14ac:dyDescent="0.3">
      <c r="A70" s="28">
        <v>69</v>
      </c>
      <c r="B70" s="29" t="s">
        <v>411</v>
      </c>
      <c r="C70" s="28" t="s">
        <v>677</v>
      </c>
      <c r="D70" s="29">
        <v>30126004</v>
      </c>
      <c r="E70" s="28">
        <v>75</v>
      </c>
      <c r="F70" s="28">
        <v>154</v>
      </c>
      <c r="G70" s="28">
        <v>22</v>
      </c>
      <c r="H70" s="28" t="s">
        <v>66</v>
      </c>
      <c r="I70" s="28" t="s">
        <v>93</v>
      </c>
      <c r="J70" s="28" t="s">
        <v>130</v>
      </c>
      <c r="K70" s="41">
        <v>0.74444444444444446</v>
      </c>
      <c r="L70" s="41">
        <v>0.82152777777777775</v>
      </c>
      <c r="M70" s="28" t="s">
        <v>109</v>
      </c>
      <c r="N70" s="28" t="s">
        <v>109</v>
      </c>
      <c r="O70" s="28" t="s">
        <v>61</v>
      </c>
      <c r="P70" s="28" t="s">
        <v>131</v>
      </c>
      <c r="Q70" s="28" t="s">
        <v>93</v>
      </c>
      <c r="R70" s="28" t="s">
        <v>62</v>
      </c>
      <c r="S70" s="28" t="s">
        <v>123</v>
      </c>
      <c r="T70" s="29" t="s">
        <v>675</v>
      </c>
      <c r="U70" s="28" t="s">
        <v>109</v>
      </c>
      <c r="V70" s="28" t="s">
        <v>109</v>
      </c>
    </row>
    <row r="71" spans="1:22" x14ac:dyDescent="0.3">
      <c r="A71" s="28">
        <v>70</v>
      </c>
      <c r="B71" s="29" t="s">
        <v>411</v>
      </c>
      <c r="C71" s="28" t="s">
        <v>676</v>
      </c>
      <c r="D71" s="29">
        <v>30126003</v>
      </c>
      <c r="E71" s="28">
        <v>55</v>
      </c>
      <c r="F71" s="28">
        <v>111</v>
      </c>
      <c r="G71" s="28">
        <v>45</v>
      </c>
      <c r="H71" s="28" t="s">
        <v>68</v>
      </c>
      <c r="I71" s="28" t="s">
        <v>86</v>
      </c>
      <c r="J71" s="28" t="s">
        <v>130</v>
      </c>
      <c r="K71" s="41">
        <v>0.97777777777777775</v>
      </c>
      <c r="L71" s="41">
        <v>0.99930555555555556</v>
      </c>
      <c r="M71" s="28" t="s">
        <v>109</v>
      </c>
      <c r="N71" s="28" t="s">
        <v>109</v>
      </c>
      <c r="O71" s="28" t="s">
        <v>61</v>
      </c>
      <c r="P71" s="28" t="s">
        <v>131</v>
      </c>
      <c r="Q71" s="28" t="s">
        <v>86</v>
      </c>
      <c r="R71" s="28" t="s">
        <v>62</v>
      </c>
      <c r="S71" s="28" t="s">
        <v>123</v>
      </c>
      <c r="T71" s="29" t="s">
        <v>675</v>
      </c>
      <c r="U71" s="28" t="s">
        <v>109</v>
      </c>
      <c r="V71" s="28" t="s">
        <v>109</v>
      </c>
    </row>
    <row r="72" spans="1:22" x14ac:dyDescent="0.3">
      <c r="A72" s="28">
        <v>71</v>
      </c>
      <c r="B72" s="29" t="s">
        <v>411</v>
      </c>
      <c r="C72" s="28" t="s">
        <v>1199</v>
      </c>
      <c r="D72" s="29">
        <v>30126005</v>
      </c>
      <c r="E72" s="28">
        <v>110</v>
      </c>
      <c r="F72" s="28">
        <v>181</v>
      </c>
      <c r="G72" s="28">
        <v>100</v>
      </c>
      <c r="H72" s="28" t="s">
        <v>241</v>
      </c>
      <c r="I72" s="28" t="s">
        <v>154</v>
      </c>
      <c r="J72" s="28" t="s">
        <v>130</v>
      </c>
      <c r="K72" s="41">
        <v>0.81180555555555556</v>
      </c>
      <c r="L72" s="41">
        <v>0.84027777777777779</v>
      </c>
      <c r="M72" s="28" t="s">
        <v>109</v>
      </c>
      <c r="N72" s="28" t="s">
        <v>109</v>
      </c>
      <c r="O72" s="28" t="s">
        <v>61</v>
      </c>
      <c r="P72" s="28" t="s">
        <v>131</v>
      </c>
      <c r="Q72" s="28" t="s">
        <v>154</v>
      </c>
      <c r="R72" s="28" t="s">
        <v>62</v>
      </c>
      <c r="S72" s="28" t="s">
        <v>123</v>
      </c>
      <c r="T72" s="29" t="s">
        <v>675</v>
      </c>
      <c r="U72" s="28" t="s">
        <v>109</v>
      </c>
      <c r="V72" s="28" t="s">
        <v>109</v>
      </c>
    </row>
    <row r="73" spans="1:22" x14ac:dyDescent="0.3">
      <c r="A73" s="28">
        <v>72</v>
      </c>
      <c r="B73" s="29" t="s">
        <v>411</v>
      </c>
      <c r="C73" s="28" t="s">
        <v>1204</v>
      </c>
      <c r="D73" s="29">
        <v>30126009</v>
      </c>
      <c r="E73" s="28">
        <v>56</v>
      </c>
      <c r="F73" s="28">
        <v>91</v>
      </c>
      <c r="G73" s="28">
        <v>63</v>
      </c>
      <c r="H73" s="28" t="s">
        <v>70</v>
      </c>
      <c r="I73" s="28" t="s">
        <v>90</v>
      </c>
      <c r="J73" s="28" t="s">
        <v>130</v>
      </c>
      <c r="K73" s="41">
        <v>0.92152777777777772</v>
      </c>
      <c r="L73" s="41">
        <v>0.93055555555555558</v>
      </c>
      <c r="M73" s="28" t="s">
        <v>109</v>
      </c>
      <c r="N73" s="28" t="s">
        <v>109</v>
      </c>
      <c r="O73" s="28" t="s">
        <v>61</v>
      </c>
      <c r="P73" s="28" t="s">
        <v>131</v>
      </c>
      <c r="Q73" s="28" t="s">
        <v>90</v>
      </c>
      <c r="R73" s="28" t="s">
        <v>62</v>
      </c>
      <c r="S73" s="28" t="s">
        <v>123</v>
      </c>
      <c r="T73" s="29" t="s">
        <v>675</v>
      </c>
      <c r="U73" s="28" t="s">
        <v>109</v>
      </c>
      <c r="V73" s="28" t="s">
        <v>109</v>
      </c>
    </row>
    <row r="74" spans="1:22" x14ac:dyDescent="0.3">
      <c r="A74" s="28">
        <v>73</v>
      </c>
      <c r="B74" s="29" t="s">
        <v>411</v>
      </c>
      <c r="C74" s="28" t="s">
        <v>674</v>
      </c>
      <c r="D74" s="29">
        <v>30126002</v>
      </c>
      <c r="E74" s="28">
        <v>155</v>
      </c>
      <c r="F74" s="28">
        <v>215</v>
      </c>
      <c r="G74" s="28">
        <v>162</v>
      </c>
      <c r="H74" s="28" t="s">
        <v>1263</v>
      </c>
      <c r="I74" s="28" t="s">
        <v>294</v>
      </c>
      <c r="J74" s="28" t="s">
        <v>130</v>
      </c>
      <c r="K74" s="41">
        <v>0.8618055555555556</v>
      </c>
      <c r="L74" s="41">
        <v>0.875</v>
      </c>
      <c r="M74" s="28" t="s">
        <v>109</v>
      </c>
      <c r="N74" s="28" t="s">
        <v>109</v>
      </c>
      <c r="O74" s="28" t="s">
        <v>61</v>
      </c>
      <c r="P74" s="28" t="s">
        <v>131</v>
      </c>
      <c r="Q74" s="28" t="s">
        <v>88</v>
      </c>
      <c r="R74" s="28" t="s">
        <v>62</v>
      </c>
      <c r="S74" s="28" t="s">
        <v>123</v>
      </c>
      <c r="T74" s="29" t="s">
        <v>675</v>
      </c>
      <c r="U74" s="28" t="s">
        <v>109</v>
      </c>
      <c r="V74" s="28" t="s">
        <v>109</v>
      </c>
    </row>
    <row r="75" spans="1:22" x14ac:dyDescent="0.3">
      <c r="A75" s="28">
        <v>74</v>
      </c>
      <c r="B75" s="29" t="s">
        <v>23</v>
      </c>
      <c r="C75" s="28" t="s">
        <v>852</v>
      </c>
      <c r="D75" s="29">
        <v>50126207</v>
      </c>
      <c r="E75" s="28">
        <v>100</v>
      </c>
      <c r="F75" s="28">
        <v>200</v>
      </c>
      <c r="G75" s="28">
        <v>85</v>
      </c>
      <c r="H75" s="28" t="s">
        <v>67</v>
      </c>
      <c r="I75" s="28" t="s">
        <v>109</v>
      </c>
      <c r="J75" s="28" t="s">
        <v>130</v>
      </c>
      <c r="K75" s="28" t="s">
        <v>109</v>
      </c>
      <c r="L75" s="41">
        <v>0.86319444444444449</v>
      </c>
      <c r="M75" s="28" t="s">
        <v>109</v>
      </c>
      <c r="N75" s="28" t="s">
        <v>109</v>
      </c>
      <c r="O75" s="28" t="s">
        <v>61</v>
      </c>
      <c r="P75" s="28" t="s">
        <v>131</v>
      </c>
      <c r="Q75" s="28" t="s">
        <v>67</v>
      </c>
      <c r="R75" s="28" t="s">
        <v>62</v>
      </c>
      <c r="S75" s="28" t="s">
        <v>123</v>
      </c>
      <c r="T75" s="29" t="s">
        <v>853</v>
      </c>
      <c r="U75" s="28" t="s">
        <v>109</v>
      </c>
      <c r="V75" s="28" t="s">
        <v>109</v>
      </c>
    </row>
    <row r="76" spans="1:22" x14ac:dyDescent="0.3">
      <c r="A76" s="28">
        <v>75</v>
      </c>
      <c r="B76" s="29" t="s">
        <v>23</v>
      </c>
      <c r="C76" s="28" t="s">
        <v>854</v>
      </c>
      <c r="D76" s="29">
        <v>50126208</v>
      </c>
      <c r="E76" s="28">
        <v>50</v>
      </c>
      <c r="F76" s="28">
        <v>70</v>
      </c>
      <c r="G76" s="28">
        <v>52</v>
      </c>
      <c r="H76" s="28" t="s">
        <v>69</v>
      </c>
      <c r="I76" s="28" t="s">
        <v>109</v>
      </c>
      <c r="J76" s="28" t="s">
        <v>130</v>
      </c>
      <c r="K76" s="28" t="s">
        <v>109</v>
      </c>
      <c r="L76" s="41">
        <v>0.75</v>
      </c>
      <c r="M76" s="28" t="s">
        <v>109</v>
      </c>
      <c r="N76" s="28" t="s">
        <v>109</v>
      </c>
      <c r="O76" s="28" t="s">
        <v>61</v>
      </c>
      <c r="P76" s="28" t="s">
        <v>131</v>
      </c>
      <c r="Q76" s="28" t="s">
        <v>69</v>
      </c>
      <c r="R76" s="28" t="s">
        <v>62</v>
      </c>
      <c r="S76" s="28" t="s">
        <v>123</v>
      </c>
      <c r="T76" s="29" t="s">
        <v>853</v>
      </c>
      <c r="U76" s="28" t="s">
        <v>109</v>
      </c>
      <c r="V76" s="28" t="s">
        <v>109</v>
      </c>
    </row>
    <row r="77" spans="1:22" x14ac:dyDescent="0.3">
      <c r="A77" s="28">
        <v>76</v>
      </c>
      <c r="B77" s="29" t="s">
        <v>143</v>
      </c>
      <c r="C77" s="28" t="s">
        <v>1264</v>
      </c>
      <c r="D77" s="29">
        <v>11125008</v>
      </c>
      <c r="E77" s="28">
        <v>50</v>
      </c>
      <c r="F77" s="28">
        <v>63</v>
      </c>
      <c r="G77" s="28">
        <v>51</v>
      </c>
      <c r="H77" s="28" t="s">
        <v>72</v>
      </c>
      <c r="I77" s="28" t="s">
        <v>95</v>
      </c>
      <c r="J77" s="28" t="s">
        <v>130</v>
      </c>
      <c r="K77" s="41">
        <v>0.72083333333333333</v>
      </c>
      <c r="L77" s="41">
        <v>0.7270833333333333</v>
      </c>
      <c r="M77" s="28" t="s">
        <v>109</v>
      </c>
      <c r="N77" s="28" t="s">
        <v>109</v>
      </c>
      <c r="O77" s="28" t="s">
        <v>61</v>
      </c>
      <c r="P77" s="28" t="s">
        <v>131</v>
      </c>
      <c r="Q77" s="28" t="s">
        <v>95</v>
      </c>
      <c r="R77" s="28" t="s">
        <v>62</v>
      </c>
      <c r="S77" s="28" t="s">
        <v>1266</v>
      </c>
      <c r="T77" s="29" t="s">
        <v>1265</v>
      </c>
      <c r="U77" s="28" t="s">
        <v>109</v>
      </c>
      <c r="V77" s="28" t="s">
        <v>109</v>
      </c>
    </row>
    <row r="78" spans="1:22" x14ac:dyDescent="0.3">
      <c r="A78" s="28">
        <v>77</v>
      </c>
      <c r="B78" s="29" t="s">
        <v>143</v>
      </c>
      <c r="C78" s="28" t="s">
        <v>1059</v>
      </c>
      <c r="D78" s="29">
        <v>10126016</v>
      </c>
      <c r="E78" s="28">
        <v>60</v>
      </c>
      <c r="F78" s="28">
        <v>99</v>
      </c>
      <c r="G78" s="28">
        <v>23</v>
      </c>
      <c r="H78" s="28" t="s">
        <v>200</v>
      </c>
      <c r="I78" s="28" t="s">
        <v>87</v>
      </c>
      <c r="J78" s="28" t="s">
        <v>130</v>
      </c>
      <c r="K78" s="41">
        <v>0.82777777777777772</v>
      </c>
      <c r="L78" s="41">
        <v>0.99861111111111112</v>
      </c>
      <c r="M78" s="28" t="s">
        <v>109</v>
      </c>
      <c r="N78" s="28" t="s">
        <v>109</v>
      </c>
      <c r="O78" s="28" t="s">
        <v>61</v>
      </c>
      <c r="P78" s="28" t="s">
        <v>131</v>
      </c>
      <c r="Q78" s="28" t="s">
        <v>603</v>
      </c>
      <c r="R78" s="28" t="s">
        <v>62</v>
      </c>
      <c r="S78" s="7" t="s">
        <v>878</v>
      </c>
      <c r="T78" s="7" t="s">
        <v>398</v>
      </c>
      <c r="U78" s="28" t="s">
        <v>109</v>
      </c>
      <c r="V78" s="28" t="s">
        <v>109</v>
      </c>
    </row>
    <row r="79" spans="1:22" x14ac:dyDescent="0.3">
      <c r="A79" s="28">
        <v>78</v>
      </c>
      <c r="B79" s="29" t="s">
        <v>143</v>
      </c>
      <c r="C79" s="28" t="s">
        <v>877</v>
      </c>
      <c r="D79" s="29">
        <v>11125073</v>
      </c>
      <c r="E79" s="28">
        <v>15</v>
      </c>
      <c r="F79" s="28">
        <v>32</v>
      </c>
      <c r="G79" s="28">
        <v>17</v>
      </c>
      <c r="H79" s="28" t="s">
        <v>82</v>
      </c>
      <c r="I79" s="28" t="s">
        <v>91</v>
      </c>
      <c r="J79" s="28" t="s">
        <v>130</v>
      </c>
      <c r="K79" s="41">
        <v>0.98472222222222228</v>
      </c>
      <c r="L79" s="41">
        <v>3.6111111111111108E-2</v>
      </c>
      <c r="M79" s="28" t="s">
        <v>109</v>
      </c>
      <c r="N79" s="28" t="s">
        <v>109</v>
      </c>
      <c r="O79" s="28" t="s">
        <v>61</v>
      </c>
      <c r="P79" s="28" t="s">
        <v>131</v>
      </c>
      <c r="Q79" s="28" t="s">
        <v>91</v>
      </c>
      <c r="R79" s="28" t="s">
        <v>62</v>
      </c>
      <c r="S79" s="7" t="s">
        <v>878</v>
      </c>
      <c r="T79" s="7" t="s">
        <v>777</v>
      </c>
      <c r="U79" s="28" t="s">
        <v>109</v>
      </c>
      <c r="V79" s="28" t="s">
        <v>109</v>
      </c>
    </row>
    <row r="80" spans="1:22" x14ac:dyDescent="0.3">
      <c r="A80" s="28">
        <v>79</v>
      </c>
      <c r="B80" s="29" t="s">
        <v>143</v>
      </c>
      <c r="C80" s="28" t="s">
        <v>1268</v>
      </c>
      <c r="D80" s="47">
        <v>10126019</v>
      </c>
      <c r="E80" s="28">
        <v>153</v>
      </c>
      <c r="F80" s="28">
        <v>153</v>
      </c>
      <c r="G80" s="28">
        <v>105</v>
      </c>
      <c r="H80" s="28" t="s">
        <v>1269</v>
      </c>
      <c r="I80" s="28" t="s">
        <v>1270</v>
      </c>
      <c r="J80" s="28" t="s">
        <v>130</v>
      </c>
      <c r="K80" s="41">
        <v>3.125E-2</v>
      </c>
      <c r="L80" s="41" t="s">
        <v>1274</v>
      </c>
      <c r="M80" s="28" t="s">
        <v>109</v>
      </c>
      <c r="N80" s="28" t="s">
        <v>109</v>
      </c>
      <c r="O80" s="28" t="s">
        <v>145</v>
      </c>
      <c r="P80" s="28" t="s">
        <v>131</v>
      </c>
      <c r="Q80" s="28" t="s">
        <v>90</v>
      </c>
      <c r="R80" s="28" t="s">
        <v>62</v>
      </c>
      <c r="S80" s="7" t="s">
        <v>109</v>
      </c>
      <c r="T80" s="7" t="s">
        <v>1189</v>
      </c>
      <c r="U80" s="28" t="s">
        <v>109</v>
      </c>
      <c r="V80" s="28" t="s">
        <v>109</v>
      </c>
    </row>
    <row r="81" spans="1:22" x14ac:dyDescent="0.3">
      <c r="A81" s="28">
        <v>80</v>
      </c>
      <c r="B81" s="29" t="s">
        <v>23</v>
      </c>
      <c r="C81" s="28" t="s">
        <v>1099</v>
      </c>
      <c r="D81" s="29">
        <v>50126319</v>
      </c>
      <c r="E81" s="28">
        <v>200</v>
      </c>
      <c r="F81" s="28">
        <v>273</v>
      </c>
      <c r="G81" s="28">
        <v>26</v>
      </c>
      <c r="H81" s="28" t="s">
        <v>1271</v>
      </c>
      <c r="I81" s="28" t="s">
        <v>109</v>
      </c>
      <c r="J81" s="28" t="s">
        <v>130</v>
      </c>
      <c r="K81" s="28" t="s">
        <v>109</v>
      </c>
      <c r="L81" s="41">
        <v>1.5277777777777777E-2</v>
      </c>
      <c r="M81" s="28" t="s">
        <v>109</v>
      </c>
      <c r="N81" s="28" t="s">
        <v>109</v>
      </c>
      <c r="O81" s="28" t="s">
        <v>61</v>
      </c>
      <c r="P81" s="28" t="s">
        <v>131</v>
      </c>
      <c r="Q81" s="28" t="s">
        <v>527</v>
      </c>
      <c r="R81" s="28" t="s">
        <v>62</v>
      </c>
      <c r="S81" s="7" t="s">
        <v>141</v>
      </c>
      <c r="T81" s="28" t="s">
        <v>142</v>
      </c>
      <c r="U81" s="28" t="s">
        <v>109</v>
      </c>
      <c r="V81" s="28" t="s">
        <v>109</v>
      </c>
    </row>
    <row r="82" spans="1:22" x14ac:dyDescent="0.3">
      <c r="A82" s="28">
        <v>81</v>
      </c>
      <c r="B82" s="29" t="s">
        <v>1272</v>
      </c>
      <c r="C82" s="28" t="s">
        <v>357</v>
      </c>
      <c r="D82" s="29">
        <v>51125131</v>
      </c>
      <c r="E82" s="28">
        <v>6</v>
      </c>
      <c r="F82" s="28">
        <v>6</v>
      </c>
      <c r="G82" s="28">
        <v>1</v>
      </c>
      <c r="H82" s="28" t="s">
        <v>605</v>
      </c>
      <c r="I82" s="28" t="s">
        <v>109</v>
      </c>
      <c r="J82" s="28" t="s">
        <v>130</v>
      </c>
      <c r="K82" s="28" t="s">
        <v>109</v>
      </c>
      <c r="L82" s="41">
        <v>2.8472222222222222E-2</v>
      </c>
      <c r="M82" s="28" t="s">
        <v>109</v>
      </c>
      <c r="N82" s="28" t="s">
        <v>109</v>
      </c>
      <c r="O82" s="28" t="s">
        <v>61</v>
      </c>
      <c r="P82" s="28" t="s">
        <v>131</v>
      </c>
      <c r="Q82" s="28" t="s">
        <v>605</v>
      </c>
      <c r="R82" s="28" t="s">
        <v>62</v>
      </c>
      <c r="S82" s="7" t="s">
        <v>1273</v>
      </c>
      <c r="T82" s="7" t="s">
        <v>289</v>
      </c>
      <c r="U82" s="28" t="s">
        <v>109</v>
      </c>
      <c r="V82" s="28" t="s">
        <v>109</v>
      </c>
    </row>
  </sheetData>
  <conditionalFormatting sqref="D1">
    <cfRule type="duplicateValues" dxfId="101"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8ABD4-FD5D-4514-BF4B-418BFE97CD1A}">
  <sheetPr codeName="Sheet13"/>
  <dimension ref="A1:W79"/>
  <sheetViews>
    <sheetView zoomScaleNormal="100" workbookViewId="0">
      <pane ySplit="1" topLeftCell="A2" activePane="bottomLeft" state="frozen"/>
      <selection pane="bottomLeft"/>
    </sheetView>
  </sheetViews>
  <sheetFormatPr defaultRowHeight="14.4" x14ac:dyDescent="0.3"/>
  <cols>
    <col min="3" max="3" width="123.109375" bestFit="1" customWidth="1"/>
    <col min="5" max="7" width="0" hidden="1" customWidth="1"/>
    <col min="8" max="8" width="60.44140625" customWidth="1"/>
    <col min="9" max="9" width="18.5546875" customWidth="1"/>
    <col min="11" max="11" width="16.5546875" customWidth="1"/>
    <col min="12" max="12" width="16" customWidth="1"/>
    <col min="14" max="14" width="110.5546875" bestFit="1" customWidth="1"/>
    <col min="16" max="16" width="13.88671875" customWidth="1"/>
    <col min="17" max="17" width="15.77734375" customWidth="1"/>
    <col min="22" max="22" width="25.77734375" customWidth="1"/>
  </cols>
  <sheetData>
    <row r="1" spans="1:23" x14ac:dyDescent="0.3">
      <c r="A1" s="22" t="s">
        <v>0</v>
      </c>
      <c r="B1" s="22" t="s">
        <v>1</v>
      </c>
      <c r="C1" s="22" t="s">
        <v>2</v>
      </c>
      <c r="D1" s="22" t="s">
        <v>3</v>
      </c>
      <c r="E1" s="22" t="s">
        <v>4</v>
      </c>
      <c r="F1" s="22" t="s">
        <v>5</v>
      </c>
      <c r="G1" s="22" t="s">
        <v>6</v>
      </c>
      <c r="H1" s="22" t="s">
        <v>7</v>
      </c>
      <c r="I1" s="22" t="s">
        <v>8</v>
      </c>
      <c r="J1" s="22" t="s">
        <v>9</v>
      </c>
      <c r="K1" s="23" t="s">
        <v>10</v>
      </c>
      <c r="L1" s="23" t="s">
        <v>11</v>
      </c>
      <c r="M1" s="24" t="s">
        <v>12</v>
      </c>
      <c r="N1" s="25" t="s">
        <v>13</v>
      </c>
      <c r="O1" s="22" t="s">
        <v>14</v>
      </c>
      <c r="P1" s="22" t="s">
        <v>15</v>
      </c>
      <c r="Q1" s="22" t="s">
        <v>16</v>
      </c>
      <c r="R1" s="22" t="s">
        <v>17</v>
      </c>
      <c r="S1" s="22" t="s">
        <v>18</v>
      </c>
      <c r="T1" s="22" t="s">
        <v>19</v>
      </c>
      <c r="U1" s="22" t="s">
        <v>20</v>
      </c>
      <c r="V1" s="22" t="s">
        <v>21</v>
      </c>
      <c r="W1" s="26" t="s">
        <v>22</v>
      </c>
    </row>
    <row r="2" spans="1:23" x14ac:dyDescent="0.3">
      <c r="A2" s="7">
        <v>1</v>
      </c>
      <c r="B2" s="29" t="s">
        <v>24</v>
      </c>
      <c r="C2" s="29" t="s">
        <v>45</v>
      </c>
      <c r="D2" s="29">
        <v>61125004</v>
      </c>
      <c r="E2" s="29">
        <v>99</v>
      </c>
      <c r="F2" s="7">
        <v>182</v>
      </c>
      <c r="G2" s="7">
        <v>22</v>
      </c>
      <c r="H2" s="7" t="s">
        <v>84</v>
      </c>
      <c r="I2" s="7" t="s">
        <v>89</v>
      </c>
      <c r="J2" s="7" t="s">
        <v>130</v>
      </c>
      <c r="K2" s="11">
        <v>0.78472222222222221</v>
      </c>
      <c r="L2" s="11">
        <v>0.80208333333333337</v>
      </c>
      <c r="M2" s="7" t="s">
        <v>109</v>
      </c>
      <c r="N2" s="32" t="s">
        <v>1161</v>
      </c>
      <c r="O2" s="29" t="s">
        <v>61</v>
      </c>
      <c r="P2" s="7" t="s">
        <v>131</v>
      </c>
      <c r="Q2" s="7" t="s">
        <v>89</v>
      </c>
      <c r="R2" s="7" t="s">
        <v>63</v>
      </c>
      <c r="S2" s="7" t="s">
        <v>109</v>
      </c>
      <c r="T2" s="7" t="s">
        <v>109</v>
      </c>
      <c r="U2" s="28" t="b">
        <f t="shared" ref="U2:U33" si="0">G:G&gt;=E:E</f>
        <v>0</v>
      </c>
      <c r="V2" s="7" t="s">
        <v>1313</v>
      </c>
      <c r="W2" s="29" t="s">
        <v>117</v>
      </c>
    </row>
    <row r="3" spans="1:23" x14ac:dyDescent="0.3">
      <c r="A3" s="7">
        <v>2</v>
      </c>
      <c r="B3" s="29" t="s">
        <v>24</v>
      </c>
      <c r="C3" s="29" t="s">
        <v>890</v>
      </c>
      <c r="D3" s="29">
        <v>60126003</v>
      </c>
      <c r="E3" s="29">
        <v>60</v>
      </c>
      <c r="F3" s="7">
        <v>110</v>
      </c>
      <c r="G3" s="7">
        <v>65</v>
      </c>
      <c r="H3" s="7" t="s">
        <v>82</v>
      </c>
      <c r="I3" s="53" t="s">
        <v>89</v>
      </c>
      <c r="J3" s="7" t="s">
        <v>130</v>
      </c>
      <c r="K3" s="11">
        <v>0.67847222222222225</v>
      </c>
      <c r="L3" s="11">
        <v>0.76180555555555551</v>
      </c>
      <c r="M3" s="7" t="s">
        <v>109</v>
      </c>
      <c r="N3" s="32" t="s">
        <v>110</v>
      </c>
      <c r="O3" s="29" t="s">
        <v>61</v>
      </c>
      <c r="P3" s="7" t="s">
        <v>131</v>
      </c>
      <c r="Q3" s="7" t="s">
        <v>89</v>
      </c>
      <c r="R3" s="7" t="s">
        <v>63</v>
      </c>
      <c r="S3" s="7" t="s">
        <v>109</v>
      </c>
      <c r="T3" s="7" t="s">
        <v>109</v>
      </c>
      <c r="U3" s="28" t="b">
        <f t="shared" si="0"/>
        <v>1</v>
      </c>
      <c r="V3" s="7" t="s">
        <v>109</v>
      </c>
      <c r="W3" s="29" t="s">
        <v>891</v>
      </c>
    </row>
    <row r="4" spans="1:23" x14ac:dyDescent="0.3">
      <c r="A4" s="7">
        <v>3</v>
      </c>
      <c r="B4" s="29" t="s">
        <v>24</v>
      </c>
      <c r="C4" s="29" t="s">
        <v>892</v>
      </c>
      <c r="D4" s="29">
        <v>60126002</v>
      </c>
      <c r="E4" s="29">
        <v>80</v>
      </c>
      <c r="F4" s="7">
        <v>116</v>
      </c>
      <c r="G4" s="7">
        <v>87</v>
      </c>
      <c r="H4" s="7" t="s">
        <v>222</v>
      </c>
      <c r="I4" s="53" t="s">
        <v>88</v>
      </c>
      <c r="J4" s="7" t="s">
        <v>130</v>
      </c>
      <c r="K4" s="11">
        <v>0.67777777777777781</v>
      </c>
      <c r="L4" s="11">
        <v>0.7055555555555556</v>
      </c>
      <c r="M4" s="7" t="s">
        <v>109</v>
      </c>
      <c r="N4" s="32" t="s">
        <v>110</v>
      </c>
      <c r="O4" s="29" t="s">
        <v>61</v>
      </c>
      <c r="P4" s="7" t="s">
        <v>131</v>
      </c>
      <c r="Q4" s="7" t="s">
        <v>88</v>
      </c>
      <c r="R4" s="7" t="s">
        <v>63</v>
      </c>
      <c r="S4" s="7" t="s">
        <v>109</v>
      </c>
      <c r="T4" s="7" t="s">
        <v>109</v>
      </c>
      <c r="U4" s="28" t="b">
        <f t="shared" si="0"/>
        <v>1</v>
      </c>
      <c r="V4" s="7" t="s">
        <v>109</v>
      </c>
      <c r="W4" s="29" t="s">
        <v>891</v>
      </c>
    </row>
    <row r="5" spans="1:23" x14ac:dyDescent="0.3">
      <c r="A5" s="7">
        <v>4</v>
      </c>
      <c r="B5" s="29" t="s">
        <v>24</v>
      </c>
      <c r="C5" s="29" t="s">
        <v>893</v>
      </c>
      <c r="D5" s="29">
        <v>60126004</v>
      </c>
      <c r="E5" s="29">
        <v>96</v>
      </c>
      <c r="F5" s="7">
        <v>174</v>
      </c>
      <c r="G5" s="7">
        <v>101</v>
      </c>
      <c r="H5" s="7" t="s">
        <v>184</v>
      </c>
      <c r="I5" s="53" t="s">
        <v>94</v>
      </c>
      <c r="J5" s="7" t="s">
        <v>130</v>
      </c>
      <c r="K5" s="11">
        <v>0.79861111111111116</v>
      </c>
      <c r="L5" s="11">
        <v>0.81527777777777777</v>
      </c>
      <c r="M5" s="7" t="s">
        <v>109</v>
      </c>
      <c r="N5" s="32" t="s">
        <v>110</v>
      </c>
      <c r="O5" s="29" t="s">
        <v>61</v>
      </c>
      <c r="P5" s="7" t="s">
        <v>131</v>
      </c>
      <c r="Q5" s="7" t="s">
        <v>94</v>
      </c>
      <c r="R5" s="7" t="s">
        <v>63</v>
      </c>
      <c r="S5" s="7" t="s">
        <v>109</v>
      </c>
      <c r="T5" s="7" t="s">
        <v>109</v>
      </c>
      <c r="U5" s="28" t="b">
        <f t="shared" si="0"/>
        <v>1</v>
      </c>
      <c r="V5" s="7" t="s">
        <v>109</v>
      </c>
      <c r="W5" s="29" t="s">
        <v>891</v>
      </c>
    </row>
    <row r="6" spans="1:23" x14ac:dyDescent="0.3">
      <c r="A6" s="7">
        <v>5</v>
      </c>
      <c r="B6" s="29" t="s">
        <v>24</v>
      </c>
      <c r="C6" s="29" t="s">
        <v>894</v>
      </c>
      <c r="D6" s="29">
        <v>60126005</v>
      </c>
      <c r="E6" s="29">
        <v>80</v>
      </c>
      <c r="F6" s="7">
        <v>137</v>
      </c>
      <c r="G6" s="7">
        <v>75</v>
      </c>
      <c r="H6" s="7" t="s">
        <v>67</v>
      </c>
      <c r="I6" s="53" t="s">
        <v>89</v>
      </c>
      <c r="J6" s="7" t="s">
        <v>130</v>
      </c>
      <c r="K6" s="11">
        <v>0.69374999999999998</v>
      </c>
      <c r="L6" s="11">
        <v>0.81597222222222221</v>
      </c>
      <c r="M6" s="7" t="s">
        <v>109</v>
      </c>
      <c r="N6" s="32" t="s">
        <v>110</v>
      </c>
      <c r="O6" s="29" t="s">
        <v>61</v>
      </c>
      <c r="P6" s="7" t="s">
        <v>131</v>
      </c>
      <c r="Q6" s="7" t="s">
        <v>89</v>
      </c>
      <c r="R6" s="7" t="s">
        <v>63</v>
      </c>
      <c r="S6" s="7" t="s">
        <v>109</v>
      </c>
      <c r="T6" s="7" t="s">
        <v>109</v>
      </c>
      <c r="U6" s="28" t="b">
        <f t="shared" si="0"/>
        <v>0</v>
      </c>
      <c r="V6" s="7" t="s">
        <v>109</v>
      </c>
      <c r="W6" s="29" t="s">
        <v>891</v>
      </c>
    </row>
    <row r="7" spans="1:23" x14ac:dyDescent="0.3">
      <c r="A7" s="7">
        <v>6</v>
      </c>
      <c r="B7" s="29" t="s">
        <v>24</v>
      </c>
      <c r="C7" s="29" t="s">
        <v>895</v>
      </c>
      <c r="D7" s="29">
        <v>60126006</v>
      </c>
      <c r="E7" s="29">
        <v>71</v>
      </c>
      <c r="F7" s="7">
        <v>102</v>
      </c>
      <c r="G7" s="7">
        <v>82</v>
      </c>
      <c r="H7" s="7" t="s">
        <v>196</v>
      </c>
      <c r="I7" s="53" t="s">
        <v>87</v>
      </c>
      <c r="J7" s="7" t="s">
        <v>130</v>
      </c>
      <c r="K7" s="11">
        <v>0.7993055555555556</v>
      </c>
      <c r="L7" s="11">
        <v>0.81597222222222221</v>
      </c>
      <c r="M7" s="7" t="s">
        <v>109</v>
      </c>
      <c r="N7" s="32" t="s">
        <v>110</v>
      </c>
      <c r="O7" s="29" t="s">
        <v>61</v>
      </c>
      <c r="P7" s="7" t="s">
        <v>131</v>
      </c>
      <c r="Q7" s="7" t="s">
        <v>87</v>
      </c>
      <c r="R7" s="7" t="s">
        <v>63</v>
      </c>
      <c r="S7" s="7" t="s">
        <v>109</v>
      </c>
      <c r="T7" s="7" t="s">
        <v>109</v>
      </c>
      <c r="U7" s="28" t="b">
        <f t="shared" si="0"/>
        <v>1</v>
      </c>
      <c r="V7" s="7" t="s">
        <v>109</v>
      </c>
      <c r="W7" s="29" t="s">
        <v>891</v>
      </c>
    </row>
    <row r="8" spans="1:23" x14ac:dyDescent="0.3">
      <c r="A8" s="7">
        <v>7</v>
      </c>
      <c r="B8" s="29" t="s">
        <v>24</v>
      </c>
      <c r="C8" s="29" t="s">
        <v>896</v>
      </c>
      <c r="D8" s="29">
        <v>60126008</v>
      </c>
      <c r="E8" s="29">
        <v>60</v>
      </c>
      <c r="F8" s="7">
        <v>96</v>
      </c>
      <c r="G8" s="7">
        <v>57</v>
      </c>
      <c r="H8" s="7" t="s">
        <v>68</v>
      </c>
      <c r="I8" s="7" t="s">
        <v>86</v>
      </c>
      <c r="J8" s="7" t="s">
        <v>130</v>
      </c>
      <c r="K8" s="11">
        <v>0.82499999999999996</v>
      </c>
      <c r="L8" s="11">
        <v>0.90833333333333333</v>
      </c>
      <c r="M8" s="7" t="s">
        <v>109</v>
      </c>
      <c r="N8" s="32" t="s">
        <v>110</v>
      </c>
      <c r="O8" s="29" t="s">
        <v>61</v>
      </c>
      <c r="P8" s="7" t="s">
        <v>131</v>
      </c>
      <c r="Q8" s="7" t="s">
        <v>86</v>
      </c>
      <c r="R8" s="7" t="s">
        <v>63</v>
      </c>
      <c r="S8" s="7" t="s">
        <v>109</v>
      </c>
      <c r="T8" s="7" t="s">
        <v>109</v>
      </c>
      <c r="U8" s="28" t="b">
        <f t="shared" si="0"/>
        <v>0</v>
      </c>
      <c r="V8" s="7" t="s">
        <v>109</v>
      </c>
      <c r="W8" s="29" t="s">
        <v>891</v>
      </c>
    </row>
    <row r="9" spans="1:23" x14ac:dyDescent="0.3">
      <c r="A9" s="7">
        <v>8</v>
      </c>
      <c r="B9" s="29" t="s">
        <v>24</v>
      </c>
      <c r="C9" s="29" t="s">
        <v>897</v>
      </c>
      <c r="D9" s="29">
        <v>60126007</v>
      </c>
      <c r="E9" s="29">
        <v>289</v>
      </c>
      <c r="F9" s="7">
        <v>539</v>
      </c>
      <c r="G9" s="7">
        <v>292</v>
      </c>
      <c r="H9" s="7" t="s">
        <v>1275</v>
      </c>
      <c r="I9" s="7" t="s">
        <v>1276</v>
      </c>
      <c r="J9" s="7" t="s">
        <v>130</v>
      </c>
      <c r="K9" s="11">
        <v>0.78194444444444444</v>
      </c>
      <c r="L9" s="11">
        <v>0.80277777777777781</v>
      </c>
      <c r="M9" s="7" t="s">
        <v>109</v>
      </c>
      <c r="N9" s="32" t="s">
        <v>110</v>
      </c>
      <c r="O9" s="29" t="s">
        <v>61</v>
      </c>
      <c r="P9" s="7" t="s">
        <v>131</v>
      </c>
      <c r="Q9" s="7" t="s">
        <v>90</v>
      </c>
      <c r="R9" s="7" t="s">
        <v>63</v>
      </c>
      <c r="S9" s="7" t="s">
        <v>109</v>
      </c>
      <c r="T9" s="7" t="s">
        <v>109</v>
      </c>
      <c r="U9" s="28" t="b">
        <f t="shared" si="0"/>
        <v>1</v>
      </c>
      <c r="V9" s="7" t="s">
        <v>109</v>
      </c>
      <c r="W9" s="29" t="s">
        <v>891</v>
      </c>
    </row>
    <row r="10" spans="1:23" x14ac:dyDescent="0.3">
      <c r="A10" s="7">
        <v>9</v>
      </c>
      <c r="B10" s="29" t="s">
        <v>23</v>
      </c>
      <c r="C10" s="29" t="s">
        <v>937</v>
      </c>
      <c r="D10" s="29">
        <v>50126267</v>
      </c>
      <c r="E10" s="29">
        <v>700</v>
      </c>
      <c r="F10" s="7">
        <v>914</v>
      </c>
      <c r="G10" s="7">
        <v>712</v>
      </c>
      <c r="H10" s="7" t="s">
        <v>1277</v>
      </c>
      <c r="I10" s="7" t="s">
        <v>109</v>
      </c>
      <c r="J10" s="7" t="s">
        <v>130</v>
      </c>
      <c r="K10" s="11">
        <v>0.75416666666666665</v>
      </c>
      <c r="L10" s="7" t="s">
        <v>109</v>
      </c>
      <c r="M10" s="7" t="s">
        <v>109</v>
      </c>
      <c r="N10" s="32" t="s">
        <v>110</v>
      </c>
      <c r="O10" s="29" t="s">
        <v>61</v>
      </c>
      <c r="P10" s="7" t="s">
        <v>131</v>
      </c>
      <c r="Q10" s="7" t="s">
        <v>209</v>
      </c>
      <c r="R10" s="7" t="s">
        <v>62</v>
      </c>
      <c r="S10" s="7" t="s">
        <v>109</v>
      </c>
      <c r="T10" s="7" t="s">
        <v>109</v>
      </c>
      <c r="U10" s="28" t="b">
        <f t="shared" si="0"/>
        <v>1</v>
      </c>
      <c r="V10" s="7" t="s">
        <v>109</v>
      </c>
      <c r="W10" s="29" t="s">
        <v>424</v>
      </c>
    </row>
    <row r="11" spans="1:23" x14ac:dyDescent="0.3">
      <c r="A11" s="7">
        <v>10</v>
      </c>
      <c r="B11" s="29" t="s">
        <v>23</v>
      </c>
      <c r="C11" s="29" t="s">
        <v>939</v>
      </c>
      <c r="D11" s="29">
        <v>50126270</v>
      </c>
      <c r="E11" s="29">
        <v>300</v>
      </c>
      <c r="F11" s="7">
        <v>229</v>
      </c>
      <c r="G11" s="7">
        <v>82</v>
      </c>
      <c r="H11" s="7" t="s">
        <v>1278</v>
      </c>
      <c r="I11" s="7" t="s">
        <v>109</v>
      </c>
      <c r="J11" s="7" t="s">
        <v>130</v>
      </c>
      <c r="K11" s="11">
        <v>0.77847222222222223</v>
      </c>
      <c r="L11" s="7" t="s">
        <v>109</v>
      </c>
      <c r="M11" s="7" t="s">
        <v>109</v>
      </c>
      <c r="N11" s="32" t="s">
        <v>110</v>
      </c>
      <c r="O11" s="29" t="s">
        <v>61</v>
      </c>
      <c r="P11" s="7" t="s">
        <v>131</v>
      </c>
      <c r="Q11" s="7" t="s">
        <v>241</v>
      </c>
      <c r="R11" s="7" t="s">
        <v>62</v>
      </c>
      <c r="S11" s="7" t="s">
        <v>109</v>
      </c>
      <c r="T11" s="7" t="s">
        <v>109</v>
      </c>
      <c r="U11" s="28" t="b">
        <f t="shared" si="0"/>
        <v>0</v>
      </c>
      <c r="V11" s="7" t="s">
        <v>1315</v>
      </c>
      <c r="W11" s="29" t="s">
        <v>424</v>
      </c>
    </row>
    <row r="12" spans="1:23" x14ac:dyDescent="0.3">
      <c r="A12" s="7">
        <v>11</v>
      </c>
      <c r="B12" s="29" t="s">
        <v>23</v>
      </c>
      <c r="C12" s="29" t="s">
        <v>848</v>
      </c>
      <c r="D12" s="29">
        <v>50126212</v>
      </c>
      <c r="E12" s="29">
        <v>300</v>
      </c>
      <c r="F12" s="7">
        <v>261</v>
      </c>
      <c r="G12" s="7">
        <v>170</v>
      </c>
      <c r="H12" s="7" t="s">
        <v>1279</v>
      </c>
      <c r="I12" s="7" t="s">
        <v>109</v>
      </c>
      <c r="J12" s="7" t="s">
        <v>130</v>
      </c>
      <c r="K12" s="11">
        <v>0.74583333333333335</v>
      </c>
      <c r="L12" s="7" t="s">
        <v>109</v>
      </c>
      <c r="M12" s="7" t="s">
        <v>109</v>
      </c>
      <c r="N12" s="32" t="s">
        <v>110</v>
      </c>
      <c r="O12" s="29" t="s">
        <v>61</v>
      </c>
      <c r="P12" s="7" t="s">
        <v>131</v>
      </c>
      <c r="Q12" s="7" t="s">
        <v>70</v>
      </c>
      <c r="R12" s="7" t="s">
        <v>62</v>
      </c>
      <c r="S12" s="7" t="s">
        <v>109</v>
      </c>
      <c r="T12" s="7" t="s">
        <v>109</v>
      </c>
      <c r="U12" s="28" t="b">
        <f t="shared" si="0"/>
        <v>0</v>
      </c>
      <c r="V12" s="7" t="s">
        <v>1315</v>
      </c>
      <c r="W12" s="29" t="s">
        <v>424</v>
      </c>
    </row>
    <row r="13" spans="1:23" x14ac:dyDescent="0.3">
      <c r="A13" s="7">
        <v>12</v>
      </c>
      <c r="B13" s="29" t="s">
        <v>23</v>
      </c>
      <c r="C13" s="29" t="s">
        <v>850</v>
      </c>
      <c r="D13" s="29">
        <v>50126214</v>
      </c>
      <c r="E13" s="29">
        <v>600</v>
      </c>
      <c r="F13" s="7">
        <v>1183</v>
      </c>
      <c r="G13" s="7">
        <v>451</v>
      </c>
      <c r="H13" s="7" t="s">
        <v>1280</v>
      </c>
      <c r="I13" s="7" t="s">
        <v>109</v>
      </c>
      <c r="J13" s="7" t="s">
        <v>130</v>
      </c>
      <c r="K13" s="11">
        <v>0.78611111111111109</v>
      </c>
      <c r="L13" s="7" t="s">
        <v>109</v>
      </c>
      <c r="M13" s="7" t="s">
        <v>109</v>
      </c>
      <c r="N13" s="32" t="s">
        <v>110</v>
      </c>
      <c r="O13" s="29" t="s">
        <v>61</v>
      </c>
      <c r="P13" s="7" t="s">
        <v>131</v>
      </c>
      <c r="Q13" s="7" t="s">
        <v>68</v>
      </c>
      <c r="R13" s="7" t="s">
        <v>62</v>
      </c>
      <c r="S13" s="7" t="s">
        <v>109</v>
      </c>
      <c r="T13" s="7" t="s">
        <v>109</v>
      </c>
      <c r="U13" s="28" t="b">
        <f t="shared" si="0"/>
        <v>0</v>
      </c>
      <c r="V13" s="7" t="s">
        <v>1315</v>
      </c>
      <c r="W13" s="29" t="s">
        <v>424</v>
      </c>
    </row>
    <row r="14" spans="1:23" x14ac:dyDescent="0.3">
      <c r="A14" s="7">
        <v>13</v>
      </c>
      <c r="B14" s="29" t="s">
        <v>23</v>
      </c>
      <c r="C14" s="29" t="s">
        <v>840</v>
      </c>
      <c r="D14" s="29">
        <v>50126075</v>
      </c>
      <c r="E14" s="29">
        <v>185</v>
      </c>
      <c r="F14" s="7">
        <v>324</v>
      </c>
      <c r="G14" s="7">
        <v>194</v>
      </c>
      <c r="H14" s="7" t="s">
        <v>1281</v>
      </c>
      <c r="I14" s="7" t="s">
        <v>109</v>
      </c>
      <c r="J14" s="7" t="s">
        <v>130</v>
      </c>
      <c r="K14" s="11">
        <v>0.69930555555555551</v>
      </c>
      <c r="L14" s="7" t="s">
        <v>109</v>
      </c>
      <c r="M14" s="7" t="s">
        <v>109</v>
      </c>
      <c r="N14" s="32" t="s">
        <v>110</v>
      </c>
      <c r="O14" s="29" t="s">
        <v>61</v>
      </c>
      <c r="P14" s="7" t="s">
        <v>131</v>
      </c>
      <c r="Q14" s="7" t="s">
        <v>65</v>
      </c>
      <c r="R14" s="7" t="s">
        <v>62</v>
      </c>
      <c r="S14" s="7" t="s">
        <v>109</v>
      </c>
      <c r="T14" s="7" t="s">
        <v>109</v>
      </c>
      <c r="U14" s="28" t="b">
        <f t="shared" si="0"/>
        <v>1</v>
      </c>
      <c r="V14" s="7" t="s">
        <v>109</v>
      </c>
      <c r="W14" s="29" t="s">
        <v>424</v>
      </c>
    </row>
    <row r="15" spans="1:23" x14ac:dyDescent="0.3">
      <c r="A15" s="7">
        <v>14</v>
      </c>
      <c r="B15" s="29" t="s">
        <v>23</v>
      </c>
      <c r="C15" s="29" t="s">
        <v>819</v>
      </c>
      <c r="D15" s="29">
        <v>50126227</v>
      </c>
      <c r="E15" s="29">
        <v>100</v>
      </c>
      <c r="F15" s="7">
        <v>195</v>
      </c>
      <c r="G15" s="7">
        <v>95</v>
      </c>
      <c r="H15" s="7" t="s">
        <v>67</v>
      </c>
      <c r="I15" s="7" t="s">
        <v>109</v>
      </c>
      <c r="J15" s="7" t="s">
        <v>130</v>
      </c>
      <c r="K15" s="11">
        <v>0.8125</v>
      </c>
      <c r="L15" s="7" t="s">
        <v>109</v>
      </c>
      <c r="M15" s="7" t="s">
        <v>109</v>
      </c>
      <c r="N15" s="29" t="s">
        <v>109</v>
      </c>
      <c r="O15" s="29" t="s">
        <v>61</v>
      </c>
      <c r="P15" s="7" t="s">
        <v>131</v>
      </c>
      <c r="Q15" s="7" t="s">
        <v>67</v>
      </c>
      <c r="R15" s="7" t="s">
        <v>62</v>
      </c>
      <c r="S15" s="7" t="s">
        <v>109</v>
      </c>
      <c r="T15" s="7" t="s">
        <v>109</v>
      </c>
      <c r="U15" s="28" t="b">
        <f t="shared" si="0"/>
        <v>0</v>
      </c>
      <c r="V15" s="7" t="s">
        <v>109</v>
      </c>
      <c r="W15" s="29" t="s">
        <v>424</v>
      </c>
    </row>
    <row r="16" spans="1:23" x14ac:dyDescent="0.3">
      <c r="A16" s="7">
        <v>15</v>
      </c>
      <c r="B16" s="29" t="s">
        <v>23</v>
      </c>
      <c r="C16" s="29" t="s">
        <v>529</v>
      </c>
      <c r="D16" s="29">
        <v>50126059</v>
      </c>
      <c r="E16" s="29">
        <v>85</v>
      </c>
      <c r="F16" s="7">
        <v>160</v>
      </c>
      <c r="G16" s="7">
        <v>75</v>
      </c>
      <c r="H16" s="7" t="s">
        <v>154</v>
      </c>
      <c r="I16" s="7" t="s">
        <v>109</v>
      </c>
      <c r="J16" s="7" t="s">
        <v>130</v>
      </c>
      <c r="K16" s="11">
        <v>0.72291666666666665</v>
      </c>
      <c r="L16" s="7" t="s">
        <v>109</v>
      </c>
      <c r="M16" s="7" t="s">
        <v>109</v>
      </c>
      <c r="N16" s="29" t="s">
        <v>109</v>
      </c>
      <c r="O16" s="29" t="s">
        <v>61</v>
      </c>
      <c r="P16" s="7" t="s">
        <v>131</v>
      </c>
      <c r="Q16" s="7" t="s">
        <v>154</v>
      </c>
      <c r="R16" s="7" t="s">
        <v>62</v>
      </c>
      <c r="S16" s="7" t="s">
        <v>109</v>
      </c>
      <c r="T16" s="7" t="s">
        <v>109</v>
      </c>
      <c r="U16" s="28" t="b">
        <f t="shared" si="0"/>
        <v>0</v>
      </c>
      <c r="V16" s="7" t="s">
        <v>1313</v>
      </c>
      <c r="W16" s="29" t="s">
        <v>424</v>
      </c>
    </row>
    <row r="17" spans="1:23" x14ac:dyDescent="0.3">
      <c r="A17" s="7">
        <v>16</v>
      </c>
      <c r="B17" s="29" t="s">
        <v>23</v>
      </c>
      <c r="C17" s="29" t="s">
        <v>1173</v>
      </c>
      <c r="D17" s="29">
        <v>50126327</v>
      </c>
      <c r="E17" s="29">
        <v>150</v>
      </c>
      <c r="F17" s="7">
        <v>263</v>
      </c>
      <c r="G17" s="7">
        <v>154</v>
      </c>
      <c r="H17" s="7" t="s">
        <v>1282</v>
      </c>
      <c r="I17" s="7" t="s">
        <v>109</v>
      </c>
      <c r="J17" s="7" t="s">
        <v>130</v>
      </c>
      <c r="K17" s="11">
        <v>0.92083333333333328</v>
      </c>
      <c r="L17" s="7" t="s">
        <v>109</v>
      </c>
      <c r="M17" s="7" t="s">
        <v>109</v>
      </c>
      <c r="N17" s="29" t="s">
        <v>109</v>
      </c>
      <c r="O17" s="29" t="s">
        <v>61</v>
      </c>
      <c r="P17" s="7" t="s">
        <v>131</v>
      </c>
      <c r="Q17" s="7" t="s">
        <v>214</v>
      </c>
      <c r="R17" s="7" t="s">
        <v>62</v>
      </c>
      <c r="S17" s="7" t="s">
        <v>109</v>
      </c>
      <c r="T17" s="7" t="s">
        <v>109</v>
      </c>
      <c r="U17" s="28" t="b">
        <f t="shared" si="0"/>
        <v>1</v>
      </c>
      <c r="V17" s="7" t="s">
        <v>109</v>
      </c>
      <c r="W17" s="29" t="s">
        <v>424</v>
      </c>
    </row>
    <row r="18" spans="1:23" x14ac:dyDescent="0.3">
      <c r="A18" s="7">
        <v>17</v>
      </c>
      <c r="B18" s="29" t="s">
        <v>23</v>
      </c>
      <c r="C18" s="29" t="s">
        <v>1172</v>
      </c>
      <c r="D18" s="29">
        <v>50126328</v>
      </c>
      <c r="E18" s="29">
        <v>100</v>
      </c>
      <c r="F18" s="7">
        <v>161</v>
      </c>
      <c r="G18" s="7">
        <v>106</v>
      </c>
      <c r="H18" s="7" t="s">
        <v>196</v>
      </c>
      <c r="I18" s="7" t="s">
        <v>109</v>
      </c>
      <c r="J18" s="7" t="s">
        <v>130</v>
      </c>
      <c r="K18" s="11">
        <v>0.87013888888888891</v>
      </c>
      <c r="L18" s="7" t="s">
        <v>109</v>
      </c>
      <c r="M18" s="7" t="s">
        <v>109</v>
      </c>
      <c r="N18" s="29" t="s">
        <v>109</v>
      </c>
      <c r="O18" s="29" t="s">
        <v>61</v>
      </c>
      <c r="P18" s="7" t="s">
        <v>131</v>
      </c>
      <c r="Q18" s="7" t="s">
        <v>196</v>
      </c>
      <c r="R18" s="7" t="s">
        <v>62</v>
      </c>
      <c r="S18" s="7" t="s">
        <v>109</v>
      </c>
      <c r="T18" s="7" t="s">
        <v>109</v>
      </c>
      <c r="U18" s="28" t="b">
        <f t="shared" si="0"/>
        <v>1</v>
      </c>
      <c r="V18" s="7" t="s">
        <v>109</v>
      </c>
      <c r="W18" s="29" t="s">
        <v>424</v>
      </c>
    </row>
    <row r="19" spans="1:23" x14ac:dyDescent="0.3">
      <c r="A19" s="7">
        <v>18</v>
      </c>
      <c r="B19" s="29" t="s">
        <v>23</v>
      </c>
      <c r="C19" s="29" t="s">
        <v>832</v>
      </c>
      <c r="D19" s="29">
        <v>50126109</v>
      </c>
      <c r="E19" s="29">
        <v>85</v>
      </c>
      <c r="F19" s="7">
        <v>95</v>
      </c>
      <c r="G19" s="7">
        <v>86</v>
      </c>
      <c r="H19" s="7" t="s">
        <v>70</v>
      </c>
      <c r="I19" s="7" t="s">
        <v>109</v>
      </c>
      <c r="J19" s="7" t="s">
        <v>130</v>
      </c>
      <c r="K19" s="11">
        <v>0.95833333333333337</v>
      </c>
      <c r="L19" s="7" t="s">
        <v>109</v>
      </c>
      <c r="M19" s="7" t="s">
        <v>109</v>
      </c>
      <c r="N19" s="29" t="s">
        <v>109</v>
      </c>
      <c r="O19" s="29" t="s">
        <v>61</v>
      </c>
      <c r="P19" s="7" t="s">
        <v>131</v>
      </c>
      <c r="Q19" s="7" t="s">
        <v>70</v>
      </c>
      <c r="R19" s="7" t="s">
        <v>62</v>
      </c>
      <c r="S19" s="7" t="s">
        <v>109</v>
      </c>
      <c r="T19" s="7" t="s">
        <v>109</v>
      </c>
      <c r="U19" s="28" t="b">
        <f t="shared" si="0"/>
        <v>1</v>
      </c>
      <c r="V19" s="7" t="s">
        <v>109</v>
      </c>
      <c r="W19" s="29" t="s">
        <v>424</v>
      </c>
    </row>
    <row r="20" spans="1:23" x14ac:dyDescent="0.3">
      <c r="A20" s="7">
        <v>19</v>
      </c>
      <c r="B20" s="29" t="s">
        <v>23</v>
      </c>
      <c r="C20" s="29" t="s">
        <v>836</v>
      </c>
      <c r="D20" s="29">
        <v>50126104</v>
      </c>
      <c r="E20" s="29">
        <v>65</v>
      </c>
      <c r="F20" s="7">
        <v>139</v>
      </c>
      <c r="G20" s="7">
        <v>14</v>
      </c>
      <c r="H20" s="7" t="s">
        <v>184</v>
      </c>
      <c r="I20" s="7" t="s">
        <v>109</v>
      </c>
      <c r="J20" s="7" t="s">
        <v>130</v>
      </c>
      <c r="K20" s="11">
        <v>0.90208333333333335</v>
      </c>
      <c r="L20" s="7" t="s">
        <v>109</v>
      </c>
      <c r="M20" s="7" t="s">
        <v>109</v>
      </c>
      <c r="N20" s="29" t="s">
        <v>109</v>
      </c>
      <c r="O20" s="29" t="s">
        <v>61</v>
      </c>
      <c r="P20" s="7" t="s">
        <v>131</v>
      </c>
      <c r="Q20" s="7" t="s">
        <v>520</v>
      </c>
      <c r="R20" s="7" t="s">
        <v>62</v>
      </c>
      <c r="S20" s="7" t="s">
        <v>109</v>
      </c>
      <c r="T20" s="7" t="s">
        <v>109</v>
      </c>
      <c r="U20" s="28" t="b">
        <f t="shared" si="0"/>
        <v>0</v>
      </c>
      <c r="V20" s="7" t="s">
        <v>109</v>
      </c>
      <c r="W20" s="29" t="s">
        <v>424</v>
      </c>
    </row>
    <row r="21" spans="1:23" x14ac:dyDescent="0.3">
      <c r="A21" s="7">
        <v>20</v>
      </c>
      <c r="B21" s="29" t="s">
        <v>23</v>
      </c>
      <c r="C21" s="29" t="s">
        <v>537</v>
      </c>
      <c r="D21" s="29">
        <v>50126097</v>
      </c>
      <c r="E21" s="29">
        <v>30</v>
      </c>
      <c r="F21" s="7" t="s">
        <v>109</v>
      </c>
      <c r="G21" s="7" t="s">
        <v>109</v>
      </c>
      <c r="H21" s="7" t="s">
        <v>274</v>
      </c>
      <c r="I21" s="7" t="s">
        <v>109</v>
      </c>
      <c r="J21" s="18" t="s">
        <v>85</v>
      </c>
      <c r="K21" s="7" t="s">
        <v>109</v>
      </c>
      <c r="L21" s="7" t="s">
        <v>109</v>
      </c>
      <c r="M21" s="7" t="s">
        <v>109</v>
      </c>
      <c r="N21" s="29" t="s">
        <v>109</v>
      </c>
      <c r="O21" s="29" t="s">
        <v>61</v>
      </c>
      <c r="P21" s="7" t="s">
        <v>109</v>
      </c>
      <c r="Q21" s="7" t="s">
        <v>109</v>
      </c>
      <c r="R21" s="7" t="s">
        <v>62</v>
      </c>
      <c r="S21" s="7" t="s">
        <v>109</v>
      </c>
      <c r="T21" s="7" t="s">
        <v>109</v>
      </c>
      <c r="U21" s="28" t="b">
        <f t="shared" si="0"/>
        <v>1</v>
      </c>
      <c r="V21" s="7" t="s">
        <v>109</v>
      </c>
      <c r="W21" s="29" t="s">
        <v>424</v>
      </c>
    </row>
    <row r="22" spans="1:23" x14ac:dyDescent="0.3">
      <c r="A22" s="7">
        <v>21</v>
      </c>
      <c r="B22" s="29" t="s">
        <v>23</v>
      </c>
      <c r="C22" s="29" t="s">
        <v>536</v>
      </c>
      <c r="D22" s="29">
        <v>50126098</v>
      </c>
      <c r="E22" s="29">
        <v>40</v>
      </c>
      <c r="F22" s="7" t="s">
        <v>109</v>
      </c>
      <c r="G22" s="7" t="s">
        <v>109</v>
      </c>
      <c r="H22" s="7" t="s">
        <v>84</v>
      </c>
      <c r="I22" s="7" t="s">
        <v>109</v>
      </c>
      <c r="J22" s="18" t="s">
        <v>85</v>
      </c>
      <c r="K22" s="7" t="s">
        <v>109</v>
      </c>
      <c r="L22" s="7" t="s">
        <v>109</v>
      </c>
      <c r="M22" s="7" t="s">
        <v>109</v>
      </c>
      <c r="N22" s="29" t="s">
        <v>109</v>
      </c>
      <c r="O22" s="29" t="s">
        <v>61</v>
      </c>
      <c r="P22" s="7" t="s">
        <v>109</v>
      </c>
      <c r="Q22" s="7" t="s">
        <v>109</v>
      </c>
      <c r="R22" s="7" t="s">
        <v>62</v>
      </c>
      <c r="S22" s="7" t="s">
        <v>109</v>
      </c>
      <c r="T22" s="7" t="s">
        <v>109</v>
      </c>
      <c r="U22" s="28" t="b">
        <f t="shared" si="0"/>
        <v>1</v>
      </c>
      <c r="V22" s="7" t="s">
        <v>109</v>
      </c>
      <c r="W22" s="29" t="s">
        <v>424</v>
      </c>
    </row>
    <row r="23" spans="1:23" x14ac:dyDescent="0.3">
      <c r="A23" s="7">
        <v>22</v>
      </c>
      <c r="B23" s="29" t="s">
        <v>23</v>
      </c>
      <c r="C23" s="29" t="s">
        <v>1022</v>
      </c>
      <c r="D23" s="29">
        <v>51225088</v>
      </c>
      <c r="E23" s="29">
        <v>150</v>
      </c>
      <c r="F23" s="7">
        <v>183</v>
      </c>
      <c r="G23" s="7">
        <v>63</v>
      </c>
      <c r="H23" s="7" t="s">
        <v>1283</v>
      </c>
      <c r="I23" s="7" t="s">
        <v>109</v>
      </c>
      <c r="J23" s="7" t="s">
        <v>130</v>
      </c>
      <c r="K23" s="11">
        <v>0.93194444444444446</v>
      </c>
      <c r="L23" s="7" t="s">
        <v>109</v>
      </c>
      <c r="M23" s="7" t="s">
        <v>109</v>
      </c>
      <c r="N23" s="32" t="s">
        <v>1284</v>
      </c>
      <c r="O23" s="29" t="s">
        <v>61</v>
      </c>
      <c r="P23" s="7" t="s">
        <v>131</v>
      </c>
      <c r="Q23" s="7" t="s">
        <v>196</v>
      </c>
      <c r="R23" s="7" t="s">
        <v>62</v>
      </c>
      <c r="S23" s="7" t="s">
        <v>109</v>
      </c>
      <c r="T23" s="7" t="s">
        <v>109</v>
      </c>
      <c r="U23" s="28" t="b">
        <f t="shared" si="0"/>
        <v>0</v>
      </c>
      <c r="V23" s="7" t="s">
        <v>291</v>
      </c>
      <c r="W23" s="29" t="s">
        <v>1024</v>
      </c>
    </row>
    <row r="24" spans="1:23" x14ac:dyDescent="0.3">
      <c r="A24" s="7">
        <v>23</v>
      </c>
      <c r="B24" s="29" t="s">
        <v>23</v>
      </c>
      <c r="C24" s="29" t="s">
        <v>1025</v>
      </c>
      <c r="D24" s="29">
        <v>51225087</v>
      </c>
      <c r="E24" s="29">
        <v>100</v>
      </c>
      <c r="F24" s="7">
        <v>51</v>
      </c>
      <c r="G24" s="7">
        <v>11</v>
      </c>
      <c r="H24" s="53" t="s">
        <v>66</v>
      </c>
      <c r="I24" s="7" t="s">
        <v>109</v>
      </c>
      <c r="J24" s="7" t="s">
        <v>130</v>
      </c>
      <c r="K24" s="11">
        <v>0.99305555555555558</v>
      </c>
      <c r="L24" s="7" t="s">
        <v>109</v>
      </c>
      <c r="M24" s="7" t="s">
        <v>109</v>
      </c>
      <c r="N24" s="32" t="s">
        <v>1284</v>
      </c>
      <c r="O24" s="29" t="s">
        <v>61</v>
      </c>
      <c r="P24" s="7" t="s">
        <v>131</v>
      </c>
      <c r="Q24" s="7" t="s">
        <v>66</v>
      </c>
      <c r="R24" s="7" t="s">
        <v>62</v>
      </c>
      <c r="S24" s="7" t="s">
        <v>109</v>
      </c>
      <c r="T24" s="7" t="s">
        <v>109</v>
      </c>
      <c r="U24" s="28" t="b">
        <f t="shared" si="0"/>
        <v>0</v>
      </c>
      <c r="V24" s="7" t="s">
        <v>109</v>
      </c>
      <c r="W24" s="29" t="s">
        <v>1024</v>
      </c>
    </row>
    <row r="25" spans="1:23" x14ac:dyDescent="0.3">
      <c r="A25" s="7">
        <v>24</v>
      </c>
      <c r="B25" s="29" t="s">
        <v>23</v>
      </c>
      <c r="C25" s="29" t="s">
        <v>1285</v>
      </c>
      <c r="D25" s="29">
        <v>50126330</v>
      </c>
      <c r="E25" s="29">
        <v>90</v>
      </c>
      <c r="F25" s="7">
        <v>120</v>
      </c>
      <c r="G25" s="7">
        <v>91</v>
      </c>
      <c r="H25" s="7" t="s">
        <v>153</v>
      </c>
      <c r="I25" s="7" t="s">
        <v>109</v>
      </c>
      <c r="J25" s="7" t="s">
        <v>130</v>
      </c>
      <c r="K25" s="11">
        <v>0.95486111111111116</v>
      </c>
      <c r="L25" s="7" t="s">
        <v>109</v>
      </c>
      <c r="M25" s="7" t="s">
        <v>109</v>
      </c>
      <c r="N25" s="32" t="s">
        <v>1284</v>
      </c>
      <c r="O25" s="29" t="s">
        <v>61</v>
      </c>
      <c r="P25" s="7" t="s">
        <v>131</v>
      </c>
      <c r="Q25" s="7" t="s">
        <v>153</v>
      </c>
      <c r="R25" s="7" t="s">
        <v>62</v>
      </c>
      <c r="S25" s="7" t="s">
        <v>109</v>
      </c>
      <c r="T25" s="7" t="s">
        <v>109</v>
      </c>
      <c r="U25" s="28" t="b">
        <f t="shared" si="0"/>
        <v>1</v>
      </c>
      <c r="V25" s="7" t="s">
        <v>109</v>
      </c>
      <c r="W25" s="29" t="s">
        <v>266</v>
      </c>
    </row>
    <row r="26" spans="1:23" x14ac:dyDescent="0.3">
      <c r="A26" s="7">
        <v>25</v>
      </c>
      <c r="B26" s="29" t="s">
        <v>23</v>
      </c>
      <c r="C26" s="29" t="s">
        <v>1286</v>
      </c>
      <c r="D26" s="29">
        <v>50126332</v>
      </c>
      <c r="E26" s="29">
        <v>70</v>
      </c>
      <c r="F26" s="7">
        <v>95</v>
      </c>
      <c r="G26" s="7">
        <v>75</v>
      </c>
      <c r="H26" s="53" t="s">
        <v>196</v>
      </c>
      <c r="I26" s="7" t="s">
        <v>109</v>
      </c>
      <c r="J26" s="7" t="s">
        <v>130</v>
      </c>
      <c r="K26" s="11">
        <v>0.67708333333333337</v>
      </c>
      <c r="L26" s="7" t="s">
        <v>109</v>
      </c>
      <c r="M26" s="7" t="s">
        <v>109</v>
      </c>
      <c r="N26" s="32" t="s">
        <v>1284</v>
      </c>
      <c r="O26" s="29" t="s">
        <v>61</v>
      </c>
      <c r="P26" s="7" t="s">
        <v>131</v>
      </c>
      <c r="Q26" s="7" t="s">
        <v>196</v>
      </c>
      <c r="R26" s="7" t="s">
        <v>62</v>
      </c>
      <c r="S26" s="7" t="s">
        <v>109</v>
      </c>
      <c r="T26" s="7" t="s">
        <v>109</v>
      </c>
      <c r="U26" s="28" t="b">
        <f t="shared" si="0"/>
        <v>1</v>
      </c>
      <c r="V26" s="7" t="s">
        <v>109</v>
      </c>
      <c r="W26" s="29" t="s">
        <v>266</v>
      </c>
    </row>
    <row r="27" spans="1:23" x14ac:dyDescent="0.3">
      <c r="A27" s="7">
        <v>26</v>
      </c>
      <c r="B27" s="29" t="s">
        <v>23</v>
      </c>
      <c r="C27" s="29" t="s">
        <v>1287</v>
      </c>
      <c r="D27" s="29">
        <v>50126331</v>
      </c>
      <c r="E27" s="29">
        <v>80</v>
      </c>
      <c r="F27" s="7">
        <v>107</v>
      </c>
      <c r="G27" s="7">
        <v>80</v>
      </c>
      <c r="H27" s="53" t="s">
        <v>72</v>
      </c>
      <c r="I27" s="7" t="s">
        <v>109</v>
      </c>
      <c r="J27" s="7" t="s">
        <v>130</v>
      </c>
      <c r="K27" s="11">
        <v>0.8208333333333333</v>
      </c>
      <c r="L27" s="7" t="s">
        <v>109</v>
      </c>
      <c r="M27" s="7" t="s">
        <v>109</v>
      </c>
      <c r="N27" s="32" t="s">
        <v>1284</v>
      </c>
      <c r="O27" s="29" t="s">
        <v>61</v>
      </c>
      <c r="P27" s="7" t="s">
        <v>131</v>
      </c>
      <c r="Q27" s="7" t="s">
        <v>72</v>
      </c>
      <c r="R27" s="7" t="s">
        <v>62</v>
      </c>
      <c r="S27" s="7" t="s">
        <v>109</v>
      </c>
      <c r="T27" s="7" t="s">
        <v>109</v>
      </c>
      <c r="U27" s="28" t="b">
        <f t="shared" si="0"/>
        <v>1</v>
      </c>
      <c r="V27" s="7" t="s">
        <v>109</v>
      </c>
      <c r="W27" s="29" t="s">
        <v>266</v>
      </c>
    </row>
    <row r="28" spans="1:23" x14ac:dyDescent="0.3">
      <c r="A28" s="7">
        <v>27</v>
      </c>
      <c r="B28" s="29" t="s">
        <v>143</v>
      </c>
      <c r="C28" s="29" t="s">
        <v>775</v>
      </c>
      <c r="D28" s="29">
        <v>10126014</v>
      </c>
      <c r="E28" s="29">
        <v>25</v>
      </c>
      <c r="F28" s="7">
        <v>34</v>
      </c>
      <c r="G28" s="7">
        <v>14</v>
      </c>
      <c r="H28" s="7" t="s">
        <v>72</v>
      </c>
      <c r="I28" s="7" t="s">
        <v>89</v>
      </c>
      <c r="J28" s="7" t="s">
        <v>130</v>
      </c>
      <c r="K28" s="11">
        <v>0.8881944444444444</v>
      </c>
      <c r="L28" s="11">
        <v>0.93958333333333333</v>
      </c>
      <c r="M28" s="7" t="s">
        <v>109</v>
      </c>
      <c r="N28" s="29" t="s">
        <v>109</v>
      </c>
      <c r="O28" s="29" t="s">
        <v>61</v>
      </c>
      <c r="P28" s="7" t="s">
        <v>131</v>
      </c>
      <c r="Q28" s="7" t="s">
        <v>89</v>
      </c>
      <c r="R28" s="7" t="s">
        <v>62</v>
      </c>
      <c r="S28" s="7" t="s">
        <v>109</v>
      </c>
      <c r="T28" s="7" t="s">
        <v>109</v>
      </c>
      <c r="U28" s="28" t="b">
        <f t="shared" si="0"/>
        <v>0</v>
      </c>
      <c r="V28" s="7" t="s">
        <v>109</v>
      </c>
      <c r="W28" s="29" t="s">
        <v>351</v>
      </c>
    </row>
    <row r="29" spans="1:23" x14ac:dyDescent="0.3">
      <c r="A29" s="7">
        <v>28</v>
      </c>
      <c r="B29" s="29" t="s">
        <v>143</v>
      </c>
      <c r="C29" s="29" t="s">
        <v>776</v>
      </c>
      <c r="D29" s="29">
        <v>11125075</v>
      </c>
      <c r="E29" s="29">
        <v>25</v>
      </c>
      <c r="F29" s="7">
        <v>60</v>
      </c>
      <c r="G29" s="7">
        <v>21</v>
      </c>
      <c r="H29" s="7" t="s">
        <v>64</v>
      </c>
      <c r="I29" s="7" t="s">
        <v>86</v>
      </c>
      <c r="J29" s="7" t="s">
        <v>130</v>
      </c>
      <c r="K29" s="11">
        <v>0.80694444444444446</v>
      </c>
      <c r="L29" s="11">
        <v>0.8208333333333333</v>
      </c>
      <c r="M29" s="7" t="s">
        <v>109</v>
      </c>
      <c r="N29" s="29" t="s">
        <v>109</v>
      </c>
      <c r="O29" s="29" t="s">
        <v>61</v>
      </c>
      <c r="P29" s="7" t="s">
        <v>131</v>
      </c>
      <c r="Q29" s="7" t="s">
        <v>86</v>
      </c>
      <c r="R29" s="7" t="s">
        <v>62</v>
      </c>
      <c r="S29" s="7" t="s">
        <v>109</v>
      </c>
      <c r="T29" s="7" t="s">
        <v>109</v>
      </c>
      <c r="U29" s="28" t="b">
        <f t="shared" si="0"/>
        <v>0</v>
      </c>
      <c r="V29" s="7" t="s">
        <v>109</v>
      </c>
      <c r="W29" s="29" t="s">
        <v>777</v>
      </c>
    </row>
    <row r="30" spans="1:23" x14ac:dyDescent="0.3">
      <c r="A30" s="7">
        <v>29</v>
      </c>
      <c r="B30" s="29" t="s">
        <v>143</v>
      </c>
      <c r="C30" s="29" t="s">
        <v>781</v>
      </c>
      <c r="D30" s="29">
        <v>10126009</v>
      </c>
      <c r="E30" s="29">
        <v>18</v>
      </c>
      <c r="F30" s="7">
        <v>70</v>
      </c>
      <c r="G30" s="7">
        <v>18</v>
      </c>
      <c r="H30" s="7" t="s">
        <v>69</v>
      </c>
      <c r="I30" s="53" t="s">
        <v>90</v>
      </c>
      <c r="J30" s="7" t="s">
        <v>130</v>
      </c>
      <c r="K30" s="11">
        <v>0.74583333333333335</v>
      </c>
      <c r="L30" s="11">
        <v>0.80555555555555558</v>
      </c>
      <c r="M30" s="7" t="s">
        <v>109</v>
      </c>
      <c r="N30" s="29" t="s">
        <v>109</v>
      </c>
      <c r="O30" s="29" t="s">
        <v>61</v>
      </c>
      <c r="P30" s="7" t="s">
        <v>131</v>
      </c>
      <c r="Q30" s="7" t="s">
        <v>90</v>
      </c>
      <c r="R30" s="7" t="s">
        <v>62</v>
      </c>
      <c r="S30" s="7" t="s">
        <v>109</v>
      </c>
      <c r="T30" s="7" t="s">
        <v>109</v>
      </c>
      <c r="U30" s="28" t="b">
        <f t="shared" si="0"/>
        <v>1</v>
      </c>
      <c r="V30" s="7" t="s">
        <v>109</v>
      </c>
      <c r="W30" s="29" t="s">
        <v>398</v>
      </c>
    </row>
    <row r="31" spans="1:23" x14ac:dyDescent="0.3">
      <c r="A31" s="7">
        <v>30</v>
      </c>
      <c r="B31" s="29" t="s">
        <v>143</v>
      </c>
      <c r="C31" s="29" t="s">
        <v>1059</v>
      </c>
      <c r="D31" s="29">
        <v>10126016</v>
      </c>
      <c r="E31" s="29">
        <v>45</v>
      </c>
      <c r="F31" s="7">
        <v>84</v>
      </c>
      <c r="G31" s="7">
        <v>10</v>
      </c>
      <c r="H31" s="53" t="s">
        <v>241</v>
      </c>
      <c r="I31" s="7" t="s">
        <v>154</v>
      </c>
      <c r="J31" s="7" t="s">
        <v>130</v>
      </c>
      <c r="K31" s="11">
        <v>0.88055555555555554</v>
      </c>
      <c r="L31" s="11">
        <v>0.9868055555555556</v>
      </c>
      <c r="M31" s="7" t="s">
        <v>109</v>
      </c>
      <c r="N31" s="29" t="s">
        <v>109</v>
      </c>
      <c r="O31" s="29" t="s">
        <v>61</v>
      </c>
      <c r="P31" s="7" t="s">
        <v>131</v>
      </c>
      <c r="Q31" s="7" t="s">
        <v>370</v>
      </c>
      <c r="R31" s="7" t="s">
        <v>62</v>
      </c>
      <c r="S31" s="7" t="s">
        <v>109</v>
      </c>
      <c r="T31" s="7" t="s">
        <v>109</v>
      </c>
      <c r="U31" s="28" t="b">
        <f t="shared" si="0"/>
        <v>0</v>
      </c>
      <c r="V31" s="7" t="s">
        <v>1313</v>
      </c>
      <c r="W31" s="29" t="s">
        <v>398</v>
      </c>
    </row>
    <row r="32" spans="1:23" x14ac:dyDescent="0.3">
      <c r="A32" s="7">
        <v>31</v>
      </c>
      <c r="B32" s="29" t="s">
        <v>23</v>
      </c>
      <c r="C32" s="29" t="s">
        <v>377</v>
      </c>
      <c r="D32" s="29">
        <v>50425243</v>
      </c>
      <c r="E32" s="29">
        <v>33</v>
      </c>
      <c r="F32" s="7" t="s">
        <v>109</v>
      </c>
      <c r="G32" s="7" t="s">
        <v>109</v>
      </c>
      <c r="H32" s="53" t="s">
        <v>70</v>
      </c>
      <c r="I32" s="7" t="s">
        <v>109</v>
      </c>
      <c r="J32" s="18" t="s">
        <v>85</v>
      </c>
      <c r="K32" s="7" t="s">
        <v>109</v>
      </c>
      <c r="L32" s="7" t="s">
        <v>109</v>
      </c>
      <c r="M32" s="7" t="s">
        <v>109</v>
      </c>
      <c r="N32" s="32" t="s">
        <v>1288</v>
      </c>
      <c r="O32" s="29" t="s">
        <v>145</v>
      </c>
      <c r="P32" s="7" t="s">
        <v>109</v>
      </c>
      <c r="Q32" s="7" t="s">
        <v>109</v>
      </c>
      <c r="R32" s="7" t="s">
        <v>62</v>
      </c>
      <c r="S32" s="7" t="s">
        <v>109</v>
      </c>
      <c r="T32" s="7" t="s">
        <v>109</v>
      </c>
      <c r="U32" s="28" t="b">
        <f t="shared" si="0"/>
        <v>1</v>
      </c>
      <c r="V32" s="7" t="s">
        <v>109</v>
      </c>
      <c r="W32" s="29" t="s">
        <v>379</v>
      </c>
    </row>
    <row r="33" spans="1:23" x14ac:dyDescent="0.3">
      <c r="A33" s="7">
        <v>32</v>
      </c>
      <c r="B33" s="29" t="s">
        <v>23</v>
      </c>
      <c r="C33" s="29" t="s">
        <v>380</v>
      </c>
      <c r="D33" s="29">
        <v>50425241</v>
      </c>
      <c r="E33" s="29">
        <v>69</v>
      </c>
      <c r="F33" s="7">
        <v>66</v>
      </c>
      <c r="G33" s="7">
        <v>5</v>
      </c>
      <c r="H33" s="53" t="s">
        <v>274</v>
      </c>
      <c r="I33" s="7" t="s">
        <v>109</v>
      </c>
      <c r="J33" s="7" t="s">
        <v>130</v>
      </c>
      <c r="K33" s="11">
        <v>0.72986111111111107</v>
      </c>
      <c r="L33" s="7" t="s">
        <v>109</v>
      </c>
      <c r="M33" s="7" t="s">
        <v>109</v>
      </c>
      <c r="N33" s="29" t="s">
        <v>109</v>
      </c>
      <c r="O33" s="29" t="s">
        <v>61</v>
      </c>
      <c r="P33" s="7" t="s">
        <v>131</v>
      </c>
      <c r="Q33" s="7" t="s">
        <v>274</v>
      </c>
      <c r="R33" s="7" t="s">
        <v>62</v>
      </c>
      <c r="S33" s="7" t="s">
        <v>109</v>
      </c>
      <c r="T33" s="7" t="s">
        <v>109</v>
      </c>
      <c r="U33" s="28" t="b">
        <f t="shared" si="0"/>
        <v>0</v>
      </c>
      <c r="V33" s="7" t="s">
        <v>291</v>
      </c>
      <c r="W33" s="29" t="s">
        <v>379</v>
      </c>
    </row>
    <row r="34" spans="1:23" x14ac:dyDescent="0.3">
      <c r="A34" s="7">
        <v>33</v>
      </c>
      <c r="B34" s="29" t="s">
        <v>23</v>
      </c>
      <c r="C34" s="29" t="s">
        <v>228</v>
      </c>
      <c r="D34" s="29">
        <v>51225097</v>
      </c>
      <c r="E34" s="29">
        <v>120</v>
      </c>
      <c r="F34" s="7">
        <v>252</v>
      </c>
      <c r="G34" s="7">
        <v>112</v>
      </c>
      <c r="H34" s="7" t="s">
        <v>1289</v>
      </c>
      <c r="I34" s="7" t="s">
        <v>109</v>
      </c>
      <c r="J34" s="7" t="s">
        <v>130</v>
      </c>
      <c r="K34" s="11">
        <v>0.9770833333333333</v>
      </c>
      <c r="L34" s="7" t="s">
        <v>109</v>
      </c>
      <c r="M34" s="7" t="s">
        <v>109</v>
      </c>
      <c r="N34" s="32" t="s">
        <v>1232</v>
      </c>
      <c r="O34" s="29" t="s">
        <v>61</v>
      </c>
      <c r="P34" s="7" t="s">
        <v>131</v>
      </c>
      <c r="Q34" s="7" t="s">
        <v>69</v>
      </c>
      <c r="R34" s="7" t="s">
        <v>62</v>
      </c>
      <c r="S34" s="7" t="s">
        <v>109</v>
      </c>
      <c r="T34" s="7" t="s">
        <v>109</v>
      </c>
      <c r="U34" s="28" t="b">
        <f t="shared" ref="U34:U65" si="1">G:G&gt;=E:E</f>
        <v>0</v>
      </c>
      <c r="V34" s="7" t="s">
        <v>109</v>
      </c>
      <c r="W34" s="29" t="s">
        <v>117</v>
      </c>
    </row>
    <row r="35" spans="1:23" x14ac:dyDescent="0.3">
      <c r="A35" s="7">
        <v>34</v>
      </c>
      <c r="B35" s="29" t="s">
        <v>23</v>
      </c>
      <c r="C35" s="29" t="s">
        <v>338</v>
      </c>
      <c r="D35" s="29">
        <v>50126001</v>
      </c>
      <c r="E35" s="29">
        <v>260</v>
      </c>
      <c r="F35" s="7">
        <v>540</v>
      </c>
      <c r="G35" s="7">
        <v>203</v>
      </c>
      <c r="H35" s="53" t="s">
        <v>1290</v>
      </c>
      <c r="I35" s="7" t="s">
        <v>109</v>
      </c>
      <c r="J35" s="7" t="s">
        <v>130</v>
      </c>
      <c r="K35" s="11">
        <v>0.81458333333333333</v>
      </c>
      <c r="L35" s="7" t="s">
        <v>109</v>
      </c>
      <c r="M35" s="7" t="s">
        <v>109</v>
      </c>
      <c r="N35" s="32" t="s">
        <v>1232</v>
      </c>
      <c r="O35" s="29" t="s">
        <v>61</v>
      </c>
      <c r="P35" s="7" t="s">
        <v>131</v>
      </c>
      <c r="Q35" s="7" t="s">
        <v>69</v>
      </c>
      <c r="R35" s="7" t="s">
        <v>62</v>
      </c>
      <c r="S35" s="7" t="s">
        <v>109</v>
      </c>
      <c r="T35" s="7" t="s">
        <v>109</v>
      </c>
      <c r="U35" s="28" t="b">
        <f t="shared" si="1"/>
        <v>0</v>
      </c>
      <c r="V35" s="7" t="s">
        <v>1313</v>
      </c>
      <c r="W35" s="29" t="s">
        <v>341</v>
      </c>
    </row>
    <row r="36" spans="1:23" x14ac:dyDescent="0.3">
      <c r="A36" s="7">
        <v>35</v>
      </c>
      <c r="B36" s="29" t="s">
        <v>23</v>
      </c>
      <c r="C36" s="29" t="s">
        <v>345</v>
      </c>
      <c r="D36" s="29">
        <v>50126003</v>
      </c>
      <c r="E36" s="29">
        <v>280</v>
      </c>
      <c r="F36" s="7">
        <v>625</v>
      </c>
      <c r="G36" s="7">
        <v>173</v>
      </c>
      <c r="H36" s="7" t="s">
        <v>1291</v>
      </c>
      <c r="I36" s="7" t="s">
        <v>109</v>
      </c>
      <c r="J36" s="7" t="s">
        <v>130</v>
      </c>
      <c r="K36" s="11">
        <v>0.72152777777777777</v>
      </c>
      <c r="L36" s="7" t="s">
        <v>109</v>
      </c>
      <c r="M36" s="7" t="s">
        <v>109</v>
      </c>
      <c r="N36" s="32" t="s">
        <v>1232</v>
      </c>
      <c r="O36" s="29" t="s">
        <v>61</v>
      </c>
      <c r="P36" s="7" t="s">
        <v>131</v>
      </c>
      <c r="Q36" s="7" t="s">
        <v>241</v>
      </c>
      <c r="R36" s="7" t="s">
        <v>62</v>
      </c>
      <c r="S36" s="7" t="s">
        <v>109</v>
      </c>
      <c r="T36" s="7" t="s">
        <v>109</v>
      </c>
      <c r="U36" s="28" t="b">
        <f t="shared" si="1"/>
        <v>0</v>
      </c>
      <c r="V36" s="7" t="s">
        <v>1313</v>
      </c>
      <c r="W36" s="29" t="s">
        <v>341</v>
      </c>
    </row>
    <row r="37" spans="1:23" x14ac:dyDescent="0.3">
      <c r="A37" s="7">
        <v>36</v>
      </c>
      <c r="B37" s="29" t="s">
        <v>23</v>
      </c>
      <c r="C37" s="29" t="s">
        <v>1183</v>
      </c>
      <c r="D37" s="29">
        <v>50126324</v>
      </c>
      <c r="E37" s="29">
        <v>137</v>
      </c>
      <c r="F37" s="7">
        <v>80</v>
      </c>
      <c r="G37" s="7">
        <v>6</v>
      </c>
      <c r="H37" s="7" t="s">
        <v>1292</v>
      </c>
      <c r="I37" s="7" t="s">
        <v>109</v>
      </c>
      <c r="J37" s="7" t="s">
        <v>130</v>
      </c>
      <c r="K37" s="11">
        <v>0.94027777777777777</v>
      </c>
      <c r="L37" s="7" t="s">
        <v>109</v>
      </c>
      <c r="M37" s="7" t="s">
        <v>109</v>
      </c>
      <c r="N37" s="29" t="s">
        <v>109</v>
      </c>
      <c r="O37" s="29" t="s">
        <v>61</v>
      </c>
      <c r="P37" s="7" t="s">
        <v>131</v>
      </c>
      <c r="Q37" s="7" t="s">
        <v>222</v>
      </c>
      <c r="R37" s="7" t="s">
        <v>62</v>
      </c>
      <c r="S37" s="7" t="s">
        <v>109</v>
      </c>
      <c r="T37" s="7" t="s">
        <v>109</v>
      </c>
      <c r="U37" s="28" t="b">
        <f t="shared" si="1"/>
        <v>0</v>
      </c>
      <c r="V37" s="7" t="s">
        <v>109</v>
      </c>
      <c r="W37" s="29" t="s">
        <v>1185</v>
      </c>
    </row>
    <row r="38" spans="1:23" x14ac:dyDescent="0.3">
      <c r="A38" s="7">
        <v>37</v>
      </c>
      <c r="B38" s="29" t="s">
        <v>23</v>
      </c>
      <c r="C38" s="29" t="s">
        <v>1293</v>
      </c>
      <c r="D38" s="29">
        <v>50126333</v>
      </c>
      <c r="E38" s="29">
        <v>232</v>
      </c>
      <c r="F38" s="7">
        <v>184</v>
      </c>
      <c r="G38" s="7">
        <v>56</v>
      </c>
      <c r="H38" s="7" t="s">
        <v>1294</v>
      </c>
      <c r="I38" s="7" t="s">
        <v>109</v>
      </c>
      <c r="J38" s="7" t="s">
        <v>130</v>
      </c>
      <c r="K38" s="7" t="s">
        <v>109</v>
      </c>
      <c r="L38" s="11">
        <v>6.9444444444444447E-4</v>
      </c>
      <c r="M38" s="7" t="s">
        <v>109</v>
      </c>
      <c r="N38" s="29" t="s">
        <v>109</v>
      </c>
      <c r="O38" s="29" t="s">
        <v>61</v>
      </c>
      <c r="P38" s="7" t="s">
        <v>131</v>
      </c>
      <c r="Q38" s="7" t="s">
        <v>603</v>
      </c>
      <c r="R38" s="7" t="s">
        <v>62</v>
      </c>
      <c r="S38" s="7" t="s">
        <v>109</v>
      </c>
      <c r="T38" s="7" t="s">
        <v>109</v>
      </c>
      <c r="U38" s="28" t="b">
        <f t="shared" si="1"/>
        <v>0</v>
      </c>
      <c r="V38" s="7" t="s">
        <v>291</v>
      </c>
      <c r="W38" s="29" t="s">
        <v>1295</v>
      </c>
    </row>
    <row r="39" spans="1:23" x14ac:dyDescent="0.3">
      <c r="A39" s="7">
        <v>38</v>
      </c>
      <c r="B39" s="29" t="s">
        <v>135</v>
      </c>
      <c r="C39" s="29" t="s">
        <v>668</v>
      </c>
      <c r="D39" s="29">
        <v>20126009</v>
      </c>
      <c r="E39" s="29">
        <v>32</v>
      </c>
      <c r="F39" s="7">
        <v>27</v>
      </c>
      <c r="G39" s="7">
        <v>11</v>
      </c>
      <c r="H39" s="7" t="s">
        <v>153</v>
      </c>
      <c r="I39" s="53" t="s">
        <v>154</v>
      </c>
      <c r="J39" s="7" t="s">
        <v>130</v>
      </c>
      <c r="K39" s="11">
        <v>0.87013888888888891</v>
      </c>
      <c r="L39" s="11">
        <v>0.87013888888888891</v>
      </c>
      <c r="M39" s="7" t="s">
        <v>109</v>
      </c>
      <c r="N39" s="29" t="s">
        <v>109</v>
      </c>
      <c r="O39" s="29" t="s">
        <v>61</v>
      </c>
      <c r="P39" s="7" t="s">
        <v>131</v>
      </c>
      <c r="Q39" s="7" t="s">
        <v>153</v>
      </c>
      <c r="R39" s="7" t="s">
        <v>62</v>
      </c>
      <c r="S39" s="7" t="s">
        <v>109</v>
      </c>
      <c r="T39" s="7" t="s">
        <v>109</v>
      </c>
      <c r="U39" s="28" t="b">
        <f t="shared" si="1"/>
        <v>0</v>
      </c>
      <c r="V39" s="7" t="s">
        <v>109</v>
      </c>
      <c r="W39" s="29" t="s">
        <v>666</v>
      </c>
    </row>
    <row r="40" spans="1:23" x14ac:dyDescent="0.3">
      <c r="A40" s="7">
        <v>39</v>
      </c>
      <c r="B40" s="29" t="s">
        <v>135</v>
      </c>
      <c r="C40" s="29" t="s">
        <v>1080</v>
      </c>
      <c r="D40" s="29">
        <v>20126013</v>
      </c>
      <c r="E40" s="29">
        <v>106</v>
      </c>
      <c r="F40" s="7">
        <v>72</v>
      </c>
      <c r="G40" s="7">
        <v>10</v>
      </c>
      <c r="H40" s="7" t="s">
        <v>84</v>
      </c>
      <c r="I40" s="7" t="s">
        <v>90</v>
      </c>
      <c r="J40" s="7" t="s">
        <v>130</v>
      </c>
      <c r="K40" s="11">
        <v>0.97083333333333333</v>
      </c>
      <c r="L40" s="11">
        <v>0.99097222222222225</v>
      </c>
      <c r="M40" s="7" t="s">
        <v>109</v>
      </c>
      <c r="N40" s="29" t="s">
        <v>109</v>
      </c>
      <c r="O40" s="29" t="s">
        <v>61</v>
      </c>
      <c r="P40" s="7" t="s">
        <v>131</v>
      </c>
      <c r="Q40" s="7" t="s">
        <v>90</v>
      </c>
      <c r="R40" s="7" t="s">
        <v>62</v>
      </c>
      <c r="S40" s="7" t="s">
        <v>109</v>
      </c>
      <c r="T40" s="7" t="s">
        <v>109</v>
      </c>
      <c r="U40" s="28" t="b">
        <f t="shared" si="1"/>
        <v>0</v>
      </c>
      <c r="V40" s="7" t="s">
        <v>109</v>
      </c>
      <c r="W40" s="29" t="s">
        <v>1081</v>
      </c>
    </row>
    <row r="41" spans="1:23" x14ac:dyDescent="0.3">
      <c r="A41" s="7">
        <v>40</v>
      </c>
      <c r="B41" s="29" t="s">
        <v>135</v>
      </c>
      <c r="C41" s="29" t="s">
        <v>665</v>
      </c>
      <c r="D41" s="29">
        <v>20126011</v>
      </c>
      <c r="E41" s="29">
        <v>46</v>
      </c>
      <c r="F41" s="7">
        <v>46</v>
      </c>
      <c r="G41" s="7">
        <v>3</v>
      </c>
      <c r="H41" s="53" t="s">
        <v>214</v>
      </c>
      <c r="I41" s="53" t="s">
        <v>88</v>
      </c>
      <c r="J41" s="7" t="s">
        <v>130</v>
      </c>
      <c r="K41" s="11">
        <v>0.68194444444444446</v>
      </c>
      <c r="L41" s="11">
        <v>0.75138888888888888</v>
      </c>
      <c r="M41" s="7" t="s">
        <v>109</v>
      </c>
      <c r="N41" s="29" t="s">
        <v>109</v>
      </c>
      <c r="O41" s="29" t="s">
        <v>61</v>
      </c>
      <c r="P41" s="7" t="s">
        <v>131</v>
      </c>
      <c r="Q41" s="7" t="s">
        <v>88</v>
      </c>
      <c r="R41" s="7" t="s">
        <v>62</v>
      </c>
      <c r="S41" s="7" t="s">
        <v>109</v>
      </c>
      <c r="T41" s="7" t="s">
        <v>109</v>
      </c>
      <c r="U41" s="28" t="b">
        <f t="shared" si="1"/>
        <v>0</v>
      </c>
      <c r="V41" s="7" t="s">
        <v>291</v>
      </c>
      <c r="W41" s="29" t="s">
        <v>666</v>
      </c>
    </row>
    <row r="42" spans="1:23" x14ac:dyDescent="0.3">
      <c r="A42" s="7">
        <v>41</v>
      </c>
      <c r="B42" s="29" t="s">
        <v>411</v>
      </c>
      <c r="C42" s="29" t="s">
        <v>677</v>
      </c>
      <c r="D42" s="29">
        <v>30126004</v>
      </c>
      <c r="E42" s="29">
        <v>110</v>
      </c>
      <c r="F42" s="7">
        <v>221</v>
      </c>
      <c r="G42" s="7">
        <v>81</v>
      </c>
      <c r="H42" s="53" t="s">
        <v>1296</v>
      </c>
      <c r="I42" s="53" t="s">
        <v>154</v>
      </c>
      <c r="J42" s="7" t="s">
        <v>130</v>
      </c>
      <c r="K42" s="11">
        <v>0.97361111111111109</v>
      </c>
      <c r="L42" s="11">
        <v>0.9868055555555556</v>
      </c>
      <c r="M42" s="7" t="s">
        <v>109</v>
      </c>
      <c r="N42" s="29" t="s">
        <v>109</v>
      </c>
      <c r="O42" s="29" t="s">
        <v>61</v>
      </c>
      <c r="P42" s="7" t="s">
        <v>131</v>
      </c>
      <c r="Q42" s="7" t="s">
        <v>154</v>
      </c>
      <c r="R42" s="7" t="s">
        <v>62</v>
      </c>
      <c r="S42" s="7" t="s">
        <v>109</v>
      </c>
      <c r="T42" s="7" t="s">
        <v>109</v>
      </c>
      <c r="U42" s="28" t="b">
        <f t="shared" si="1"/>
        <v>0</v>
      </c>
      <c r="V42" s="7" t="s">
        <v>1313</v>
      </c>
      <c r="W42" s="29" t="s">
        <v>675</v>
      </c>
    </row>
    <row r="43" spans="1:23" x14ac:dyDescent="0.3">
      <c r="A43" s="7">
        <v>42</v>
      </c>
      <c r="B43" s="29" t="s">
        <v>411</v>
      </c>
      <c r="C43" s="29" t="s">
        <v>1203</v>
      </c>
      <c r="D43" s="29">
        <v>30126007</v>
      </c>
      <c r="E43" s="29">
        <v>100</v>
      </c>
      <c r="F43" s="7">
        <v>175</v>
      </c>
      <c r="G43" s="7">
        <v>63</v>
      </c>
      <c r="H43" s="7" t="s">
        <v>274</v>
      </c>
      <c r="I43" s="53" t="s">
        <v>91</v>
      </c>
      <c r="J43" s="7" t="s">
        <v>130</v>
      </c>
      <c r="K43" s="11">
        <v>0.80486111111111114</v>
      </c>
      <c r="L43" s="11">
        <v>0.82499999999999996</v>
      </c>
      <c r="M43" s="7" t="s">
        <v>109</v>
      </c>
      <c r="N43" s="29" t="s">
        <v>109</v>
      </c>
      <c r="O43" s="29" t="s">
        <v>61</v>
      </c>
      <c r="P43" s="7" t="s">
        <v>131</v>
      </c>
      <c r="Q43" s="7" t="s">
        <v>91</v>
      </c>
      <c r="R43" s="7" t="s">
        <v>62</v>
      </c>
      <c r="S43" s="7" t="s">
        <v>109</v>
      </c>
      <c r="T43" s="7" t="s">
        <v>109</v>
      </c>
      <c r="U43" s="28" t="b">
        <f t="shared" si="1"/>
        <v>0</v>
      </c>
      <c r="V43" s="7" t="s">
        <v>109</v>
      </c>
      <c r="W43" s="29" t="s">
        <v>675</v>
      </c>
    </row>
    <row r="44" spans="1:23" x14ac:dyDescent="0.3">
      <c r="A44" s="7">
        <v>43</v>
      </c>
      <c r="B44" s="29" t="s">
        <v>411</v>
      </c>
      <c r="C44" s="29" t="s">
        <v>674</v>
      </c>
      <c r="D44" s="29">
        <v>30126002</v>
      </c>
      <c r="E44" s="29">
        <v>156</v>
      </c>
      <c r="F44" s="7">
        <v>223</v>
      </c>
      <c r="G44" s="7">
        <v>161</v>
      </c>
      <c r="H44" s="7" t="s">
        <v>1297</v>
      </c>
      <c r="I44" s="7" t="s">
        <v>1298</v>
      </c>
      <c r="J44" s="7" t="s">
        <v>130</v>
      </c>
      <c r="K44" s="11">
        <v>0.86805555555555558</v>
      </c>
      <c r="L44" s="11">
        <v>0.88055555555555554</v>
      </c>
      <c r="M44" s="7" t="s">
        <v>109</v>
      </c>
      <c r="N44" s="29" t="s">
        <v>109</v>
      </c>
      <c r="O44" s="29" t="s">
        <v>61</v>
      </c>
      <c r="P44" s="7" t="s">
        <v>131</v>
      </c>
      <c r="Q44" s="7" t="s">
        <v>209</v>
      </c>
      <c r="R44" s="7" t="s">
        <v>62</v>
      </c>
      <c r="S44" s="7" t="s">
        <v>109</v>
      </c>
      <c r="T44" s="7" t="s">
        <v>109</v>
      </c>
      <c r="U44" s="28" t="b">
        <f t="shared" si="1"/>
        <v>1</v>
      </c>
      <c r="V44" s="7" t="s">
        <v>109</v>
      </c>
      <c r="W44" s="29" t="s">
        <v>675</v>
      </c>
    </row>
    <row r="45" spans="1:23" x14ac:dyDescent="0.3">
      <c r="A45" s="7">
        <v>44</v>
      </c>
      <c r="B45" s="29" t="s">
        <v>414</v>
      </c>
      <c r="C45" s="29" t="s">
        <v>1151</v>
      </c>
      <c r="D45" s="29">
        <v>40126020</v>
      </c>
      <c r="E45" s="29">
        <v>50</v>
      </c>
      <c r="F45" s="7">
        <v>10</v>
      </c>
      <c r="G45" s="7">
        <v>1</v>
      </c>
      <c r="H45" s="7" t="s">
        <v>66</v>
      </c>
      <c r="I45" s="53" t="s">
        <v>209</v>
      </c>
      <c r="J45" s="7" t="s">
        <v>130</v>
      </c>
      <c r="K45" s="11">
        <v>0.7416666666666667</v>
      </c>
      <c r="L45" s="11">
        <v>0.7993055555555556</v>
      </c>
      <c r="M45" s="7" t="s">
        <v>109</v>
      </c>
      <c r="N45" s="32" t="s">
        <v>1299</v>
      </c>
      <c r="O45" s="29" t="s">
        <v>61</v>
      </c>
      <c r="P45" s="7" t="s">
        <v>131</v>
      </c>
      <c r="Q45" s="7" t="s">
        <v>209</v>
      </c>
      <c r="R45" s="7" t="s">
        <v>62</v>
      </c>
      <c r="S45" s="7" t="s">
        <v>109</v>
      </c>
      <c r="T45" s="7" t="s">
        <v>109</v>
      </c>
      <c r="U45" s="28" t="b">
        <f t="shared" si="1"/>
        <v>0</v>
      </c>
      <c r="V45" s="7" t="s">
        <v>291</v>
      </c>
      <c r="W45" s="29" t="s">
        <v>1024</v>
      </c>
    </row>
    <row r="46" spans="1:23" x14ac:dyDescent="0.3">
      <c r="A46" s="7">
        <v>45</v>
      </c>
      <c r="B46" s="29" t="s">
        <v>135</v>
      </c>
      <c r="C46" s="29" t="s">
        <v>1101</v>
      </c>
      <c r="D46" s="29">
        <v>21125002</v>
      </c>
      <c r="E46" s="29">
        <v>40</v>
      </c>
      <c r="F46" s="7">
        <v>45</v>
      </c>
      <c r="G46" s="7">
        <v>10</v>
      </c>
      <c r="H46" s="7" t="s">
        <v>71</v>
      </c>
      <c r="I46" s="53" t="s">
        <v>91</v>
      </c>
      <c r="J46" s="7" t="s">
        <v>130</v>
      </c>
      <c r="K46" s="11">
        <v>0.6875</v>
      </c>
      <c r="L46" s="11">
        <v>0.74097222222222225</v>
      </c>
      <c r="M46" s="7" t="s">
        <v>109</v>
      </c>
      <c r="N46" s="29" t="s">
        <v>109</v>
      </c>
      <c r="O46" s="29" t="s">
        <v>61</v>
      </c>
      <c r="P46" s="7" t="s">
        <v>131</v>
      </c>
      <c r="Q46" s="7" t="s">
        <v>91</v>
      </c>
      <c r="R46" s="7" t="s">
        <v>62</v>
      </c>
      <c r="S46" s="7" t="s">
        <v>109</v>
      </c>
      <c r="T46" s="7" t="s">
        <v>109</v>
      </c>
      <c r="U46" s="28" t="b">
        <f t="shared" si="1"/>
        <v>0</v>
      </c>
      <c r="V46" s="7" t="s">
        <v>291</v>
      </c>
      <c r="W46" s="29" t="s">
        <v>666</v>
      </c>
    </row>
    <row r="47" spans="1:23" x14ac:dyDescent="0.3">
      <c r="A47" s="7">
        <v>46</v>
      </c>
      <c r="B47" s="29" t="s">
        <v>23</v>
      </c>
      <c r="C47" s="29" t="s">
        <v>273</v>
      </c>
      <c r="D47" s="29">
        <v>51225012</v>
      </c>
      <c r="E47" s="29">
        <v>60</v>
      </c>
      <c r="F47" s="7">
        <v>126</v>
      </c>
      <c r="G47" s="7">
        <v>48</v>
      </c>
      <c r="H47" s="53" t="s">
        <v>65</v>
      </c>
      <c r="I47" s="7" t="s">
        <v>109</v>
      </c>
      <c r="J47" s="7" t="s">
        <v>130</v>
      </c>
      <c r="K47" s="11">
        <v>0.89930555555555558</v>
      </c>
      <c r="L47" s="7" t="s">
        <v>109</v>
      </c>
      <c r="M47" s="7" t="s">
        <v>109</v>
      </c>
      <c r="N47" s="29" t="s">
        <v>109</v>
      </c>
      <c r="O47" s="29" t="s">
        <v>61</v>
      </c>
      <c r="P47" s="7" t="s">
        <v>131</v>
      </c>
      <c r="Q47" s="7" t="s">
        <v>65</v>
      </c>
      <c r="R47" s="7" t="s">
        <v>62</v>
      </c>
      <c r="S47" s="7" t="s">
        <v>109</v>
      </c>
      <c r="T47" s="7" t="s">
        <v>109</v>
      </c>
      <c r="U47" s="28" t="b">
        <f t="shared" si="1"/>
        <v>0</v>
      </c>
      <c r="V47" s="7" t="s">
        <v>109</v>
      </c>
      <c r="W47" s="29" t="s">
        <v>275</v>
      </c>
    </row>
    <row r="48" spans="1:23" x14ac:dyDescent="0.3">
      <c r="A48" s="7">
        <v>47</v>
      </c>
      <c r="B48" s="29" t="s">
        <v>23</v>
      </c>
      <c r="C48" s="29" t="s">
        <v>958</v>
      </c>
      <c r="D48" s="29">
        <v>51125186</v>
      </c>
      <c r="E48" s="29">
        <v>70</v>
      </c>
      <c r="F48" s="7">
        <v>96</v>
      </c>
      <c r="G48" s="7">
        <v>19</v>
      </c>
      <c r="H48" s="53" t="s">
        <v>71</v>
      </c>
      <c r="I48" s="7" t="s">
        <v>109</v>
      </c>
      <c r="J48" s="7" t="s">
        <v>130</v>
      </c>
      <c r="K48" s="11">
        <v>0.75694444444444442</v>
      </c>
      <c r="L48" s="7" t="s">
        <v>109</v>
      </c>
      <c r="M48" s="7" t="s">
        <v>109</v>
      </c>
      <c r="N48" s="29" t="s">
        <v>109</v>
      </c>
      <c r="O48" s="29" t="s">
        <v>61</v>
      </c>
      <c r="P48" s="7" t="s">
        <v>131</v>
      </c>
      <c r="Q48" s="7" t="s">
        <v>71</v>
      </c>
      <c r="R48" s="7" t="s">
        <v>62</v>
      </c>
      <c r="S48" s="7" t="s">
        <v>109</v>
      </c>
      <c r="T48" s="7" t="s">
        <v>109</v>
      </c>
      <c r="U48" s="28" t="b">
        <f t="shared" si="1"/>
        <v>0</v>
      </c>
      <c r="V48" s="7" t="s">
        <v>291</v>
      </c>
      <c r="W48" s="29" t="s">
        <v>959</v>
      </c>
    </row>
    <row r="49" spans="1:23" x14ac:dyDescent="0.3">
      <c r="A49" s="7">
        <v>48</v>
      </c>
      <c r="B49" s="29" t="s">
        <v>23</v>
      </c>
      <c r="C49" s="29" t="s">
        <v>137</v>
      </c>
      <c r="D49" s="29">
        <v>51225033</v>
      </c>
      <c r="E49" s="29">
        <v>70</v>
      </c>
      <c r="F49" s="7">
        <v>152</v>
      </c>
      <c r="G49" s="7">
        <v>72</v>
      </c>
      <c r="H49" s="53" t="s">
        <v>200</v>
      </c>
      <c r="I49" s="7" t="s">
        <v>109</v>
      </c>
      <c r="J49" s="7" t="s">
        <v>130</v>
      </c>
      <c r="K49" s="11">
        <v>0.8569444444444444</v>
      </c>
      <c r="L49" s="7" t="s">
        <v>109</v>
      </c>
      <c r="M49" s="7" t="s">
        <v>109</v>
      </c>
      <c r="N49" s="29" t="s">
        <v>109</v>
      </c>
      <c r="O49" s="29" t="s">
        <v>61</v>
      </c>
      <c r="P49" s="7" t="s">
        <v>131</v>
      </c>
      <c r="Q49" s="7" t="s">
        <v>200</v>
      </c>
      <c r="R49" s="7" t="s">
        <v>62</v>
      </c>
      <c r="S49" s="7" t="s">
        <v>109</v>
      </c>
      <c r="T49" s="7" t="s">
        <v>109</v>
      </c>
      <c r="U49" s="28" t="b">
        <f t="shared" si="1"/>
        <v>1</v>
      </c>
      <c r="V49" s="7" t="s">
        <v>109</v>
      </c>
      <c r="W49" s="29" t="s">
        <v>142</v>
      </c>
    </row>
    <row r="50" spans="1:23" x14ac:dyDescent="0.3">
      <c r="A50" s="7">
        <v>49</v>
      </c>
      <c r="B50" s="29" t="s">
        <v>23</v>
      </c>
      <c r="C50" s="29" t="s">
        <v>139</v>
      </c>
      <c r="D50" s="29">
        <v>51225032</v>
      </c>
      <c r="E50" s="29">
        <v>80</v>
      </c>
      <c r="F50" s="7">
        <v>171</v>
      </c>
      <c r="G50" s="7">
        <v>26</v>
      </c>
      <c r="H50" s="53" t="s">
        <v>66</v>
      </c>
      <c r="I50" s="7" t="s">
        <v>109</v>
      </c>
      <c r="J50" s="7" t="s">
        <v>130</v>
      </c>
      <c r="K50" s="11">
        <v>0.68819444444444444</v>
      </c>
      <c r="L50" s="7" t="s">
        <v>109</v>
      </c>
      <c r="M50" s="7" t="s">
        <v>109</v>
      </c>
      <c r="N50" s="29" t="s">
        <v>109</v>
      </c>
      <c r="O50" s="29" t="s">
        <v>61</v>
      </c>
      <c r="P50" s="7" t="s">
        <v>131</v>
      </c>
      <c r="Q50" s="7" t="s">
        <v>66</v>
      </c>
      <c r="R50" s="7" t="s">
        <v>62</v>
      </c>
      <c r="S50" s="7" t="s">
        <v>109</v>
      </c>
      <c r="T50" s="7" t="s">
        <v>109</v>
      </c>
      <c r="U50" s="28" t="b">
        <f t="shared" si="1"/>
        <v>0</v>
      </c>
      <c r="V50" s="7" t="s">
        <v>1313</v>
      </c>
      <c r="W50" s="29" t="s">
        <v>142</v>
      </c>
    </row>
    <row r="51" spans="1:23" x14ac:dyDescent="0.3">
      <c r="A51" s="7">
        <v>50</v>
      </c>
      <c r="B51" s="29" t="s">
        <v>23</v>
      </c>
      <c r="C51" s="29" t="s">
        <v>479</v>
      </c>
      <c r="D51" s="29">
        <v>50126013</v>
      </c>
      <c r="E51" s="29">
        <v>70</v>
      </c>
      <c r="F51" s="7">
        <v>106</v>
      </c>
      <c r="G51" s="7">
        <v>17</v>
      </c>
      <c r="H51" s="53" t="s">
        <v>200</v>
      </c>
      <c r="I51" s="7" t="s">
        <v>87</v>
      </c>
      <c r="J51" s="7" t="s">
        <v>130</v>
      </c>
      <c r="K51" s="11">
        <v>0.89513888888888893</v>
      </c>
      <c r="L51" s="11">
        <v>0.90833333333333333</v>
      </c>
      <c r="M51" s="7" t="s">
        <v>109</v>
      </c>
      <c r="N51" s="29" t="s">
        <v>109</v>
      </c>
      <c r="O51" s="29" t="s">
        <v>61</v>
      </c>
      <c r="P51" s="7" t="s">
        <v>131</v>
      </c>
      <c r="Q51" s="7" t="s">
        <v>87</v>
      </c>
      <c r="R51" s="7" t="s">
        <v>62</v>
      </c>
      <c r="S51" s="7" t="s">
        <v>109</v>
      </c>
      <c r="T51" s="7" t="s">
        <v>109</v>
      </c>
      <c r="U51" s="28" t="b">
        <f t="shared" si="1"/>
        <v>0</v>
      </c>
      <c r="V51" s="7" t="s">
        <v>1313</v>
      </c>
      <c r="W51" s="29" t="s">
        <v>480</v>
      </c>
    </row>
    <row r="52" spans="1:23" x14ac:dyDescent="0.3">
      <c r="A52" s="7">
        <v>51</v>
      </c>
      <c r="B52" s="29" t="s">
        <v>23</v>
      </c>
      <c r="C52" s="29" t="s">
        <v>280</v>
      </c>
      <c r="D52" s="29">
        <v>51125192</v>
      </c>
      <c r="E52" s="29">
        <v>25</v>
      </c>
      <c r="F52" s="7">
        <v>89</v>
      </c>
      <c r="G52" s="7">
        <v>31</v>
      </c>
      <c r="H52" s="53" t="s">
        <v>65</v>
      </c>
      <c r="I52" s="7" t="s">
        <v>109</v>
      </c>
      <c r="J52" s="7" t="s">
        <v>130</v>
      </c>
      <c r="K52" s="11">
        <v>0.81111111111111112</v>
      </c>
      <c r="L52" s="7" t="s">
        <v>109</v>
      </c>
      <c r="M52" s="7" t="s">
        <v>109</v>
      </c>
      <c r="N52" s="29" t="s">
        <v>109</v>
      </c>
      <c r="O52" s="29" t="s">
        <v>61</v>
      </c>
      <c r="P52" s="7" t="s">
        <v>131</v>
      </c>
      <c r="Q52" s="7" t="s">
        <v>65</v>
      </c>
      <c r="R52" s="7" t="s">
        <v>62</v>
      </c>
      <c r="S52" s="7" t="s">
        <v>109</v>
      </c>
      <c r="T52" s="7" t="s">
        <v>109</v>
      </c>
      <c r="U52" s="28" t="b">
        <f t="shared" si="1"/>
        <v>1</v>
      </c>
      <c r="V52" s="7" t="s">
        <v>109</v>
      </c>
      <c r="W52" s="29" t="s">
        <v>278</v>
      </c>
    </row>
    <row r="53" spans="1:23" x14ac:dyDescent="0.3">
      <c r="A53" s="7">
        <v>52</v>
      </c>
      <c r="B53" s="29" t="s">
        <v>23</v>
      </c>
      <c r="C53" s="29" t="s">
        <v>27</v>
      </c>
      <c r="D53" s="29">
        <v>51225107</v>
      </c>
      <c r="E53" s="29">
        <v>100</v>
      </c>
      <c r="F53" s="7">
        <v>169</v>
      </c>
      <c r="G53" s="7">
        <v>100</v>
      </c>
      <c r="H53" s="53" t="s">
        <v>69</v>
      </c>
      <c r="I53" s="7" t="s">
        <v>109</v>
      </c>
      <c r="J53" s="7" t="s">
        <v>130</v>
      </c>
      <c r="K53" s="11">
        <v>0.92986111111111114</v>
      </c>
      <c r="L53" s="7" t="s">
        <v>109</v>
      </c>
      <c r="M53" s="7" t="s">
        <v>109</v>
      </c>
      <c r="N53" s="29" t="s">
        <v>109</v>
      </c>
      <c r="O53" s="29" t="s">
        <v>61</v>
      </c>
      <c r="P53" s="7" t="s">
        <v>131</v>
      </c>
      <c r="Q53" s="7" t="s">
        <v>69</v>
      </c>
      <c r="R53" s="7" t="s">
        <v>62</v>
      </c>
      <c r="S53" s="7" t="s">
        <v>109</v>
      </c>
      <c r="T53" s="7" t="s">
        <v>109</v>
      </c>
      <c r="U53" s="28" t="b">
        <f t="shared" si="1"/>
        <v>1</v>
      </c>
      <c r="V53" s="7" t="s">
        <v>109</v>
      </c>
      <c r="W53" s="29" t="s">
        <v>112</v>
      </c>
    </row>
    <row r="54" spans="1:23" x14ac:dyDescent="0.3">
      <c r="A54" s="7">
        <v>53</v>
      </c>
      <c r="B54" s="29" t="s">
        <v>23</v>
      </c>
      <c r="C54" s="29" t="s">
        <v>219</v>
      </c>
      <c r="D54" s="29">
        <v>51225067</v>
      </c>
      <c r="E54" s="29">
        <v>75</v>
      </c>
      <c r="F54" s="7">
        <v>160</v>
      </c>
      <c r="G54" s="7">
        <v>50</v>
      </c>
      <c r="H54" s="53" t="s">
        <v>68</v>
      </c>
      <c r="I54" s="7" t="s">
        <v>109</v>
      </c>
      <c r="J54" s="7" t="s">
        <v>130</v>
      </c>
      <c r="K54" s="11">
        <v>0.95138888888888884</v>
      </c>
      <c r="L54" s="7" t="s">
        <v>109</v>
      </c>
      <c r="M54" s="7" t="s">
        <v>109</v>
      </c>
      <c r="N54" s="32" t="s">
        <v>1300</v>
      </c>
      <c r="O54" s="29" t="s">
        <v>61</v>
      </c>
      <c r="P54" s="7" t="s">
        <v>131</v>
      </c>
      <c r="Q54" s="7" t="s">
        <v>68</v>
      </c>
      <c r="R54" s="7" t="s">
        <v>62</v>
      </c>
      <c r="S54" s="7" t="s">
        <v>109</v>
      </c>
      <c r="T54" s="7" t="s">
        <v>109</v>
      </c>
      <c r="U54" s="28" t="b">
        <f t="shared" si="1"/>
        <v>0</v>
      </c>
      <c r="V54" s="7" t="s">
        <v>1313</v>
      </c>
      <c r="W54" s="29" t="s">
        <v>218</v>
      </c>
    </row>
    <row r="55" spans="1:23" x14ac:dyDescent="0.3">
      <c r="A55" s="7">
        <v>54</v>
      </c>
      <c r="B55" s="29" t="s">
        <v>23</v>
      </c>
      <c r="C55" s="29" t="s">
        <v>355</v>
      </c>
      <c r="D55" s="29">
        <v>51125135</v>
      </c>
      <c r="E55" s="29">
        <v>250</v>
      </c>
      <c r="F55" s="7">
        <v>552</v>
      </c>
      <c r="G55" s="7">
        <v>250</v>
      </c>
      <c r="H55" s="53" t="s">
        <v>1301</v>
      </c>
      <c r="I55" s="7" t="s">
        <v>109</v>
      </c>
      <c r="J55" s="7" t="s">
        <v>130</v>
      </c>
      <c r="K55" s="11">
        <v>0.75763888888888886</v>
      </c>
      <c r="L55" s="7" t="s">
        <v>109</v>
      </c>
      <c r="M55" s="7" t="s">
        <v>109</v>
      </c>
      <c r="N55" s="32" t="s">
        <v>110</v>
      </c>
      <c r="O55" s="29" t="s">
        <v>61</v>
      </c>
      <c r="P55" s="7" t="s">
        <v>131</v>
      </c>
      <c r="Q55" s="7" t="s">
        <v>200</v>
      </c>
      <c r="R55" s="7" t="s">
        <v>62</v>
      </c>
      <c r="S55" s="7" t="s">
        <v>109</v>
      </c>
      <c r="T55" s="7" t="s">
        <v>109</v>
      </c>
      <c r="U55" s="28" t="b">
        <f t="shared" si="1"/>
        <v>1</v>
      </c>
      <c r="V55" s="7" t="s">
        <v>109</v>
      </c>
      <c r="W55" s="29" t="s">
        <v>289</v>
      </c>
    </row>
    <row r="56" spans="1:23" x14ac:dyDescent="0.3">
      <c r="A56" s="7">
        <v>55</v>
      </c>
      <c r="B56" s="29" t="s">
        <v>23</v>
      </c>
      <c r="C56" s="29" t="s">
        <v>1302</v>
      </c>
      <c r="D56" s="29">
        <v>50126335</v>
      </c>
      <c r="E56" s="29">
        <v>30</v>
      </c>
      <c r="F56" s="7">
        <v>40</v>
      </c>
      <c r="G56" s="7">
        <v>21</v>
      </c>
      <c r="H56" s="53" t="s">
        <v>200</v>
      </c>
      <c r="I56" s="7" t="s">
        <v>109</v>
      </c>
      <c r="J56" s="7" t="s">
        <v>130</v>
      </c>
      <c r="K56" s="11">
        <v>0.94791666666666663</v>
      </c>
      <c r="L56" s="7" t="s">
        <v>109</v>
      </c>
      <c r="M56" s="7" t="s">
        <v>109</v>
      </c>
      <c r="N56" s="29" t="s">
        <v>109</v>
      </c>
      <c r="O56" s="29" t="s">
        <v>61</v>
      </c>
      <c r="P56" s="7" t="s">
        <v>131</v>
      </c>
      <c r="Q56" s="7" t="s">
        <v>200</v>
      </c>
      <c r="R56" s="7" t="s">
        <v>109</v>
      </c>
      <c r="S56" s="7" t="s">
        <v>109</v>
      </c>
      <c r="T56" s="7" t="s">
        <v>109</v>
      </c>
      <c r="U56" s="28" t="b">
        <f t="shared" si="1"/>
        <v>0</v>
      </c>
      <c r="V56" s="7" t="s">
        <v>109</v>
      </c>
      <c r="W56" s="29" t="s">
        <v>351</v>
      </c>
    </row>
    <row r="57" spans="1:23" x14ac:dyDescent="0.3">
      <c r="A57" s="7">
        <v>56</v>
      </c>
      <c r="B57" s="29" t="s">
        <v>23</v>
      </c>
      <c r="C57" s="29" t="s">
        <v>1030</v>
      </c>
      <c r="D57" s="29">
        <v>50126292</v>
      </c>
      <c r="E57" s="29">
        <v>60</v>
      </c>
      <c r="F57" s="7">
        <v>95</v>
      </c>
      <c r="G57" s="7">
        <v>18</v>
      </c>
      <c r="H57" s="53" t="s">
        <v>241</v>
      </c>
      <c r="I57" s="7" t="s">
        <v>109</v>
      </c>
      <c r="J57" s="7" t="s">
        <v>130</v>
      </c>
      <c r="K57" s="11">
        <v>0.94236111111111109</v>
      </c>
      <c r="L57" s="7" t="s">
        <v>109</v>
      </c>
      <c r="M57" s="7" t="s">
        <v>109</v>
      </c>
      <c r="N57" s="29" t="s">
        <v>109</v>
      </c>
      <c r="O57" s="29" t="s">
        <v>61</v>
      </c>
      <c r="P57" s="7" t="s">
        <v>131</v>
      </c>
      <c r="Q57" s="7" t="s">
        <v>241</v>
      </c>
      <c r="R57" s="7" t="s">
        <v>62</v>
      </c>
      <c r="S57" s="7" t="s">
        <v>109</v>
      </c>
      <c r="T57" s="7" t="s">
        <v>109</v>
      </c>
      <c r="U57" s="28" t="b">
        <f t="shared" si="1"/>
        <v>0</v>
      </c>
      <c r="V57" s="7" t="s">
        <v>109</v>
      </c>
      <c r="W57" s="29" t="s">
        <v>223</v>
      </c>
    </row>
    <row r="58" spans="1:23" x14ac:dyDescent="0.3">
      <c r="A58" s="7">
        <v>57</v>
      </c>
      <c r="B58" s="29" t="s">
        <v>23</v>
      </c>
      <c r="C58" s="29" t="s">
        <v>1042</v>
      </c>
      <c r="D58" s="29">
        <v>50126301</v>
      </c>
      <c r="E58" s="29">
        <v>25</v>
      </c>
      <c r="F58" s="7">
        <v>48</v>
      </c>
      <c r="G58" s="7">
        <v>16</v>
      </c>
      <c r="H58" s="53" t="s">
        <v>222</v>
      </c>
      <c r="I58" s="7" t="s">
        <v>109</v>
      </c>
      <c r="J58" s="7" t="s">
        <v>130</v>
      </c>
      <c r="K58" s="11">
        <v>0.7006944444444444</v>
      </c>
      <c r="L58" s="7" t="s">
        <v>109</v>
      </c>
      <c r="M58" s="7" t="s">
        <v>109</v>
      </c>
      <c r="N58" s="29" t="s">
        <v>109</v>
      </c>
      <c r="O58" s="29" t="s">
        <v>61</v>
      </c>
      <c r="P58" s="7" t="s">
        <v>131</v>
      </c>
      <c r="Q58" s="7" t="s">
        <v>222</v>
      </c>
      <c r="R58" s="7" t="s">
        <v>62</v>
      </c>
      <c r="S58" s="7" t="s">
        <v>109</v>
      </c>
      <c r="T58" s="7" t="s">
        <v>109</v>
      </c>
      <c r="U58" s="28" t="b">
        <f t="shared" si="1"/>
        <v>0</v>
      </c>
      <c r="V58" s="7" t="s">
        <v>291</v>
      </c>
      <c r="W58" s="29" t="s">
        <v>223</v>
      </c>
    </row>
    <row r="59" spans="1:23" x14ac:dyDescent="0.3">
      <c r="A59" s="7">
        <v>58</v>
      </c>
      <c r="B59" s="29" t="s">
        <v>23</v>
      </c>
      <c r="C59" s="29" t="s">
        <v>1043</v>
      </c>
      <c r="D59" s="29">
        <v>50126282</v>
      </c>
      <c r="E59" s="29">
        <v>50</v>
      </c>
      <c r="F59" s="7">
        <v>95</v>
      </c>
      <c r="G59" s="7">
        <v>31</v>
      </c>
      <c r="H59" s="7" t="s">
        <v>153</v>
      </c>
      <c r="I59" s="7" t="s">
        <v>109</v>
      </c>
      <c r="J59" s="7" t="s">
        <v>130</v>
      </c>
      <c r="K59" s="11">
        <v>0.89236111111111116</v>
      </c>
      <c r="L59" s="7" t="s">
        <v>109</v>
      </c>
      <c r="M59" s="7" t="s">
        <v>109</v>
      </c>
      <c r="N59" s="29" t="s">
        <v>109</v>
      </c>
      <c r="O59" s="29" t="s">
        <v>61</v>
      </c>
      <c r="P59" s="7" t="s">
        <v>131</v>
      </c>
      <c r="Q59" s="7" t="s">
        <v>153</v>
      </c>
      <c r="R59" s="7" t="s">
        <v>62</v>
      </c>
      <c r="S59" s="7" t="s">
        <v>109</v>
      </c>
      <c r="T59" s="7" t="s">
        <v>109</v>
      </c>
      <c r="U59" s="28" t="b">
        <f t="shared" si="1"/>
        <v>0</v>
      </c>
      <c r="V59" s="7" t="s">
        <v>1313</v>
      </c>
      <c r="W59" s="29" t="s">
        <v>223</v>
      </c>
    </row>
    <row r="60" spans="1:23" x14ac:dyDescent="0.3">
      <c r="A60" s="7">
        <v>59</v>
      </c>
      <c r="B60" s="29" t="s">
        <v>23</v>
      </c>
      <c r="C60" s="29" t="s">
        <v>1044</v>
      </c>
      <c r="D60" s="29">
        <v>50126281</v>
      </c>
      <c r="E60" s="29">
        <v>75</v>
      </c>
      <c r="F60" s="7">
        <v>159</v>
      </c>
      <c r="G60" s="7">
        <v>27</v>
      </c>
      <c r="H60" s="53" t="s">
        <v>64</v>
      </c>
      <c r="I60" s="7" t="s">
        <v>109</v>
      </c>
      <c r="J60" s="7" t="s">
        <v>130</v>
      </c>
      <c r="K60" s="11">
        <v>0.93958333333333333</v>
      </c>
      <c r="L60" s="7" t="s">
        <v>109</v>
      </c>
      <c r="M60" s="7" t="s">
        <v>109</v>
      </c>
      <c r="N60" s="29" t="s">
        <v>109</v>
      </c>
      <c r="O60" s="29" t="s">
        <v>61</v>
      </c>
      <c r="P60" s="7" t="s">
        <v>131</v>
      </c>
      <c r="Q60" s="7" t="s">
        <v>64</v>
      </c>
      <c r="R60" s="7" t="s">
        <v>62</v>
      </c>
      <c r="S60" s="7" t="s">
        <v>109</v>
      </c>
      <c r="T60" s="7" t="s">
        <v>109</v>
      </c>
      <c r="U60" s="28" t="b">
        <f t="shared" si="1"/>
        <v>0</v>
      </c>
      <c r="V60" s="7" t="s">
        <v>109</v>
      </c>
      <c r="W60" s="29" t="s">
        <v>223</v>
      </c>
    </row>
    <row r="61" spans="1:23" x14ac:dyDescent="0.3">
      <c r="A61" s="7">
        <v>60</v>
      </c>
      <c r="B61" s="29" t="s">
        <v>23</v>
      </c>
      <c r="C61" s="29" t="s">
        <v>1045</v>
      </c>
      <c r="D61" s="29">
        <v>50126280</v>
      </c>
      <c r="E61" s="29">
        <v>35</v>
      </c>
      <c r="F61" s="7">
        <v>51</v>
      </c>
      <c r="G61" s="7">
        <v>11</v>
      </c>
      <c r="H61" s="53" t="s">
        <v>67</v>
      </c>
      <c r="I61" s="7" t="s">
        <v>109</v>
      </c>
      <c r="J61" s="7" t="s">
        <v>130</v>
      </c>
      <c r="K61" s="11">
        <v>0.7319444444444444</v>
      </c>
      <c r="L61" s="7" t="s">
        <v>109</v>
      </c>
      <c r="M61" s="7" t="s">
        <v>109</v>
      </c>
      <c r="N61" s="29" t="s">
        <v>109</v>
      </c>
      <c r="O61" s="29" t="s">
        <v>61</v>
      </c>
      <c r="P61" s="7" t="s">
        <v>131</v>
      </c>
      <c r="Q61" s="7" t="s">
        <v>67</v>
      </c>
      <c r="R61" s="7" t="s">
        <v>62</v>
      </c>
      <c r="S61" s="7" t="s">
        <v>109</v>
      </c>
      <c r="T61" s="7" t="s">
        <v>109</v>
      </c>
      <c r="U61" s="28" t="b">
        <f t="shared" si="1"/>
        <v>0</v>
      </c>
      <c r="V61" s="7" t="s">
        <v>291</v>
      </c>
      <c r="W61" s="29" t="s">
        <v>223</v>
      </c>
    </row>
    <row r="62" spans="1:23" x14ac:dyDescent="0.3">
      <c r="A62" s="7">
        <v>61</v>
      </c>
      <c r="B62" s="29" t="s">
        <v>23</v>
      </c>
      <c r="C62" s="29" t="s">
        <v>1049</v>
      </c>
      <c r="D62" s="29">
        <v>50126284</v>
      </c>
      <c r="E62" s="29">
        <v>80</v>
      </c>
      <c r="F62" s="7">
        <v>128</v>
      </c>
      <c r="G62" s="7">
        <v>39</v>
      </c>
      <c r="H62" s="53" t="s">
        <v>82</v>
      </c>
      <c r="I62" s="7" t="s">
        <v>109</v>
      </c>
      <c r="J62" s="7" t="s">
        <v>130</v>
      </c>
      <c r="K62" s="11">
        <v>0.87847222222222221</v>
      </c>
      <c r="L62" s="7" t="s">
        <v>109</v>
      </c>
      <c r="M62" s="7" t="s">
        <v>109</v>
      </c>
      <c r="N62" s="29" t="s">
        <v>109</v>
      </c>
      <c r="O62" s="29" t="s">
        <v>61</v>
      </c>
      <c r="P62" s="7" t="s">
        <v>131</v>
      </c>
      <c r="Q62" s="7" t="s">
        <v>82</v>
      </c>
      <c r="R62" s="7" t="s">
        <v>62</v>
      </c>
      <c r="S62" s="7" t="s">
        <v>109</v>
      </c>
      <c r="T62" s="7" t="s">
        <v>109</v>
      </c>
      <c r="U62" s="28" t="b">
        <f t="shared" si="1"/>
        <v>0</v>
      </c>
      <c r="V62" s="7" t="s">
        <v>291</v>
      </c>
      <c r="W62" s="29" t="s">
        <v>223</v>
      </c>
    </row>
    <row r="63" spans="1:23" x14ac:dyDescent="0.3">
      <c r="A63" s="7">
        <v>62</v>
      </c>
      <c r="B63" s="29" t="s">
        <v>23</v>
      </c>
      <c r="C63" s="29" t="s">
        <v>977</v>
      </c>
      <c r="D63" s="29">
        <v>50126274</v>
      </c>
      <c r="E63" s="29">
        <v>125</v>
      </c>
      <c r="F63" s="7">
        <v>258</v>
      </c>
      <c r="G63" s="7">
        <v>133</v>
      </c>
      <c r="H63" s="7" t="s">
        <v>927</v>
      </c>
      <c r="I63" s="7" t="s">
        <v>109</v>
      </c>
      <c r="J63" s="7" t="s">
        <v>130</v>
      </c>
      <c r="K63" s="11">
        <v>0.84583333333333333</v>
      </c>
      <c r="L63" s="7" t="s">
        <v>109</v>
      </c>
      <c r="M63" s="7" t="s">
        <v>109</v>
      </c>
      <c r="N63" s="29" t="s">
        <v>109</v>
      </c>
      <c r="O63" s="29" t="s">
        <v>61</v>
      </c>
      <c r="P63" s="7" t="s">
        <v>131</v>
      </c>
      <c r="Q63" s="7" t="s">
        <v>520</v>
      </c>
      <c r="R63" s="7" t="s">
        <v>62</v>
      </c>
      <c r="S63" s="7" t="s">
        <v>109</v>
      </c>
      <c r="T63" s="7" t="s">
        <v>109</v>
      </c>
      <c r="U63" s="28" t="b">
        <f t="shared" si="1"/>
        <v>1</v>
      </c>
      <c r="V63" s="7" t="s">
        <v>109</v>
      </c>
      <c r="W63" s="29" t="s">
        <v>334</v>
      </c>
    </row>
    <row r="64" spans="1:23" x14ac:dyDescent="0.3">
      <c r="A64" s="7">
        <v>63</v>
      </c>
      <c r="B64" s="29" t="s">
        <v>23</v>
      </c>
      <c r="C64" s="29" t="s">
        <v>978</v>
      </c>
      <c r="D64" s="29">
        <v>50126276</v>
      </c>
      <c r="E64" s="29">
        <v>150</v>
      </c>
      <c r="F64" s="7">
        <v>218</v>
      </c>
      <c r="G64" s="7">
        <v>152</v>
      </c>
      <c r="H64" s="53" t="s">
        <v>1303</v>
      </c>
      <c r="I64" s="7" t="s">
        <v>109</v>
      </c>
      <c r="J64" s="7" t="s">
        <v>130</v>
      </c>
      <c r="K64" s="11">
        <v>0.93958333333333333</v>
      </c>
      <c r="L64" s="7" t="s">
        <v>109</v>
      </c>
      <c r="M64" s="7" t="s">
        <v>109</v>
      </c>
      <c r="N64" s="29" t="s">
        <v>109</v>
      </c>
      <c r="O64" s="29" t="s">
        <v>61</v>
      </c>
      <c r="P64" s="7" t="s">
        <v>131</v>
      </c>
      <c r="Q64" s="7" t="s">
        <v>68</v>
      </c>
      <c r="R64" s="7" t="s">
        <v>62</v>
      </c>
      <c r="S64" s="7" t="s">
        <v>109</v>
      </c>
      <c r="T64" s="7" t="s">
        <v>109</v>
      </c>
      <c r="U64" s="28" t="b">
        <f t="shared" si="1"/>
        <v>1</v>
      </c>
      <c r="V64" s="7" t="s">
        <v>109</v>
      </c>
      <c r="W64" s="29" t="s">
        <v>334</v>
      </c>
    </row>
    <row r="65" spans="1:23" x14ac:dyDescent="0.3">
      <c r="A65" s="7">
        <v>64</v>
      </c>
      <c r="B65" s="29" t="s">
        <v>23</v>
      </c>
      <c r="C65" s="29" t="s">
        <v>980</v>
      </c>
      <c r="D65" s="29">
        <v>50126278</v>
      </c>
      <c r="E65" s="29">
        <v>300</v>
      </c>
      <c r="F65" s="7">
        <v>439</v>
      </c>
      <c r="G65" s="7">
        <v>313</v>
      </c>
      <c r="H65" s="53" t="s">
        <v>1304</v>
      </c>
      <c r="I65" s="7" t="s">
        <v>109</v>
      </c>
      <c r="J65" s="7" t="s">
        <v>130</v>
      </c>
      <c r="K65" s="11">
        <v>0.79374999999999996</v>
      </c>
      <c r="L65" s="7" t="s">
        <v>109</v>
      </c>
      <c r="M65" s="7" t="s">
        <v>109</v>
      </c>
      <c r="N65" s="29" t="s">
        <v>109</v>
      </c>
      <c r="O65" s="29" t="s">
        <v>61</v>
      </c>
      <c r="P65" s="7" t="s">
        <v>131</v>
      </c>
      <c r="Q65" s="7" t="s">
        <v>65</v>
      </c>
      <c r="R65" s="7" t="s">
        <v>62</v>
      </c>
      <c r="S65" s="7" t="s">
        <v>109</v>
      </c>
      <c r="T65" s="7" t="s">
        <v>109</v>
      </c>
      <c r="U65" s="28" t="b">
        <f t="shared" si="1"/>
        <v>1</v>
      </c>
      <c r="V65" s="7" t="s">
        <v>109</v>
      </c>
      <c r="W65" s="29" t="s">
        <v>334</v>
      </c>
    </row>
    <row r="66" spans="1:23" x14ac:dyDescent="0.3">
      <c r="A66" s="7">
        <v>65</v>
      </c>
      <c r="B66" s="29" t="s">
        <v>23</v>
      </c>
      <c r="C66" s="29" t="s">
        <v>981</v>
      </c>
      <c r="D66" s="29">
        <v>50126275</v>
      </c>
      <c r="E66" s="29">
        <v>125</v>
      </c>
      <c r="F66" s="7">
        <v>304</v>
      </c>
      <c r="G66" s="7">
        <v>99</v>
      </c>
      <c r="H66" s="7" t="s">
        <v>1305</v>
      </c>
      <c r="I66" s="7" t="s">
        <v>109</v>
      </c>
      <c r="J66" s="7" t="s">
        <v>130</v>
      </c>
      <c r="K66" s="11">
        <v>0.83402777777777781</v>
      </c>
      <c r="L66" s="7" t="s">
        <v>109</v>
      </c>
      <c r="M66" s="7" t="s">
        <v>109</v>
      </c>
      <c r="N66" s="29" t="s">
        <v>109</v>
      </c>
      <c r="O66" s="29" t="s">
        <v>61</v>
      </c>
      <c r="P66" s="7" t="s">
        <v>131</v>
      </c>
      <c r="Q66" s="7" t="s">
        <v>241</v>
      </c>
      <c r="R66" s="7" t="s">
        <v>62</v>
      </c>
      <c r="S66" s="7" t="s">
        <v>109</v>
      </c>
      <c r="T66" s="7" t="s">
        <v>109</v>
      </c>
      <c r="U66" s="28" t="b">
        <f t="shared" ref="U66:U79" si="2">G:G&gt;=E:E</f>
        <v>0</v>
      </c>
      <c r="V66" s="7" t="s">
        <v>1313</v>
      </c>
      <c r="W66" s="29" t="s">
        <v>334</v>
      </c>
    </row>
    <row r="67" spans="1:23" x14ac:dyDescent="0.3">
      <c r="A67" s="7">
        <v>66</v>
      </c>
      <c r="B67" s="29" t="s">
        <v>23</v>
      </c>
      <c r="C67" s="29" t="s">
        <v>982</v>
      </c>
      <c r="D67" s="29">
        <v>50126277</v>
      </c>
      <c r="E67" s="29">
        <v>200</v>
      </c>
      <c r="F67" s="7">
        <v>279</v>
      </c>
      <c r="G67" s="7">
        <v>208</v>
      </c>
      <c r="H67" s="7" t="s">
        <v>933</v>
      </c>
      <c r="I67" s="7" t="s">
        <v>109</v>
      </c>
      <c r="J67" s="7" t="s">
        <v>130</v>
      </c>
      <c r="K67" s="11">
        <v>0.97152777777777777</v>
      </c>
      <c r="L67" s="7" t="s">
        <v>109</v>
      </c>
      <c r="M67" s="7" t="s">
        <v>109</v>
      </c>
      <c r="N67" s="29" t="s">
        <v>109</v>
      </c>
      <c r="O67" s="29" t="s">
        <v>61</v>
      </c>
      <c r="P67" s="7" t="s">
        <v>131</v>
      </c>
      <c r="Q67" s="7" t="s">
        <v>82</v>
      </c>
      <c r="R67" s="7" t="s">
        <v>62</v>
      </c>
      <c r="S67" s="7" t="s">
        <v>109</v>
      </c>
      <c r="T67" s="7" t="s">
        <v>109</v>
      </c>
      <c r="U67" s="28" t="b">
        <f t="shared" si="2"/>
        <v>1</v>
      </c>
      <c r="V67" s="7" t="s">
        <v>109</v>
      </c>
      <c r="W67" s="29" t="s">
        <v>334</v>
      </c>
    </row>
    <row r="68" spans="1:23" x14ac:dyDescent="0.3">
      <c r="A68" s="7">
        <v>67</v>
      </c>
      <c r="B68" s="29" t="s">
        <v>23</v>
      </c>
      <c r="C68" s="29" t="s">
        <v>985</v>
      </c>
      <c r="D68" s="29">
        <v>50126273</v>
      </c>
      <c r="E68" s="29">
        <v>200</v>
      </c>
      <c r="F68" s="7">
        <v>301</v>
      </c>
      <c r="G68" s="7">
        <v>201</v>
      </c>
      <c r="H68" s="53" t="s">
        <v>1306</v>
      </c>
      <c r="I68" s="7" t="s">
        <v>109</v>
      </c>
      <c r="J68" s="7" t="s">
        <v>130</v>
      </c>
      <c r="K68" s="11">
        <v>0.92986111111111114</v>
      </c>
      <c r="L68" s="7" t="s">
        <v>109</v>
      </c>
      <c r="M68" s="7" t="s">
        <v>109</v>
      </c>
      <c r="N68" s="29" t="s">
        <v>109</v>
      </c>
      <c r="O68" s="29" t="s">
        <v>61</v>
      </c>
      <c r="P68" s="7" t="s">
        <v>131</v>
      </c>
      <c r="Q68" s="7" t="s">
        <v>196</v>
      </c>
      <c r="R68" s="7" t="s">
        <v>62</v>
      </c>
      <c r="S68" s="7" t="s">
        <v>109</v>
      </c>
      <c r="T68" s="7" t="s">
        <v>109</v>
      </c>
      <c r="U68" s="28" t="b">
        <f t="shared" si="2"/>
        <v>1</v>
      </c>
      <c r="V68" s="7" t="s">
        <v>109</v>
      </c>
      <c r="W68" s="29" t="s">
        <v>334</v>
      </c>
    </row>
    <row r="69" spans="1:23" x14ac:dyDescent="0.3">
      <c r="A69" s="7">
        <v>68</v>
      </c>
      <c r="B69" s="29" t="s">
        <v>23</v>
      </c>
      <c r="C69" s="29" t="s">
        <v>1110</v>
      </c>
      <c r="D69" s="29">
        <v>50126322</v>
      </c>
      <c r="E69" s="29">
        <v>150</v>
      </c>
      <c r="F69" s="7">
        <v>215</v>
      </c>
      <c r="G69" s="7">
        <v>158</v>
      </c>
      <c r="H69" s="53" t="s">
        <v>993</v>
      </c>
      <c r="I69" s="7" t="s">
        <v>109</v>
      </c>
      <c r="J69" s="7" t="s">
        <v>130</v>
      </c>
      <c r="K69" s="11">
        <v>0.91666666666666663</v>
      </c>
      <c r="L69" s="7" t="s">
        <v>109</v>
      </c>
      <c r="M69" s="7" t="s">
        <v>109</v>
      </c>
      <c r="N69" s="29" t="s">
        <v>109</v>
      </c>
      <c r="O69" s="29" t="s">
        <v>61</v>
      </c>
      <c r="P69" s="7" t="s">
        <v>131</v>
      </c>
      <c r="Q69" s="7" t="s">
        <v>71</v>
      </c>
      <c r="R69" s="7" t="s">
        <v>62</v>
      </c>
      <c r="S69" s="7" t="s">
        <v>109</v>
      </c>
      <c r="T69" s="7" t="s">
        <v>109</v>
      </c>
      <c r="U69" s="28" t="b">
        <f t="shared" si="2"/>
        <v>1</v>
      </c>
      <c r="V69" s="7" t="s">
        <v>109</v>
      </c>
      <c r="W69" s="29" t="s">
        <v>1112</v>
      </c>
    </row>
    <row r="70" spans="1:23" x14ac:dyDescent="0.3">
      <c r="A70" s="7">
        <v>69</v>
      </c>
      <c r="B70" s="29" t="s">
        <v>23</v>
      </c>
      <c r="C70" s="29" t="s">
        <v>1113</v>
      </c>
      <c r="D70" s="29">
        <v>50126323</v>
      </c>
      <c r="E70" s="29">
        <v>100</v>
      </c>
      <c r="F70" s="7">
        <v>129</v>
      </c>
      <c r="G70" s="7">
        <v>100</v>
      </c>
      <c r="H70" s="53" t="s">
        <v>72</v>
      </c>
      <c r="I70" s="7" t="s">
        <v>109</v>
      </c>
      <c r="J70" s="7" t="s">
        <v>130</v>
      </c>
      <c r="K70" s="11">
        <v>0.67708333333333337</v>
      </c>
      <c r="L70" s="7" t="s">
        <v>109</v>
      </c>
      <c r="M70" s="7" t="s">
        <v>109</v>
      </c>
      <c r="N70" s="29" t="s">
        <v>109</v>
      </c>
      <c r="O70" s="29" t="s">
        <v>61</v>
      </c>
      <c r="P70" s="7" t="s">
        <v>131</v>
      </c>
      <c r="Q70" s="7" t="s">
        <v>72</v>
      </c>
      <c r="R70" s="7" t="s">
        <v>62</v>
      </c>
      <c r="S70" s="7" t="s">
        <v>109</v>
      </c>
      <c r="T70" s="7" t="s">
        <v>109</v>
      </c>
      <c r="U70" s="28" t="b">
        <f t="shared" si="2"/>
        <v>1</v>
      </c>
      <c r="V70" s="7" t="s">
        <v>109</v>
      </c>
      <c r="W70" s="29" t="s">
        <v>1112</v>
      </c>
    </row>
    <row r="71" spans="1:23" x14ac:dyDescent="0.3">
      <c r="A71" s="7">
        <v>70</v>
      </c>
      <c r="B71" s="29" t="s">
        <v>23</v>
      </c>
      <c r="C71" s="29" t="s">
        <v>1115</v>
      </c>
      <c r="D71" s="29">
        <v>50126321</v>
      </c>
      <c r="E71" s="29">
        <v>100</v>
      </c>
      <c r="F71" s="7">
        <v>162</v>
      </c>
      <c r="G71" s="7">
        <v>100</v>
      </c>
      <c r="H71" s="53" t="s">
        <v>71</v>
      </c>
      <c r="I71" s="7" t="s">
        <v>109</v>
      </c>
      <c r="J71" s="7" t="s">
        <v>130</v>
      </c>
      <c r="K71" s="11">
        <v>0.82361111111111107</v>
      </c>
      <c r="L71" s="7" t="s">
        <v>109</v>
      </c>
      <c r="M71" s="7" t="s">
        <v>109</v>
      </c>
      <c r="N71" s="29" t="s">
        <v>109</v>
      </c>
      <c r="O71" s="29" t="s">
        <v>61</v>
      </c>
      <c r="P71" s="7" t="s">
        <v>131</v>
      </c>
      <c r="Q71" s="7" t="s">
        <v>71</v>
      </c>
      <c r="R71" s="7" t="s">
        <v>62</v>
      </c>
      <c r="S71" s="7" t="s">
        <v>109</v>
      </c>
      <c r="T71" s="7" t="s">
        <v>109</v>
      </c>
      <c r="U71" s="28" t="b">
        <f t="shared" si="2"/>
        <v>1</v>
      </c>
      <c r="V71" s="7" t="s">
        <v>109</v>
      </c>
      <c r="W71" s="29" t="s">
        <v>1112</v>
      </c>
    </row>
    <row r="72" spans="1:23" x14ac:dyDescent="0.3">
      <c r="A72" s="7">
        <v>71</v>
      </c>
      <c r="B72" s="29" t="s">
        <v>23</v>
      </c>
      <c r="C72" s="29" t="s">
        <v>588</v>
      </c>
      <c r="D72" s="29">
        <v>50126064</v>
      </c>
      <c r="E72" s="29">
        <v>100</v>
      </c>
      <c r="F72" s="7">
        <v>154</v>
      </c>
      <c r="G72" s="7">
        <v>54</v>
      </c>
      <c r="H72" s="7" t="s">
        <v>153</v>
      </c>
      <c r="I72" s="7" t="s">
        <v>109</v>
      </c>
      <c r="J72" s="7" t="s">
        <v>130</v>
      </c>
      <c r="K72" s="11">
        <v>9.7222222222222224E-3</v>
      </c>
      <c r="L72" s="7" t="s">
        <v>109</v>
      </c>
      <c r="M72" s="7" t="s">
        <v>109</v>
      </c>
      <c r="N72" s="29" t="s">
        <v>109</v>
      </c>
      <c r="O72" s="29" t="s">
        <v>61</v>
      </c>
      <c r="P72" s="7" t="s">
        <v>131</v>
      </c>
      <c r="Q72" s="7" t="s">
        <v>153</v>
      </c>
      <c r="R72" s="7" t="s">
        <v>62</v>
      </c>
      <c r="S72" s="7" t="s">
        <v>109</v>
      </c>
      <c r="T72" s="7" t="s">
        <v>109</v>
      </c>
      <c r="U72" s="28" t="b">
        <f t="shared" si="2"/>
        <v>0</v>
      </c>
      <c r="V72" s="7" t="s">
        <v>1313</v>
      </c>
      <c r="W72" s="29" t="s">
        <v>610</v>
      </c>
    </row>
    <row r="73" spans="1:23" x14ac:dyDescent="0.3">
      <c r="A73" s="7">
        <v>72</v>
      </c>
      <c r="B73" s="29" t="s">
        <v>23</v>
      </c>
      <c r="C73" s="29" t="s">
        <v>592</v>
      </c>
      <c r="D73" s="29">
        <v>50126073</v>
      </c>
      <c r="E73" s="29">
        <v>50</v>
      </c>
      <c r="F73" s="7">
        <v>91</v>
      </c>
      <c r="G73" s="7">
        <v>46</v>
      </c>
      <c r="H73" s="53" t="s">
        <v>214</v>
      </c>
      <c r="I73" s="7" t="s">
        <v>109</v>
      </c>
      <c r="J73" s="7" t="s">
        <v>130</v>
      </c>
      <c r="K73" s="11">
        <v>0.98958333333333337</v>
      </c>
      <c r="L73" s="7" t="s">
        <v>109</v>
      </c>
      <c r="M73" s="7" t="s">
        <v>109</v>
      </c>
      <c r="N73" s="29" t="s">
        <v>109</v>
      </c>
      <c r="O73" s="29" t="s">
        <v>61</v>
      </c>
      <c r="P73" s="7" t="s">
        <v>131</v>
      </c>
      <c r="Q73" s="7" t="s">
        <v>214</v>
      </c>
      <c r="R73" s="7" t="s">
        <v>62</v>
      </c>
      <c r="S73" s="7" t="s">
        <v>109</v>
      </c>
      <c r="T73" s="7" t="s">
        <v>109</v>
      </c>
      <c r="U73" s="28" t="b">
        <f t="shared" si="2"/>
        <v>0</v>
      </c>
      <c r="V73" s="7" t="s">
        <v>109</v>
      </c>
      <c r="W73" s="29" t="s">
        <v>610</v>
      </c>
    </row>
    <row r="74" spans="1:23" x14ac:dyDescent="0.3">
      <c r="A74" s="7">
        <v>73</v>
      </c>
      <c r="B74" s="29" t="s">
        <v>23</v>
      </c>
      <c r="C74" s="29" t="s">
        <v>1307</v>
      </c>
      <c r="D74" s="29">
        <v>50126334</v>
      </c>
      <c r="E74" s="29">
        <v>150</v>
      </c>
      <c r="F74" s="7">
        <v>156</v>
      </c>
      <c r="G74" s="7">
        <v>37</v>
      </c>
      <c r="H74" s="7" t="s">
        <v>1308</v>
      </c>
      <c r="I74" s="7" t="s">
        <v>109</v>
      </c>
      <c r="J74" s="7" t="s">
        <v>130</v>
      </c>
      <c r="K74" s="11">
        <v>0.80208333333333337</v>
      </c>
      <c r="L74" s="7" t="s">
        <v>109</v>
      </c>
      <c r="M74" s="7" t="s">
        <v>109</v>
      </c>
      <c r="N74" s="29" t="s">
        <v>109</v>
      </c>
      <c r="O74" s="29" t="s">
        <v>61</v>
      </c>
      <c r="P74" s="7" t="s">
        <v>131</v>
      </c>
      <c r="Q74" s="7" t="s">
        <v>214</v>
      </c>
      <c r="R74" s="7" t="s">
        <v>62</v>
      </c>
      <c r="S74" s="7" t="s">
        <v>109</v>
      </c>
      <c r="T74" s="7" t="s">
        <v>109</v>
      </c>
      <c r="U74" s="28" t="b">
        <f t="shared" si="2"/>
        <v>0</v>
      </c>
      <c r="V74" s="7" t="s">
        <v>291</v>
      </c>
      <c r="W74" s="29" t="s">
        <v>1309</v>
      </c>
    </row>
    <row r="75" spans="1:23" x14ac:dyDescent="0.3">
      <c r="A75" s="7">
        <v>74</v>
      </c>
      <c r="B75" s="29" t="s">
        <v>170</v>
      </c>
      <c r="C75" s="29" t="s">
        <v>171</v>
      </c>
      <c r="D75" s="29">
        <v>41125019</v>
      </c>
      <c r="E75" s="29">
        <v>350</v>
      </c>
      <c r="F75" s="7">
        <v>167</v>
      </c>
      <c r="G75" s="7">
        <v>42</v>
      </c>
      <c r="H75" s="7" t="s">
        <v>1310</v>
      </c>
      <c r="I75" s="7" t="s">
        <v>1311</v>
      </c>
      <c r="J75" s="7" t="s">
        <v>130</v>
      </c>
      <c r="K75" s="11">
        <v>0.92083333333333328</v>
      </c>
      <c r="L75" s="7" t="s">
        <v>1320</v>
      </c>
      <c r="M75" s="7" t="s">
        <v>109</v>
      </c>
      <c r="N75" s="32" t="s">
        <v>1312</v>
      </c>
      <c r="O75" s="29" t="s">
        <v>61</v>
      </c>
      <c r="P75" s="7" t="s">
        <v>131</v>
      </c>
      <c r="Q75" s="7" t="s">
        <v>209</v>
      </c>
      <c r="R75" s="7" t="s">
        <v>62</v>
      </c>
      <c r="S75" s="7" t="s">
        <v>109</v>
      </c>
      <c r="T75" s="7" t="s">
        <v>109</v>
      </c>
      <c r="U75" s="28" t="b">
        <f t="shared" si="2"/>
        <v>0</v>
      </c>
      <c r="V75" s="7" t="s">
        <v>109</v>
      </c>
      <c r="W75" s="29" t="s">
        <v>175</v>
      </c>
    </row>
    <row r="76" spans="1:23" x14ac:dyDescent="0.3">
      <c r="A76" s="7">
        <v>75</v>
      </c>
      <c r="B76" s="48" t="s">
        <v>23</v>
      </c>
      <c r="C76" s="29" t="s">
        <v>322</v>
      </c>
      <c r="D76" s="48">
        <v>50126008</v>
      </c>
      <c r="E76" s="48">
        <v>450</v>
      </c>
      <c r="F76" s="7">
        <v>825</v>
      </c>
      <c r="G76" s="7">
        <v>260</v>
      </c>
      <c r="H76" s="7" t="s">
        <v>1317</v>
      </c>
      <c r="I76" s="7" t="s">
        <v>109</v>
      </c>
      <c r="J76" s="7" t="s">
        <v>130</v>
      </c>
      <c r="K76" s="11">
        <v>0.92291666666666672</v>
      </c>
      <c r="L76" s="7" t="s">
        <v>109</v>
      </c>
      <c r="M76" s="7" t="s">
        <v>109</v>
      </c>
      <c r="N76" s="32" t="s">
        <v>1314</v>
      </c>
      <c r="O76" s="48" t="s">
        <v>61</v>
      </c>
      <c r="P76" s="7" t="s">
        <v>131</v>
      </c>
      <c r="Q76" s="7" t="s">
        <v>1319</v>
      </c>
      <c r="R76" s="7" t="s">
        <v>62</v>
      </c>
      <c r="S76" s="7" t="s">
        <v>109</v>
      </c>
      <c r="T76" s="7" t="s">
        <v>109</v>
      </c>
      <c r="U76" s="7" t="b">
        <f t="shared" si="2"/>
        <v>0</v>
      </c>
      <c r="V76" s="7" t="s">
        <v>291</v>
      </c>
      <c r="W76" s="74" t="s">
        <v>325</v>
      </c>
    </row>
    <row r="77" spans="1:23" x14ac:dyDescent="0.3">
      <c r="A77" s="7">
        <v>76</v>
      </c>
      <c r="B77" s="29" t="s">
        <v>23</v>
      </c>
      <c r="C77" s="29" t="s">
        <v>1316</v>
      </c>
      <c r="D77" s="29">
        <v>51125230</v>
      </c>
      <c r="E77" s="29">
        <v>15</v>
      </c>
      <c r="F77" s="7">
        <v>25</v>
      </c>
      <c r="G77" s="7">
        <v>17</v>
      </c>
      <c r="H77" s="7" t="s">
        <v>71</v>
      </c>
      <c r="I77" s="7" t="s">
        <v>91</v>
      </c>
      <c r="J77" s="7" t="s">
        <v>130</v>
      </c>
      <c r="K77" s="11">
        <v>0.94652777777777775</v>
      </c>
      <c r="L77" s="11">
        <v>0.96111111111111114</v>
      </c>
      <c r="M77" s="7" t="s">
        <v>109</v>
      </c>
      <c r="N77" s="7" t="s">
        <v>109</v>
      </c>
      <c r="O77" s="48" t="s">
        <v>61</v>
      </c>
      <c r="P77" s="7" t="s">
        <v>131</v>
      </c>
      <c r="Q77" s="7" t="s">
        <v>91</v>
      </c>
      <c r="R77" s="7" t="s">
        <v>62</v>
      </c>
      <c r="S77" s="7" t="s">
        <v>109</v>
      </c>
      <c r="T77" s="7" t="s">
        <v>109</v>
      </c>
      <c r="U77" s="7" t="b">
        <f t="shared" si="2"/>
        <v>1</v>
      </c>
      <c r="V77" s="7" t="s">
        <v>109</v>
      </c>
      <c r="W77" s="7" t="s">
        <v>480</v>
      </c>
    </row>
    <row r="78" spans="1:23" x14ac:dyDescent="0.3">
      <c r="A78" s="7">
        <v>77</v>
      </c>
      <c r="B78" s="74" t="s">
        <v>143</v>
      </c>
      <c r="C78" s="29" t="s">
        <v>347</v>
      </c>
      <c r="D78" s="7">
        <v>11225025</v>
      </c>
      <c r="E78" s="29">
        <v>180</v>
      </c>
      <c r="F78" s="7">
        <v>170</v>
      </c>
      <c r="G78" s="7">
        <v>70</v>
      </c>
      <c r="H78" s="7" t="s">
        <v>1318</v>
      </c>
      <c r="I78" s="7" t="s">
        <v>1321</v>
      </c>
      <c r="J78" s="7" t="s">
        <v>130</v>
      </c>
      <c r="K78" s="7" t="s">
        <v>109</v>
      </c>
      <c r="L78" s="11">
        <v>7.6388888888888886E-3</v>
      </c>
      <c r="M78" s="7" t="s">
        <v>109</v>
      </c>
      <c r="N78" s="7" t="s">
        <v>109</v>
      </c>
      <c r="O78" s="7" t="s">
        <v>145</v>
      </c>
      <c r="P78" s="7" t="s">
        <v>131</v>
      </c>
      <c r="Q78" s="7" t="s">
        <v>605</v>
      </c>
      <c r="R78" s="74" t="s">
        <v>62</v>
      </c>
      <c r="S78" s="7" t="s">
        <v>109</v>
      </c>
      <c r="T78" s="7" t="s">
        <v>109</v>
      </c>
      <c r="U78" s="7" t="b">
        <f t="shared" si="2"/>
        <v>0</v>
      </c>
      <c r="V78" s="7" t="s">
        <v>109</v>
      </c>
      <c r="W78" s="73" t="s">
        <v>116</v>
      </c>
    </row>
    <row r="79" spans="1:23" x14ac:dyDescent="0.3">
      <c r="A79" s="7">
        <v>78</v>
      </c>
      <c r="B79" s="29" t="s">
        <v>23</v>
      </c>
      <c r="C79" s="7" t="s">
        <v>27</v>
      </c>
      <c r="D79" s="29">
        <v>51225107</v>
      </c>
      <c r="E79" s="29">
        <v>178</v>
      </c>
      <c r="F79" s="47" t="s">
        <v>109</v>
      </c>
      <c r="G79" s="47" t="s">
        <v>109</v>
      </c>
      <c r="H79" s="7" t="s">
        <v>1322</v>
      </c>
      <c r="I79" s="47" t="s">
        <v>109</v>
      </c>
      <c r="J79" s="47" t="s">
        <v>109</v>
      </c>
      <c r="K79" s="47" t="s">
        <v>109</v>
      </c>
      <c r="L79" s="47" t="s">
        <v>109</v>
      </c>
      <c r="M79" s="47" t="s">
        <v>109</v>
      </c>
      <c r="N79" s="47" t="s">
        <v>109</v>
      </c>
      <c r="O79" s="47" t="s">
        <v>145</v>
      </c>
      <c r="P79" s="47" t="s">
        <v>109</v>
      </c>
      <c r="Q79" s="47" t="s">
        <v>109</v>
      </c>
      <c r="R79" s="74" t="s">
        <v>62</v>
      </c>
      <c r="S79" s="47" t="s">
        <v>109</v>
      </c>
      <c r="T79" s="47" t="s">
        <v>109</v>
      </c>
      <c r="U79" s="7" t="b">
        <f t="shared" si="2"/>
        <v>1</v>
      </c>
      <c r="V79" s="47" t="s">
        <v>109</v>
      </c>
      <c r="W79" s="73" t="s">
        <v>112</v>
      </c>
    </row>
  </sheetData>
  <conditionalFormatting sqref="D1">
    <cfRule type="duplicateValues" dxfId="100"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F1A3D-A623-4420-BBF9-98814732C7F9}">
  <sheetPr codeName="Sheet14"/>
  <dimension ref="A1:W73"/>
  <sheetViews>
    <sheetView workbookViewId="0">
      <pane ySplit="1" topLeftCell="A2" activePane="bottomLeft" state="frozen"/>
      <selection pane="bottomLeft"/>
    </sheetView>
  </sheetViews>
  <sheetFormatPr defaultRowHeight="14.4" x14ac:dyDescent="0.3"/>
  <cols>
    <col min="1" max="1" width="3.109375" bestFit="1" customWidth="1"/>
    <col min="2" max="2" width="8.6640625" bestFit="1" customWidth="1"/>
    <col min="3" max="3" width="14.5546875" bestFit="1" customWidth="1"/>
    <col min="4" max="4" width="10.44140625" bestFit="1" customWidth="1"/>
    <col min="5" max="5" width="13.88671875" bestFit="1" customWidth="1"/>
    <col min="6" max="6" width="15.109375" bestFit="1" customWidth="1"/>
    <col min="7" max="7" width="8.5546875" bestFit="1" customWidth="1"/>
    <col min="8" max="8" width="7.33203125" bestFit="1" customWidth="1"/>
    <col min="9" max="9" width="15.88671875" bestFit="1" customWidth="1"/>
    <col min="10" max="10" width="6.21875" bestFit="1" customWidth="1"/>
    <col min="11" max="12" width="15.88671875" bestFit="1" customWidth="1"/>
    <col min="13" max="13" width="3.88671875" bestFit="1" customWidth="1"/>
    <col min="14" max="14" width="8.21875" bestFit="1" customWidth="1"/>
    <col min="15" max="15" width="6.77734375" bestFit="1" customWidth="1"/>
    <col min="16" max="16" width="14.33203125" bestFit="1" customWidth="1"/>
    <col min="17" max="17" width="11.77734375" bestFit="1" customWidth="1"/>
    <col min="18" max="18" width="14.33203125" bestFit="1" customWidth="1"/>
    <col min="19" max="19" width="15.88671875" bestFit="1" customWidth="1"/>
    <col min="20" max="20" width="5.77734375" bestFit="1" customWidth="1"/>
    <col min="21" max="21" width="37.44140625" bestFit="1" customWidth="1"/>
    <col min="22" max="22" width="10.109375" bestFit="1" customWidth="1"/>
  </cols>
  <sheetData>
    <row r="1" spans="1:23" x14ac:dyDescent="0.3">
      <c r="A1" s="22" t="s">
        <v>0</v>
      </c>
      <c r="B1" s="22" t="s">
        <v>1</v>
      </c>
      <c r="C1" s="22" t="s">
        <v>2</v>
      </c>
      <c r="D1" s="22" t="s">
        <v>3</v>
      </c>
      <c r="E1" s="22" t="s">
        <v>4</v>
      </c>
      <c r="F1" s="22" t="s">
        <v>5</v>
      </c>
      <c r="G1" s="22" t="s">
        <v>6</v>
      </c>
      <c r="H1" s="22" t="s">
        <v>7</v>
      </c>
      <c r="I1" s="75" t="s">
        <v>8</v>
      </c>
      <c r="J1" s="22" t="s">
        <v>9</v>
      </c>
      <c r="K1" s="23" t="s">
        <v>10</v>
      </c>
      <c r="L1" s="23" t="s">
        <v>11</v>
      </c>
      <c r="M1" s="24" t="s">
        <v>12</v>
      </c>
      <c r="N1" s="25" t="s">
        <v>13</v>
      </c>
      <c r="O1" s="22" t="s">
        <v>14</v>
      </c>
      <c r="P1" s="22" t="s">
        <v>15</v>
      </c>
      <c r="Q1" s="22" t="s">
        <v>16</v>
      </c>
      <c r="R1" s="22" t="s">
        <v>17</v>
      </c>
      <c r="S1" s="22" t="s">
        <v>18</v>
      </c>
      <c r="T1" s="22" t="s">
        <v>19</v>
      </c>
      <c r="U1" s="22" t="s">
        <v>20</v>
      </c>
      <c r="V1" s="22" t="s">
        <v>21</v>
      </c>
      <c r="W1" s="26" t="s">
        <v>22</v>
      </c>
    </row>
    <row r="2" spans="1:23" x14ac:dyDescent="0.3">
      <c r="A2" s="7">
        <v>1</v>
      </c>
      <c r="B2" s="7" t="s">
        <v>25</v>
      </c>
      <c r="C2" s="7" t="s">
        <v>616</v>
      </c>
      <c r="D2" s="7">
        <v>40126015</v>
      </c>
      <c r="E2" s="7">
        <v>191</v>
      </c>
      <c r="F2" s="7">
        <v>191</v>
      </c>
      <c r="G2" s="7">
        <v>72</v>
      </c>
      <c r="H2" s="28" t="s">
        <v>237</v>
      </c>
      <c r="I2" s="7" t="s">
        <v>294</v>
      </c>
      <c r="J2" s="7" t="s">
        <v>130</v>
      </c>
      <c r="K2" s="11">
        <v>0.90625</v>
      </c>
      <c r="L2" s="11">
        <v>0.95347222222222217</v>
      </c>
      <c r="M2" s="7" t="s">
        <v>109</v>
      </c>
      <c r="N2" s="7" t="s">
        <v>109</v>
      </c>
      <c r="O2" s="7" t="s">
        <v>61</v>
      </c>
      <c r="P2" s="7" t="s">
        <v>131</v>
      </c>
      <c r="Q2" s="7" t="s">
        <v>209</v>
      </c>
      <c r="R2" s="7" t="s">
        <v>62</v>
      </c>
      <c r="S2" s="7" t="s">
        <v>109</v>
      </c>
      <c r="T2" s="7" t="s">
        <v>295</v>
      </c>
      <c r="U2" s="7" t="s">
        <v>109</v>
      </c>
      <c r="V2" s="7" t="s">
        <v>109</v>
      </c>
      <c r="W2" s="7" t="s">
        <v>109</v>
      </c>
    </row>
    <row r="3" spans="1:23" x14ac:dyDescent="0.3">
      <c r="A3" s="18">
        <v>2</v>
      </c>
      <c r="B3" s="18" t="s">
        <v>292</v>
      </c>
      <c r="C3" s="18" t="s">
        <v>293</v>
      </c>
      <c r="D3" s="18">
        <v>41125001</v>
      </c>
      <c r="E3" s="18">
        <v>138</v>
      </c>
      <c r="F3" s="18">
        <v>293</v>
      </c>
      <c r="G3" s="18">
        <v>69</v>
      </c>
      <c r="H3" s="76" t="s">
        <v>73</v>
      </c>
      <c r="I3" s="18" t="s">
        <v>384</v>
      </c>
      <c r="J3" s="18" t="s">
        <v>130</v>
      </c>
      <c r="K3" s="79">
        <v>0.74513888888888891</v>
      </c>
      <c r="L3" s="79">
        <v>0.7715277777777777</v>
      </c>
      <c r="M3" s="18" t="s">
        <v>109</v>
      </c>
      <c r="N3" s="9" t="s">
        <v>1161</v>
      </c>
      <c r="O3" s="18" t="s">
        <v>61</v>
      </c>
      <c r="P3" s="18" t="s">
        <v>131</v>
      </c>
      <c r="Q3" s="18" t="s">
        <v>93</v>
      </c>
      <c r="R3" s="18" t="s">
        <v>63</v>
      </c>
      <c r="S3" s="18" t="s">
        <v>109</v>
      </c>
      <c r="T3" s="18" t="s">
        <v>295</v>
      </c>
      <c r="U3" s="18" t="s">
        <v>109</v>
      </c>
      <c r="V3" s="18" t="s">
        <v>109</v>
      </c>
      <c r="W3" s="18" t="s">
        <v>109</v>
      </c>
    </row>
    <row r="4" spans="1:23" x14ac:dyDescent="0.3">
      <c r="A4" s="7">
        <v>3</v>
      </c>
      <c r="B4" s="7" t="s">
        <v>24</v>
      </c>
      <c r="C4" s="7" t="s">
        <v>46</v>
      </c>
      <c r="D4" s="7">
        <v>61225009</v>
      </c>
      <c r="E4" s="7">
        <v>138</v>
      </c>
      <c r="F4" s="7">
        <v>222</v>
      </c>
      <c r="G4" s="7">
        <v>130</v>
      </c>
      <c r="H4" s="28" t="s">
        <v>386</v>
      </c>
      <c r="I4" s="7" t="s">
        <v>97</v>
      </c>
      <c r="J4" s="7" t="s">
        <v>130</v>
      </c>
      <c r="K4" s="11">
        <v>0.78541666666666676</v>
      </c>
      <c r="L4" s="11">
        <v>0.81388888888888899</v>
      </c>
      <c r="M4" s="7" t="s">
        <v>109</v>
      </c>
      <c r="N4" s="7" t="s">
        <v>109</v>
      </c>
      <c r="O4" s="7" t="s">
        <v>61</v>
      </c>
      <c r="P4" s="7" t="s">
        <v>131</v>
      </c>
      <c r="Q4" s="7" t="s">
        <v>89</v>
      </c>
      <c r="R4" s="7" t="s">
        <v>63</v>
      </c>
      <c r="S4" s="7" t="s">
        <v>109</v>
      </c>
      <c r="T4" s="7" t="s">
        <v>119</v>
      </c>
      <c r="U4" s="7" t="s">
        <v>109</v>
      </c>
      <c r="V4" s="7" t="s">
        <v>109</v>
      </c>
      <c r="W4" s="7" t="s">
        <v>109</v>
      </c>
    </row>
    <row r="5" spans="1:23" x14ac:dyDescent="0.3">
      <c r="A5" s="18">
        <v>4</v>
      </c>
      <c r="B5" s="18" t="s">
        <v>26</v>
      </c>
      <c r="C5" s="18" t="s">
        <v>1323</v>
      </c>
      <c r="D5" s="18">
        <v>40126022</v>
      </c>
      <c r="E5" s="18">
        <v>645</v>
      </c>
      <c r="F5" s="18">
        <v>618</v>
      </c>
      <c r="G5" s="18">
        <v>85</v>
      </c>
      <c r="H5" s="76" t="s">
        <v>1324</v>
      </c>
      <c r="I5" s="18" t="s">
        <v>1325</v>
      </c>
      <c r="J5" s="18" t="s">
        <v>130</v>
      </c>
      <c r="K5" s="79">
        <v>0.77500000000000002</v>
      </c>
      <c r="L5" s="79">
        <v>0.78194444444444444</v>
      </c>
      <c r="M5" s="18" t="s">
        <v>109</v>
      </c>
      <c r="N5" s="9" t="s">
        <v>1161</v>
      </c>
      <c r="O5" s="18" t="s">
        <v>61</v>
      </c>
      <c r="P5" s="18" t="s">
        <v>131</v>
      </c>
      <c r="Q5" s="18" t="s">
        <v>93</v>
      </c>
      <c r="R5" s="18" t="s">
        <v>62</v>
      </c>
      <c r="S5" s="18" t="s">
        <v>109</v>
      </c>
      <c r="T5" s="18" t="s">
        <v>122</v>
      </c>
      <c r="U5" s="18" t="s">
        <v>109</v>
      </c>
      <c r="V5" s="18" t="s">
        <v>109</v>
      </c>
      <c r="W5" s="18" t="s">
        <v>109</v>
      </c>
    </row>
    <row r="6" spans="1:23" x14ac:dyDescent="0.3">
      <c r="A6" s="18">
        <v>5</v>
      </c>
      <c r="B6" s="18" t="s">
        <v>143</v>
      </c>
      <c r="C6" s="18" t="s">
        <v>781</v>
      </c>
      <c r="D6" s="18">
        <v>10126009</v>
      </c>
      <c r="E6" s="18">
        <v>150</v>
      </c>
      <c r="F6" s="18">
        <v>250</v>
      </c>
      <c r="G6" s="18">
        <v>28</v>
      </c>
      <c r="H6" s="76" t="s">
        <v>232</v>
      </c>
      <c r="I6" s="18" t="s">
        <v>285</v>
      </c>
      <c r="J6" s="18" t="s">
        <v>130</v>
      </c>
      <c r="K6" s="79">
        <v>0.83611111111111114</v>
      </c>
      <c r="L6" s="79">
        <v>0.93402777777777779</v>
      </c>
      <c r="M6" s="18" t="s">
        <v>109</v>
      </c>
      <c r="N6" s="9" t="s">
        <v>110</v>
      </c>
      <c r="O6" s="18" t="s">
        <v>61</v>
      </c>
      <c r="P6" s="18" t="s">
        <v>131</v>
      </c>
      <c r="Q6" s="18" t="s">
        <v>370</v>
      </c>
      <c r="R6" s="18" t="s">
        <v>62</v>
      </c>
      <c r="S6" s="18" t="s">
        <v>109</v>
      </c>
      <c r="T6" s="18" t="s">
        <v>398</v>
      </c>
      <c r="U6" s="18" t="s">
        <v>109</v>
      </c>
      <c r="V6" s="18" t="s">
        <v>109</v>
      </c>
      <c r="W6" s="18" t="s">
        <v>109</v>
      </c>
    </row>
    <row r="7" spans="1:23" x14ac:dyDescent="0.3">
      <c r="A7" s="7">
        <v>6</v>
      </c>
      <c r="B7" s="7" t="s">
        <v>143</v>
      </c>
      <c r="C7" s="7" t="s">
        <v>1254</v>
      </c>
      <c r="D7" s="7">
        <v>10126023</v>
      </c>
      <c r="E7" s="7">
        <v>60</v>
      </c>
      <c r="F7" s="7">
        <v>107</v>
      </c>
      <c r="G7" s="7">
        <v>66</v>
      </c>
      <c r="H7" s="7" t="s">
        <v>222</v>
      </c>
      <c r="I7" s="77" t="s">
        <v>88</v>
      </c>
      <c r="J7" s="7" t="s">
        <v>130</v>
      </c>
      <c r="K7" s="11">
        <v>0.71180555555555547</v>
      </c>
      <c r="L7" s="11">
        <v>0.8222222222222223</v>
      </c>
      <c r="M7" s="7" t="s">
        <v>109</v>
      </c>
      <c r="N7" s="7" t="s">
        <v>109</v>
      </c>
      <c r="O7" s="7" t="s">
        <v>61</v>
      </c>
      <c r="P7" s="7" t="s">
        <v>131</v>
      </c>
      <c r="Q7" s="7" t="s">
        <v>88</v>
      </c>
      <c r="R7" s="7" t="s">
        <v>62</v>
      </c>
      <c r="S7" s="7" t="s">
        <v>109</v>
      </c>
      <c r="T7" s="7" t="s">
        <v>398</v>
      </c>
      <c r="U7" s="7" t="s">
        <v>109</v>
      </c>
      <c r="V7" s="7" t="s">
        <v>109</v>
      </c>
      <c r="W7" s="7" t="s">
        <v>109</v>
      </c>
    </row>
    <row r="8" spans="1:23" x14ac:dyDescent="0.3">
      <c r="A8" s="7">
        <v>7</v>
      </c>
      <c r="B8" s="7" t="s">
        <v>143</v>
      </c>
      <c r="C8" s="7" t="s">
        <v>954</v>
      </c>
      <c r="D8" s="7">
        <v>11125024</v>
      </c>
      <c r="E8" s="7">
        <v>100</v>
      </c>
      <c r="F8" s="7">
        <v>200</v>
      </c>
      <c r="G8" s="7">
        <v>18</v>
      </c>
      <c r="H8" s="7" t="s">
        <v>68</v>
      </c>
      <c r="I8" s="7" t="s">
        <v>86</v>
      </c>
      <c r="J8" s="7" t="s">
        <v>130</v>
      </c>
      <c r="K8" s="11">
        <v>0.85486111111111107</v>
      </c>
      <c r="L8" s="11">
        <v>0.90972222222222221</v>
      </c>
      <c r="M8" s="7" t="s">
        <v>109</v>
      </c>
      <c r="N8" s="7" t="s">
        <v>109</v>
      </c>
      <c r="O8" s="7" t="s">
        <v>61</v>
      </c>
      <c r="P8" s="7" t="s">
        <v>131</v>
      </c>
      <c r="Q8" s="7" t="s">
        <v>86</v>
      </c>
      <c r="R8" s="7" t="s">
        <v>62</v>
      </c>
      <c r="S8" s="7" t="s">
        <v>109</v>
      </c>
      <c r="T8" s="7" t="s">
        <v>116</v>
      </c>
      <c r="U8" s="7" t="s">
        <v>109</v>
      </c>
      <c r="V8" s="7" t="s">
        <v>109</v>
      </c>
      <c r="W8" s="7" t="s">
        <v>109</v>
      </c>
    </row>
    <row r="9" spans="1:23" x14ac:dyDescent="0.3">
      <c r="A9" s="7">
        <v>8</v>
      </c>
      <c r="B9" s="7" t="s">
        <v>143</v>
      </c>
      <c r="C9" s="7" t="s">
        <v>347</v>
      </c>
      <c r="D9" s="7">
        <v>11225025</v>
      </c>
      <c r="E9" s="7">
        <v>100</v>
      </c>
      <c r="F9" s="7">
        <v>165</v>
      </c>
      <c r="G9" s="7">
        <v>96</v>
      </c>
      <c r="H9" s="7" t="s">
        <v>82</v>
      </c>
      <c r="I9" s="77" t="s">
        <v>89</v>
      </c>
      <c r="J9" s="7" t="s">
        <v>130</v>
      </c>
      <c r="K9" s="11">
        <v>0.82847222222222217</v>
      </c>
      <c r="L9" s="11">
        <v>0.9159722222222223</v>
      </c>
      <c r="M9" s="7" t="s">
        <v>109</v>
      </c>
      <c r="N9" s="7" t="s">
        <v>109</v>
      </c>
      <c r="O9" s="7" t="s">
        <v>61</v>
      </c>
      <c r="P9" s="7" t="s">
        <v>131</v>
      </c>
      <c r="Q9" s="7" t="s">
        <v>89</v>
      </c>
      <c r="R9" s="7" t="s">
        <v>62</v>
      </c>
      <c r="S9" s="7" t="s">
        <v>109</v>
      </c>
      <c r="T9" s="7" t="s">
        <v>116</v>
      </c>
      <c r="U9" s="7" t="s">
        <v>109</v>
      </c>
      <c r="V9" s="7" t="s">
        <v>109</v>
      </c>
      <c r="W9" s="7" t="s">
        <v>109</v>
      </c>
    </row>
    <row r="10" spans="1:23" x14ac:dyDescent="0.3">
      <c r="A10" s="7">
        <v>9</v>
      </c>
      <c r="B10" s="7" t="s">
        <v>143</v>
      </c>
      <c r="C10" s="7" t="s">
        <v>1326</v>
      </c>
      <c r="D10" s="7">
        <v>10525052</v>
      </c>
      <c r="E10" s="7">
        <v>45</v>
      </c>
      <c r="F10" s="7">
        <v>127</v>
      </c>
      <c r="G10" s="7">
        <v>30</v>
      </c>
      <c r="H10" s="7" t="s">
        <v>68</v>
      </c>
      <c r="I10" s="7" t="s">
        <v>86</v>
      </c>
      <c r="J10" s="7" t="s">
        <v>130</v>
      </c>
      <c r="K10" s="11">
        <v>0.9819444444444444</v>
      </c>
      <c r="L10" s="11">
        <v>0.99652777777777779</v>
      </c>
      <c r="M10" s="7" t="s">
        <v>109</v>
      </c>
      <c r="N10" s="7" t="s">
        <v>109</v>
      </c>
      <c r="O10" s="7" t="s">
        <v>61</v>
      </c>
      <c r="P10" s="7" t="s">
        <v>131</v>
      </c>
      <c r="Q10" s="7" t="s">
        <v>86</v>
      </c>
      <c r="R10" s="7" t="s">
        <v>62</v>
      </c>
      <c r="S10" s="7" t="s">
        <v>109</v>
      </c>
      <c r="T10" s="7" t="s">
        <v>325</v>
      </c>
      <c r="U10" s="7" t="s">
        <v>109</v>
      </c>
      <c r="V10" s="7" t="s">
        <v>109</v>
      </c>
      <c r="W10" s="7" t="s">
        <v>109</v>
      </c>
    </row>
    <row r="11" spans="1:23" x14ac:dyDescent="0.3">
      <c r="A11" s="7">
        <v>10</v>
      </c>
      <c r="B11" s="7" t="s">
        <v>143</v>
      </c>
      <c r="C11" s="7" t="s">
        <v>604</v>
      </c>
      <c r="D11" s="7">
        <v>10525047</v>
      </c>
      <c r="E11" s="7">
        <v>25</v>
      </c>
      <c r="F11" s="7">
        <v>60</v>
      </c>
      <c r="G11" s="7">
        <v>7</v>
      </c>
      <c r="H11" s="7" t="s">
        <v>153</v>
      </c>
      <c r="I11" s="77" t="s">
        <v>88</v>
      </c>
      <c r="J11" s="7" t="s">
        <v>130</v>
      </c>
      <c r="K11" s="11">
        <v>0.67708333333333337</v>
      </c>
      <c r="L11" s="11">
        <v>0.76250000000000007</v>
      </c>
      <c r="M11" s="7" t="s">
        <v>109</v>
      </c>
      <c r="N11" s="7" t="s">
        <v>109</v>
      </c>
      <c r="O11" s="7" t="s">
        <v>61</v>
      </c>
      <c r="P11" s="7" t="s">
        <v>131</v>
      </c>
      <c r="Q11" s="7" t="s">
        <v>88</v>
      </c>
      <c r="R11" s="7" t="s">
        <v>62</v>
      </c>
      <c r="S11" s="7" t="s">
        <v>109</v>
      </c>
      <c r="T11" s="7" t="s">
        <v>325</v>
      </c>
      <c r="U11" s="7" t="s">
        <v>109</v>
      </c>
      <c r="V11" s="7" t="s">
        <v>109</v>
      </c>
      <c r="W11" s="7" t="s">
        <v>109</v>
      </c>
    </row>
    <row r="12" spans="1:23" x14ac:dyDescent="0.3">
      <c r="A12" s="7">
        <v>11</v>
      </c>
      <c r="B12" s="7" t="s">
        <v>143</v>
      </c>
      <c r="C12" s="7" t="s">
        <v>1327</v>
      </c>
      <c r="D12" s="7">
        <v>10126026</v>
      </c>
      <c r="E12" s="7">
        <v>100</v>
      </c>
      <c r="F12" s="7">
        <v>116</v>
      </c>
      <c r="G12" s="7">
        <v>93</v>
      </c>
      <c r="H12" s="7" t="s">
        <v>67</v>
      </c>
      <c r="I12" s="77" t="s">
        <v>95</v>
      </c>
      <c r="J12" s="7" t="s">
        <v>130</v>
      </c>
      <c r="K12" s="11">
        <v>0.91249999999999998</v>
      </c>
      <c r="L12" s="11">
        <v>0.9277777777777777</v>
      </c>
      <c r="M12" s="7" t="s">
        <v>109</v>
      </c>
      <c r="N12" s="7" t="s">
        <v>109</v>
      </c>
      <c r="O12" s="7" t="s">
        <v>61</v>
      </c>
      <c r="P12" s="7" t="s">
        <v>131</v>
      </c>
      <c r="Q12" s="7" t="s">
        <v>95</v>
      </c>
      <c r="R12" s="7" t="s">
        <v>62</v>
      </c>
      <c r="S12" s="7" t="s">
        <v>109</v>
      </c>
      <c r="T12" s="7" t="s">
        <v>777</v>
      </c>
      <c r="U12" s="7" t="s">
        <v>109</v>
      </c>
      <c r="V12" s="7" t="s">
        <v>109</v>
      </c>
      <c r="W12" s="7" t="s">
        <v>109</v>
      </c>
    </row>
    <row r="13" spans="1:23" x14ac:dyDescent="0.3">
      <c r="A13" s="7">
        <v>12</v>
      </c>
      <c r="B13" s="7" t="s">
        <v>143</v>
      </c>
      <c r="C13" s="7" t="s">
        <v>1328</v>
      </c>
      <c r="D13" s="7">
        <v>10126027</v>
      </c>
      <c r="E13" s="7">
        <v>165</v>
      </c>
      <c r="F13" s="7">
        <v>320</v>
      </c>
      <c r="G13" s="7">
        <v>139</v>
      </c>
      <c r="H13" s="28" t="s">
        <v>1051</v>
      </c>
      <c r="I13" s="7" t="s">
        <v>297</v>
      </c>
      <c r="J13" s="7" t="s">
        <v>130</v>
      </c>
      <c r="K13" s="11">
        <v>0.77638888888888891</v>
      </c>
      <c r="L13" s="11">
        <v>0.80763888888888891</v>
      </c>
      <c r="M13" s="7" t="s">
        <v>109</v>
      </c>
      <c r="N13" s="7" t="s">
        <v>109</v>
      </c>
      <c r="O13" s="7" t="s">
        <v>61</v>
      </c>
      <c r="P13" s="7" t="s">
        <v>131</v>
      </c>
      <c r="Q13" s="7" t="s">
        <v>90</v>
      </c>
      <c r="R13" s="7" t="s">
        <v>62</v>
      </c>
      <c r="S13" s="7" t="s">
        <v>109</v>
      </c>
      <c r="T13" s="7" t="s">
        <v>1329</v>
      </c>
      <c r="U13" s="7" t="s">
        <v>109</v>
      </c>
      <c r="V13" s="7" t="s">
        <v>109</v>
      </c>
      <c r="W13" s="7" t="s">
        <v>109</v>
      </c>
    </row>
    <row r="14" spans="1:23" x14ac:dyDescent="0.3">
      <c r="A14" s="7">
        <v>13</v>
      </c>
      <c r="B14" s="7" t="s">
        <v>143</v>
      </c>
      <c r="C14" s="7" t="s">
        <v>1330</v>
      </c>
      <c r="D14" s="7">
        <v>10126029</v>
      </c>
      <c r="E14" s="7">
        <v>120</v>
      </c>
      <c r="F14" s="7">
        <v>259</v>
      </c>
      <c r="G14" s="7">
        <v>112</v>
      </c>
      <c r="H14" s="28" t="s">
        <v>1331</v>
      </c>
      <c r="I14" s="7" t="s">
        <v>99</v>
      </c>
      <c r="J14" s="7" t="s">
        <v>130</v>
      </c>
      <c r="K14" s="11">
        <v>0.70486111111111116</v>
      </c>
      <c r="L14" s="11">
        <v>2.013888888888889E-2</v>
      </c>
      <c r="M14" s="7" t="s">
        <v>109</v>
      </c>
      <c r="N14" s="7" t="s">
        <v>109</v>
      </c>
      <c r="O14" s="7" t="s">
        <v>61</v>
      </c>
      <c r="P14" s="7" t="s">
        <v>131</v>
      </c>
      <c r="Q14" s="7" t="s">
        <v>91</v>
      </c>
      <c r="R14" s="7" t="s">
        <v>62</v>
      </c>
      <c r="S14" s="7" t="s">
        <v>109</v>
      </c>
      <c r="T14" s="7" t="s">
        <v>1329</v>
      </c>
      <c r="U14" s="7" t="s">
        <v>109</v>
      </c>
      <c r="V14" s="7" t="s">
        <v>109</v>
      </c>
      <c r="W14" s="7" t="s">
        <v>109</v>
      </c>
    </row>
    <row r="15" spans="1:23" x14ac:dyDescent="0.3">
      <c r="A15" s="7">
        <v>14</v>
      </c>
      <c r="B15" s="7" t="s">
        <v>143</v>
      </c>
      <c r="C15" s="7" t="s">
        <v>1332</v>
      </c>
      <c r="D15" s="7">
        <v>10126028</v>
      </c>
      <c r="E15" s="7">
        <v>198</v>
      </c>
      <c r="F15" s="7">
        <v>316</v>
      </c>
      <c r="G15" s="7">
        <v>189</v>
      </c>
      <c r="H15" s="28" t="s">
        <v>1333</v>
      </c>
      <c r="I15" s="7" t="s">
        <v>294</v>
      </c>
      <c r="J15" s="7" t="s">
        <v>130</v>
      </c>
      <c r="K15" s="11">
        <v>0.94097222222222221</v>
      </c>
      <c r="L15" s="11">
        <v>0.96111111111111114</v>
      </c>
      <c r="M15" s="7" t="s">
        <v>109</v>
      </c>
      <c r="N15" s="7" t="s">
        <v>109</v>
      </c>
      <c r="O15" s="7" t="s">
        <v>61</v>
      </c>
      <c r="P15" s="7" t="s">
        <v>131</v>
      </c>
      <c r="Q15" s="7" t="s">
        <v>209</v>
      </c>
      <c r="R15" s="7" t="s">
        <v>62</v>
      </c>
      <c r="S15" s="7" t="s">
        <v>109</v>
      </c>
      <c r="T15" s="7" t="s">
        <v>1329</v>
      </c>
      <c r="U15" s="7" t="s">
        <v>109</v>
      </c>
      <c r="V15" s="7" t="s">
        <v>109</v>
      </c>
      <c r="W15" s="7" t="s">
        <v>109</v>
      </c>
    </row>
    <row r="16" spans="1:23" x14ac:dyDescent="0.3">
      <c r="A16" s="7">
        <v>15</v>
      </c>
      <c r="B16" s="7" t="s">
        <v>143</v>
      </c>
      <c r="C16" s="7" t="s">
        <v>1334</v>
      </c>
      <c r="D16" s="7">
        <v>10126030</v>
      </c>
      <c r="E16" s="7">
        <v>85</v>
      </c>
      <c r="F16" s="7">
        <v>120</v>
      </c>
      <c r="G16" s="7">
        <v>96</v>
      </c>
      <c r="H16" s="7" t="s">
        <v>274</v>
      </c>
      <c r="I16" s="7" t="s">
        <v>90</v>
      </c>
      <c r="J16" s="7" t="s">
        <v>130</v>
      </c>
      <c r="K16" s="11">
        <v>0.95000000000000007</v>
      </c>
      <c r="L16" s="11">
        <v>0.9819444444444444</v>
      </c>
      <c r="M16" s="7" t="s">
        <v>109</v>
      </c>
      <c r="N16" s="7" t="s">
        <v>109</v>
      </c>
      <c r="O16" s="7" t="s">
        <v>61</v>
      </c>
      <c r="P16" s="7" t="s">
        <v>131</v>
      </c>
      <c r="Q16" s="7" t="s">
        <v>90</v>
      </c>
      <c r="R16" s="7" t="s">
        <v>62</v>
      </c>
      <c r="S16" s="7" t="s">
        <v>109</v>
      </c>
      <c r="T16" s="7" t="s">
        <v>1335</v>
      </c>
      <c r="U16" s="7" t="s">
        <v>109</v>
      </c>
      <c r="V16" s="7" t="s">
        <v>109</v>
      </c>
      <c r="W16" s="7" t="s">
        <v>109</v>
      </c>
    </row>
    <row r="17" spans="1:23" x14ac:dyDescent="0.3">
      <c r="A17" s="7">
        <v>16</v>
      </c>
      <c r="B17" s="7" t="s">
        <v>143</v>
      </c>
      <c r="C17" s="7" t="s">
        <v>1336</v>
      </c>
      <c r="D17" s="7">
        <v>10126031</v>
      </c>
      <c r="E17" s="7">
        <v>35</v>
      </c>
      <c r="F17" s="7">
        <v>99</v>
      </c>
      <c r="G17" s="7">
        <v>19</v>
      </c>
      <c r="H17" s="7" t="s">
        <v>71</v>
      </c>
      <c r="I17" s="77" t="s">
        <v>91</v>
      </c>
      <c r="J17" s="7" t="s">
        <v>130</v>
      </c>
      <c r="K17" s="11">
        <v>0.9277777777777777</v>
      </c>
      <c r="L17" s="11">
        <v>6.2499999999999995E-3</v>
      </c>
      <c r="M17" s="7" t="s">
        <v>109</v>
      </c>
      <c r="N17" s="7" t="s">
        <v>109</v>
      </c>
      <c r="O17" s="7" t="s">
        <v>61</v>
      </c>
      <c r="P17" s="7" t="s">
        <v>131</v>
      </c>
      <c r="Q17" s="7" t="s">
        <v>91</v>
      </c>
      <c r="R17" s="7" t="s">
        <v>62</v>
      </c>
      <c r="S17" s="7" t="s">
        <v>109</v>
      </c>
      <c r="T17" s="7" t="s">
        <v>1335</v>
      </c>
      <c r="U17" s="7" t="s">
        <v>109</v>
      </c>
      <c r="V17" s="7" t="s">
        <v>109</v>
      </c>
      <c r="W17" s="7" t="s">
        <v>109</v>
      </c>
    </row>
    <row r="18" spans="1:23" x14ac:dyDescent="0.3">
      <c r="A18" s="7">
        <v>17</v>
      </c>
      <c r="B18" s="7" t="s">
        <v>143</v>
      </c>
      <c r="C18" s="7" t="s">
        <v>188</v>
      </c>
      <c r="D18" s="7">
        <v>10126001</v>
      </c>
      <c r="E18" s="7">
        <v>60</v>
      </c>
      <c r="F18" s="7">
        <v>152</v>
      </c>
      <c r="G18" s="7">
        <v>24</v>
      </c>
      <c r="H18" s="7" t="s">
        <v>214</v>
      </c>
      <c r="I18" s="7" t="s">
        <v>209</v>
      </c>
      <c r="J18" s="7" t="s">
        <v>130</v>
      </c>
      <c r="K18" s="11">
        <v>0.96319444444444446</v>
      </c>
      <c r="L18" s="11">
        <v>0.97083333333333333</v>
      </c>
      <c r="M18" s="7" t="s">
        <v>109</v>
      </c>
      <c r="N18" s="7" t="s">
        <v>109</v>
      </c>
      <c r="O18" s="7" t="s">
        <v>61</v>
      </c>
      <c r="P18" s="7" t="s">
        <v>131</v>
      </c>
      <c r="Q18" s="7" t="s">
        <v>209</v>
      </c>
      <c r="R18" s="7" t="s">
        <v>62</v>
      </c>
      <c r="S18" s="7" t="s">
        <v>109</v>
      </c>
      <c r="T18" s="7" t="s">
        <v>189</v>
      </c>
      <c r="U18" s="7" t="s">
        <v>109</v>
      </c>
      <c r="V18" s="7" t="s">
        <v>109</v>
      </c>
      <c r="W18" s="7" t="s">
        <v>109</v>
      </c>
    </row>
    <row r="19" spans="1:23" x14ac:dyDescent="0.3">
      <c r="A19" s="7">
        <v>18</v>
      </c>
      <c r="B19" s="7" t="s">
        <v>23</v>
      </c>
      <c r="C19" s="7" t="s">
        <v>1337</v>
      </c>
      <c r="D19" s="7">
        <v>50126336</v>
      </c>
      <c r="E19" s="7">
        <v>200</v>
      </c>
      <c r="F19" s="7">
        <v>355</v>
      </c>
      <c r="G19" s="7">
        <v>195</v>
      </c>
      <c r="H19" s="28" t="s">
        <v>262</v>
      </c>
      <c r="I19" s="77" t="s">
        <v>109</v>
      </c>
      <c r="J19" s="7" t="s">
        <v>130</v>
      </c>
      <c r="K19" s="7" t="s">
        <v>109</v>
      </c>
      <c r="L19" s="11">
        <v>0.85763888888888884</v>
      </c>
      <c r="M19" s="7" t="s">
        <v>109</v>
      </c>
      <c r="N19" s="7" t="s">
        <v>109</v>
      </c>
      <c r="O19" s="7" t="s">
        <v>61</v>
      </c>
      <c r="P19" s="7" t="s">
        <v>131</v>
      </c>
      <c r="Q19" s="7" t="s">
        <v>222</v>
      </c>
      <c r="R19" s="7" t="s">
        <v>62</v>
      </c>
      <c r="S19" s="7" t="s">
        <v>109</v>
      </c>
      <c r="T19" s="7" t="s">
        <v>1338</v>
      </c>
      <c r="U19" s="7" t="s">
        <v>109</v>
      </c>
      <c r="V19" s="7" t="s">
        <v>109</v>
      </c>
      <c r="W19" s="7" t="s">
        <v>109</v>
      </c>
    </row>
    <row r="20" spans="1:23" x14ac:dyDescent="0.3">
      <c r="A20" s="7">
        <v>19</v>
      </c>
      <c r="B20" s="7" t="s">
        <v>23</v>
      </c>
      <c r="C20" s="7" t="s">
        <v>1339</v>
      </c>
      <c r="D20" s="7">
        <v>50126344</v>
      </c>
      <c r="E20" s="7">
        <v>250</v>
      </c>
      <c r="F20" s="7">
        <v>54</v>
      </c>
      <c r="G20" s="7">
        <v>12</v>
      </c>
      <c r="H20" s="28" t="s">
        <v>1340</v>
      </c>
      <c r="I20" s="77" t="s">
        <v>109</v>
      </c>
      <c r="J20" s="7" t="s">
        <v>130</v>
      </c>
      <c r="K20" s="7" t="s">
        <v>109</v>
      </c>
      <c r="L20" s="11">
        <v>0.9819444444444444</v>
      </c>
      <c r="M20" s="7" t="s">
        <v>109</v>
      </c>
      <c r="N20" s="7" t="s">
        <v>109</v>
      </c>
      <c r="O20" s="7" t="s">
        <v>61</v>
      </c>
      <c r="P20" s="7" t="s">
        <v>131</v>
      </c>
      <c r="Q20" s="7" t="s">
        <v>67</v>
      </c>
      <c r="R20" s="7" t="s">
        <v>62</v>
      </c>
      <c r="S20" s="7" t="s">
        <v>109</v>
      </c>
      <c r="T20" s="7" t="s">
        <v>1341</v>
      </c>
      <c r="U20" s="7" t="s">
        <v>109</v>
      </c>
      <c r="V20" s="7" t="s">
        <v>109</v>
      </c>
      <c r="W20" s="7" t="s">
        <v>109</v>
      </c>
    </row>
    <row r="21" spans="1:23" x14ac:dyDescent="0.3">
      <c r="A21" s="7">
        <v>20</v>
      </c>
      <c r="B21" s="7" t="s">
        <v>23</v>
      </c>
      <c r="C21" s="7" t="s">
        <v>869</v>
      </c>
      <c r="D21" s="7">
        <v>50126215</v>
      </c>
      <c r="E21" s="7">
        <v>50</v>
      </c>
      <c r="F21" s="7">
        <v>100</v>
      </c>
      <c r="G21" s="7">
        <v>5</v>
      </c>
      <c r="H21" s="7" t="s">
        <v>184</v>
      </c>
      <c r="I21" s="77" t="s">
        <v>109</v>
      </c>
      <c r="J21" s="7" t="s">
        <v>130</v>
      </c>
      <c r="K21" s="7" t="s">
        <v>109</v>
      </c>
      <c r="L21" s="11">
        <v>0.97986111111111107</v>
      </c>
      <c r="M21" s="7" t="s">
        <v>109</v>
      </c>
      <c r="N21" s="7" t="s">
        <v>109</v>
      </c>
      <c r="O21" s="7" t="s">
        <v>868</v>
      </c>
      <c r="P21" s="7" t="s">
        <v>131</v>
      </c>
      <c r="Q21" s="7" t="s">
        <v>184</v>
      </c>
      <c r="R21" s="7" t="s">
        <v>62</v>
      </c>
      <c r="S21" s="7" t="s">
        <v>109</v>
      </c>
      <c r="T21" s="7" t="s">
        <v>870</v>
      </c>
      <c r="U21" s="7" t="s">
        <v>109</v>
      </c>
      <c r="V21" s="7" t="s">
        <v>109</v>
      </c>
      <c r="W21" s="7" t="s">
        <v>109</v>
      </c>
    </row>
    <row r="22" spans="1:23" x14ac:dyDescent="0.3">
      <c r="A22" s="7">
        <v>21</v>
      </c>
      <c r="B22" s="7" t="s">
        <v>23</v>
      </c>
      <c r="C22" s="7" t="s">
        <v>1065</v>
      </c>
      <c r="D22" s="7">
        <v>50126305</v>
      </c>
      <c r="E22" s="7">
        <v>120</v>
      </c>
      <c r="F22" s="7">
        <v>229</v>
      </c>
      <c r="G22" s="7">
        <v>115</v>
      </c>
      <c r="H22" s="28" t="s">
        <v>186</v>
      </c>
      <c r="I22" s="77" t="s">
        <v>109</v>
      </c>
      <c r="J22" s="7" t="s">
        <v>130</v>
      </c>
      <c r="K22" s="7" t="s">
        <v>109</v>
      </c>
      <c r="L22" s="11">
        <v>0.8652777777777777</v>
      </c>
      <c r="M22" s="7" t="s">
        <v>109</v>
      </c>
      <c r="N22" s="7" t="s">
        <v>109</v>
      </c>
      <c r="O22" s="7" t="s">
        <v>868</v>
      </c>
      <c r="P22" s="7" t="s">
        <v>131</v>
      </c>
      <c r="Q22" s="7" t="s">
        <v>214</v>
      </c>
      <c r="R22" s="7" t="s">
        <v>62</v>
      </c>
      <c r="S22" s="7" t="s">
        <v>109</v>
      </c>
      <c r="T22" s="7" t="s">
        <v>1063</v>
      </c>
      <c r="U22" s="7" t="s">
        <v>109</v>
      </c>
      <c r="V22" s="7" t="s">
        <v>109</v>
      </c>
      <c r="W22" s="7" t="s">
        <v>109</v>
      </c>
    </row>
    <row r="23" spans="1:23" x14ac:dyDescent="0.3">
      <c r="A23" s="7">
        <v>22</v>
      </c>
      <c r="B23" s="7" t="s">
        <v>23</v>
      </c>
      <c r="C23" s="7" t="s">
        <v>1064</v>
      </c>
      <c r="D23" s="7">
        <v>50126306</v>
      </c>
      <c r="E23" s="7">
        <v>100</v>
      </c>
      <c r="F23" s="7">
        <v>140</v>
      </c>
      <c r="G23" s="7">
        <v>101</v>
      </c>
      <c r="H23" s="7" t="s">
        <v>72</v>
      </c>
      <c r="I23" s="77" t="s">
        <v>109</v>
      </c>
      <c r="J23" s="7" t="s">
        <v>130</v>
      </c>
      <c r="K23" s="7" t="s">
        <v>109</v>
      </c>
      <c r="L23" s="11">
        <v>0.71875</v>
      </c>
      <c r="M23" s="7" t="s">
        <v>109</v>
      </c>
      <c r="N23" s="7" t="s">
        <v>109</v>
      </c>
      <c r="O23" s="7" t="s">
        <v>868</v>
      </c>
      <c r="P23" s="7" t="s">
        <v>131</v>
      </c>
      <c r="Q23" s="7" t="s">
        <v>72</v>
      </c>
      <c r="R23" s="7" t="s">
        <v>62</v>
      </c>
      <c r="S23" s="7" t="s">
        <v>109</v>
      </c>
      <c r="T23" s="7" t="s">
        <v>1063</v>
      </c>
      <c r="U23" s="7" t="s">
        <v>109</v>
      </c>
      <c r="V23" s="7" t="s">
        <v>109</v>
      </c>
      <c r="W23" s="7" t="s">
        <v>109</v>
      </c>
    </row>
    <row r="24" spans="1:23" x14ac:dyDescent="0.3">
      <c r="A24" s="7">
        <v>23</v>
      </c>
      <c r="B24" s="7" t="s">
        <v>23</v>
      </c>
      <c r="C24" s="7" t="s">
        <v>1062</v>
      </c>
      <c r="D24" s="7">
        <v>50126304</v>
      </c>
      <c r="E24" s="7">
        <v>120</v>
      </c>
      <c r="F24" s="7">
        <v>214</v>
      </c>
      <c r="G24" s="7">
        <v>126</v>
      </c>
      <c r="H24" s="28" t="s">
        <v>262</v>
      </c>
      <c r="I24" s="77" t="s">
        <v>109</v>
      </c>
      <c r="J24" s="7" t="s">
        <v>130</v>
      </c>
      <c r="K24" s="7" t="s">
        <v>109</v>
      </c>
      <c r="L24" s="11">
        <v>0.75763888888888886</v>
      </c>
      <c r="M24" s="7" t="s">
        <v>109</v>
      </c>
      <c r="N24" s="7" t="s">
        <v>109</v>
      </c>
      <c r="O24" s="7" t="s">
        <v>868</v>
      </c>
      <c r="P24" s="7" t="s">
        <v>131</v>
      </c>
      <c r="Q24" s="7" t="s">
        <v>222</v>
      </c>
      <c r="R24" s="7" t="s">
        <v>62</v>
      </c>
      <c r="S24" s="7" t="s">
        <v>109</v>
      </c>
      <c r="T24" s="7" t="s">
        <v>1063</v>
      </c>
      <c r="U24" s="7" t="s">
        <v>109</v>
      </c>
      <c r="V24" s="7" t="s">
        <v>109</v>
      </c>
      <c r="W24" s="7" t="s">
        <v>109</v>
      </c>
    </row>
    <row r="25" spans="1:23" x14ac:dyDescent="0.3">
      <c r="A25" s="7">
        <v>24</v>
      </c>
      <c r="B25" s="7" t="s">
        <v>23</v>
      </c>
      <c r="C25" s="7" t="s">
        <v>1095</v>
      </c>
      <c r="D25" s="7">
        <v>50126318</v>
      </c>
      <c r="E25" s="7">
        <v>50</v>
      </c>
      <c r="F25" s="7">
        <v>110</v>
      </c>
      <c r="G25" s="7">
        <v>50</v>
      </c>
      <c r="H25" s="7" t="s">
        <v>70</v>
      </c>
      <c r="I25" s="77" t="s">
        <v>109</v>
      </c>
      <c r="J25" s="7" t="s">
        <v>130</v>
      </c>
      <c r="K25" s="7" t="s">
        <v>109</v>
      </c>
      <c r="L25" s="11">
        <v>0.69166666666666676</v>
      </c>
      <c r="M25" s="7" t="s">
        <v>109</v>
      </c>
      <c r="N25" s="7" t="s">
        <v>109</v>
      </c>
      <c r="O25" s="7" t="s">
        <v>868</v>
      </c>
      <c r="P25" s="7" t="s">
        <v>131</v>
      </c>
      <c r="Q25" s="7" t="s">
        <v>70</v>
      </c>
      <c r="R25" s="7" t="s">
        <v>62</v>
      </c>
      <c r="S25" s="7" t="s">
        <v>109</v>
      </c>
      <c r="T25" s="7" t="s">
        <v>1096</v>
      </c>
      <c r="U25" s="7" t="s">
        <v>109</v>
      </c>
      <c r="V25" s="7" t="s">
        <v>109</v>
      </c>
      <c r="W25" s="7" t="s">
        <v>109</v>
      </c>
    </row>
    <row r="26" spans="1:23" s="37" customFormat="1" x14ac:dyDescent="0.3">
      <c r="A26" s="14">
        <v>25</v>
      </c>
      <c r="B26" s="14" t="s">
        <v>23</v>
      </c>
      <c r="C26" s="14" t="s">
        <v>1099</v>
      </c>
      <c r="D26" s="14">
        <v>50126319</v>
      </c>
      <c r="E26" s="14">
        <v>100</v>
      </c>
      <c r="F26" s="14" t="s">
        <v>109</v>
      </c>
      <c r="G26" s="14" t="s">
        <v>109</v>
      </c>
      <c r="H26" s="14" t="s">
        <v>69</v>
      </c>
      <c r="I26" s="80" t="s">
        <v>109</v>
      </c>
      <c r="J26" s="14" t="s">
        <v>284</v>
      </c>
      <c r="K26" s="14" t="s">
        <v>109</v>
      </c>
      <c r="L26" s="14" t="s">
        <v>109</v>
      </c>
      <c r="M26" s="14" t="s">
        <v>109</v>
      </c>
      <c r="N26" s="14" t="s">
        <v>109</v>
      </c>
      <c r="O26" s="14" t="s">
        <v>868</v>
      </c>
      <c r="P26" s="14" t="s">
        <v>109</v>
      </c>
      <c r="Q26" s="14" t="s">
        <v>109</v>
      </c>
      <c r="R26" s="14" t="s">
        <v>62</v>
      </c>
      <c r="S26" s="14" t="s">
        <v>109</v>
      </c>
      <c r="T26" s="14" t="s">
        <v>142</v>
      </c>
      <c r="U26" s="14" t="s">
        <v>109</v>
      </c>
      <c r="V26" s="14" t="s">
        <v>109</v>
      </c>
      <c r="W26" s="14" t="s">
        <v>109</v>
      </c>
    </row>
    <row r="27" spans="1:23" x14ac:dyDescent="0.3">
      <c r="A27" s="7">
        <v>26</v>
      </c>
      <c r="B27" s="7" t="s">
        <v>23</v>
      </c>
      <c r="C27" s="7" t="s">
        <v>1054</v>
      </c>
      <c r="D27" s="7">
        <v>50126315</v>
      </c>
      <c r="E27" s="7">
        <v>200</v>
      </c>
      <c r="F27" s="7">
        <v>399</v>
      </c>
      <c r="G27" s="7">
        <v>153</v>
      </c>
      <c r="H27" s="28" t="s">
        <v>1342</v>
      </c>
      <c r="I27" s="7" t="s">
        <v>157</v>
      </c>
      <c r="J27" s="7" t="s">
        <v>130</v>
      </c>
      <c r="K27" s="11">
        <v>0.82708333333333339</v>
      </c>
      <c r="L27" s="11">
        <v>0.90069444444444446</v>
      </c>
      <c r="M27" s="7" t="s">
        <v>109</v>
      </c>
      <c r="N27" s="7" t="s">
        <v>109</v>
      </c>
      <c r="O27" s="7" t="s">
        <v>61</v>
      </c>
      <c r="P27" s="7" t="s">
        <v>131</v>
      </c>
      <c r="Q27" s="7" t="s">
        <v>93</v>
      </c>
      <c r="R27" s="7" t="s">
        <v>62</v>
      </c>
      <c r="S27" s="7" t="s">
        <v>109</v>
      </c>
      <c r="T27" s="7" t="s">
        <v>480</v>
      </c>
      <c r="U27" s="7" t="s">
        <v>109</v>
      </c>
      <c r="V27" s="7" t="s">
        <v>109</v>
      </c>
      <c r="W27" s="7" t="s">
        <v>109</v>
      </c>
    </row>
    <row r="28" spans="1:23" x14ac:dyDescent="0.3">
      <c r="A28" s="7">
        <v>27</v>
      </c>
      <c r="B28" s="7" t="s">
        <v>23</v>
      </c>
      <c r="C28" s="7" t="s">
        <v>754</v>
      </c>
      <c r="D28" s="7">
        <v>50126148</v>
      </c>
      <c r="E28" s="7">
        <v>50</v>
      </c>
      <c r="F28" s="7">
        <v>100</v>
      </c>
      <c r="G28" s="7">
        <v>50</v>
      </c>
      <c r="H28" s="7" t="s">
        <v>84</v>
      </c>
      <c r="I28" s="77" t="s">
        <v>94</v>
      </c>
      <c r="J28" s="7" t="s">
        <v>130</v>
      </c>
      <c r="K28" s="11">
        <v>0.90763888888888899</v>
      </c>
      <c r="L28" s="11">
        <v>0.97083333333333333</v>
      </c>
      <c r="M28" s="7" t="s">
        <v>109</v>
      </c>
      <c r="N28" s="7" t="s">
        <v>109</v>
      </c>
      <c r="O28" s="7" t="s">
        <v>61</v>
      </c>
      <c r="P28" s="7" t="s">
        <v>131</v>
      </c>
      <c r="Q28" s="7" t="s">
        <v>94</v>
      </c>
      <c r="R28" s="7" t="s">
        <v>62</v>
      </c>
      <c r="S28" s="7" t="s">
        <v>109</v>
      </c>
      <c r="T28" s="7" t="s">
        <v>480</v>
      </c>
      <c r="U28" s="7" t="s">
        <v>109</v>
      </c>
      <c r="V28" s="7" t="s">
        <v>109</v>
      </c>
      <c r="W28" s="7" t="s">
        <v>109</v>
      </c>
    </row>
    <row r="29" spans="1:23" x14ac:dyDescent="0.3">
      <c r="A29" s="7">
        <v>28</v>
      </c>
      <c r="B29" s="7" t="s">
        <v>23</v>
      </c>
      <c r="C29" s="7" t="s">
        <v>1056</v>
      </c>
      <c r="D29" s="7">
        <v>50126316</v>
      </c>
      <c r="E29" s="7">
        <v>200</v>
      </c>
      <c r="F29" s="7">
        <v>427</v>
      </c>
      <c r="G29" s="7">
        <v>159</v>
      </c>
      <c r="H29" s="28" t="s">
        <v>1057</v>
      </c>
      <c r="I29" s="7" t="s">
        <v>99</v>
      </c>
      <c r="J29" s="7" t="s">
        <v>130</v>
      </c>
      <c r="K29" s="11">
        <v>0.82152777777777775</v>
      </c>
      <c r="L29" s="11">
        <v>0.87083333333333324</v>
      </c>
      <c r="M29" s="7" t="s">
        <v>109</v>
      </c>
      <c r="N29" s="7" t="s">
        <v>109</v>
      </c>
      <c r="O29" s="7" t="s">
        <v>61</v>
      </c>
      <c r="P29" s="7" t="s">
        <v>131</v>
      </c>
      <c r="Q29" s="7" t="s">
        <v>91</v>
      </c>
      <c r="R29" s="7" t="s">
        <v>62</v>
      </c>
      <c r="S29" s="7" t="s">
        <v>109</v>
      </c>
      <c r="T29" s="7" t="s">
        <v>480</v>
      </c>
      <c r="U29" s="7" t="s">
        <v>109</v>
      </c>
      <c r="V29" s="7" t="s">
        <v>109</v>
      </c>
      <c r="W29" s="7" t="s">
        <v>109</v>
      </c>
    </row>
    <row r="30" spans="1:23" x14ac:dyDescent="0.3">
      <c r="A30" s="7">
        <v>29</v>
      </c>
      <c r="B30" s="7" t="s">
        <v>23</v>
      </c>
      <c r="C30" s="7" t="s">
        <v>1055</v>
      </c>
      <c r="D30" s="7">
        <v>50126317</v>
      </c>
      <c r="E30" s="7">
        <v>200</v>
      </c>
      <c r="F30" s="7">
        <v>400</v>
      </c>
      <c r="G30" s="7">
        <v>125</v>
      </c>
      <c r="H30" s="28" t="s">
        <v>73</v>
      </c>
      <c r="I30" s="7" t="s">
        <v>230</v>
      </c>
      <c r="J30" s="7" t="s">
        <v>130</v>
      </c>
      <c r="K30" s="11">
        <v>0.9590277777777777</v>
      </c>
      <c r="L30" s="11">
        <v>0.97638888888888886</v>
      </c>
      <c r="M30" s="7" t="s">
        <v>109</v>
      </c>
      <c r="N30" s="7" t="s">
        <v>109</v>
      </c>
      <c r="O30" s="7" t="s">
        <v>61</v>
      </c>
      <c r="P30" s="7" t="s">
        <v>131</v>
      </c>
      <c r="Q30" s="7" t="s">
        <v>154</v>
      </c>
      <c r="R30" s="7" t="s">
        <v>62</v>
      </c>
      <c r="S30" s="7" t="s">
        <v>109</v>
      </c>
      <c r="T30" s="7" t="s">
        <v>480</v>
      </c>
      <c r="U30" s="7" t="s">
        <v>109</v>
      </c>
      <c r="V30" s="7" t="s">
        <v>109</v>
      </c>
      <c r="W30" s="7" t="s">
        <v>109</v>
      </c>
    </row>
    <row r="31" spans="1:23" x14ac:dyDescent="0.3">
      <c r="A31" s="7">
        <v>30</v>
      </c>
      <c r="B31" s="7" t="s">
        <v>23</v>
      </c>
      <c r="C31" s="7" t="s">
        <v>759</v>
      </c>
      <c r="D31" s="7">
        <v>50126147</v>
      </c>
      <c r="E31" s="7">
        <v>200</v>
      </c>
      <c r="F31" s="7">
        <v>305</v>
      </c>
      <c r="G31" s="7">
        <v>151</v>
      </c>
      <c r="H31" s="28" t="s">
        <v>386</v>
      </c>
      <c r="I31" s="7" t="s">
        <v>97</v>
      </c>
      <c r="J31" s="7" t="s">
        <v>130</v>
      </c>
      <c r="K31" s="11">
        <v>0.96666666666666667</v>
      </c>
      <c r="L31" s="11">
        <v>1.0416666666666666E-2</v>
      </c>
      <c r="M31" s="7" t="s">
        <v>109</v>
      </c>
      <c r="N31" s="7" t="s">
        <v>109</v>
      </c>
      <c r="O31" s="7" t="s">
        <v>61</v>
      </c>
      <c r="P31" s="7" t="s">
        <v>131</v>
      </c>
      <c r="Q31" s="7" t="s">
        <v>89</v>
      </c>
      <c r="R31" s="7" t="s">
        <v>62</v>
      </c>
      <c r="S31" s="7" t="s">
        <v>109</v>
      </c>
      <c r="T31" s="7" t="s">
        <v>480</v>
      </c>
      <c r="U31" s="7" t="s">
        <v>109</v>
      </c>
      <c r="V31" s="7" t="s">
        <v>109</v>
      </c>
      <c r="W31" s="7" t="s">
        <v>109</v>
      </c>
    </row>
    <row r="32" spans="1:23" x14ac:dyDescent="0.3">
      <c r="A32" s="7">
        <v>31</v>
      </c>
      <c r="B32" s="7" t="s">
        <v>23</v>
      </c>
      <c r="C32" s="7" t="s">
        <v>758</v>
      </c>
      <c r="D32" s="7">
        <v>50126142</v>
      </c>
      <c r="E32" s="7">
        <v>200</v>
      </c>
      <c r="F32" s="7">
        <v>358</v>
      </c>
      <c r="G32" s="7">
        <v>199</v>
      </c>
      <c r="H32" s="28" t="s">
        <v>1051</v>
      </c>
      <c r="I32" s="7" t="s">
        <v>297</v>
      </c>
      <c r="J32" s="7" t="s">
        <v>130</v>
      </c>
      <c r="K32" s="11">
        <v>0.85138888888888886</v>
      </c>
      <c r="L32" s="11">
        <v>0.92638888888888893</v>
      </c>
      <c r="M32" s="7" t="s">
        <v>109</v>
      </c>
      <c r="N32" s="7" t="s">
        <v>109</v>
      </c>
      <c r="O32" s="7" t="s">
        <v>61</v>
      </c>
      <c r="P32" s="7" t="s">
        <v>131</v>
      </c>
      <c r="Q32" s="7" t="s">
        <v>94</v>
      </c>
      <c r="R32" s="7" t="s">
        <v>62</v>
      </c>
      <c r="S32" s="7" t="s">
        <v>109</v>
      </c>
      <c r="T32" s="7" t="s">
        <v>480</v>
      </c>
      <c r="U32" s="7" t="s">
        <v>109</v>
      </c>
      <c r="V32" s="7" t="s">
        <v>109</v>
      </c>
      <c r="W32" s="7" t="s">
        <v>109</v>
      </c>
    </row>
    <row r="33" spans="1:23" x14ac:dyDescent="0.3">
      <c r="A33" s="7">
        <v>32</v>
      </c>
      <c r="B33" s="7" t="s">
        <v>23</v>
      </c>
      <c r="C33" s="7" t="s">
        <v>479</v>
      </c>
      <c r="D33" s="7">
        <v>50126013</v>
      </c>
      <c r="E33" s="7">
        <v>100</v>
      </c>
      <c r="F33" s="7">
        <v>200</v>
      </c>
      <c r="G33" s="7">
        <v>48</v>
      </c>
      <c r="H33" s="7" t="s">
        <v>184</v>
      </c>
      <c r="I33" s="77" t="s">
        <v>94</v>
      </c>
      <c r="J33" s="7" t="s">
        <v>130</v>
      </c>
      <c r="K33" s="11">
        <v>0.9277777777777777</v>
      </c>
      <c r="L33" s="11">
        <v>0.98611111111111116</v>
      </c>
      <c r="M33" s="7" t="s">
        <v>109</v>
      </c>
      <c r="N33" s="7" t="s">
        <v>109</v>
      </c>
      <c r="O33" s="7" t="s">
        <v>868</v>
      </c>
      <c r="P33" s="7" t="s">
        <v>131</v>
      </c>
      <c r="Q33" s="7" t="s">
        <v>94</v>
      </c>
      <c r="R33" s="7" t="s">
        <v>62</v>
      </c>
      <c r="S33" s="7" t="s">
        <v>109</v>
      </c>
      <c r="T33" s="7" t="s">
        <v>480</v>
      </c>
      <c r="U33" s="7" t="s">
        <v>109</v>
      </c>
      <c r="V33" s="7" t="s">
        <v>109</v>
      </c>
      <c r="W33" s="7" t="s">
        <v>109</v>
      </c>
    </row>
    <row r="34" spans="1:23" x14ac:dyDescent="0.3">
      <c r="A34" s="7">
        <v>33</v>
      </c>
      <c r="B34" s="7" t="s">
        <v>23</v>
      </c>
      <c r="C34" s="7" t="s">
        <v>755</v>
      </c>
      <c r="D34" s="7">
        <v>50126149</v>
      </c>
      <c r="E34" s="7">
        <v>100</v>
      </c>
      <c r="F34" s="7">
        <v>153</v>
      </c>
      <c r="G34" s="7">
        <v>99</v>
      </c>
      <c r="H34" s="7" t="s">
        <v>70</v>
      </c>
      <c r="I34" s="77" t="s">
        <v>90</v>
      </c>
      <c r="J34" s="7" t="s">
        <v>130</v>
      </c>
      <c r="K34" s="11">
        <v>0.94444444444444453</v>
      </c>
      <c r="L34" s="11">
        <v>0.95833333333333337</v>
      </c>
      <c r="M34" s="7" t="s">
        <v>109</v>
      </c>
      <c r="N34" s="7" t="s">
        <v>109</v>
      </c>
      <c r="O34" s="7" t="s">
        <v>61</v>
      </c>
      <c r="P34" s="7" t="s">
        <v>131</v>
      </c>
      <c r="Q34" s="7" t="s">
        <v>90</v>
      </c>
      <c r="R34" s="7" t="s">
        <v>62</v>
      </c>
      <c r="S34" s="7" t="s">
        <v>109</v>
      </c>
      <c r="T34" s="7" t="s">
        <v>480</v>
      </c>
      <c r="U34" s="7" t="s">
        <v>109</v>
      </c>
      <c r="V34" s="7" t="s">
        <v>109</v>
      </c>
      <c r="W34" s="7" t="s">
        <v>109</v>
      </c>
    </row>
    <row r="35" spans="1:23" x14ac:dyDescent="0.3">
      <c r="A35" s="7">
        <v>34</v>
      </c>
      <c r="B35" s="7" t="s">
        <v>23</v>
      </c>
      <c r="C35" s="7" t="s">
        <v>756</v>
      </c>
      <c r="D35" s="7">
        <v>50126144</v>
      </c>
      <c r="E35" s="7">
        <v>100</v>
      </c>
      <c r="F35" s="7">
        <v>164</v>
      </c>
      <c r="G35" s="7">
        <v>59</v>
      </c>
      <c r="H35" s="7" t="s">
        <v>84</v>
      </c>
      <c r="I35" s="77" t="s">
        <v>94</v>
      </c>
      <c r="J35" s="7" t="s">
        <v>130</v>
      </c>
      <c r="K35" s="11">
        <v>0.96180555555555547</v>
      </c>
      <c r="L35" s="11">
        <v>6.9444444444444441E-3</v>
      </c>
      <c r="M35" s="7" t="s">
        <v>109</v>
      </c>
      <c r="N35" s="7" t="s">
        <v>109</v>
      </c>
      <c r="O35" s="7" t="s">
        <v>61</v>
      </c>
      <c r="P35" s="7" t="s">
        <v>131</v>
      </c>
      <c r="Q35" s="7" t="s">
        <v>94</v>
      </c>
      <c r="R35" s="7" t="s">
        <v>62</v>
      </c>
      <c r="S35" s="7" t="s">
        <v>109</v>
      </c>
      <c r="T35" s="7" t="s">
        <v>480</v>
      </c>
      <c r="U35" s="7" t="s">
        <v>109</v>
      </c>
      <c r="V35" s="7" t="s">
        <v>109</v>
      </c>
      <c r="W35" s="7" t="s">
        <v>109</v>
      </c>
    </row>
    <row r="36" spans="1:23" x14ac:dyDescent="0.3">
      <c r="A36" s="7">
        <v>35</v>
      </c>
      <c r="B36" s="7" t="s">
        <v>23</v>
      </c>
      <c r="C36" s="7" t="s">
        <v>1053</v>
      </c>
      <c r="D36" s="7">
        <v>50126314</v>
      </c>
      <c r="E36" s="7">
        <v>50</v>
      </c>
      <c r="F36" s="7">
        <v>70</v>
      </c>
      <c r="G36" s="7">
        <v>26</v>
      </c>
      <c r="H36" s="7" t="s">
        <v>241</v>
      </c>
      <c r="I36" s="77" t="s">
        <v>93</v>
      </c>
      <c r="J36" s="7" t="s">
        <v>130</v>
      </c>
      <c r="K36" s="11">
        <v>7.6388888888888886E-3</v>
      </c>
      <c r="L36" s="11">
        <v>2.4305555555555556E-2</v>
      </c>
      <c r="M36" s="7" t="s">
        <v>109</v>
      </c>
      <c r="N36" s="7" t="s">
        <v>109</v>
      </c>
      <c r="O36" s="7" t="s">
        <v>61</v>
      </c>
      <c r="P36" s="7" t="s">
        <v>131</v>
      </c>
      <c r="Q36" s="7" t="s">
        <v>93</v>
      </c>
      <c r="R36" s="7" t="s">
        <v>62</v>
      </c>
      <c r="S36" s="7" t="s">
        <v>109</v>
      </c>
      <c r="T36" s="7" t="s">
        <v>480</v>
      </c>
      <c r="U36" s="7" t="s">
        <v>109</v>
      </c>
      <c r="V36" s="7" t="s">
        <v>109</v>
      </c>
      <c r="W36" s="7" t="s">
        <v>109</v>
      </c>
    </row>
    <row r="37" spans="1:23" x14ac:dyDescent="0.3">
      <c r="A37" s="7">
        <v>36</v>
      </c>
      <c r="B37" s="7" t="s">
        <v>23</v>
      </c>
      <c r="C37" s="7" t="s">
        <v>976</v>
      </c>
      <c r="D37" s="7">
        <v>50126279</v>
      </c>
      <c r="E37" s="7">
        <v>30</v>
      </c>
      <c r="F37" s="7">
        <v>40</v>
      </c>
      <c r="G37" s="7">
        <v>8</v>
      </c>
      <c r="H37" s="7" t="s">
        <v>196</v>
      </c>
      <c r="I37" s="7" t="s">
        <v>209</v>
      </c>
      <c r="J37" s="7" t="s">
        <v>130</v>
      </c>
      <c r="K37" s="11">
        <v>1.5277777777777777E-2</v>
      </c>
      <c r="L37" s="11">
        <v>2.7777777777777776E-2</v>
      </c>
      <c r="M37" s="7" t="s">
        <v>109</v>
      </c>
      <c r="N37" s="7" t="s">
        <v>109</v>
      </c>
      <c r="O37" s="7" t="s">
        <v>61</v>
      </c>
      <c r="P37" s="7" t="s">
        <v>131</v>
      </c>
      <c r="Q37" s="7" t="s">
        <v>209</v>
      </c>
      <c r="R37" s="7" t="s">
        <v>62</v>
      </c>
      <c r="S37" s="7" t="s">
        <v>109</v>
      </c>
      <c r="T37" s="7" t="s">
        <v>480</v>
      </c>
      <c r="U37" s="7" t="s">
        <v>109</v>
      </c>
      <c r="V37" s="7" t="s">
        <v>109</v>
      </c>
      <c r="W37" s="7" t="s">
        <v>109</v>
      </c>
    </row>
    <row r="38" spans="1:23" x14ac:dyDescent="0.3">
      <c r="A38" s="7">
        <v>37</v>
      </c>
      <c r="B38" s="7" t="s">
        <v>23</v>
      </c>
      <c r="C38" s="7" t="s">
        <v>484</v>
      </c>
      <c r="D38" s="7">
        <v>50126012</v>
      </c>
      <c r="E38" s="7">
        <v>50</v>
      </c>
      <c r="F38" s="7">
        <v>94</v>
      </c>
      <c r="G38" s="7">
        <v>6</v>
      </c>
      <c r="H38" s="7" t="s">
        <v>66</v>
      </c>
      <c r="I38" s="77" t="s">
        <v>154</v>
      </c>
      <c r="J38" s="7" t="s">
        <v>130</v>
      </c>
      <c r="K38" s="11">
        <v>0.70208333333333339</v>
      </c>
      <c r="L38" s="11">
        <v>0.71666666666666667</v>
      </c>
      <c r="M38" s="7" t="s">
        <v>109</v>
      </c>
      <c r="N38" s="7" t="s">
        <v>109</v>
      </c>
      <c r="O38" s="7" t="s">
        <v>868</v>
      </c>
      <c r="P38" s="7" t="s">
        <v>131</v>
      </c>
      <c r="Q38" s="7" t="s">
        <v>154</v>
      </c>
      <c r="R38" s="7" t="s">
        <v>62</v>
      </c>
      <c r="S38" s="7" t="s">
        <v>109</v>
      </c>
      <c r="T38" s="7" t="s">
        <v>480</v>
      </c>
      <c r="U38" s="7" t="s">
        <v>109</v>
      </c>
      <c r="V38" s="7" t="s">
        <v>109</v>
      </c>
      <c r="W38" s="7" t="s">
        <v>109</v>
      </c>
    </row>
    <row r="39" spans="1:23" x14ac:dyDescent="0.3">
      <c r="A39" s="18">
        <v>38</v>
      </c>
      <c r="B39" s="18" t="s">
        <v>23</v>
      </c>
      <c r="C39" s="18" t="s">
        <v>338</v>
      </c>
      <c r="D39" s="18">
        <v>50126001</v>
      </c>
      <c r="E39" s="18">
        <v>150</v>
      </c>
      <c r="F39" s="18">
        <v>246</v>
      </c>
      <c r="G39" s="18">
        <v>94</v>
      </c>
      <c r="H39" s="76" t="s">
        <v>1052</v>
      </c>
      <c r="I39" s="78" t="s">
        <v>109</v>
      </c>
      <c r="J39" s="18" t="s">
        <v>130</v>
      </c>
      <c r="K39" s="18" t="s">
        <v>109</v>
      </c>
      <c r="L39" s="79">
        <v>4.8611111111111112E-3</v>
      </c>
      <c r="M39" s="18" t="s">
        <v>109</v>
      </c>
      <c r="N39" s="9" t="s">
        <v>1343</v>
      </c>
      <c r="O39" s="18" t="s">
        <v>868</v>
      </c>
      <c r="P39" s="18" t="s">
        <v>131</v>
      </c>
      <c r="Q39" s="18" t="s">
        <v>84</v>
      </c>
      <c r="R39" s="18" t="s">
        <v>62</v>
      </c>
      <c r="S39" s="18" t="s">
        <v>109</v>
      </c>
      <c r="T39" s="18" t="s">
        <v>341</v>
      </c>
      <c r="U39" s="18" t="s">
        <v>109</v>
      </c>
      <c r="V39" s="18" t="s">
        <v>109</v>
      </c>
      <c r="W39" s="18" t="s">
        <v>109</v>
      </c>
    </row>
    <row r="40" spans="1:23" x14ac:dyDescent="0.3">
      <c r="A40" s="7">
        <v>39</v>
      </c>
      <c r="B40" s="7" t="s">
        <v>23</v>
      </c>
      <c r="C40" s="7" t="s">
        <v>1183</v>
      </c>
      <c r="D40" s="7">
        <v>50126324</v>
      </c>
      <c r="E40" s="7">
        <v>224</v>
      </c>
      <c r="F40" s="7">
        <v>104</v>
      </c>
      <c r="G40" s="7">
        <v>48</v>
      </c>
      <c r="H40" s="28" t="s">
        <v>1344</v>
      </c>
      <c r="I40" s="77" t="s">
        <v>109</v>
      </c>
      <c r="J40" s="7" t="s">
        <v>130</v>
      </c>
      <c r="K40" s="7" t="s">
        <v>109</v>
      </c>
      <c r="L40" s="11">
        <v>0.9</v>
      </c>
      <c r="M40" s="7" t="s">
        <v>109</v>
      </c>
      <c r="N40" s="33" t="s">
        <v>1345</v>
      </c>
      <c r="O40" s="7" t="s">
        <v>61</v>
      </c>
      <c r="P40" s="7" t="s">
        <v>131</v>
      </c>
      <c r="Q40" s="7" t="s">
        <v>200</v>
      </c>
      <c r="R40" s="7" t="s">
        <v>62</v>
      </c>
      <c r="S40" s="7" t="s">
        <v>109</v>
      </c>
      <c r="T40" s="7" t="s">
        <v>1185</v>
      </c>
      <c r="U40" s="7" t="s">
        <v>109</v>
      </c>
      <c r="V40" s="7" t="s">
        <v>109</v>
      </c>
      <c r="W40" s="7" t="s">
        <v>109</v>
      </c>
    </row>
    <row r="41" spans="1:23" x14ac:dyDescent="0.3">
      <c r="A41" s="18">
        <v>40</v>
      </c>
      <c r="B41" s="18" t="s">
        <v>23</v>
      </c>
      <c r="C41" s="18" t="s">
        <v>1238</v>
      </c>
      <c r="D41" s="18">
        <v>50126326</v>
      </c>
      <c r="E41" s="18">
        <v>120</v>
      </c>
      <c r="F41" s="18">
        <v>141</v>
      </c>
      <c r="G41" s="18">
        <v>65</v>
      </c>
      <c r="H41" s="76" t="s">
        <v>1007</v>
      </c>
      <c r="I41" s="78" t="s">
        <v>109</v>
      </c>
      <c r="J41" s="18" t="s">
        <v>130</v>
      </c>
      <c r="K41" s="18" t="s">
        <v>109</v>
      </c>
      <c r="L41" s="79">
        <v>0.89722222222222225</v>
      </c>
      <c r="M41" s="18" t="s">
        <v>109</v>
      </c>
      <c r="N41" s="9" t="s">
        <v>1346</v>
      </c>
      <c r="O41" s="18" t="s">
        <v>61</v>
      </c>
      <c r="P41" s="18" t="s">
        <v>131</v>
      </c>
      <c r="Q41" s="18" t="s">
        <v>274</v>
      </c>
      <c r="R41" s="18" t="s">
        <v>62</v>
      </c>
      <c r="S41" s="18" t="s">
        <v>109</v>
      </c>
      <c r="T41" s="18" t="s">
        <v>1240</v>
      </c>
      <c r="U41" s="18" t="s">
        <v>109</v>
      </c>
      <c r="V41" s="18" t="s">
        <v>109</v>
      </c>
      <c r="W41" s="18" t="s">
        <v>109</v>
      </c>
    </row>
    <row r="42" spans="1:23" x14ac:dyDescent="0.3">
      <c r="A42" s="18">
        <v>41</v>
      </c>
      <c r="B42" s="18" t="s">
        <v>23</v>
      </c>
      <c r="C42" s="18" t="s">
        <v>1241</v>
      </c>
      <c r="D42" s="18">
        <v>50126325</v>
      </c>
      <c r="E42" s="18">
        <v>300</v>
      </c>
      <c r="F42" s="18">
        <v>73</v>
      </c>
      <c r="G42" s="18">
        <v>9</v>
      </c>
      <c r="H42" s="76" t="s">
        <v>184</v>
      </c>
      <c r="I42" s="78" t="s">
        <v>109</v>
      </c>
      <c r="J42" s="18" t="s">
        <v>130</v>
      </c>
      <c r="K42" s="18" t="s">
        <v>109</v>
      </c>
      <c r="L42" s="79">
        <v>0.65138888888888891</v>
      </c>
      <c r="M42" s="18" t="s">
        <v>109</v>
      </c>
      <c r="N42" s="9" t="s">
        <v>1347</v>
      </c>
      <c r="O42" s="18" t="s">
        <v>61</v>
      </c>
      <c r="P42" s="18" t="s">
        <v>131</v>
      </c>
      <c r="Q42" s="18" t="s">
        <v>184</v>
      </c>
      <c r="R42" s="18" t="s">
        <v>62</v>
      </c>
      <c r="S42" s="18" t="s">
        <v>109</v>
      </c>
      <c r="T42" s="18" t="s">
        <v>1240</v>
      </c>
      <c r="U42" s="18" t="s">
        <v>109</v>
      </c>
      <c r="V42" s="18" t="s">
        <v>109</v>
      </c>
      <c r="W42" s="18" t="s">
        <v>109</v>
      </c>
    </row>
    <row r="43" spans="1:23" x14ac:dyDescent="0.3">
      <c r="A43" s="18">
        <v>42</v>
      </c>
      <c r="B43" s="18" t="s">
        <v>23</v>
      </c>
      <c r="C43" s="18" t="s">
        <v>849</v>
      </c>
      <c r="D43" s="18">
        <v>50126213</v>
      </c>
      <c r="E43" s="18">
        <v>650</v>
      </c>
      <c r="F43" s="18">
        <v>1024</v>
      </c>
      <c r="G43" s="18">
        <v>646</v>
      </c>
      <c r="H43" s="18" t="s">
        <v>1348</v>
      </c>
      <c r="I43" s="78" t="s">
        <v>109</v>
      </c>
      <c r="J43" s="18" t="s">
        <v>130</v>
      </c>
      <c r="K43" s="18" t="s">
        <v>109</v>
      </c>
      <c r="L43" s="79">
        <v>0.7729166666666667</v>
      </c>
      <c r="M43" s="18" t="s">
        <v>109</v>
      </c>
      <c r="N43" s="9" t="s">
        <v>110</v>
      </c>
      <c r="O43" s="18" t="s">
        <v>61</v>
      </c>
      <c r="P43" s="18" t="s">
        <v>131</v>
      </c>
      <c r="Q43" s="18" t="s">
        <v>209</v>
      </c>
      <c r="R43" s="18" t="s">
        <v>62</v>
      </c>
      <c r="S43" s="18" t="s">
        <v>109</v>
      </c>
      <c r="T43" s="18" t="s">
        <v>424</v>
      </c>
      <c r="U43" s="18" t="s">
        <v>109</v>
      </c>
      <c r="V43" s="18" t="s">
        <v>109</v>
      </c>
      <c r="W43" s="18" t="s">
        <v>109</v>
      </c>
    </row>
    <row r="44" spans="1:23" x14ac:dyDescent="0.3">
      <c r="A44" s="7">
        <v>43</v>
      </c>
      <c r="B44" s="7" t="s">
        <v>23</v>
      </c>
      <c r="C44" s="7" t="s">
        <v>533</v>
      </c>
      <c r="D44" s="7">
        <v>50126021</v>
      </c>
      <c r="E44" s="7">
        <v>30</v>
      </c>
      <c r="F44" s="7">
        <v>35</v>
      </c>
      <c r="G44" s="7">
        <v>11</v>
      </c>
      <c r="H44" s="7" t="s">
        <v>222</v>
      </c>
      <c r="I44" s="77" t="s">
        <v>109</v>
      </c>
      <c r="J44" s="7" t="s">
        <v>130</v>
      </c>
      <c r="K44" s="7" t="s">
        <v>109</v>
      </c>
      <c r="L44" s="11">
        <v>0.98055555555555562</v>
      </c>
      <c r="M44" s="7" t="s">
        <v>109</v>
      </c>
      <c r="N44" s="7" t="s">
        <v>109</v>
      </c>
      <c r="O44" s="7" t="s">
        <v>61</v>
      </c>
      <c r="P44" s="7" t="s">
        <v>131</v>
      </c>
      <c r="Q44" s="7" t="s">
        <v>222</v>
      </c>
      <c r="R44" s="7" t="s">
        <v>62</v>
      </c>
      <c r="S44" s="7" t="s">
        <v>109</v>
      </c>
      <c r="T44" s="7" t="s">
        <v>424</v>
      </c>
      <c r="U44" s="7" t="s">
        <v>109</v>
      </c>
      <c r="V44" s="7" t="s">
        <v>109</v>
      </c>
      <c r="W44" s="7" t="s">
        <v>109</v>
      </c>
    </row>
    <row r="45" spans="1:23" x14ac:dyDescent="0.3">
      <c r="A45" s="18">
        <v>44</v>
      </c>
      <c r="B45" s="18" t="s">
        <v>23</v>
      </c>
      <c r="C45" s="18" t="s">
        <v>923</v>
      </c>
      <c r="D45" s="18">
        <v>50126259</v>
      </c>
      <c r="E45" s="18">
        <v>150</v>
      </c>
      <c r="F45" s="18">
        <v>199</v>
      </c>
      <c r="G45" s="18">
        <v>155</v>
      </c>
      <c r="H45" s="76" t="s">
        <v>232</v>
      </c>
      <c r="I45" s="78" t="s">
        <v>109</v>
      </c>
      <c r="J45" s="18" t="s">
        <v>130</v>
      </c>
      <c r="K45" s="79">
        <v>0.80069444444444438</v>
      </c>
      <c r="L45" s="18" t="s">
        <v>109</v>
      </c>
      <c r="M45" s="18" t="s">
        <v>109</v>
      </c>
      <c r="N45" s="9" t="s">
        <v>110</v>
      </c>
      <c r="O45" s="18" t="s">
        <v>61</v>
      </c>
      <c r="P45" s="18" t="s">
        <v>131</v>
      </c>
      <c r="Q45" s="18" t="s">
        <v>153</v>
      </c>
      <c r="R45" s="18" t="s">
        <v>62</v>
      </c>
      <c r="S45" s="18" t="s">
        <v>109</v>
      </c>
      <c r="T45" s="18" t="s">
        <v>424</v>
      </c>
      <c r="U45" s="18" t="s">
        <v>109</v>
      </c>
      <c r="V45" s="18" t="s">
        <v>109</v>
      </c>
      <c r="W45" s="18" t="s">
        <v>109</v>
      </c>
    </row>
    <row r="46" spans="1:23" x14ac:dyDescent="0.3">
      <c r="A46" s="18">
        <v>45</v>
      </c>
      <c r="B46" s="18" t="s">
        <v>23</v>
      </c>
      <c r="C46" s="18" t="s">
        <v>427</v>
      </c>
      <c r="D46" s="18">
        <v>50126022</v>
      </c>
      <c r="E46" s="18">
        <v>150</v>
      </c>
      <c r="F46" s="18">
        <v>195</v>
      </c>
      <c r="G46" s="18">
        <v>158</v>
      </c>
      <c r="H46" s="76" t="s">
        <v>186</v>
      </c>
      <c r="I46" s="78" t="s">
        <v>109</v>
      </c>
      <c r="J46" s="18" t="s">
        <v>130</v>
      </c>
      <c r="K46" s="18" t="s">
        <v>109</v>
      </c>
      <c r="L46" s="79">
        <v>0.70277777777777783</v>
      </c>
      <c r="M46" s="18" t="s">
        <v>109</v>
      </c>
      <c r="N46" s="9" t="s">
        <v>110</v>
      </c>
      <c r="O46" s="18" t="s">
        <v>61</v>
      </c>
      <c r="P46" s="18" t="s">
        <v>131</v>
      </c>
      <c r="Q46" s="18" t="s">
        <v>214</v>
      </c>
      <c r="R46" s="18" t="s">
        <v>62</v>
      </c>
      <c r="S46" s="18" t="s">
        <v>109</v>
      </c>
      <c r="T46" s="18" t="s">
        <v>424</v>
      </c>
      <c r="U46" s="18" t="s">
        <v>109</v>
      </c>
      <c r="V46" s="18" t="s">
        <v>109</v>
      </c>
      <c r="W46" s="18" t="s">
        <v>109</v>
      </c>
    </row>
    <row r="47" spans="1:23" x14ac:dyDescent="0.3">
      <c r="A47" s="7">
        <v>46</v>
      </c>
      <c r="B47" s="7" t="s">
        <v>170</v>
      </c>
      <c r="C47" s="7" t="s">
        <v>1349</v>
      </c>
      <c r="D47" s="7">
        <v>40126026</v>
      </c>
      <c r="E47" s="7">
        <v>75</v>
      </c>
      <c r="F47" s="7">
        <v>144</v>
      </c>
      <c r="G47" s="7">
        <v>76</v>
      </c>
      <c r="H47" s="7" t="s">
        <v>200</v>
      </c>
      <c r="I47" s="77" t="s">
        <v>87</v>
      </c>
      <c r="J47" s="7" t="s">
        <v>130</v>
      </c>
      <c r="K47" s="11">
        <v>0.68263888888888891</v>
      </c>
      <c r="L47" s="11">
        <v>0.78263888888888899</v>
      </c>
      <c r="M47" s="7" t="s">
        <v>109</v>
      </c>
      <c r="N47" s="7" t="s">
        <v>109</v>
      </c>
      <c r="O47" s="7" t="s">
        <v>61</v>
      </c>
      <c r="P47" s="7" t="s">
        <v>131</v>
      </c>
      <c r="Q47" s="7" t="s">
        <v>87</v>
      </c>
      <c r="R47" s="7" t="s">
        <v>62</v>
      </c>
      <c r="S47" s="7" t="s">
        <v>109</v>
      </c>
      <c r="T47" s="7" t="s">
        <v>859</v>
      </c>
      <c r="U47" s="7" t="s">
        <v>109</v>
      </c>
      <c r="V47" s="7" t="s">
        <v>109</v>
      </c>
      <c r="W47" s="7" t="s">
        <v>109</v>
      </c>
    </row>
    <row r="48" spans="1:23" x14ac:dyDescent="0.3">
      <c r="A48" s="7">
        <v>47</v>
      </c>
      <c r="B48" s="7" t="s">
        <v>170</v>
      </c>
      <c r="C48" s="7" t="s">
        <v>1350</v>
      </c>
      <c r="D48" s="7">
        <v>40126025</v>
      </c>
      <c r="E48" s="7">
        <v>153</v>
      </c>
      <c r="F48" s="7">
        <v>236</v>
      </c>
      <c r="G48" s="7">
        <v>139</v>
      </c>
      <c r="H48" s="28" t="s">
        <v>386</v>
      </c>
      <c r="I48" s="7" t="s">
        <v>97</v>
      </c>
      <c r="J48" s="7" t="s">
        <v>130</v>
      </c>
      <c r="K48" s="11">
        <v>0.90694444444444444</v>
      </c>
      <c r="L48" s="11">
        <v>0.94027777777777777</v>
      </c>
      <c r="M48" s="7" t="s">
        <v>109</v>
      </c>
      <c r="N48" s="7" t="s">
        <v>109</v>
      </c>
      <c r="O48" s="7" t="s">
        <v>61</v>
      </c>
      <c r="P48" s="7" t="s">
        <v>131</v>
      </c>
      <c r="Q48" s="7" t="s">
        <v>89</v>
      </c>
      <c r="R48" s="7" t="s">
        <v>62</v>
      </c>
      <c r="S48" s="7" t="s">
        <v>109</v>
      </c>
      <c r="T48" s="7" t="s">
        <v>859</v>
      </c>
      <c r="U48" s="7" t="s">
        <v>109</v>
      </c>
      <c r="V48" s="7" t="s">
        <v>109</v>
      </c>
      <c r="W48" s="7" t="s">
        <v>109</v>
      </c>
    </row>
    <row r="49" spans="1:23" x14ac:dyDescent="0.3">
      <c r="A49" s="7">
        <v>48</v>
      </c>
      <c r="B49" s="7" t="s">
        <v>170</v>
      </c>
      <c r="C49" s="7" t="s">
        <v>171</v>
      </c>
      <c r="D49" s="7">
        <v>41125019</v>
      </c>
      <c r="E49" s="7">
        <v>85</v>
      </c>
      <c r="F49" s="7">
        <v>0</v>
      </c>
      <c r="G49" s="7">
        <v>0</v>
      </c>
      <c r="H49" s="7" t="s">
        <v>64</v>
      </c>
      <c r="I49" s="7" t="s">
        <v>86</v>
      </c>
      <c r="J49" s="7" t="s">
        <v>130</v>
      </c>
      <c r="K49" s="11">
        <v>0.99652777777777779</v>
      </c>
      <c r="L49" s="11">
        <v>9.0277777777777787E-3</v>
      </c>
      <c r="M49" s="7" t="s">
        <v>109</v>
      </c>
      <c r="N49" s="33" t="s">
        <v>1351</v>
      </c>
      <c r="O49" s="7" t="s">
        <v>61</v>
      </c>
      <c r="P49" s="7" t="s">
        <v>131</v>
      </c>
      <c r="Q49" s="7" t="s">
        <v>86</v>
      </c>
      <c r="R49" s="7" t="s">
        <v>62</v>
      </c>
      <c r="S49" s="7" t="s">
        <v>109</v>
      </c>
      <c r="T49" s="7" t="s">
        <v>175</v>
      </c>
      <c r="U49" s="7" t="s">
        <v>109</v>
      </c>
      <c r="V49" s="7" t="s">
        <v>109</v>
      </c>
      <c r="W49" s="7" t="s">
        <v>109</v>
      </c>
    </row>
    <row r="50" spans="1:23" x14ac:dyDescent="0.3">
      <c r="A50" s="7">
        <v>49</v>
      </c>
      <c r="B50" s="7" t="s">
        <v>135</v>
      </c>
      <c r="C50" s="7" t="s">
        <v>1352</v>
      </c>
      <c r="D50" s="7">
        <v>20126005</v>
      </c>
      <c r="E50" s="7">
        <v>50</v>
      </c>
      <c r="F50" s="7">
        <v>93</v>
      </c>
      <c r="G50" s="7">
        <v>46</v>
      </c>
      <c r="H50" s="7" t="s">
        <v>67</v>
      </c>
      <c r="I50" s="77" t="s">
        <v>95</v>
      </c>
      <c r="J50" s="7" t="s">
        <v>130</v>
      </c>
      <c r="K50" s="11">
        <v>0.76250000000000007</v>
      </c>
      <c r="L50" s="11">
        <v>0.77638888888888891</v>
      </c>
      <c r="M50" s="7" t="s">
        <v>109</v>
      </c>
      <c r="N50" s="7" t="s">
        <v>109</v>
      </c>
      <c r="O50" s="7" t="s">
        <v>61</v>
      </c>
      <c r="P50" s="7" t="s">
        <v>131</v>
      </c>
      <c r="Q50" s="7" t="s">
        <v>95</v>
      </c>
      <c r="R50" s="7" t="s">
        <v>62</v>
      </c>
      <c r="S50" s="7" t="s">
        <v>109</v>
      </c>
      <c r="T50" s="7" t="s">
        <v>112</v>
      </c>
      <c r="U50" s="7" t="s">
        <v>109</v>
      </c>
      <c r="V50" s="7" t="s">
        <v>109</v>
      </c>
      <c r="W50" s="7" t="s">
        <v>109</v>
      </c>
    </row>
    <row r="51" spans="1:23" x14ac:dyDescent="0.3">
      <c r="A51" s="7">
        <v>50</v>
      </c>
      <c r="B51" s="7" t="s">
        <v>135</v>
      </c>
      <c r="C51" s="7" t="s">
        <v>1353</v>
      </c>
      <c r="D51" s="7">
        <v>20126006</v>
      </c>
      <c r="E51" s="7">
        <v>50</v>
      </c>
      <c r="F51" s="7">
        <v>92</v>
      </c>
      <c r="G51" s="7">
        <v>54</v>
      </c>
      <c r="H51" s="7" t="s">
        <v>72</v>
      </c>
      <c r="I51" s="77" t="s">
        <v>91</v>
      </c>
      <c r="J51" s="7" t="s">
        <v>130</v>
      </c>
      <c r="K51" s="11">
        <v>0.82916666666666661</v>
      </c>
      <c r="L51" s="11">
        <v>0.95486111111111116</v>
      </c>
      <c r="M51" s="7" t="s">
        <v>109</v>
      </c>
      <c r="N51" s="7" t="s">
        <v>109</v>
      </c>
      <c r="O51" s="7" t="s">
        <v>61</v>
      </c>
      <c r="P51" s="7" t="s">
        <v>131</v>
      </c>
      <c r="Q51" s="7" t="s">
        <v>91</v>
      </c>
      <c r="R51" s="7" t="s">
        <v>62</v>
      </c>
      <c r="S51" s="7" t="s">
        <v>109</v>
      </c>
      <c r="T51" s="7" t="s">
        <v>112</v>
      </c>
      <c r="U51" s="7" t="s">
        <v>109</v>
      </c>
      <c r="V51" s="7" t="s">
        <v>109</v>
      </c>
      <c r="W51" s="7" t="s">
        <v>109</v>
      </c>
    </row>
    <row r="52" spans="1:23" x14ac:dyDescent="0.3">
      <c r="A52" s="7">
        <v>51</v>
      </c>
      <c r="B52" s="7" t="s">
        <v>135</v>
      </c>
      <c r="C52" s="7" t="s">
        <v>1354</v>
      </c>
      <c r="D52" s="7">
        <v>20126001</v>
      </c>
      <c r="E52" s="7">
        <v>41</v>
      </c>
      <c r="F52" s="7">
        <v>42</v>
      </c>
      <c r="G52" s="7">
        <v>17</v>
      </c>
      <c r="H52" s="7" t="s">
        <v>64</v>
      </c>
      <c r="I52" s="7" t="s">
        <v>86</v>
      </c>
      <c r="J52" s="7" t="s">
        <v>130</v>
      </c>
      <c r="K52" s="11">
        <v>0.74097222222222225</v>
      </c>
      <c r="L52" s="11">
        <v>0.76597222222222217</v>
      </c>
      <c r="M52" s="7" t="s">
        <v>109</v>
      </c>
      <c r="N52" s="7" t="s">
        <v>109</v>
      </c>
      <c r="O52" s="7" t="s">
        <v>61</v>
      </c>
      <c r="P52" s="7" t="s">
        <v>131</v>
      </c>
      <c r="Q52" s="7" t="s">
        <v>86</v>
      </c>
      <c r="R52" s="7" t="s">
        <v>62</v>
      </c>
      <c r="S52" s="7" t="s">
        <v>109</v>
      </c>
      <c r="T52" s="7" t="s">
        <v>112</v>
      </c>
      <c r="U52" s="7" t="s">
        <v>109</v>
      </c>
      <c r="V52" s="7" t="s">
        <v>109</v>
      </c>
      <c r="W52" s="7" t="s">
        <v>109</v>
      </c>
    </row>
    <row r="53" spans="1:23" x14ac:dyDescent="0.3">
      <c r="A53" s="7">
        <v>52</v>
      </c>
      <c r="B53" s="7" t="s">
        <v>135</v>
      </c>
      <c r="C53" s="7" t="s">
        <v>1080</v>
      </c>
      <c r="D53" s="7">
        <v>20126013</v>
      </c>
      <c r="E53" s="7">
        <v>103</v>
      </c>
      <c r="F53" s="7">
        <v>100</v>
      </c>
      <c r="G53" s="7">
        <v>16</v>
      </c>
      <c r="H53" s="7" t="s">
        <v>153</v>
      </c>
      <c r="I53" s="77" t="s">
        <v>154</v>
      </c>
      <c r="J53" s="7" t="s">
        <v>130</v>
      </c>
      <c r="K53" s="11">
        <v>0.9375</v>
      </c>
      <c r="L53" s="11">
        <v>0.96111111111111114</v>
      </c>
      <c r="M53" s="7" t="s">
        <v>109</v>
      </c>
      <c r="N53" s="7" t="s">
        <v>109</v>
      </c>
      <c r="O53" s="7" t="s">
        <v>61</v>
      </c>
      <c r="P53" s="7" t="s">
        <v>131</v>
      </c>
      <c r="Q53" s="7" t="s">
        <v>154</v>
      </c>
      <c r="R53" s="7" t="s">
        <v>62</v>
      </c>
      <c r="S53" s="7" t="s">
        <v>109</v>
      </c>
      <c r="T53" s="7" t="s">
        <v>1081</v>
      </c>
      <c r="U53" s="7" t="s">
        <v>109</v>
      </c>
      <c r="V53" s="7" t="s">
        <v>109</v>
      </c>
      <c r="W53" s="7" t="s">
        <v>109</v>
      </c>
    </row>
    <row r="54" spans="1:23" x14ac:dyDescent="0.3">
      <c r="A54" s="7">
        <v>53</v>
      </c>
      <c r="B54" s="7" t="s">
        <v>411</v>
      </c>
      <c r="C54" s="7" t="s">
        <v>1200</v>
      </c>
      <c r="D54" s="7">
        <v>30126008</v>
      </c>
      <c r="E54" s="7">
        <v>50</v>
      </c>
      <c r="F54" s="7">
        <v>60</v>
      </c>
      <c r="G54" s="7">
        <v>49</v>
      </c>
      <c r="H54" s="7" t="s">
        <v>69</v>
      </c>
      <c r="I54" s="77" t="s">
        <v>90</v>
      </c>
      <c r="J54" s="7" t="s">
        <v>130</v>
      </c>
      <c r="K54" s="11">
        <v>0.73333333333333339</v>
      </c>
      <c r="L54" s="11">
        <v>0.78680555555555554</v>
      </c>
      <c r="M54" s="7" t="s">
        <v>109</v>
      </c>
      <c r="N54" s="7" t="s">
        <v>109</v>
      </c>
      <c r="O54" s="7" t="s">
        <v>61</v>
      </c>
      <c r="P54" s="7" t="s">
        <v>131</v>
      </c>
      <c r="Q54" s="7" t="s">
        <v>90</v>
      </c>
      <c r="R54" s="7" t="s">
        <v>62</v>
      </c>
      <c r="S54" s="7" t="s">
        <v>109</v>
      </c>
      <c r="T54" s="7" t="s">
        <v>675</v>
      </c>
      <c r="U54" s="7" t="s">
        <v>109</v>
      </c>
      <c r="V54" s="7" t="s">
        <v>109</v>
      </c>
      <c r="W54" s="7" t="s">
        <v>109</v>
      </c>
    </row>
    <row r="55" spans="1:23" x14ac:dyDescent="0.3">
      <c r="A55" s="7">
        <v>54</v>
      </c>
      <c r="B55" s="7" t="s">
        <v>411</v>
      </c>
      <c r="C55" s="7" t="s">
        <v>676</v>
      </c>
      <c r="D55" s="7">
        <v>30126003</v>
      </c>
      <c r="E55" s="7">
        <v>65</v>
      </c>
      <c r="F55" s="7">
        <v>140</v>
      </c>
      <c r="G55" s="7">
        <v>51</v>
      </c>
      <c r="H55" s="7" t="s">
        <v>71</v>
      </c>
      <c r="I55" s="77" t="s">
        <v>91</v>
      </c>
      <c r="J55" s="7" t="s">
        <v>130</v>
      </c>
      <c r="K55" s="11">
        <v>0.72499999999999998</v>
      </c>
      <c r="L55" s="11">
        <v>0.81388888888888899</v>
      </c>
      <c r="M55" s="7" t="s">
        <v>109</v>
      </c>
      <c r="N55" s="7" t="s">
        <v>109</v>
      </c>
      <c r="O55" s="7" t="s">
        <v>61</v>
      </c>
      <c r="P55" s="7" t="s">
        <v>131</v>
      </c>
      <c r="Q55" s="7" t="s">
        <v>91</v>
      </c>
      <c r="R55" s="7" t="s">
        <v>62</v>
      </c>
      <c r="S55" s="7" t="s">
        <v>109</v>
      </c>
      <c r="T55" s="7" t="s">
        <v>675</v>
      </c>
      <c r="U55" s="7" t="s">
        <v>109</v>
      </c>
      <c r="V55" s="7" t="s">
        <v>109</v>
      </c>
      <c r="W55" s="7" t="s">
        <v>109</v>
      </c>
    </row>
    <row r="56" spans="1:23" x14ac:dyDescent="0.3">
      <c r="A56" s="7">
        <v>55</v>
      </c>
      <c r="B56" s="7" t="s">
        <v>411</v>
      </c>
      <c r="C56" s="7" t="s">
        <v>1201</v>
      </c>
      <c r="D56" s="7">
        <v>30126006</v>
      </c>
      <c r="E56" s="7">
        <v>45</v>
      </c>
      <c r="F56" s="7">
        <v>102</v>
      </c>
      <c r="G56" s="7">
        <v>40</v>
      </c>
      <c r="H56" s="7" t="s">
        <v>82</v>
      </c>
      <c r="I56" s="77" t="s">
        <v>89</v>
      </c>
      <c r="J56" s="7" t="s">
        <v>130</v>
      </c>
      <c r="K56" s="11">
        <v>0.70000000000000007</v>
      </c>
      <c r="L56" s="11">
        <v>0.72777777777777775</v>
      </c>
      <c r="M56" s="7" t="s">
        <v>109</v>
      </c>
      <c r="N56" s="7" t="s">
        <v>109</v>
      </c>
      <c r="O56" s="7" t="s">
        <v>61</v>
      </c>
      <c r="P56" s="7" t="s">
        <v>131</v>
      </c>
      <c r="Q56" s="7" t="s">
        <v>89</v>
      </c>
      <c r="R56" s="7" t="s">
        <v>62</v>
      </c>
      <c r="S56" s="7" t="s">
        <v>109</v>
      </c>
      <c r="T56" s="7" t="s">
        <v>675</v>
      </c>
      <c r="U56" s="7" t="s">
        <v>109</v>
      </c>
      <c r="V56" s="7" t="s">
        <v>109</v>
      </c>
      <c r="W56" s="7" t="s">
        <v>109</v>
      </c>
    </row>
    <row r="57" spans="1:23" x14ac:dyDescent="0.3">
      <c r="A57" s="7">
        <v>56</v>
      </c>
      <c r="B57" s="7" t="s">
        <v>170</v>
      </c>
      <c r="C57" s="7" t="s">
        <v>1355</v>
      </c>
      <c r="D57" s="7">
        <v>40126027</v>
      </c>
      <c r="E57" s="7">
        <v>149</v>
      </c>
      <c r="F57" s="7">
        <v>197</v>
      </c>
      <c r="G57" s="7">
        <v>143</v>
      </c>
      <c r="H57" s="28" t="s">
        <v>1051</v>
      </c>
      <c r="I57" s="7" t="s">
        <v>157</v>
      </c>
      <c r="J57" s="7" t="s">
        <v>130</v>
      </c>
      <c r="K57" s="11">
        <v>0.95000000000000007</v>
      </c>
      <c r="L57" s="11">
        <v>0.96944444444444444</v>
      </c>
      <c r="M57" s="7" t="s">
        <v>109</v>
      </c>
      <c r="N57" s="7" t="s">
        <v>109</v>
      </c>
      <c r="O57" s="7" t="s">
        <v>61</v>
      </c>
      <c r="P57" s="7" t="s">
        <v>131</v>
      </c>
      <c r="Q57" s="7" t="s">
        <v>93</v>
      </c>
      <c r="R57" s="7" t="s">
        <v>62</v>
      </c>
      <c r="S57" s="7" t="s">
        <v>109</v>
      </c>
      <c r="T57" s="7" t="s">
        <v>1356</v>
      </c>
      <c r="U57" s="7" t="s">
        <v>109</v>
      </c>
      <c r="V57" s="7" t="s">
        <v>109</v>
      </c>
      <c r="W57" s="7" t="s">
        <v>109</v>
      </c>
    </row>
    <row r="58" spans="1:23" x14ac:dyDescent="0.3">
      <c r="A58" s="7">
        <v>57</v>
      </c>
      <c r="B58" s="7" t="s">
        <v>411</v>
      </c>
      <c r="C58" s="7" t="s">
        <v>1357</v>
      </c>
      <c r="D58" s="7">
        <v>30126010</v>
      </c>
      <c r="E58" s="7">
        <v>210</v>
      </c>
      <c r="F58" s="7">
        <v>352</v>
      </c>
      <c r="G58" s="7">
        <v>189</v>
      </c>
      <c r="H58" s="28" t="s">
        <v>1358</v>
      </c>
      <c r="I58" s="7" t="s">
        <v>453</v>
      </c>
      <c r="J58" s="7" t="s">
        <v>130</v>
      </c>
      <c r="K58" s="11">
        <v>0.82916666666666661</v>
      </c>
      <c r="L58" s="11">
        <v>0.84236111111111101</v>
      </c>
      <c r="M58" s="7" t="s">
        <v>109</v>
      </c>
      <c r="N58" s="7" t="s">
        <v>109</v>
      </c>
      <c r="O58" s="7" t="s">
        <v>61</v>
      </c>
      <c r="P58" s="7" t="s">
        <v>131</v>
      </c>
      <c r="Q58" s="7" t="s">
        <v>209</v>
      </c>
      <c r="R58" s="7" t="s">
        <v>62</v>
      </c>
      <c r="S58" s="7" t="s">
        <v>109</v>
      </c>
      <c r="T58" s="7" t="s">
        <v>1359</v>
      </c>
      <c r="U58" s="7" t="s">
        <v>109</v>
      </c>
      <c r="V58" s="7" t="s">
        <v>109</v>
      </c>
      <c r="W58" s="7" t="s">
        <v>109</v>
      </c>
    </row>
    <row r="59" spans="1:23" x14ac:dyDescent="0.3">
      <c r="A59" s="7">
        <v>58</v>
      </c>
      <c r="B59" s="7" t="s">
        <v>411</v>
      </c>
      <c r="C59" s="7" t="s">
        <v>1360</v>
      </c>
      <c r="D59" s="7">
        <v>30126011</v>
      </c>
      <c r="E59" s="7">
        <v>170</v>
      </c>
      <c r="F59" s="7">
        <v>361</v>
      </c>
      <c r="G59" s="7">
        <v>80</v>
      </c>
      <c r="H59" s="28" t="s">
        <v>1052</v>
      </c>
      <c r="I59" s="7" t="s">
        <v>297</v>
      </c>
      <c r="J59" s="7" t="s">
        <v>130</v>
      </c>
      <c r="K59" s="11">
        <v>0.89861111111111114</v>
      </c>
      <c r="L59" s="11">
        <v>0.95138888888888884</v>
      </c>
      <c r="M59" s="7" t="s">
        <v>109</v>
      </c>
      <c r="N59" s="7" t="s">
        <v>109</v>
      </c>
      <c r="O59" s="7" t="s">
        <v>61</v>
      </c>
      <c r="P59" s="7" t="s">
        <v>131</v>
      </c>
      <c r="Q59" s="7" t="s">
        <v>94</v>
      </c>
      <c r="R59" s="7" t="s">
        <v>62</v>
      </c>
      <c r="S59" s="7" t="s">
        <v>109</v>
      </c>
      <c r="T59" s="7" t="s">
        <v>1359</v>
      </c>
      <c r="U59" s="7" t="s">
        <v>109</v>
      </c>
      <c r="V59" s="7" t="s">
        <v>109</v>
      </c>
      <c r="W59" s="7" t="s">
        <v>109</v>
      </c>
    </row>
    <row r="60" spans="1:23" x14ac:dyDescent="0.3">
      <c r="A60" s="7">
        <v>59</v>
      </c>
      <c r="B60" s="7" t="s">
        <v>411</v>
      </c>
      <c r="C60" s="7" t="s">
        <v>1361</v>
      </c>
      <c r="D60" s="7">
        <v>30126012</v>
      </c>
      <c r="E60" s="7">
        <v>106</v>
      </c>
      <c r="F60" s="7">
        <v>203</v>
      </c>
      <c r="G60" s="7">
        <v>28</v>
      </c>
      <c r="H60" s="7" t="s">
        <v>196</v>
      </c>
      <c r="I60" s="7" t="s">
        <v>87</v>
      </c>
      <c r="J60" s="7" t="s">
        <v>130</v>
      </c>
      <c r="K60" s="11">
        <v>0.94861111111111107</v>
      </c>
      <c r="L60" s="11">
        <v>0.97013888888888899</v>
      </c>
      <c r="M60" s="7" t="s">
        <v>109</v>
      </c>
      <c r="N60" s="7" t="s">
        <v>109</v>
      </c>
      <c r="O60" s="7" t="s">
        <v>61</v>
      </c>
      <c r="P60" s="7" t="s">
        <v>131</v>
      </c>
      <c r="Q60" s="7" t="s">
        <v>87</v>
      </c>
      <c r="R60" s="7" t="s">
        <v>62</v>
      </c>
      <c r="S60" s="7" t="s">
        <v>109</v>
      </c>
      <c r="T60" s="7" t="s">
        <v>1359</v>
      </c>
      <c r="U60" s="7" t="s">
        <v>109</v>
      </c>
      <c r="V60" s="7" t="s">
        <v>109</v>
      </c>
      <c r="W60" s="7" t="s">
        <v>109</v>
      </c>
    </row>
    <row r="61" spans="1:23" x14ac:dyDescent="0.3">
      <c r="A61" s="7">
        <v>60</v>
      </c>
      <c r="B61" s="7" t="s">
        <v>23</v>
      </c>
      <c r="C61" s="7" t="s">
        <v>1302</v>
      </c>
      <c r="D61" s="7">
        <v>50126335</v>
      </c>
      <c r="E61" s="7">
        <v>30</v>
      </c>
      <c r="F61" s="7">
        <v>13</v>
      </c>
      <c r="G61" s="7">
        <v>5</v>
      </c>
      <c r="H61" s="7" t="s">
        <v>214</v>
      </c>
      <c r="I61" s="77" t="s">
        <v>109</v>
      </c>
      <c r="J61" s="7" t="s">
        <v>130</v>
      </c>
      <c r="K61" s="7" t="s">
        <v>109</v>
      </c>
      <c r="L61" s="11">
        <v>0.72083333333333333</v>
      </c>
      <c r="M61" s="7" t="s">
        <v>109</v>
      </c>
      <c r="N61" s="7" t="s">
        <v>109</v>
      </c>
      <c r="O61" s="7" t="s">
        <v>61</v>
      </c>
      <c r="P61" s="7" t="s">
        <v>131</v>
      </c>
      <c r="Q61" s="7" t="s">
        <v>214</v>
      </c>
      <c r="R61" s="7" t="s">
        <v>62</v>
      </c>
      <c r="S61" s="7" t="s">
        <v>109</v>
      </c>
      <c r="T61" s="7" t="s">
        <v>351</v>
      </c>
      <c r="U61" s="7" t="s">
        <v>109</v>
      </c>
      <c r="V61" s="7" t="s">
        <v>109</v>
      </c>
      <c r="W61" s="7" t="s">
        <v>109</v>
      </c>
    </row>
    <row r="62" spans="1:23" x14ac:dyDescent="0.3">
      <c r="A62" s="7">
        <v>61</v>
      </c>
      <c r="B62" s="7" t="s">
        <v>23</v>
      </c>
      <c r="C62" s="7" t="s">
        <v>1046</v>
      </c>
      <c r="D62" s="7">
        <v>50126283</v>
      </c>
      <c r="E62" s="7">
        <v>150</v>
      </c>
      <c r="F62" s="7">
        <v>109</v>
      </c>
      <c r="G62" s="7">
        <v>20</v>
      </c>
      <c r="H62" s="28" t="s">
        <v>1007</v>
      </c>
      <c r="I62" s="77" t="s">
        <v>109</v>
      </c>
      <c r="J62" s="7" t="s">
        <v>130</v>
      </c>
      <c r="K62" s="11">
        <v>0.7402777777777777</v>
      </c>
      <c r="L62" s="7" t="s">
        <v>109</v>
      </c>
      <c r="M62" s="7" t="s">
        <v>109</v>
      </c>
      <c r="N62" s="7" t="s">
        <v>109</v>
      </c>
      <c r="O62" s="7" t="s">
        <v>61</v>
      </c>
      <c r="P62" s="7" t="s">
        <v>131</v>
      </c>
      <c r="Q62" s="7" t="s">
        <v>71</v>
      </c>
      <c r="R62" s="7" t="s">
        <v>62</v>
      </c>
      <c r="S62" s="7" t="s">
        <v>109</v>
      </c>
      <c r="T62" s="7" t="s">
        <v>223</v>
      </c>
      <c r="U62" s="7" t="s">
        <v>109</v>
      </c>
      <c r="V62" s="7" t="s">
        <v>109</v>
      </c>
      <c r="W62" s="7" t="s">
        <v>109</v>
      </c>
    </row>
    <row r="63" spans="1:23" x14ac:dyDescent="0.3">
      <c r="A63" s="7">
        <v>62</v>
      </c>
      <c r="B63" s="7" t="s">
        <v>23</v>
      </c>
      <c r="C63" s="7" t="s">
        <v>1048</v>
      </c>
      <c r="D63" s="7">
        <v>50126287</v>
      </c>
      <c r="E63" s="7">
        <v>50</v>
      </c>
      <c r="F63" s="7">
        <v>14</v>
      </c>
      <c r="G63" s="7">
        <v>4</v>
      </c>
      <c r="H63" s="7" t="s">
        <v>196</v>
      </c>
      <c r="I63" s="77" t="s">
        <v>109</v>
      </c>
      <c r="J63" s="7" t="s">
        <v>130</v>
      </c>
      <c r="K63" s="7" t="s">
        <v>109</v>
      </c>
      <c r="L63" s="11">
        <v>0.65833333333333333</v>
      </c>
      <c r="M63" s="7" t="s">
        <v>109</v>
      </c>
      <c r="N63" s="7" t="s">
        <v>109</v>
      </c>
      <c r="O63" s="7" t="s">
        <v>61</v>
      </c>
      <c r="P63" s="7" t="s">
        <v>131</v>
      </c>
      <c r="Q63" s="7" t="s">
        <v>196</v>
      </c>
      <c r="R63" s="7" t="s">
        <v>62</v>
      </c>
      <c r="S63" s="7" t="s">
        <v>109</v>
      </c>
      <c r="T63" s="7" t="s">
        <v>223</v>
      </c>
      <c r="U63" s="7" t="s">
        <v>109</v>
      </c>
      <c r="V63" s="7" t="s">
        <v>109</v>
      </c>
      <c r="W63" s="7" t="s">
        <v>109</v>
      </c>
    </row>
    <row r="64" spans="1:23" x14ac:dyDescent="0.3">
      <c r="A64" s="7">
        <v>63</v>
      </c>
      <c r="B64" s="7" t="s">
        <v>23</v>
      </c>
      <c r="C64" s="7" t="s">
        <v>1307</v>
      </c>
      <c r="D64" s="7">
        <v>50126334</v>
      </c>
      <c r="E64" s="7">
        <v>150</v>
      </c>
      <c r="F64" s="7">
        <v>212</v>
      </c>
      <c r="G64" s="7">
        <v>23</v>
      </c>
      <c r="H64" s="28" t="s">
        <v>1362</v>
      </c>
      <c r="I64" s="77" t="s">
        <v>109</v>
      </c>
      <c r="J64" s="7" t="s">
        <v>130</v>
      </c>
      <c r="K64" s="7" t="s">
        <v>109</v>
      </c>
      <c r="L64" s="11">
        <v>0.85277777777777775</v>
      </c>
      <c r="M64" s="7" t="s">
        <v>109</v>
      </c>
      <c r="N64" s="7" t="s">
        <v>109</v>
      </c>
      <c r="O64" s="7" t="s">
        <v>61</v>
      </c>
      <c r="P64" s="7" t="s">
        <v>131</v>
      </c>
      <c r="Q64" s="7" t="s">
        <v>200</v>
      </c>
      <c r="R64" s="7" t="s">
        <v>62</v>
      </c>
      <c r="S64" s="7" t="s">
        <v>109</v>
      </c>
      <c r="T64" s="7" t="s">
        <v>1309</v>
      </c>
      <c r="U64" s="7" t="s">
        <v>109</v>
      </c>
      <c r="V64" s="7" t="s">
        <v>109</v>
      </c>
      <c r="W64" s="7" t="s">
        <v>109</v>
      </c>
    </row>
    <row r="65" spans="1:23" x14ac:dyDescent="0.3">
      <c r="A65" s="7">
        <v>64</v>
      </c>
      <c r="B65" s="7" t="s">
        <v>23</v>
      </c>
      <c r="C65" s="7" t="s">
        <v>1115</v>
      </c>
      <c r="D65" s="7">
        <v>50126321</v>
      </c>
      <c r="E65" s="7">
        <v>200</v>
      </c>
      <c r="F65" s="7">
        <v>346</v>
      </c>
      <c r="G65" s="7">
        <v>188</v>
      </c>
      <c r="H65" s="28" t="s">
        <v>1052</v>
      </c>
      <c r="I65" s="77" t="s">
        <v>109</v>
      </c>
      <c r="J65" s="7" t="s">
        <v>130</v>
      </c>
      <c r="K65" s="7" t="s">
        <v>109</v>
      </c>
      <c r="L65" s="11">
        <v>0.81319444444444444</v>
      </c>
      <c r="M65" s="7" t="s">
        <v>109</v>
      </c>
      <c r="N65" s="33" t="s">
        <v>1363</v>
      </c>
      <c r="O65" s="7" t="s">
        <v>61</v>
      </c>
      <c r="P65" s="7" t="s">
        <v>131</v>
      </c>
      <c r="Q65" s="7" t="s">
        <v>70</v>
      </c>
      <c r="R65" s="7" t="s">
        <v>62</v>
      </c>
      <c r="S65" s="7" t="s">
        <v>109</v>
      </c>
      <c r="T65" s="7" t="s">
        <v>1112</v>
      </c>
      <c r="U65" s="7" t="s">
        <v>109</v>
      </c>
      <c r="V65" s="7" t="s">
        <v>109</v>
      </c>
      <c r="W65" s="7" t="s">
        <v>109</v>
      </c>
    </row>
    <row r="66" spans="1:23" x14ac:dyDescent="0.3">
      <c r="A66" s="7">
        <v>65</v>
      </c>
      <c r="B66" s="7" t="s">
        <v>23</v>
      </c>
      <c r="C66" s="7" t="s">
        <v>1364</v>
      </c>
      <c r="D66" s="7">
        <v>50126341</v>
      </c>
      <c r="E66" s="7">
        <v>50</v>
      </c>
      <c r="F66" s="7">
        <v>64</v>
      </c>
      <c r="G66" s="7">
        <v>12</v>
      </c>
      <c r="H66" s="7" t="s">
        <v>66</v>
      </c>
      <c r="I66" s="77" t="s">
        <v>109</v>
      </c>
      <c r="J66" s="7" t="s">
        <v>130</v>
      </c>
      <c r="K66" s="7" t="s">
        <v>109</v>
      </c>
      <c r="L66" s="11">
        <v>0.98472222222222217</v>
      </c>
      <c r="M66" s="7" t="s">
        <v>109</v>
      </c>
      <c r="N66" s="7" t="s">
        <v>109</v>
      </c>
      <c r="O66" s="7" t="s">
        <v>61</v>
      </c>
      <c r="P66" s="7" t="s">
        <v>131</v>
      </c>
      <c r="Q66" s="7" t="s">
        <v>66</v>
      </c>
      <c r="R66" s="7" t="s">
        <v>62</v>
      </c>
      <c r="S66" s="7" t="s">
        <v>109</v>
      </c>
      <c r="T66" s="7" t="s">
        <v>1365</v>
      </c>
      <c r="U66" s="7" t="s">
        <v>109</v>
      </c>
      <c r="V66" s="7" t="s">
        <v>109</v>
      </c>
      <c r="W66" s="7" t="s">
        <v>109</v>
      </c>
    </row>
    <row r="67" spans="1:23" x14ac:dyDescent="0.3">
      <c r="A67" s="7">
        <v>66</v>
      </c>
      <c r="B67" s="7" t="s">
        <v>23</v>
      </c>
      <c r="C67" s="7" t="s">
        <v>1366</v>
      </c>
      <c r="D67" s="7">
        <v>50126343</v>
      </c>
      <c r="E67" s="7">
        <v>600</v>
      </c>
      <c r="F67" s="7">
        <v>772</v>
      </c>
      <c r="G67" s="7">
        <v>410</v>
      </c>
      <c r="H67" s="28" t="s">
        <v>1367</v>
      </c>
      <c r="I67" s="77" t="s">
        <v>109</v>
      </c>
      <c r="J67" s="7" t="s">
        <v>130</v>
      </c>
      <c r="K67" s="7" t="s">
        <v>109</v>
      </c>
      <c r="L67" s="11">
        <v>3.6805555555555557E-2</v>
      </c>
      <c r="M67" s="7" t="s">
        <v>109</v>
      </c>
      <c r="N67" s="7" t="s">
        <v>109</v>
      </c>
      <c r="O67" s="7" t="s">
        <v>61</v>
      </c>
      <c r="P67" s="7" t="s">
        <v>131</v>
      </c>
      <c r="Q67" s="7" t="s">
        <v>90</v>
      </c>
      <c r="R67" s="7" t="s">
        <v>62</v>
      </c>
      <c r="S67" s="7" t="s">
        <v>109</v>
      </c>
      <c r="T67" s="7" t="s">
        <v>1365</v>
      </c>
      <c r="U67" s="7" t="s">
        <v>109</v>
      </c>
      <c r="V67" s="7" t="s">
        <v>109</v>
      </c>
      <c r="W67" s="7" t="s">
        <v>109</v>
      </c>
    </row>
    <row r="68" spans="1:23" x14ac:dyDescent="0.3">
      <c r="A68" s="7">
        <v>67</v>
      </c>
      <c r="B68" s="7" t="s">
        <v>23</v>
      </c>
      <c r="C68" s="7" t="s">
        <v>1368</v>
      </c>
      <c r="D68" s="7">
        <v>50126340</v>
      </c>
      <c r="E68" s="7">
        <v>50</v>
      </c>
      <c r="F68" s="7">
        <v>82</v>
      </c>
      <c r="G68" s="7">
        <v>6</v>
      </c>
      <c r="H68" s="7" t="s">
        <v>65</v>
      </c>
      <c r="I68" s="77" t="s">
        <v>109</v>
      </c>
      <c r="J68" s="7" t="s">
        <v>130</v>
      </c>
      <c r="K68" s="7" t="s">
        <v>109</v>
      </c>
      <c r="L68" s="11">
        <v>0.9590277777777777</v>
      </c>
      <c r="M68" s="7" t="s">
        <v>109</v>
      </c>
      <c r="N68" s="7" t="s">
        <v>109</v>
      </c>
      <c r="O68" s="7" t="s">
        <v>61</v>
      </c>
      <c r="P68" s="7" t="s">
        <v>131</v>
      </c>
      <c r="Q68" s="7" t="s">
        <v>65</v>
      </c>
      <c r="R68" s="7" t="s">
        <v>62</v>
      </c>
      <c r="S68" s="7" t="s">
        <v>109</v>
      </c>
      <c r="T68" s="7" t="s">
        <v>1365</v>
      </c>
      <c r="U68" s="7" t="s">
        <v>109</v>
      </c>
      <c r="V68" s="7" t="s">
        <v>109</v>
      </c>
      <c r="W68" s="7" t="s">
        <v>109</v>
      </c>
    </row>
    <row r="69" spans="1:23" x14ac:dyDescent="0.3">
      <c r="A69" s="7">
        <v>68</v>
      </c>
      <c r="B69" s="7" t="s">
        <v>23</v>
      </c>
      <c r="C69" s="7" t="s">
        <v>1369</v>
      </c>
      <c r="D69" s="7">
        <v>50126339</v>
      </c>
      <c r="E69" s="7">
        <v>100</v>
      </c>
      <c r="F69" s="7">
        <v>107</v>
      </c>
      <c r="G69" s="7">
        <v>48</v>
      </c>
      <c r="H69" s="7" t="s">
        <v>241</v>
      </c>
      <c r="I69" s="77" t="s">
        <v>109</v>
      </c>
      <c r="J69" s="7" t="s">
        <v>130</v>
      </c>
      <c r="K69" s="7" t="s">
        <v>109</v>
      </c>
      <c r="L69" s="11">
        <v>0.9604166666666667</v>
      </c>
      <c r="M69" s="7" t="s">
        <v>109</v>
      </c>
      <c r="N69" s="7" t="s">
        <v>109</v>
      </c>
      <c r="O69" s="7" t="s">
        <v>61</v>
      </c>
      <c r="P69" s="7" t="s">
        <v>131</v>
      </c>
      <c r="Q69" s="7" t="s">
        <v>241</v>
      </c>
      <c r="R69" s="7" t="s">
        <v>62</v>
      </c>
      <c r="S69" s="7" t="s">
        <v>109</v>
      </c>
      <c r="T69" s="7" t="s">
        <v>1365</v>
      </c>
      <c r="U69" s="7" t="s">
        <v>109</v>
      </c>
      <c r="V69" s="7" t="s">
        <v>109</v>
      </c>
      <c r="W69" s="7" t="s">
        <v>109</v>
      </c>
    </row>
    <row r="70" spans="1:23" x14ac:dyDescent="0.3">
      <c r="A70" s="7">
        <v>69</v>
      </c>
      <c r="B70" s="7" t="s">
        <v>23</v>
      </c>
      <c r="C70" s="7" t="s">
        <v>1370</v>
      </c>
      <c r="D70" s="7">
        <v>50126342</v>
      </c>
      <c r="E70" s="7">
        <v>40</v>
      </c>
      <c r="F70" s="7">
        <v>60</v>
      </c>
      <c r="G70" s="7">
        <v>22</v>
      </c>
      <c r="H70" s="7" t="s">
        <v>200</v>
      </c>
      <c r="I70" s="77" t="s">
        <v>109</v>
      </c>
      <c r="J70" s="7" t="s">
        <v>130</v>
      </c>
      <c r="K70" s="7" t="s">
        <v>109</v>
      </c>
      <c r="L70" s="11">
        <v>0.96597222222222223</v>
      </c>
      <c r="M70" s="7" t="s">
        <v>109</v>
      </c>
      <c r="N70" s="7" t="s">
        <v>109</v>
      </c>
      <c r="O70" s="7" t="s">
        <v>61</v>
      </c>
      <c r="P70" s="7" t="s">
        <v>131</v>
      </c>
      <c r="Q70" s="7" t="s">
        <v>200</v>
      </c>
      <c r="R70" s="7" t="s">
        <v>62</v>
      </c>
      <c r="S70" s="7" t="s">
        <v>109</v>
      </c>
      <c r="T70" s="7" t="s">
        <v>1365</v>
      </c>
      <c r="U70" s="7" t="s">
        <v>109</v>
      </c>
      <c r="V70" s="7" t="s">
        <v>109</v>
      </c>
      <c r="W70" s="7" t="s">
        <v>109</v>
      </c>
    </row>
    <row r="71" spans="1:23" x14ac:dyDescent="0.3">
      <c r="A71" s="7">
        <v>70</v>
      </c>
      <c r="B71" s="7" t="s">
        <v>23</v>
      </c>
      <c r="C71" s="7" t="s">
        <v>1371</v>
      </c>
      <c r="D71" s="7">
        <v>50126338</v>
      </c>
      <c r="E71" s="7">
        <v>200</v>
      </c>
      <c r="F71" s="7">
        <v>201</v>
      </c>
      <c r="G71" s="7">
        <v>64</v>
      </c>
      <c r="H71" s="28" t="s">
        <v>232</v>
      </c>
      <c r="I71" s="77" t="s">
        <v>109</v>
      </c>
      <c r="J71" s="7" t="s">
        <v>130</v>
      </c>
      <c r="K71" s="7" t="s">
        <v>109</v>
      </c>
      <c r="L71" s="11">
        <v>0.88611111111111107</v>
      </c>
      <c r="M71" s="7" t="s">
        <v>109</v>
      </c>
      <c r="N71" s="7" t="s">
        <v>109</v>
      </c>
      <c r="O71" s="7" t="s">
        <v>61</v>
      </c>
      <c r="P71" s="7" t="s">
        <v>131</v>
      </c>
      <c r="Q71" s="7" t="s">
        <v>241</v>
      </c>
      <c r="R71" s="7" t="s">
        <v>62</v>
      </c>
      <c r="S71" s="7" t="s">
        <v>109</v>
      </c>
      <c r="T71" s="7" t="s">
        <v>1365</v>
      </c>
      <c r="U71" s="7" t="s">
        <v>109</v>
      </c>
      <c r="V71" s="7" t="s">
        <v>109</v>
      </c>
      <c r="W71" s="7" t="s">
        <v>109</v>
      </c>
    </row>
    <row r="72" spans="1:23" x14ac:dyDescent="0.3">
      <c r="A72" s="7">
        <v>71</v>
      </c>
      <c r="B72" s="7" t="s">
        <v>23</v>
      </c>
      <c r="C72" s="7" t="s">
        <v>1372</v>
      </c>
      <c r="D72" s="7">
        <v>50126337</v>
      </c>
      <c r="E72" s="7">
        <v>150</v>
      </c>
      <c r="F72" s="7">
        <v>337</v>
      </c>
      <c r="G72" s="7">
        <v>73</v>
      </c>
      <c r="H72" s="28" t="s">
        <v>73</v>
      </c>
      <c r="I72" s="77" t="s">
        <v>109</v>
      </c>
      <c r="J72" s="7" t="s">
        <v>130</v>
      </c>
      <c r="K72" s="7" t="s">
        <v>109</v>
      </c>
      <c r="L72" s="11">
        <v>0.81388888888888899</v>
      </c>
      <c r="M72" s="7" t="s">
        <v>109</v>
      </c>
      <c r="N72" s="7" t="s">
        <v>109</v>
      </c>
      <c r="O72" s="7" t="s">
        <v>61</v>
      </c>
      <c r="P72" s="7" t="s">
        <v>131</v>
      </c>
      <c r="Q72" s="7" t="s">
        <v>68</v>
      </c>
      <c r="R72" s="7" t="s">
        <v>62</v>
      </c>
      <c r="S72" s="7" t="s">
        <v>109</v>
      </c>
      <c r="T72" s="7" t="s">
        <v>115</v>
      </c>
      <c r="U72" s="7" t="s">
        <v>109</v>
      </c>
      <c r="V72" s="7" t="s">
        <v>109</v>
      </c>
      <c r="W72" s="7" t="s">
        <v>109</v>
      </c>
    </row>
    <row r="73" spans="1:23" x14ac:dyDescent="0.3">
      <c r="A73" s="7">
        <v>72</v>
      </c>
      <c r="B73" s="7" t="s">
        <v>23</v>
      </c>
      <c r="C73" s="7" t="s">
        <v>220</v>
      </c>
      <c r="D73" s="7">
        <v>51225068</v>
      </c>
      <c r="E73" s="7">
        <v>40</v>
      </c>
      <c r="F73" s="7">
        <v>7</v>
      </c>
      <c r="G73" s="7">
        <v>5</v>
      </c>
      <c r="H73" s="7" t="s">
        <v>274</v>
      </c>
      <c r="I73" s="77" t="s">
        <v>109</v>
      </c>
      <c r="J73" s="7" t="s">
        <v>130</v>
      </c>
      <c r="K73" s="7" t="s">
        <v>109</v>
      </c>
      <c r="L73" s="11">
        <v>0.91180555555555554</v>
      </c>
      <c r="M73" s="7" t="s">
        <v>109</v>
      </c>
      <c r="N73" s="7" t="s">
        <v>109</v>
      </c>
      <c r="O73" s="7" t="s">
        <v>61</v>
      </c>
      <c r="P73" s="7" t="s">
        <v>131</v>
      </c>
      <c r="Q73" s="7" t="s">
        <v>274</v>
      </c>
      <c r="R73" s="7" t="s">
        <v>62</v>
      </c>
      <c r="S73" s="7" t="s">
        <v>109</v>
      </c>
      <c r="T73" s="7" t="s">
        <v>218</v>
      </c>
      <c r="U73" s="7" t="s">
        <v>109</v>
      </c>
      <c r="V73" s="7" t="s">
        <v>109</v>
      </c>
      <c r="W73" s="7" t="s">
        <v>109</v>
      </c>
    </row>
  </sheetData>
  <conditionalFormatting sqref="D1">
    <cfRule type="duplicateValues" dxfId="99" priority="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F954E-8915-4CF0-B6F0-E134DA2B83C0}">
  <sheetPr codeName="Sheet15"/>
  <dimension ref="A1:V51"/>
  <sheetViews>
    <sheetView workbookViewId="0">
      <pane ySplit="1" topLeftCell="A2" activePane="bottomLeft" state="frozen"/>
      <selection pane="bottomLeft"/>
    </sheetView>
  </sheetViews>
  <sheetFormatPr defaultRowHeight="14.4" x14ac:dyDescent="0.3"/>
  <cols>
    <col min="1" max="1" width="3.109375" bestFit="1" customWidth="1"/>
    <col min="2" max="2" width="8.6640625" bestFit="1" customWidth="1"/>
    <col min="3" max="3" width="14.5546875" bestFit="1" customWidth="1"/>
    <col min="4" max="4" width="10.44140625" bestFit="1" customWidth="1"/>
    <col min="5" max="5" width="13.88671875" bestFit="1" customWidth="1"/>
    <col min="6" max="6" width="15.109375" bestFit="1" customWidth="1"/>
    <col min="7" max="7" width="8.5546875" bestFit="1" customWidth="1"/>
    <col min="8" max="8" width="7.33203125" bestFit="1" customWidth="1"/>
    <col min="9" max="9" width="15.88671875" bestFit="1" customWidth="1"/>
    <col min="10" max="10" width="6.21875" bestFit="1" customWidth="1"/>
    <col min="11" max="12" width="15.88671875" bestFit="1" customWidth="1"/>
    <col min="13" max="13" width="3.88671875" bestFit="1" customWidth="1"/>
    <col min="14" max="14" width="8.21875" bestFit="1" customWidth="1"/>
    <col min="15" max="15" width="6.77734375" bestFit="1" customWidth="1"/>
    <col min="16" max="16" width="14.33203125" bestFit="1" customWidth="1"/>
    <col min="17" max="17" width="11.77734375" bestFit="1" customWidth="1"/>
    <col min="18" max="18" width="14.33203125" bestFit="1" customWidth="1"/>
    <col min="19" max="19" width="15.88671875" bestFit="1" customWidth="1"/>
    <col min="20" max="20" width="5.77734375" bestFit="1" customWidth="1"/>
    <col min="21" max="21" width="37.44140625" bestFit="1" customWidth="1"/>
    <col min="22" max="22" width="10.109375" bestFit="1" customWidth="1"/>
  </cols>
  <sheetData>
    <row r="1" spans="1:22" x14ac:dyDescent="0.3">
      <c r="A1" s="22" t="s">
        <v>0</v>
      </c>
      <c r="B1" s="22" t="s">
        <v>1</v>
      </c>
      <c r="C1" s="22" t="s">
        <v>2</v>
      </c>
      <c r="D1" s="22" t="s">
        <v>3</v>
      </c>
      <c r="E1" s="22" t="s">
        <v>4</v>
      </c>
      <c r="F1" s="22" t="s">
        <v>5</v>
      </c>
      <c r="G1" s="22" t="s">
        <v>6</v>
      </c>
      <c r="H1" s="22" t="s">
        <v>7</v>
      </c>
      <c r="I1" s="22" t="s">
        <v>8</v>
      </c>
      <c r="J1" s="22" t="s">
        <v>9</v>
      </c>
      <c r="K1" s="23" t="s">
        <v>10</v>
      </c>
      <c r="L1" s="23" t="s">
        <v>11</v>
      </c>
      <c r="M1" s="24" t="s">
        <v>12</v>
      </c>
      <c r="N1" s="25" t="s">
        <v>13</v>
      </c>
      <c r="O1" s="22" t="s">
        <v>14</v>
      </c>
      <c r="P1" s="22" t="s">
        <v>15</v>
      </c>
      <c r="Q1" s="22" t="s">
        <v>16</v>
      </c>
      <c r="R1" s="22" t="s">
        <v>17</v>
      </c>
      <c r="S1" s="22" t="s">
        <v>18</v>
      </c>
      <c r="T1" s="22" t="s">
        <v>19</v>
      </c>
      <c r="U1" s="22" t="s">
        <v>20</v>
      </c>
      <c r="V1" s="22" t="s">
        <v>21</v>
      </c>
    </row>
    <row r="2" spans="1:22" x14ac:dyDescent="0.3">
      <c r="A2" s="7">
        <v>1</v>
      </c>
      <c r="B2" s="7" t="s">
        <v>23</v>
      </c>
      <c r="C2" s="7" t="s">
        <v>39</v>
      </c>
      <c r="D2" s="7">
        <v>51225109</v>
      </c>
      <c r="E2" s="7">
        <v>150</v>
      </c>
      <c r="F2" s="7">
        <v>166</v>
      </c>
      <c r="G2" s="7">
        <v>34</v>
      </c>
      <c r="H2" s="7" t="s">
        <v>1174</v>
      </c>
      <c r="I2" s="7" t="s">
        <v>109</v>
      </c>
      <c r="J2" s="7" t="s">
        <v>130</v>
      </c>
      <c r="K2" s="46">
        <v>0.95972222222222225</v>
      </c>
      <c r="L2" s="46">
        <v>0.99305555555555558</v>
      </c>
      <c r="M2" s="7" t="s">
        <v>109</v>
      </c>
      <c r="N2" s="7" t="s">
        <v>109</v>
      </c>
      <c r="O2" s="7" t="s">
        <v>61</v>
      </c>
      <c r="P2" s="7" t="s">
        <v>131</v>
      </c>
      <c r="Q2" s="7" t="s">
        <v>154</v>
      </c>
      <c r="R2" s="7" t="s">
        <v>62</v>
      </c>
      <c r="S2" s="7" t="s">
        <v>512</v>
      </c>
      <c r="T2" s="7" t="s">
        <v>112</v>
      </c>
      <c r="U2" s="7" t="s">
        <v>109</v>
      </c>
      <c r="V2" s="7" t="s">
        <v>109</v>
      </c>
    </row>
    <row r="3" spans="1:22" x14ac:dyDescent="0.3">
      <c r="A3" s="7">
        <v>2</v>
      </c>
      <c r="B3" s="7" t="s">
        <v>23</v>
      </c>
      <c r="C3" s="7" t="s">
        <v>749</v>
      </c>
      <c r="D3" s="7">
        <v>51225108</v>
      </c>
      <c r="E3" s="7">
        <v>300</v>
      </c>
      <c r="F3" s="7">
        <v>157</v>
      </c>
      <c r="G3" s="7">
        <v>74</v>
      </c>
      <c r="H3" s="7" t="s">
        <v>1373</v>
      </c>
      <c r="I3" s="7" t="s">
        <v>109</v>
      </c>
      <c r="J3" s="7" t="s">
        <v>130</v>
      </c>
      <c r="K3" s="46">
        <v>0.89722222222222225</v>
      </c>
      <c r="L3" s="7" t="s">
        <v>109</v>
      </c>
      <c r="M3" s="7" t="s">
        <v>109</v>
      </c>
      <c r="N3" s="7" t="s">
        <v>109</v>
      </c>
      <c r="O3" s="7" t="s">
        <v>61</v>
      </c>
      <c r="P3" s="7" t="s">
        <v>131</v>
      </c>
      <c r="Q3" s="7" t="s">
        <v>1404</v>
      </c>
      <c r="R3" s="7" t="s">
        <v>62</v>
      </c>
      <c r="S3" s="7" t="s">
        <v>512</v>
      </c>
      <c r="T3" s="7" t="s">
        <v>112</v>
      </c>
      <c r="U3" s="7" t="s">
        <v>109</v>
      </c>
      <c r="V3" s="7" t="s">
        <v>109</v>
      </c>
    </row>
    <row r="4" spans="1:22" x14ac:dyDescent="0.3">
      <c r="A4" s="7">
        <v>3</v>
      </c>
      <c r="B4" s="7" t="s">
        <v>23</v>
      </c>
      <c r="C4" s="7" t="s">
        <v>1366</v>
      </c>
      <c r="D4" s="7">
        <v>50126343</v>
      </c>
      <c r="E4" s="7">
        <v>1000</v>
      </c>
      <c r="F4" s="7">
        <v>2490</v>
      </c>
      <c r="G4" s="7">
        <v>605</v>
      </c>
      <c r="H4" s="7" t="s">
        <v>1403</v>
      </c>
      <c r="I4" s="7" t="s">
        <v>109</v>
      </c>
      <c r="J4" s="7" t="s">
        <v>130</v>
      </c>
      <c r="K4" s="46">
        <v>0.87222222222222223</v>
      </c>
      <c r="L4" s="7" t="s">
        <v>109</v>
      </c>
      <c r="M4" s="7" t="s">
        <v>109</v>
      </c>
      <c r="N4" s="7" t="s">
        <v>110</v>
      </c>
      <c r="O4" s="7" t="s">
        <v>61</v>
      </c>
      <c r="P4" s="7" t="s">
        <v>131</v>
      </c>
      <c r="Q4" s="7" t="s">
        <v>200</v>
      </c>
      <c r="R4" s="7" t="s">
        <v>62</v>
      </c>
      <c r="S4" s="7" t="s">
        <v>512</v>
      </c>
      <c r="T4" s="7" t="s">
        <v>1365</v>
      </c>
      <c r="U4" s="7" t="s">
        <v>109</v>
      </c>
      <c r="V4" s="7" t="s">
        <v>109</v>
      </c>
    </row>
    <row r="5" spans="1:22" x14ac:dyDescent="0.3">
      <c r="A5" s="7">
        <v>4</v>
      </c>
      <c r="B5" s="7" t="s">
        <v>23</v>
      </c>
      <c r="C5" s="7" t="s">
        <v>1369</v>
      </c>
      <c r="D5" s="7">
        <v>50126339</v>
      </c>
      <c r="E5" s="7">
        <v>35</v>
      </c>
      <c r="F5" s="7">
        <v>22</v>
      </c>
      <c r="G5" s="7">
        <v>1</v>
      </c>
      <c r="H5" s="7" t="s">
        <v>241</v>
      </c>
      <c r="I5" s="7" t="s">
        <v>109</v>
      </c>
      <c r="J5" s="7" t="s">
        <v>130</v>
      </c>
      <c r="K5" s="46">
        <v>0.78402777777777777</v>
      </c>
      <c r="L5" s="7" t="s">
        <v>109</v>
      </c>
      <c r="M5" s="7" t="s">
        <v>109</v>
      </c>
      <c r="N5" s="7" t="s">
        <v>109</v>
      </c>
      <c r="O5" s="7" t="s">
        <v>61</v>
      </c>
      <c r="P5" s="7" t="s">
        <v>131</v>
      </c>
      <c r="Q5" s="7" t="s">
        <v>241</v>
      </c>
      <c r="R5" s="7" t="s">
        <v>62</v>
      </c>
      <c r="S5" s="7" t="s">
        <v>512</v>
      </c>
      <c r="T5" s="7" t="s">
        <v>1365</v>
      </c>
      <c r="U5" s="7" t="s">
        <v>109</v>
      </c>
      <c r="V5" s="7" t="s">
        <v>109</v>
      </c>
    </row>
    <row r="6" spans="1:22" x14ac:dyDescent="0.3">
      <c r="A6" s="7">
        <v>5</v>
      </c>
      <c r="B6" s="7" t="s">
        <v>23</v>
      </c>
      <c r="C6" s="7" t="s">
        <v>1371</v>
      </c>
      <c r="D6" s="7">
        <v>50126338</v>
      </c>
      <c r="E6" s="7">
        <v>150</v>
      </c>
      <c r="F6" s="7">
        <v>80</v>
      </c>
      <c r="G6" s="7">
        <v>0</v>
      </c>
      <c r="H6" s="7" t="s">
        <v>1374</v>
      </c>
      <c r="I6" s="7" t="s">
        <v>109</v>
      </c>
      <c r="J6" s="7" t="s">
        <v>130</v>
      </c>
      <c r="K6" s="46">
        <v>0.99861111111111112</v>
      </c>
      <c r="L6" s="7" t="s">
        <v>109</v>
      </c>
      <c r="M6" s="7" t="s">
        <v>109</v>
      </c>
      <c r="N6" s="7" t="s">
        <v>109</v>
      </c>
      <c r="O6" s="7" t="s">
        <v>61</v>
      </c>
      <c r="P6" s="7" t="s">
        <v>131</v>
      </c>
      <c r="Q6" s="7" t="s">
        <v>64</v>
      </c>
      <c r="R6" s="7" t="s">
        <v>62</v>
      </c>
      <c r="S6" s="7" t="s">
        <v>512</v>
      </c>
      <c r="T6" s="7" t="s">
        <v>1365</v>
      </c>
      <c r="U6" s="7" t="s">
        <v>109</v>
      </c>
      <c r="V6" s="7" t="s">
        <v>109</v>
      </c>
    </row>
    <row r="7" spans="1:22" x14ac:dyDescent="0.3">
      <c r="A7" s="7">
        <v>6</v>
      </c>
      <c r="B7" s="7" t="s">
        <v>23</v>
      </c>
      <c r="C7" s="7" t="s">
        <v>1372</v>
      </c>
      <c r="D7" s="7">
        <v>50126337</v>
      </c>
      <c r="E7" s="7">
        <v>60</v>
      </c>
      <c r="F7" s="7">
        <v>103</v>
      </c>
      <c r="G7" s="7">
        <v>12</v>
      </c>
      <c r="H7" s="7" t="s">
        <v>68</v>
      </c>
      <c r="I7" s="7" t="s">
        <v>109</v>
      </c>
      <c r="J7" s="7" t="s">
        <v>130</v>
      </c>
      <c r="K7" s="46">
        <v>0.96736111111111112</v>
      </c>
      <c r="L7" s="7" t="s">
        <v>109</v>
      </c>
      <c r="M7" s="7" t="s">
        <v>109</v>
      </c>
      <c r="N7" s="7" t="s">
        <v>109</v>
      </c>
      <c r="O7" s="7" t="s">
        <v>61</v>
      </c>
      <c r="P7" s="7" t="s">
        <v>131</v>
      </c>
      <c r="Q7" s="7" t="s">
        <v>68</v>
      </c>
      <c r="R7" s="7" t="s">
        <v>62</v>
      </c>
      <c r="S7" s="7" t="s">
        <v>512</v>
      </c>
      <c r="T7" s="7" t="s">
        <v>115</v>
      </c>
      <c r="U7" s="7" t="s">
        <v>109</v>
      </c>
      <c r="V7" s="7" t="s">
        <v>109</v>
      </c>
    </row>
    <row r="8" spans="1:22" x14ac:dyDescent="0.3">
      <c r="A8" s="7">
        <v>7</v>
      </c>
      <c r="B8" s="7" t="s">
        <v>23</v>
      </c>
      <c r="C8" s="7" t="s">
        <v>1375</v>
      </c>
      <c r="D8" s="7">
        <v>50126345</v>
      </c>
      <c r="E8" s="7">
        <v>200</v>
      </c>
      <c r="F8" s="7">
        <v>282</v>
      </c>
      <c r="G8" s="7">
        <v>203</v>
      </c>
      <c r="H8" s="7" t="s">
        <v>1376</v>
      </c>
      <c r="I8" s="7" t="s">
        <v>109</v>
      </c>
      <c r="J8" s="7" t="s">
        <v>130</v>
      </c>
      <c r="K8" s="46">
        <v>0.95138888888888884</v>
      </c>
      <c r="L8" s="7" t="s">
        <v>109</v>
      </c>
      <c r="M8" s="7" t="s">
        <v>109</v>
      </c>
      <c r="N8" s="7" t="s">
        <v>109</v>
      </c>
      <c r="O8" s="7" t="s">
        <v>61</v>
      </c>
      <c r="P8" s="7" t="s">
        <v>131</v>
      </c>
      <c r="Q8" s="7" t="s">
        <v>82</v>
      </c>
      <c r="R8" s="7" t="s">
        <v>62</v>
      </c>
      <c r="S8" s="7" t="s">
        <v>512</v>
      </c>
      <c r="T8" s="7" t="s">
        <v>1377</v>
      </c>
      <c r="U8" s="7" t="s">
        <v>109</v>
      </c>
      <c r="V8" s="7" t="s">
        <v>109</v>
      </c>
    </row>
    <row r="9" spans="1:22" x14ac:dyDescent="0.3">
      <c r="A9" s="7">
        <v>8</v>
      </c>
      <c r="B9" s="7" t="s">
        <v>23</v>
      </c>
      <c r="C9" s="7" t="s">
        <v>1378</v>
      </c>
      <c r="D9" s="7">
        <v>50126346</v>
      </c>
      <c r="E9" s="7">
        <v>75</v>
      </c>
      <c r="F9" s="7">
        <v>146</v>
      </c>
      <c r="G9" s="7">
        <v>65</v>
      </c>
      <c r="H9" s="7" t="s">
        <v>196</v>
      </c>
      <c r="I9" s="7" t="s">
        <v>109</v>
      </c>
      <c r="J9" s="7" t="s">
        <v>130</v>
      </c>
      <c r="K9" s="46">
        <v>0.72569444444444442</v>
      </c>
      <c r="L9" s="7" t="s">
        <v>109</v>
      </c>
      <c r="M9" s="7" t="s">
        <v>109</v>
      </c>
      <c r="N9" s="7" t="s">
        <v>109</v>
      </c>
      <c r="O9" s="7" t="s">
        <v>61</v>
      </c>
      <c r="P9" s="7" t="s">
        <v>131</v>
      </c>
      <c r="Q9" s="7" t="s">
        <v>1404</v>
      </c>
      <c r="R9" s="7" t="s">
        <v>62</v>
      </c>
      <c r="S9" s="7" t="s">
        <v>512</v>
      </c>
      <c r="T9" s="7" t="s">
        <v>223</v>
      </c>
      <c r="U9" s="7" t="s">
        <v>109</v>
      </c>
      <c r="V9" s="7" t="s">
        <v>109</v>
      </c>
    </row>
    <row r="10" spans="1:22" x14ac:dyDescent="0.3">
      <c r="A10" s="7">
        <v>9</v>
      </c>
      <c r="B10" s="7" t="s">
        <v>23</v>
      </c>
      <c r="C10" s="7" t="s">
        <v>982</v>
      </c>
      <c r="D10" s="7">
        <v>50126277</v>
      </c>
      <c r="E10" s="7">
        <v>150</v>
      </c>
      <c r="F10" s="7">
        <v>285</v>
      </c>
      <c r="G10" s="7">
        <v>140</v>
      </c>
      <c r="H10" s="7" t="s">
        <v>386</v>
      </c>
      <c r="I10" s="7" t="s">
        <v>109</v>
      </c>
      <c r="J10" s="7" t="s">
        <v>130</v>
      </c>
      <c r="K10" s="46">
        <v>0.91388888888888886</v>
      </c>
      <c r="L10" s="7" t="s">
        <v>109</v>
      </c>
      <c r="M10" s="7" t="s">
        <v>109</v>
      </c>
      <c r="N10" s="7" t="s">
        <v>109</v>
      </c>
      <c r="O10" s="7" t="s">
        <v>61</v>
      </c>
      <c r="P10" s="7" t="s">
        <v>131</v>
      </c>
      <c r="Q10" s="7" t="s">
        <v>82</v>
      </c>
      <c r="R10" s="7" t="s">
        <v>62</v>
      </c>
      <c r="S10" s="7" t="s">
        <v>512</v>
      </c>
      <c r="T10" s="7" t="s">
        <v>334</v>
      </c>
      <c r="U10" s="7" t="s">
        <v>109</v>
      </c>
      <c r="V10" s="7" t="s">
        <v>109</v>
      </c>
    </row>
    <row r="11" spans="1:22" x14ac:dyDescent="0.3">
      <c r="A11" s="7">
        <v>10</v>
      </c>
      <c r="B11" s="7" t="s">
        <v>23</v>
      </c>
      <c r="C11" s="7" t="s">
        <v>985</v>
      </c>
      <c r="D11" s="7">
        <v>50126273</v>
      </c>
      <c r="E11" s="7">
        <v>200</v>
      </c>
      <c r="F11" s="7">
        <v>284</v>
      </c>
      <c r="G11" s="7">
        <v>206</v>
      </c>
      <c r="H11" s="7" t="s">
        <v>1196</v>
      </c>
      <c r="I11" s="7" t="s">
        <v>109</v>
      </c>
      <c r="J11" s="7" t="s">
        <v>130</v>
      </c>
      <c r="K11" s="46">
        <v>0.96527777777777779</v>
      </c>
      <c r="L11" s="7" t="s">
        <v>109</v>
      </c>
      <c r="M11" s="7" t="s">
        <v>109</v>
      </c>
      <c r="N11" s="7" t="s">
        <v>109</v>
      </c>
      <c r="O11" s="7" t="s">
        <v>61</v>
      </c>
      <c r="P11" s="7" t="s">
        <v>131</v>
      </c>
      <c r="Q11" s="7" t="s">
        <v>200</v>
      </c>
      <c r="R11" s="7" t="s">
        <v>62</v>
      </c>
      <c r="S11" s="7" t="s">
        <v>512</v>
      </c>
      <c r="T11" s="7" t="s">
        <v>334</v>
      </c>
      <c r="U11" s="7" t="s">
        <v>109</v>
      </c>
      <c r="V11" s="7" t="s">
        <v>109</v>
      </c>
    </row>
    <row r="12" spans="1:22" x14ac:dyDescent="0.3">
      <c r="A12" s="7">
        <v>11</v>
      </c>
      <c r="B12" s="7" t="s">
        <v>23</v>
      </c>
      <c r="C12" s="7" t="s">
        <v>686</v>
      </c>
      <c r="D12" s="7">
        <v>50126137</v>
      </c>
      <c r="E12" s="7">
        <v>100</v>
      </c>
      <c r="F12" s="7">
        <v>142</v>
      </c>
      <c r="G12" s="7">
        <v>97</v>
      </c>
      <c r="H12" s="7" t="s">
        <v>72</v>
      </c>
      <c r="I12" s="7" t="s">
        <v>109</v>
      </c>
      <c r="J12" s="7" t="s">
        <v>130</v>
      </c>
      <c r="K12" s="46">
        <v>1.8055555555555554E-2</v>
      </c>
      <c r="L12" s="7" t="s">
        <v>109</v>
      </c>
      <c r="M12" s="7" t="s">
        <v>109</v>
      </c>
      <c r="N12" s="7" t="s">
        <v>109</v>
      </c>
      <c r="O12" s="7" t="s">
        <v>61</v>
      </c>
      <c r="P12" s="7" t="s">
        <v>131</v>
      </c>
      <c r="Q12" s="7" t="s">
        <v>72</v>
      </c>
      <c r="R12" s="7" t="s">
        <v>62</v>
      </c>
      <c r="S12" s="7" t="s">
        <v>512</v>
      </c>
      <c r="T12" s="7" t="s">
        <v>688</v>
      </c>
      <c r="U12" s="7" t="s">
        <v>109</v>
      </c>
      <c r="V12" s="7" t="s">
        <v>109</v>
      </c>
    </row>
    <row r="13" spans="1:22" x14ac:dyDescent="0.3">
      <c r="A13" s="7">
        <v>12</v>
      </c>
      <c r="B13" s="7" t="s">
        <v>23</v>
      </c>
      <c r="C13" s="7" t="s">
        <v>849</v>
      </c>
      <c r="D13" s="7">
        <v>50126213</v>
      </c>
      <c r="E13" s="7">
        <v>700</v>
      </c>
      <c r="F13" s="7">
        <v>1047</v>
      </c>
      <c r="G13" s="7">
        <v>698</v>
      </c>
      <c r="H13" s="7" t="s">
        <v>1379</v>
      </c>
      <c r="I13" s="7" t="s">
        <v>109</v>
      </c>
      <c r="J13" s="7" t="s">
        <v>130</v>
      </c>
      <c r="K13" s="46">
        <v>0.97777777777777775</v>
      </c>
      <c r="L13" s="7" t="s">
        <v>109</v>
      </c>
      <c r="M13" s="7" t="s">
        <v>109</v>
      </c>
      <c r="N13" s="7" t="s">
        <v>110</v>
      </c>
      <c r="O13" s="7" t="s">
        <v>61</v>
      </c>
      <c r="P13" s="7" t="s">
        <v>131</v>
      </c>
      <c r="Q13" s="7" t="s">
        <v>222</v>
      </c>
      <c r="R13" s="7" t="s">
        <v>62</v>
      </c>
      <c r="S13" s="7" t="s">
        <v>512</v>
      </c>
      <c r="T13" s="7" t="s">
        <v>424</v>
      </c>
      <c r="U13" s="7" t="s">
        <v>109</v>
      </c>
      <c r="V13" s="7" t="s">
        <v>109</v>
      </c>
    </row>
    <row r="14" spans="1:22" x14ac:dyDescent="0.3">
      <c r="A14" s="7">
        <v>13</v>
      </c>
      <c r="B14" s="7" t="s">
        <v>23</v>
      </c>
      <c r="C14" s="7" t="s">
        <v>940</v>
      </c>
      <c r="D14" s="7">
        <v>50126249</v>
      </c>
      <c r="E14" s="7">
        <v>800</v>
      </c>
      <c r="F14" s="7">
        <v>1345</v>
      </c>
      <c r="G14" s="7">
        <v>771</v>
      </c>
      <c r="H14" s="7" t="s">
        <v>1380</v>
      </c>
      <c r="I14" s="7" t="s">
        <v>109</v>
      </c>
      <c r="J14" s="7" t="s">
        <v>130</v>
      </c>
      <c r="K14" s="46">
        <v>0.82152777777777775</v>
      </c>
      <c r="L14" s="7" t="s">
        <v>109</v>
      </c>
      <c r="M14" s="7" t="s">
        <v>109</v>
      </c>
      <c r="N14" s="7" t="s">
        <v>110</v>
      </c>
      <c r="O14" s="7" t="s">
        <v>61</v>
      </c>
      <c r="P14" s="7" t="s">
        <v>131</v>
      </c>
      <c r="Q14" s="7" t="s">
        <v>90</v>
      </c>
      <c r="R14" s="7" t="s">
        <v>62</v>
      </c>
      <c r="S14" s="7" t="s">
        <v>512</v>
      </c>
      <c r="T14" s="7" t="s">
        <v>424</v>
      </c>
      <c r="U14" s="7" t="s">
        <v>109</v>
      </c>
      <c r="V14" s="7" t="s">
        <v>109</v>
      </c>
    </row>
    <row r="15" spans="1:22" x14ac:dyDescent="0.3">
      <c r="A15" s="7">
        <v>14</v>
      </c>
      <c r="B15" s="7" t="s">
        <v>23</v>
      </c>
      <c r="C15" s="7" t="s">
        <v>953</v>
      </c>
      <c r="D15" s="7">
        <v>50126241</v>
      </c>
      <c r="E15" s="7">
        <v>600</v>
      </c>
      <c r="F15" s="7">
        <v>1044</v>
      </c>
      <c r="G15" s="7">
        <v>589</v>
      </c>
      <c r="H15" s="7" t="s">
        <v>1381</v>
      </c>
      <c r="I15" s="7" t="s">
        <v>109</v>
      </c>
      <c r="J15" s="7" t="s">
        <v>130</v>
      </c>
      <c r="K15" s="46">
        <v>0.71319444444444446</v>
      </c>
      <c r="L15" s="7" t="s">
        <v>109</v>
      </c>
      <c r="M15" s="7" t="s">
        <v>109</v>
      </c>
      <c r="N15" s="7" t="s">
        <v>110</v>
      </c>
      <c r="O15" s="7" t="s">
        <v>61</v>
      </c>
      <c r="P15" s="7" t="s">
        <v>131</v>
      </c>
      <c r="Q15" s="7" t="s">
        <v>86</v>
      </c>
      <c r="R15" s="7" t="s">
        <v>62</v>
      </c>
      <c r="S15" s="7" t="s">
        <v>512</v>
      </c>
      <c r="T15" s="7" t="s">
        <v>424</v>
      </c>
      <c r="U15" s="7" t="s">
        <v>109</v>
      </c>
      <c r="V15" s="7" t="s">
        <v>109</v>
      </c>
    </row>
    <row r="16" spans="1:22" x14ac:dyDescent="0.3">
      <c r="A16" s="7">
        <v>15</v>
      </c>
      <c r="B16" s="7" t="s">
        <v>23</v>
      </c>
      <c r="C16" s="7" t="s">
        <v>923</v>
      </c>
      <c r="D16" s="7">
        <v>50126259</v>
      </c>
      <c r="E16" s="7">
        <v>120</v>
      </c>
      <c r="F16" s="7">
        <v>178</v>
      </c>
      <c r="G16" s="7">
        <v>125</v>
      </c>
      <c r="H16" s="7" t="s">
        <v>1174</v>
      </c>
      <c r="I16" s="7" t="s">
        <v>109</v>
      </c>
      <c r="J16" s="7" t="s">
        <v>130</v>
      </c>
      <c r="K16" s="46">
        <v>0.8881944444444444</v>
      </c>
      <c r="L16" s="7" t="s">
        <v>109</v>
      </c>
      <c r="M16" s="7" t="s">
        <v>109</v>
      </c>
      <c r="N16" s="7" t="s">
        <v>109</v>
      </c>
      <c r="O16" s="7" t="s">
        <v>61</v>
      </c>
      <c r="P16" s="7" t="s">
        <v>131</v>
      </c>
      <c r="Q16" s="7" t="s">
        <v>241</v>
      </c>
      <c r="R16" s="7" t="s">
        <v>62</v>
      </c>
      <c r="S16" s="7" t="s">
        <v>512</v>
      </c>
      <c r="T16" s="7" t="s">
        <v>424</v>
      </c>
      <c r="U16" s="7" t="s">
        <v>109</v>
      </c>
      <c r="V16" s="7" t="s">
        <v>109</v>
      </c>
    </row>
    <row r="17" spans="1:22" x14ac:dyDescent="0.3">
      <c r="A17" s="7">
        <v>16</v>
      </c>
      <c r="B17" s="7" t="s">
        <v>23</v>
      </c>
      <c r="C17" s="7" t="s">
        <v>427</v>
      </c>
      <c r="D17" s="7">
        <v>50126022</v>
      </c>
      <c r="E17" s="7">
        <v>120</v>
      </c>
      <c r="F17" s="7">
        <v>177</v>
      </c>
      <c r="G17" s="7">
        <v>128</v>
      </c>
      <c r="H17" s="7" t="s">
        <v>339</v>
      </c>
      <c r="I17" s="7" t="s">
        <v>109</v>
      </c>
      <c r="J17" s="7" t="s">
        <v>130</v>
      </c>
      <c r="K17" s="46">
        <v>5.5555555555555558E-3</v>
      </c>
      <c r="L17" s="7" t="s">
        <v>109</v>
      </c>
      <c r="M17" s="7" t="s">
        <v>109</v>
      </c>
      <c r="N17" s="7" t="s">
        <v>109</v>
      </c>
      <c r="O17" s="7" t="s">
        <v>61</v>
      </c>
      <c r="P17" s="7" t="s">
        <v>131</v>
      </c>
      <c r="Q17" s="7" t="s">
        <v>82</v>
      </c>
      <c r="R17" s="7" t="s">
        <v>62</v>
      </c>
      <c r="S17" s="7" t="s">
        <v>512</v>
      </c>
      <c r="T17" s="7" t="s">
        <v>424</v>
      </c>
      <c r="U17" s="7" t="s">
        <v>109</v>
      </c>
      <c r="V17" s="7" t="s">
        <v>109</v>
      </c>
    </row>
    <row r="18" spans="1:22" x14ac:dyDescent="0.3">
      <c r="A18" s="7">
        <v>17</v>
      </c>
      <c r="B18" s="7" t="s">
        <v>143</v>
      </c>
      <c r="C18" s="7" t="s">
        <v>954</v>
      </c>
      <c r="D18" s="7">
        <v>11125024</v>
      </c>
      <c r="E18" s="7">
        <v>100</v>
      </c>
      <c r="F18" s="7">
        <f>94+120</f>
        <v>214</v>
      </c>
      <c r="G18" s="7">
        <f>6+40</f>
        <v>46</v>
      </c>
      <c r="H18" s="7" t="s">
        <v>1410</v>
      </c>
      <c r="I18" s="7" t="s">
        <v>89</v>
      </c>
      <c r="J18" s="7" t="s">
        <v>130</v>
      </c>
      <c r="K18" s="46">
        <v>0.99861111111111112</v>
      </c>
      <c r="L18" s="7" t="s">
        <v>109</v>
      </c>
      <c r="M18" s="7" t="s">
        <v>109</v>
      </c>
      <c r="N18" s="7" t="s">
        <v>109</v>
      </c>
      <c r="O18" s="7" t="s">
        <v>61</v>
      </c>
      <c r="P18" s="7" t="s">
        <v>131</v>
      </c>
      <c r="Q18" s="7" t="s">
        <v>89</v>
      </c>
      <c r="R18" s="7" t="s">
        <v>62</v>
      </c>
      <c r="S18" s="7" t="s">
        <v>512</v>
      </c>
      <c r="T18" s="7" t="s">
        <v>116</v>
      </c>
      <c r="U18" s="7" t="s">
        <v>109</v>
      </c>
      <c r="V18" s="7" t="s">
        <v>109</v>
      </c>
    </row>
    <row r="19" spans="1:22" x14ac:dyDescent="0.3">
      <c r="A19" s="7">
        <v>18</v>
      </c>
      <c r="B19" s="7" t="s">
        <v>143</v>
      </c>
      <c r="C19" s="7" t="s">
        <v>1327</v>
      </c>
      <c r="D19" s="7">
        <v>10126026</v>
      </c>
      <c r="E19" s="7">
        <v>125</v>
      </c>
      <c r="F19" s="7">
        <v>215</v>
      </c>
      <c r="G19" s="7">
        <v>121</v>
      </c>
      <c r="H19" s="31" t="s">
        <v>1382</v>
      </c>
      <c r="I19" s="7" t="s">
        <v>1071</v>
      </c>
      <c r="J19" s="7" t="s">
        <v>130</v>
      </c>
      <c r="K19" s="46">
        <v>0.86388888888888893</v>
      </c>
      <c r="L19" s="46">
        <v>0.90555555555555556</v>
      </c>
      <c r="M19" s="7" t="s">
        <v>109</v>
      </c>
      <c r="N19" s="7" t="s">
        <v>109</v>
      </c>
      <c r="O19" s="7" t="s">
        <v>61</v>
      </c>
      <c r="P19" s="7" t="s">
        <v>131</v>
      </c>
      <c r="Q19" s="7" t="s">
        <v>95</v>
      </c>
      <c r="R19" s="7" t="s">
        <v>62</v>
      </c>
      <c r="S19" s="7" t="s">
        <v>512</v>
      </c>
      <c r="T19" s="7" t="s">
        <v>777</v>
      </c>
      <c r="U19" s="7" t="s">
        <v>109</v>
      </c>
      <c r="V19" s="7" t="s">
        <v>109</v>
      </c>
    </row>
    <row r="20" spans="1:22" x14ac:dyDescent="0.3">
      <c r="A20" s="7">
        <v>19</v>
      </c>
      <c r="B20" s="7" t="s">
        <v>143</v>
      </c>
      <c r="C20" s="7" t="s">
        <v>1328</v>
      </c>
      <c r="D20" s="7">
        <v>10126027</v>
      </c>
      <c r="E20" s="7">
        <v>150</v>
      </c>
      <c r="F20" s="7">
        <v>333</v>
      </c>
      <c r="G20" s="7">
        <v>88</v>
      </c>
      <c r="H20" s="7" t="s">
        <v>1383</v>
      </c>
      <c r="I20" s="7" t="s">
        <v>294</v>
      </c>
      <c r="J20" s="7" t="s">
        <v>130</v>
      </c>
      <c r="K20" s="46">
        <v>0.99027777777777781</v>
      </c>
      <c r="L20" s="46">
        <v>5.5555555555555558E-3</v>
      </c>
      <c r="M20" s="7" t="s">
        <v>109</v>
      </c>
      <c r="N20" s="7" t="s">
        <v>109</v>
      </c>
      <c r="O20" s="7" t="s">
        <v>61</v>
      </c>
      <c r="P20" s="7" t="s">
        <v>131</v>
      </c>
      <c r="Q20" s="7" t="s">
        <v>88</v>
      </c>
      <c r="R20" s="7" t="s">
        <v>62</v>
      </c>
      <c r="S20" s="7" t="s">
        <v>512</v>
      </c>
      <c r="T20" s="7" t="s">
        <v>1329</v>
      </c>
      <c r="U20" s="7" t="s">
        <v>109</v>
      </c>
      <c r="V20" s="7" t="s">
        <v>109</v>
      </c>
    </row>
    <row r="21" spans="1:22" x14ac:dyDescent="0.3">
      <c r="A21" s="7">
        <v>20</v>
      </c>
      <c r="B21" s="7" t="s">
        <v>143</v>
      </c>
      <c r="C21" s="7" t="s">
        <v>1332</v>
      </c>
      <c r="D21" s="7">
        <v>10126028</v>
      </c>
      <c r="E21" s="7">
        <v>175</v>
      </c>
      <c r="F21" s="7">
        <v>265</v>
      </c>
      <c r="G21" s="7">
        <v>129</v>
      </c>
      <c r="H21" s="7" t="s">
        <v>1019</v>
      </c>
      <c r="I21" s="7" t="s">
        <v>750</v>
      </c>
      <c r="J21" s="7" t="s">
        <v>130</v>
      </c>
      <c r="K21" s="46">
        <v>0.875</v>
      </c>
      <c r="L21" s="46">
        <v>0.89930555555555558</v>
      </c>
      <c r="M21" s="7" t="s">
        <v>109</v>
      </c>
      <c r="N21" s="7" t="s">
        <v>109</v>
      </c>
      <c r="O21" s="7" t="s">
        <v>61</v>
      </c>
      <c r="P21" s="7" t="s">
        <v>131</v>
      </c>
      <c r="Q21" s="7" t="s">
        <v>87</v>
      </c>
      <c r="R21" s="7" t="s">
        <v>62</v>
      </c>
      <c r="S21" s="7" t="s">
        <v>512</v>
      </c>
      <c r="T21" s="7" t="s">
        <v>1329</v>
      </c>
      <c r="U21" s="7" t="s">
        <v>109</v>
      </c>
      <c r="V21" s="7" t="s">
        <v>109</v>
      </c>
    </row>
    <row r="22" spans="1:22" s="21" customFormat="1" x14ac:dyDescent="0.3">
      <c r="A22" s="7">
        <v>21</v>
      </c>
      <c r="B22" s="7" t="s">
        <v>143</v>
      </c>
      <c r="C22" s="7" t="s">
        <v>781</v>
      </c>
      <c r="D22" s="7">
        <v>10126009</v>
      </c>
      <c r="E22" s="7">
        <v>100</v>
      </c>
      <c r="F22" s="7">
        <v>235</v>
      </c>
      <c r="G22" s="7">
        <v>29</v>
      </c>
      <c r="H22" s="68" t="s">
        <v>386</v>
      </c>
      <c r="I22" s="7" t="s">
        <v>97</v>
      </c>
      <c r="J22" s="7" t="s">
        <v>130</v>
      </c>
      <c r="K22" s="46">
        <v>0.87083333333333335</v>
      </c>
      <c r="L22" s="46">
        <v>1.1805555555555555E-2</v>
      </c>
      <c r="M22" s="7" t="s">
        <v>109</v>
      </c>
      <c r="N22" s="7" t="s">
        <v>109</v>
      </c>
      <c r="O22" s="7" t="s">
        <v>61</v>
      </c>
      <c r="P22" s="7" t="s">
        <v>131</v>
      </c>
      <c r="Q22" s="7" t="s">
        <v>95</v>
      </c>
      <c r="R22" s="7" t="s">
        <v>62</v>
      </c>
      <c r="S22" s="7" t="s">
        <v>512</v>
      </c>
      <c r="T22" s="7" t="s">
        <v>398</v>
      </c>
      <c r="U22" s="7" t="s">
        <v>109</v>
      </c>
      <c r="V22" s="7" t="s">
        <v>109</v>
      </c>
    </row>
    <row r="23" spans="1:22" x14ac:dyDescent="0.3">
      <c r="A23" s="7">
        <v>22</v>
      </c>
      <c r="B23" s="7" t="s">
        <v>143</v>
      </c>
      <c r="C23" s="7" t="s">
        <v>1384</v>
      </c>
      <c r="D23" s="7">
        <v>10126032</v>
      </c>
      <c r="E23" s="7">
        <v>150</v>
      </c>
      <c r="F23" s="7">
        <v>213</v>
      </c>
      <c r="G23" s="7">
        <v>116</v>
      </c>
      <c r="H23" s="7" t="s">
        <v>1333</v>
      </c>
      <c r="I23" s="7" t="s">
        <v>294</v>
      </c>
      <c r="J23" s="7" t="s">
        <v>130</v>
      </c>
      <c r="K23" s="46">
        <v>0.89722222222222225</v>
      </c>
      <c r="L23" s="46">
        <v>2.6388888888888889E-2</v>
      </c>
      <c r="M23" s="7" t="s">
        <v>109</v>
      </c>
      <c r="N23" s="7" t="s">
        <v>109</v>
      </c>
      <c r="O23" s="7" t="s">
        <v>61</v>
      </c>
      <c r="P23" s="7" t="s">
        <v>131</v>
      </c>
      <c r="Q23" s="7" t="s">
        <v>605</v>
      </c>
      <c r="R23" s="7" t="s">
        <v>62</v>
      </c>
      <c r="S23" s="7" t="s">
        <v>512</v>
      </c>
      <c r="T23" s="7" t="s">
        <v>182</v>
      </c>
      <c r="U23" s="7" t="s">
        <v>109</v>
      </c>
      <c r="V23" s="7" t="s">
        <v>109</v>
      </c>
    </row>
    <row r="24" spans="1:22" x14ac:dyDescent="0.3">
      <c r="A24" s="7">
        <v>23</v>
      </c>
      <c r="B24" s="7" t="s">
        <v>143</v>
      </c>
      <c r="C24" s="7" t="s">
        <v>188</v>
      </c>
      <c r="D24" s="7">
        <v>10126001</v>
      </c>
      <c r="E24" s="7">
        <v>30</v>
      </c>
      <c r="F24" s="7">
        <v>102</v>
      </c>
      <c r="G24" s="7">
        <v>24</v>
      </c>
      <c r="H24" s="7" t="s">
        <v>222</v>
      </c>
      <c r="I24" s="7" t="s">
        <v>209</v>
      </c>
      <c r="J24" s="7" t="s">
        <v>130</v>
      </c>
      <c r="K24" s="46">
        <v>0.68263888888888891</v>
      </c>
      <c r="L24" s="46">
        <v>0.7895833333333333</v>
      </c>
      <c r="M24" s="7" t="s">
        <v>109</v>
      </c>
      <c r="N24" s="7" t="s">
        <v>109</v>
      </c>
      <c r="O24" s="7" t="s">
        <v>61</v>
      </c>
      <c r="P24" s="7" t="s">
        <v>131</v>
      </c>
      <c r="Q24" s="7" t="s">
        <v>209</v>
      </c>
      <c r="R24" s="7" t="s">
        <v>62</v>
      </c>
      <c r="S24" s="7" t="s">
        <v>512</v>
      </c>
      <c r="T24" s="7" t="s">
        <v>189</v>
      </c>
      <c r="U24" s="7" t="s">
        <v>109</v>
      </c>
      <c r="V24" s="7" t="s">
        <v>109</v>
      </c>
    </row>
    <row r="25" spans="1:22" x14ac:dyDescent="0.3">
      <c r="A25" s="7">
        <v>24</v>
      </c>
      <c r="B25" s="7" t="s">
        <v>23</v>
      </c>
      <c r="C25" s="7" t="s">
        <v>322</v>
      </c>
      <c r="D25" s="7">
        <v>50126008</v>
      </c>
      <c r="E25" s="7">
        <v>250</v>
      </c>
      <c r="F25" s="7">
        <v>311</v>
      </c>
      <c r="G25" s="7">
        <v>205</v>
      </c>
      <c r="H25" s="7" t="s">
        <v>339</v>
      </c>
      <c r="I25" s="7" t="s">
        <v>109</v>
      </c>
      <c r="J25" s="7" t="s">
        <v>130</v>
      </c>
      <c r="K25" s="46">
        <v>0.70972222222222225</v>
      </c>
      <c r="L25" s="7" t="s">
        <v>109</v>
      </c>
      <c r="M25" s="7" t="s">
        <v>109</v>
      </c>
      <c r="N25" s="7" t="s">
        <v>109</v>
      </c>
      <c r="O25" s="7" t="s">
        <v>61</v>
      </c>
      <c r="P25" s="7" t="s">
        <v>131</v>
      </c>
      <c r="Q25" s="7" t="s">
        <v>72</v>
      </c>
      <c r="R25" s="7" t="s">
        <v>62</v>
      </c>
      <c r="S25" s="7" t="s">
        <v>512</v>
      </c>
      <c r="T25" s="7" t="s">
        <v>325</v>
      </c>
      <c r="U25" s="7" t="s">
        <v>109</v>
      </c>
      <c r="V25" s="7" t="s">
        <v>109</v>
      </c>
    </row>
    <row r="26" spans="1:22" x14ac:dyDescent="0.3">
      <c r="A26" s="7">
        <v>25</v>
      </c>
      <c r="B26" s="7" t="s">
        <v>23</v>
      </c>
      <c r="C26" s="7" t="s">
        <v>1099</v>
      </c>
      <c r="D26" s="7">
        <v>50126319</v>
      </c>
      <c r="E26" s="7">
        <v>100</v>
      </c>
      <c r="F26" s="7">
        <v>177</v>
      </c>
      <c r="G26" s="7">
        <v>37</v>
      </c>
      <c r="H26" s="7" t="s">
        <v>520</v>
      </c>
      <c r="I26" s="7" t="s">
        <v>109</v>
      </c>
      <c r="J26" s="7" t="s">
        <v>130</v>
      </c>
      <c r="K26" s="46">
        <v>0.79861111111111116</v>
      </c>
      <c r="L26" s="7" t="s">
        <v>109</v>
      </c>
      <c r="M26" s="7" t="s">
        <v>109</v>
      </c>
      <c r="N26" s="7" t="s">
        <v>109</v>
      </c>
      <c r="O26" s="7" t="s">
        <v>61</v>
      </c>
      <c r="P26" s="7" t="s">
        <v>131</v>
      </c>
      <c r="Q26" s="7" t="s">
        <v>520</v>
      </c>
      <c r="R26" s="7" t="s">
        <v>62</v>
      </c>
      <c r="S26" s="7" t="s">
        <v>512</v>
      </c>
      <c r="T26" s="7" t="s">
        <v>142</v>
      </c>
      <c r="U26" s="7" t="s">
        <v>109</v>
      </c>
      <c r="V26" s="7" t="s">
        <v>109</v>
      </c>
    </row>
    <row r="27" spans="1:22" x14ac:dyDescent="0.3">
      <c r="A27" s="7">
        <v>26</v>
      </c>
      <c r="B27" s="7" t="s">
        <v>23</v>
      </c>
      <c r="C27" s="7" t="s">
        <v>479</v>
      </c>
      <c r="D27" s="7">
        <v>50126013</v>
      </c>
      <c r="E27" s="7">
        <v>100</v>
      </c>
      <c r="F27" s="7">
        <v>142</v>
      </c>
      <c r="G27" s="7">
        <v>14</v>
      </c>
      <c r="H27" s="7" t="s">
        <v>274</v>
      </c>
      <c r="I27" s="7" t="s">
        <v>109</v>
      </c>
      <c r="J27" s="7" t="s">
        <v>130</v>
      </c>
      <c r="K27" s="46">
        <v>2.8472222222222222E-2</v>
      </c>
      <c r="L27" s="7" t="s">
        <v>109</v>
      </c>
      <c r="M27" s="7" t="s">
        <v>109</v>
      </c>
      <c r="N27" s="7" t="s">
        <v>109</v>
      </c>
      <c r="O27" s="7" t="s">
        <v>61</v>
      </c>
      <c r="P27" s="7" t="s">
        <v>131</v>
      </c>
      <c r="Q27" s="7" t="s">
        <v>274</v>
      </c>
      <c r="R27" s="7" t="s">
        <v>62</v>
      </c>
      <c r="S27" s="7" t="s">
        <v>512</v>
      </c>
      <c r="T27" s="7" t="s">
        <v>480</v>
      </c>
      <c r="U27" s="7" t="s">
        <v>109</v>
      </c>
      <c r="V27" s="7" t="s">
        <v>109</v>
      </c>
    </row>
    <row r="28" spans="1:22" x14ac:dyDescent="0.3">
      <c r="A28" s="7">
        <v>27</v>
      </c>
      <c r="B28" s="7" t="s">
        <v>23</v>
      </c>
      <c r="C28" s="7" t="s">
        <v>277</v>
      </c>
      <c r="D28" s="7">
        <v>51125164</v>
      </c>
      <c r="E28" s="7">
        <v>100</v>
      </c>
      <c r="F28" s="7">
        <v>172</v>
      </c>
      <c r="G28" s="7">
        <v>61</v>
      </c>
      <c r="H28" s="7" t="s">
        <v>64</v>
      </c>
      <c r="I28" s="7" t="s">
        <v>109</v>
      </c>
      <c r="J28" s="7" t="s">
        <v>130</v>
      </c>
      <c r="K28" s="46">
        <v>0.92708333333333337</v>
      </c>
      <c r="L28" s="7" t="s">
        <v>109</v>
      </c>
      <c r="M28" s="7" t="s">
        <v>109</v>
      </c>
      <c r="N28" s="7" t="s">
        <v>109</v>
      </c>
      <c r="O28" s="7" t="s">
        <v>61</v>
      </c>
      <c r="P28" s="7" t="s">
        <v>131</v>
      </c>
      <c r="Q28" s="7" t="s">
        <v>64</v>
      </c>
      <c r="R28" s="7" t="s">
        <v>62</v>
      </c>
      <c r="S28" s="7" t="s">
        <v>512</v>
      </c>
      <c r="T28" s="7" t="s">
        <v>278</v>
      </c>
      <c r="U28" s="7" t="s">
        <v>109</v>
      </c>
      <c r="V28" s="7" t="s">
        <v>109</v>
      </c>
    </row>
    <row r="29" spans="1:22" x14ac:dyDescent="0.3">
      <c r="A29" s="7">
        <v>28</v>
      </c>
      <c r="B29" s="7" t="s">
        <v>23</v>
      </c>
      <c r="C29" s="7" t="s">
        <v>273</v>
      </c>
      <c r="D29" s="7">
        <v>51225012</v>
      </c>
      <c r="E29" s="7">
        <v>20</v>
      </c>
      <c r="F29" s="7">
        <v>40</v>
      </c>
      <c r="G29" s="7">
        <v>20</v>
      </c>
      <c r="H29" s="7" t="s">
        <v>71</v>
      </c>
      <c r="I29" s="7" t="s">
        <v>109</v>
      </c>
      <c r="J29" s="7" t="s">
        <v>130</v>
      </c>
      <c r="K29" s="46">
        <v>0.93402777777777779</v>
      </c>
      <c r="L29" s="7" t="s">
        <v>109</v>
      </c>
      <c r="M29" s="7" t="s">
        <v>109</v>
      </c>
      <c r="N29" s="7" t="s">
        <v>109</v>
      </c>
      <c r="O29" s="7" t="s">
        <v>61</v>
      </c>
      <c r="P29" s="7" t="s">
        <v>131</v>
      </c>
      <c r="Q29" s="7" t="s">
        <v>71</v>
      </c>
      <c r="R29" s="7" t="s">
        <v>62</v>
      </c>
      <c r="S29" s="7" t="s">
        <v>512</v>
      </c>
      <c r="T29" s="7" t="s">
        <v>275</v>
      </c>
      <c r="U29" s="7" t="s">
        <v>109</v>
      </c>
      <c r="V29" s="7" t="s">
        <v>109</v>
      </c>
    </row>
    <row r="30" spans="1:22" x14ac:dyDescent="0.3">
      <c r="A30" s="7">
        <v>29</v>
      </c>
      <c r="B30" s="7" t="s">
        <v>23</v>
      </c>
      <c r="C30" s="7" t="s">
        <v>958</v>
      </c>
      <c r="D30" s="7">
        <v>51125186</v>
      </c>
      <c r="E30" s="7">
        <v>80</v>
      </c>
      <c r="F30" s="7" t="s">
        <v>109</v>
      </c>
      <c r="G30" s="7" t="s">
        <v>109</v>
      </c>
      <c r="H30" s="7" t="s">
        <v>67</v>
      </c>
      <c r="I30" s="7" t="s">
        <v>109</v>
      </c>
      <c r="J30" s="7" t="s">
        <v>85</v>
      </c>
      <c r="K30" s="7" t="s">
        <v>109</v>
      </c>
      <c r="L30" s="7" t="s">
        <v>109</v>
      </c>
      <c r="M30" s="7" t="s">
        <v>109</v>
      </c>
      <c r="N30" s="7" t="s">
        <v>109</v>
      </c>
      <c r="O30" s="7" t="s">
        <v>61</v>
      </c>
      <c r="P30" s="7" t="s">
        <v>109</v>
      </c>
      <c r="Q30" s="7" t="s">
        <v>109</v>
      </c>
      <c r="R30" s="7" t="s">
        <v>62</v>
      </c>
      <c r="S30" s="7" t="s">
        <v>512</v>
      </c>
      <c r="T30" s="7" t="s">
        <v>959</v>
      </c>
      <c r="U30" s="7" t="s">
        <v>109</v>
      </c>
      <c r="V30" s="7" t="s">
        <v>109</v>
      </c>
    </row>
    <row r="31" spans="1:22" x14ac:dyDescent="0.3">
      <c r="A31" s="7">
        <v>30</v>
      </c>
      <c r="B31" s="7" t="s">
        <v>23</v>
      </c>
      <c r="C31" s="7" t="s">
        <v>137</v>
      </c>
      <c r="D31" s="7">
        <v>51225033</v>
      </c>
      <c r="E31" s="7">
        <v>100</v>
      </c>
      <c r="F31" s="7">
        <f>166+9</f>
        <v>175</v>
      </c>
      <c r="G31" s="7">
        <f>95+8</f>
        <v>103</v>
      </c>
      <c r="H31" s="7" t="s">
        <v>70</v>
      </c>
      <c r="I31" s="7" t="s">
        <v>109</v>
      </c>
      <c r="J31" s="7" t="s">
        <v>130</v>
      </c>
      <c r="K31" s="46">
        <v>2.0833333333333333E-3</v>
      </c>
      <c r="L31" s="7" t="s">
        <v>109</v>
      </c>
      <c r="M31" s="7" t="s">
        <v>109</v>
      </c>
      <c r="N31" s="7" t="s">
        <v>109</v>
      </c>
      <c r="O31" s="7" t="s">
        <v>607</v>
      </c>
      <c r="P31" s="7" t="s">
        <v>131</v>
      </c>
      <c r="Q31" s="7" t="s">
        <v>70</v>
      </c>
      <c r="R31" s="7" t="s">
        <v>62</v>
      </c>
      <c r="S31" s="7" t="s">
        <v>512</v>
      </c>
      <c r="T31" s="7" t="s">
        <v>142</v>
      </c>
      <c r="U31" s="7" t="s">
        <v>109</v>
      </c>
      <c r="V31" s="7" t="s">
        <v>109</v>
      </c>
    </row>
    <row r="32" spans="1:22" x14ac:dyDescent="0.3">
      <c r="A32" s="7">
        <v>31</v>
      </c>
      <c r="B32" s="7" t="s">
        <v>23</v>
      </c>
      <c r="C32" s="7" t="s">
        <v>139</v>
      </c>
      <c r="D32" s="7">
        <v>51225032</v>
      </c>
      <c r="E32" s="7">
        <v>100</v>
      </c>
      <c r="F32" s="7">
        <v>242</v>
      </c>
      <c r="G32" s="7">
        <v>91</v>
      </c>
      <c r="H32" s="7" t="s">
        <v>65</v>
      </c>
      <c r="I32" s="7" t="s">
        <v>109</v>
      </c>
      <c r="J32" s="7" t="s">
        <v>130</v>
      </c>
      <c r="K32" s="46">
        <v>0.9</v>
      </c>
      <c r="L32" s="7" t="s">
        <v>109</v>
      </c>
      <c r="M32" s="7" t="s">
        <v>109</v>
      </c>
      <c r="N32" s="7" t="s">
        <v>109</v>
      </c>
      <c r="O32" s="7" t="s">
        <v>61</v>
      </c>
      <c r="P32" s="7" t="s">
        <v>131</v>
      </c>
      <c r="Q32" s="7" t="s">
        <v>65</v>
      </c>
      <c r="R32" s="7" t="s">
        <v>62</v>
      </c>
      <c r="S32" s="7" t="s">
        <v>512</v>
      </c>
      <c r="T32" s="7" t="s">
        <v>142</v>
      </c>
      <c r="U32" s="7" t="s">
        <v>109</v>
      </c>
      <c r="V32" s="7" t="s">
        <v>109</v>
      </c>
    </row>
    <row r="33" spans="1:22" x14ac:dyDescent="0.3">
      <c r="A33" s="7">
        <v>32</v>
      </c>
      <c r="B33" s="7" t="s">
        <v>23</v>
      </c>
      <c r="C33" s="7" t="s">
        <v>1183</v>
      </c>
      <c r="D33" s="7">
        <v>50126324</v>
      </c>
      <c r="E33" s="7">
        <v>200</v>
      </c>
      <c r="F33" s="7">
        <v>151</v>
      </c>
      <c r="G33" s="7">
        <v>28</v>
      </c>
      <c r="H33" s="7" t="s">
        <v>1385</v>
      </c>
      <c r="I33" s="7" t="s">
        <v>109</v>
      </c>
      <c r="J33" s="7" t="s">
        <v>130</v>
      </c>
      <c r="K33" s="46">
        <v>0.73750000000000004</v>
      </c>
      <c r="L33" s="7" t="s">
        <v>109</v>
      </c>
      <c r="M33" s="7" t="s">
        <v>109</v>
      </c>
      <c r="N33" s="7" t="s">
        <v>110</v>
      </c>
      <c r="O33" s="7" t="s">
        <v>61</v>
      </c>
      <c r="P33" s="7" t="s">
        <v>131</v>
      </c>
      <c r="Q33" s="7" t="s">
        <v>68</v>
      </c>
      <c r="R33" s="7" t="s">
        <v>62</v>
      </c>
      <c r="S33" s="7" t="s">
        <v>512</v>
      </c>
      <c r="T33" s="7" t="s">
        <v>1185</v>
      </c>
      <c r="U33" s="7" t="s">
        <v>109</v>
      </c>
      <c r="V33" s="7" t="s">
        <v>109</v>
      </c>
    </row>
    <row r="34" spans="1:22" x14ac:dyDescent="0.3">
      <c r="A34" s="7">
        <v>33</v>
      </c>
      <c r="B34" s="7" t="s">
        <v>23</v>
      </c>
      <c r="C34" s="7" t="s">
        <v>1241</v>
      </c>
      <c r="D34" s="7">
        <v>50126325</v>
      </c>
      <c r="E34" s="7">
        <v>200</v>
      </c>
      <c r="F34" s="7">
        <v>177</v>
      </c>
      <c r="G34" s="7">
        <v>27</v>
      </c>
      <c r="H34" s="7" t="s">
        <v>1386</v>
      </c>
      <c r="I34" s="7" t="s">
        <v>109</v>
      </c>
      <c r="J34" s="7" t="s">
        <v>130</v>
      </c>
      <c r="K34" s="46">
        <v>0.93611111111111112</v>
      </c>
      <c r="L34" s="7" t="s">
        <v>109</v>
      </c>
      <c r="M34" s="7" t="s">
        <v>109</v>
      </c>
      <c r="N34" s="7" t="s">
        <v>110</v>
      </c>
      <c r="O34" s="7" t="s">
        <v>61</v>
      </c>
      <c r="P34" s="7" t="s">
        <v>131</v>
      </c>
      <c r="Q34" s="7" t="s">
        <v>70</v>
      </c>
      <c r="R34" s="7" t="s">
        <v>62</v>
      </c>
      <c r="S34" s="7" t="s">
        <v>512</v>
      </c>
      <c r="T34" s="7" t="s">
        <v>1240</v>
      </c>
      <c r="U34" s="7" t="s">
        <v>109</v>
      </c>
      <c r="V34" s="7" t="s">
        <v>109</v>
      </c>
    </row>
    <row r="35" spans="1:22" x14ac:dyDescent="0.3">
      <c r="A35" s="7">
        <v>34</v>
      </c>
      <c r="B35" s="7" t="s">
        <v>135</v>
      </c>
      <c r="C35" s="7" t="s">
        <v>670</v>
      </c>
      <c r="D35" s="7">
        <v>20126008</v>
      </c>
      <c r="E35" s="7">
        <v>38</v>
      </c>
      <c r="F35" s="7">
        <v>37</v>
      </c>
      <c r="G35" s="7">
        <v>16</v>
      </c>
      <c r="H35" s="7" t="s">
        <v>84</v>
      </c>
      <c r="I35" s="7" t="s">
        <v>90</v>
      </c>
      <c r="J35" s="7" t="s">
        <v>130</v>
      </c>
      <c r="K35" s="46">
        <v>0.71666666666666667</v>
      </c>
      <c r="L35" s="46">
        <v>0.91249999999999998</v>
      </c>
      <c r="M35" s="7" t="s">
        <v>109</v>
      </c>
      <c r="N35" s="7" t="s">
        <v>109</v>
      </c>
      <c r="O35" s="7" t="s">
        <v>61</v>
      </c>
      <c r="P35" s="7" t="s">
        <v>131</v>
      </c>
      <c r="Q35" s="7" t="s">
        <v>90</v>
      </c>
      <c r="R35" s="7" t="s">
        <v>62</v>
      </c>
      <c r="S35" s="7" t="s">
        <v>512</v>
      </c>
      <c r="T35" s="7" t="s">
        <v>666</v>
      </c>
      <c r="U35" s="7" t="s">
        <v>109</v>
      </c>
      <c r="V35" s="7" t="s">
        <v>109</v>
      </c>
    </row>
    <row r="36" spans="1:22" x14ac:dyDescent="0.3">
      <c r="A36" s="7">
        <v>35</v>
      </c>
      <c r="B36" s="7" t="s">
        <v>135</v>
      </c>
      <c r="C36" s="7" t="s">
        <v>671</v>
      </c>
      <c r="D36" s="7">
        <v>20126010</v>
      </c>
      <c r="E36" s="7">
        <v>120</v>
      </c>
      <c r="F36" s="7">
        <v>225</v>
      </c>
      <c r="G36" s="7">
        <v>114</v>
      </c>
      <c r="H36" s="7" t="s">
        <v>1019</v>
      </c>
      <c r="I36" s="7" t="s">
        <v>750</v>
      </c>
      <c r="J36" s="7" t="s">
        <v>130</v>
      </c>
      <c r="K36" s="46">
        <v>0.82847222222222228</v>
      </c>
      <c r="L36" s="46">
        <v>0.85138888888888886</v>
      </c>
      <c r="M36" s="7" t="s">
        <v>109</v>
      </c>
      <c r="N36" s="7" t="s">
        <v>109</v>
      </c>
      <c r="O36" s="7" t="s">
        <v>61</v>
      </c>
      <c r="P36" s="7" t="s">
        <v>131</v>
      </c>
      <c r="Q36" s="7" t="s">
        <v>87</v>
      </c>
      <c r="R36" s="7" t="s">
        <v>62</v>
      </c>
      <c r="S36" s="7" t="s">
        <v>512</v>
      </c>
      <c r="T36" s="7" t="s">
        <v>666</v>
      </c>
      <c r="U36" s="7" t="s">
        <v>109</v>
      </c>
      <c r="V36" s="7" t="s">
        <v>109</v>
      </c>
    </row>
    <row r="37" spans="1:22" x14ac:dyDescent="0.3">
      <c r="A37" s="7">
        <v>36</v>
      </c>
      <c r="B37" s="7" t="s">
        <v>135</v>
      </c>
      <c r="C37" s="7" t="s">
        <v>1103</v>
      </c>
      <c r="D37" s="7">
        <v>21125003</v>
      </c>
      <c r="E37" s="7">
        <v>110</v>
      </c>
      <c r="F37" s="7">
        <v>106</v>
      </c>
      <c r="G37" s="7">
        <v>17</v>
      </c>
      <c r="H37" s="7" t="s">
        <v>222</v>
      </c>
      <c r="I37" s="7" t="s">
        <v>209</v>
      </c>
      <c r="J37" s="7" t="s">
        <v>130</v>
      </c>
      <c r="K37" s="46">
        <v>0.94097222222222221</v>
      </c>
      <c r="L37" s="46">
        <v>0.98402777777777772</v>
      </c>
      <c r="M37" s="7" t="s">
        <v>109</v>
      </c>
      <c r="N37" s="7" t="s">
        <v>109</v>
      </c>
      <c r="O37" s="7" t="s">
        <v>61</v>
      </c>
      <c r="P37" s="7" t="s">
        <v>131</v>
      </c>
      <c r="Q37" s="7" t="s">
        <v>209</v>
      </c>
      <c r="R37" s="7" t="s">
        <v>62</v>
      </c>
      <c r="S37" s="7" t="s">
        <v>512</v>
      </c>
      <c r="T37" s="7" t="s">
        <v>666</v>
      </c>
      <c r="U37" s="7" t="s">
        <v>109</v>
      </c>
      <c r="V37" s="7" t="s">
        <v>109</v>
      </c>
    </row>
    <row r="38" spans="1:22" x14ac:dyDescent="0.3">
      <c r="A38" s="7">
        <v>37</v>
      </c>
      <c r="B38" s="7" t="s">
        <v>292</v>
      </c>
      <c r="C38" s="7" t="s">
        <v>293</v>
      </c>
      <c r="D38" s="7">
        <v>41125001</v>
      </c>
      <c r="E38" s="7">
        <v>158</v>
      </c>
      <c r="F38" s="7">
        <v>142</v>
      </c>
      <c r="G38" s="7">
        <v>7</v>
      </c>
      <c r="H38" s="7" t="s">
        <v>1174</v>
      </c>
      <c r="I38" s="7" t="s">
        <v>157</v>
      </c>
      <c r="J38" s="7" t="s">
        <v>130</v>
      </c>
      <c r="K38" s="46">
        <v>0.8666666666666667</v>
      </c>
      <c r="L38" s="46">
        <v>0.88749999999999996</v>
      </c>
      <c r="M38" s="7" t="s">
        <v>109</v>
      </c>
      <c r="N38" s="7" t="s">
        <v>1387</v>
      </c>
      <c r="O38" s="7" t="s">
        <v>61</v>
      </c>
      <c r="P38" s="7" t="s">
        <v>131</v>
      </c>
      <c r="Q38" s="7" t="s">
        <v>93</v>
      </c>
      <c r="R38" s="7" t="s">
        <v>63</v>
      </c>
      <c r="S38" s="7" t="s">
        <v>512</v>
      </c>
      <c r="T38" s="7" t="s">
        <v>295</v>
      </c>
      <c r="U38" s="7" t="s">
        <v>109</v>
      </c>
      <c r="V38" s="7" t="s">
        <v>109</v>
      </c>
    </row>
    <row r="39" spans="1:22" x14ac:dyDescent="0.3">
      <c r="A39" s="7">
        <v>38</v>
      </c>
      <c r="B39" s="7" t="s">
        <v>24</v>
      </c>
      <c r="C39" s="7" t="s">
        <v>579</v>
      </c>
      <c r="D39" s="7">
        <v>61125010</v>
      </c>
      <c r="E39" s="7">
        <v>85</v>
      </c>
      <c r="F39" s="7">
        <v>162</v>
      </c>
      <c r="G39" s="7">
        <v>59</v>
      </c>
      <c r="H39" s="7" t="s">
        <v>69</v>
      </c>
      <c r="I39" s="7" t="s">
        <v>154</v>
      </c>
      <c r="J39" s="7" t="s">
        <v>130</v>
      </c>
      <c r="K39" s="46">
        <v>0.94374999999999998</v>
      </c>
      <c r="L39" s="46">
        <v>0.98055555555555551</v>
      </c>
      <c r="M39" s="7" t="s">
        <v>109</v>
      </c>
      <c r="N39" s="7" t="s">
        <v>109</v>
      </c>
      <c r="O39" s="7" t="s">
        <v>61</v>
      </c>
      <c r="P39" s="7" t="s">
        <v>131</v>
      </c>
      <c r="Q39" s="7" t="s">
        <v>154</v>
      </c>
      <c r="R39" s="7" t="s">
        <v>63</v>
      </c>
      <c r="S39" s="7" t="s">
        <v>512</v>
      </c>
      <c r="T39" s="7" t="s">
        <v>351</v>
      </c>
      <c r="U39" s="7" t="s">
        <v>109</v>
      </c>
      <c r="V39" s="7" t="s">
        <v>109</v>
      </c>
    </row>
    <row r="40" spans="1:22" x14ac:dyDescent="0.3">
      <c r="A40" s="7">
        <v>39</v>
      </c>
      <c r="B40" s="7" t="s">
        <v>26</v>
      </c>
      <c r="C40" s="7" t="s">
        <v>1388</v>
      </c>
      <c r="D40" s="7">
        <v>40126024</v>
      </c>
      <c r="E40" s="7">
        <v>488</v>
      </c>
      <c r="F40" s="7">
        <v>865</v>
      </c>
      <c r="G40" s="7">
        <v>433</v>
      </c>
      <c r="H40" s="7" t="s">
        <v>1411</v>
      </c>
      <c r="I40" s="7" t="s">
        <v>1412</v>
      </c>
      <c r="J40" s="7" t="s">
        <v>130</v>
      </c>
      <c r="K40" s="46">
        <v>0</v>
      </c>
      <c r="L40" s="46">
        <v>4.1666666666666664E-2</v>
      </c>
      <c r="M40" s="7" t="s">
        <v>109</v>
      </c>
      <c r="N40" s="7" t="s">
        <v>109</v>
      </c>
      <c r="O40" s="7" t="s">
        <v>61</v>
      </c>
      <c r="P40" s="7" t="s">
        <v>131</v>
      </c>
      <c r="Q40" s="7" t="s">
        <v>90</v>
      </c>
      <c r="R40" s="7" t="s">
        <v>62</v>
      </c>
      <c r="S40" s="7" t="s">
        <v>512</v>
      </c>
      <c r="T40" s="7" t="s">
        <v>121</v>
      </c>
      <c r="U40" s="7" t="s">
        <v>109</v>
      </c>
      <c r="V40" s="7" t="s">
        <v>109</v>
      </c>
    </row>
    <row r="41" spans="1:22" x14ac:dyDescent="0.3">
      <c r="A41" s="7">
        <v>40</v>
      </c>
      <c r="B41" s="7" t="s">
        <v>26</v>
      </c>
      <c r="C41" s="7" t="s">
        <v>1389</v>
      </c>
      <c r="D41" s="7">
        <v>40126028</v>
      </c>
      <c r="E41" s="7">
        <v>585</v>
      </c>
      <c r="F41" s="7">
        <v>1129</v>
      </c>
      <c r="G41" s="7">
        <v>483</v>
      </c>
      <c r="H41" s="7" t="s">
        <v>1406</v>
      </c>
      <c r="I41" s="7" t="s">
        <v>1390</v>
      </c>
      <c r="J41" s="7" t="s">
        <v>130</v>
      </c>
      <c r="K41" s="46">
        <v>0.9868055555555556</v>
      </c>
      <c r="L41" s="46">
        <v>1.5972222222222221E-2</v>
      </c>
      <c r="M41" s="7" t="s">
        <v>109</v>
      </c>
      <c r="N41" s="7" t="s">
        <v>109</v>
      </c>
      <c r="O41" s="7" t="s">
        <v>61</v>
      </c>
      <c r="P41" s="7" t="s">
        <v>131</v>
      </c>
      <c r="Q41" s="7" t="s">
        <v>209</v>
      </c>
      <c r="R41" s="7" t="s">
        <v>62</v>
      </c>
      <c r="S41" s="7" t="s">
        <v>512</v>
      </c>
      <c r="T41" s="7" t="s">
        <v>121</v>
      </c>
      <c r="U41" s="7" t="s">
        <v>109</v>
      </c>
      <c r="V41" s="7" t="s">
        <v>109</v>
      </c>
    </row>
    <row r="42" spans="1:22" x14ac:dyDescent="0.3">
      <c r="A42" s="7">
        <v>41</v>
      </c>
      <c r="B42" s="7" t="s">
        <v>26</v>
      </c>
      <c r="C42" s="7" t="s">
        <v>1391</v>
      </c>
      <c r="D42" s="7">
        <v>40126023</v>
      </c>
      <c r="E42" s="7">
        <v>451</v>
      </c>
      <c r="F42" s="7">
        <v>773</v>
      </c>
      <c r="G42" s="7">
        <v>346</v>
      </c>
      <c r="H42" s="7" t="s">
        <v>1392</v>
      </c>
      <c r="I42" s="7" t="s">
        <v>1393</v>
      </c>
      <c r="J42" s="7" t="s">
        <v>130</v>
      </c>
      <c r="K42" s="46">
        <v>0.98958333333333337</v>
      </c>
      <c r="L42" s="46">
        <v>9.0277777777777769E-3</v>
      </c>
      <c r="M42" s="7" t="s">
        <v>109</v>
      </c>
      <c r="N42" s="7" t="s">
        <v>109</v>
      </c>
      <c r="O42" s="7" t="s">
        <v>61</v>
      </c>
      <c r="P42" s="7" t="s">
        <v>131</v>
      </c>
      <c r="Q42" s="7" t="s">
        <v>154</v>
      </c>
      <c r="R42" s="7" t="s">
        <v>62</v>
      </c>
      <c r="S42" s="7" t="s">
        <v>512</v>
      </c>
      <c r="T42" s="7" t="s">
        <v>121</v>
      </c>
      <c r="U42" s="7" t="s">
        <v>109</v>
      </c>
      <c r="V42" s="7" t="s">
        <v>109</v>
      </c>
    </row>
    <row r="43" spans="1:22" x14ac:dyDescent="0.3">
      <c r="A43" s="7">
        <v>42</v>
      </c>
      <c r="B43" s="7" t="s">
        <v>26</v>
      </c>
      <c r="C43" s="7" t="s">
        <v>1394</v>
      </c>
      <c r="D43" s="7">
        <v>40126021</v>
      </c>
      <c r="E43" s="7">
        <v>344</v>
      </c>
      <c r="F43" s="7">
        <v>431</v>
      </c>
      <c r="G43" s="7">
        <v>348</v>
      </c>
      <c r="H43" s="7" t="s">
        <v>1395</v>
      </c>
      <c r="I43" s="7" t="s">
        <v>1396</v>
      </c>
      <c r="J43" s="7" t="s">
        <v>130</v>
      </c>
      <c r="K43" s="46">
        <v>0.68958333333333333</v>
      </c>
      <c r="L43" s="46">
        <v>0.85</v>
      </c>
      <c r="M43" s="7" t="s">
        <v>109</v>
      </c>
      <c r="N43" s="7" t="s">
        <v>109</v>
      </c>
      <c r="O43" s="7" t="s">
        <v>61</v>
      </c>
      <c r="P43" s="7" t="s">
        <v>131</v>
      </c>
      <c r="Q43" s="7" t="s">
        <v>90</v>
      </c>
      <c r="R43" s="7" t="s">
        <v>62</v>
      </c>
      <c r="S43" s="7" t="s">
        <v>512</v>
      </c>
      <c r="T43" s="7" t="s">
        <v>1397</v>
      </c>
      <c r="U43" s="7" t="s">
        <v>109</v>
      </c>
      <c r="V43" s="7" t="s">
        <v>109</v>
      </c>
    </row>
    <row r="44" spans="1:22" x14ac:dyDescent="0.3">
      <c r="A44" s="7">
        <v>43</v>
      </c>
      <c r="B44" s="7" t="s">
        <v>163</v>
      </c>
      <c r="C44" s="7" t="s">
        <v>167</v>
      </c>
      <c r="D44" s="7">
        <v>40126007</v>
      </c>
      <c r="E44" s="7">
        <v>150</v>
      </c>
      <c r="F44" s="7">
        <v>344</v>
      </c>
      <c r="G44" s="7">
        <v>145</v>
      </c>
      <c r="H44" s="7" t="s">
        <v>1196</v>
      </c>
      <c r="I44" s="7" t="s">
        <v>750</v>
      </c>
      <c r="J44" s="7" t="s">
        <v>130</v>
      </c>
      <c r="K44" s="46">
        <v>0.93402777777777779</v>
      </c>
      <c r="L44" s="46">
        <v>0.99027777777777781</v>
      </c>
      <c r="M44" s="7" t="s">
        <v>109</v>
      </c>
      <c r="N44" s="7" t="s">
        <v>1398</v>
      </c>
      <c r="O44" s="7" t="s">
        <v>61</v>
      </c>
      <c r="P44" s="7" t="s">
        <v>131</v>
      </c>
      <c r="Q44" s="7" t="s">
        <v>87</v>
      </c>
      <c r="R44" s="7" t="s">
        <v>62</v>
      </c>
      <c r="S44" s="7" t="s">
        <v>512</v>
      </c>
      <c r="T44" s="7" t="s">
        <v>166</v>
      </c>
      <c r="U44" s="7" t="s">
        <v>109</v>
      </c>
      <c r="V44" s="7" t="s">
        <v>109</v>
      </c>
    </row>
    <row r="45" spans="1:22" x14ac:dyDescent="0.3">
      <c r="A45" s="7">
        <v>44</v>
      </c>
      <c r="B45" s="7" t="s">
        <v>143</v>
      </c>
      <c r="C45" s="7" t="s">
        <v>1330</v>
      </c>
      <c r="D45" s="7">
        <v>10126029</v>
      </c>
      <c r="E45" s="7">
        <v>90</v>
      </c>
      <c r="F45" s="7">
        <v>148</v>
      </c>
      <c r="G45" s="7">
        <v>71</v>
      </c>
      <c r="H45" s="7" t="s">
        <v>527</v>
      </c>
      <c r="I45" s="7" t="s">
        <v>93</v>
      </c>
      <c r="J45" s="7" t="s">
        <v>130</v>
      </c>
      <c r="K45" s="46">
        <v>0.6694444444444444</v>
      </c>
      <c r="L45" s="46">
        <v>0.75277777777777777</v>
      </c>
      <c r="M45" s="7" t="s">
        <v>109</v>
      </c>
      <c r="N45" s="7" t="s">
        <v>109</v>
      </c>
      <c r="O45" s="7" t="s">
        <v>61</v>
      </c>
      <c r="P45" s="7" t="s">
        <v>131</v>
      </c>
      <c r="Q45" s="7" t="s">
        <v>93</v>
      </c>
      <c r="R45" s="7" t="s">
        <v>62</v>
      </c>
      <c r="S45" s="7" t="s">
        <v>512</v>
      </c>
      <c r="T45" s="7" t="s">
        <v>1329</v>
      </c>
      <c r="U45" s="7" t="s">
        <v>109</v>
      </c>
      <c r="V45" s="7" t="s">
        <v>109</v>
      </c>
    </row>
    <row r="46" spans="1:22" x14ac:dyDescent="0.3">
      <c r="A46" s="7">
        <v>45</v>
      </c>
      <c r="B46" s="7" t="s">
        <v>170</v>
      </c>
      <c r="C46" s="7" t="s">
        <v>171</v>
      </c>
      <c r="D46" s="7">
        <v>41125019</v>
      </c>
      <c r="E46" s="7">
        <v>375</v>
      </c>
      <c r="F46" s="7">
        <v>777</v>
      </c>
      <c r="G46" s="7">
        <v>203</v>
      </c>
      <c r="H46" s="7" t="s">
        <v>1399</v>
      </c>
      <c r="I46" s="7" t="s">
        <v>1400</v>
      </c>
      <c r="J46" s="7" t="s">
        <v>130</v>
      </c>
      <c r="K46" s="46">
        <v>0.91666666666666663</v>
      </c>
      <c r="L46" s="46">
        <v>0.95763888888888893</v>
      </c>
      <c r="M46" s="7" t="s">
        <v>109</v>
      </c>
      <c r="N46" s="7" t="s">
        <v>1401</v>
      </c>
      <c r="O46" s="7" t="s">
        <v>61</v>
      </c>
      <c r="P46" s="7" t="s">
        <v>131</v>
      </c>
      <c r="Q46" s="7" t="s">
        <v>87</v>
      </c>
      <c r="R46" s="7" t="s">
        <v>62</v>
      </c>
      <c r="S46" s="7" t="s">
        <v>512</v>
      </c>
      <c r="T46" s="7" t="s">
        <v>175</v>
      </c>
      <c r="U46" s="7" t="s">
        <v>109</v>
      </c>
      <c r="V46" s="7" t="s">
        <v>109</v>
      </c>
    </row>
    <row r="47" spans="1:22" x14ac:dyDescent="0.3">
      <c r="A47" s="7">
        <v>46</v>
      </c>
      <c r="B47" s="7" t="s">
        <v>23</v>
      </c>
      <c r="C47" s="7" t="s">
        <v>216</v>
      </c>
      <c r="D47" s="7">
        <v>51225066</v>
      </c>
      <c r="E47" s="7">
        <v>100</v>
      </c>
      <c r="F47" s="7" t="s">
        <v>109</v>
      </c>
      <c r="G47" s="7" t="s">
        <v>109</v>
      </c>
      <c r="H47" s="7" t="s">
        <v>274</v>
      </c>
      <c r="I47" s="7" t="s">
        <v>109</v>
      </c>
      <c r="J47" s="7" t="s">
        <v>85</v>
      </c>
      <c r="K47" s="7" t="s">
        <v>109</v>
      </c>
      <c r="L47" s="7" t="s">
        <v>109</v>
      </c>
      <c r="M47" s="7" t="s">
        <v>109</v>
      </c>
      <c r="N47" s="7" t="s">
        <v>1402</v>
      </c>
      <c r="O47" s="7" t="s">
        <v>61</v>
      </c>
      <c r="P47" s="7" t="s">
        <v>109</v>
      </c>
      <c r="Q47" s="7" t="s">
        <v>109</v>
      </c>
      <c r="R47" s="7" t="s">
        <v>62</v>
      </c>
      <c r="S47" s="7" t="s">
        <v>1273</v>
      </c>
      <c r="T47" s="7" t="s">
        <v>218</v>
      </c>
      <c r="U47" s="7" t="s">
        <v>109</v>
      </c>
      <c r="V47" s="7" t="s">
        <v>109</v>
      </c>
    </row>
    <row r="48" spans="1:22" x14ac:dyDescent="0.3">
      <c r="A48" s="7">
        <v>47</v>
      </c>
      <c r="B48" s="7" t="s">
        <v>23</v>
      </c>
      <c r="C48" s="7" t="s">
        <v>219</v>
      </c>
      <c r="D48" s="7">
        <v>51225067</v>
      </c>
      <c r="E48" s="7">
        <v>200</v>
      </c>
      <c r="F48" s="7">
        <v>351</v>
      </c>
      <c r="G48" s="7">
        <v>56</v>
      </c>
      <c r="H48" s="7" t="s">
        <v>1407</v>
      </c>
      <c r="I48" s="7" t="s">
        <v>109</v>
      </c>
      <c r="J48" s="7" t="s">
        <v>130</v>
      </c>
      <c r="K48" s="46">
        <v>2.0833333333333333E-3</v>
      </c>
      <c r="L48" s="7" t="s">
        <v>109</v>
      </c>
      <c r="M48" s="7" t="s">
        <v>109</v>
      </c>
      <c r="N48" s="7" t="s">
        <v>1405</v>
      </c>
      <c r="O48" s="7" t="s">
        <v>61</v>
      </c>
      <c r="P48" s="7" t="s">
        <v>131</v>
      </c>
      <c r="Q48" s="7" t="s">
        <v>200</v>
      </c>
      <c r="R48" s="7" t="s">
        <v>62</v>
      </c>
      <c r="S48" s="7" t="s">
        <v>1273</v>
      </c>
      <c r="T48" s="7" t="s">
        <v>218</v>
      </c>
      <c r="U48" s="7" t="s">
        <v>109</v>
      </c>
      <c r="V48" s="7" t="s">
        <v>109</v>
      </c>
    </row>
    <row r="49" spans="1:22" x14ac:dyDescent="0.3">
      <c r="A49" s="7">
        <v>48</v>
      </c>
      <c r="B49" s="7" t="s">
        <v>26</v>
      </c>
      <c r="C49" s="7" t="s">
        <v>768</v>
      </c>
      <c r="D49" s="7">
        <v>40126005</v>
      </c>
      <c r="E49" s="7">
        <v>202</v>
      </c>
      <c r="F49" s="7">
        <v>181</v>
      </c>
      <c r="G49" s="7">
        <v>17</v>
      </c>
      <c r="H49" s="7" t="s">
        <v>1408</v>
      </c>
      <c r="I49" s="7" t="s">
        <v>109</v>
      </c>
      <c r="J49" s="7" t="s">
        <v>130</v>
      </c>
      <c r="K49" s="46">
        <v>2.1527777777777778E-2</v>
      </c>
      <c r="L49" s="7" t="s">
        <v>109</v>
      </c>
      <c r="M49" s="7" t="s">
        <v>109</v>
      </c>
      <c r="N49" s="7" t="s">
        <v>109</v>
      </c>
      <c r="O49" s="7" t="s">
        <v>606</v>
      </c>
      <c r="P49" s="7" t="s">
        <v>131</v>
      </c>
      <c r="Q49" s="7" t="s">
        <v>84</v>
      </c>
      <c r="R49" s="7" t="s">
        <v>63</v>
      </c>
      <c r="S49" s="7" t="s">
        <v>109</v>
      </c>
      <c r="T49" s="7" t="s">
        <v>767</v>
      </c>
      <c r="U49" s="7" t="s">
        <v>109</v>
      </c>
      <c r="V49" s="7" t="s">
        <v>109</v>
      </c>
    </row>
    <row r="50" spans="1:22" x14ac:dyDescent="0.3">
      <c r="A50" s="7">
        <v>49</v>
      </c>
      <c r="B50" s="7" t="s">
        <v>26</v>
      </c>
      <c r="C50" s="47" t="s">
        <v>773</v>
      </c>
      <c r="D50" s="7">
        <v>40126002</v>
      </c>
      <c r="E50" s="7">
        <v>200</v>
      </c>
      <c r="F50" s="7">
        <v>181</v>
      </c>
      <c r="G50" s="7">
        <v>45</v>
      </c>
      <c r="H50" s="7" t="s">
        <v>1409</v>
      </c>
      <c r="I50" s="7" t="s">
        <v>109</v>
      </c>
      <c r="J50" s="7" t="s">
        <v>130</v>
      </c>
      <c r="K50" s="46">
        <v>0.9868055555555556</v>
      </c>
      <c r="L50" s="7" t="s">
        <v>109</v>
      </c>
      <c r="M50" s="7" t="s">
        <v>109</v>
      </c>
      <c r="N50" s="7" t="s">
        <v>109</v>
      </c>
      <c r="O50" s="7" t="s">
        <v>606</v>
      </c>
      <c r="P50" s="7" t="s">
        <v>109</v>
      </c>
      <c r="Q50" s="7" t="s">
        <v>109</v>
      </c>
      <c r="R50" s="7" t="s">
        <v>63</v>
      </c>
      <c r="S50" s="7" t="s">
        <v>109</v>
      </c>
      <c r="T50" s="7" t="s">
        <v>767</v>
      </c>
      <c r="U50" s="7" t="s">
        <v>109</v>
      </c>
      <c r="V50" s="7" t="s">
        <v>109</v>
      </c>
    </row>
    <row r="51" spans="1:22" s="31" customFormat="1" x14ac:dyDescent="0.3">
      <c r="A51" s="7">
        <v>50</v>
      </c>
      <c r="B51" s="7" t="s">
        <v>143</v>
      </c>
      <c r="C51" s="7" t="s">
        <v>1059</v>
      </c>
      <c r="D51" s="7">
        <v>10126016</v>
      </c>
      <c r="E51" s="7">
        <v>25</v>
      </c>
      <c r="F51" s="7" t="s">
        <v>109</v>
      </c>
      <c r="G51" s="7" t="s">
        <v>109</v>
      </c>
      <c r="H51" s="7" t="s">
        <v>109</v>
      </c>
      <c r="I51" s="7" t="s">
        <v>109</v>
      </c>
      <c r="J51" s="7" t="s">
        <v>109</v>
      </c>
      <c r="K51" s="7" t="s">
        <v>109</v>
      </c>
      <c r="L51" s="7" t="s">
        <v>109</v>
      </c>
      <c r="M51" s="7" t="s">
        <v>109</v>
      </c>
      <c r="N51" s="7" t="s">
        <v>109</v>
      </c>
      <c r="O51" s="7" t="s">
        <v>61</v>
      </c>
      <c r="P51" s="7" t="s">
        <v>109</v>
      </c>
      <c r="Q51" s="7" t="s">
        <v>109</v>
      </c>
      <c r="R51" s="7" t="s">
        <v>62</v>
      </c>
      <c r="S51" s="7" t="s">
        <v>109</v>
      </c>
      <c r="T51" s="7" t="s">
        <v>398</v>
      </c>
      <c r="U51" s="7" t="s">
        <v>109</v>
      </c>
      <c r="V51" s="7" t="s">
        <v>109</v>
      </c>
    </row>
  </sheetData>
  <conditionalFormatting sqref="D1">
    <cfRule type="duplicateValues" dxfId="98" priority="7"/>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7DBDD-7599-474C-8F03-9691A1437ED0}">
  <sheetPr codeName="Sheet16"/>
  <dimension ref="A1:V68"/>
  <sheetViews>
    <sheetView workbookViewId="0">
      <pane ySplit="1" topLeftCell="A2" activePane="bottomLeft" state="frozen"/>
      <selection pane="bottomLeft" activeCell="F1" sqref="F1"/>
    </sheetView>
  </sheetViews>
  <sheetFormatPr defaultColWidth="10.77734375" defaultRowHeight="14.4" x14ac:dyDescent="0.3"/>
  <sheetData>
    <row r="1" spans="1:22" x14ac:dyDescent="0.3">
      <c r="A1" s="22" t="s">
        <v>0</v>
      </c>
      <c r="B1" s="22" t="s">
        <v>1</v>
      </c>
      <c r="C1" s="22" t="s">
        <v>2</v>
      </c>
      <c r="D1" s="22" t="s">
        <v>3</v>
      </c>
      <c r="E1" s="22" t="s">
        <v>4</v>
      </c>
      <c r="F1" s="22" t="s">
        <v>5</v>
      </c>
      <c r="G1" s="22" t="s">
        <v>6</v>
      </c>
      <c r="H1" s="22" t="s">
        <v>7</v>
      </c>
      <c r="I1" s="22" t="s">
        <v>8</v>
      </c>
      <c r="J1" s="22" t="s">
        <v>9</v>
      </c>
      <c r="K1" s="23" t="s">
        <v>10</v>
      </c>
      <c r="L1" s="23" t="s">
        <v>11</v>
      </c>
      <c r="M1" s="24" t="s">
        <v>12</v>
      </c>
      <c r="N1" s="25" t="s">
        <v>13</v>
      </c>
      <c r="O1" s="22" t="s">
        <v>14</v>
      </c>
      <c r="P1" s="22" t="s">
        <v>15</v>
      </c>
      <c r="Q1" s="22" t="s">
        <v>16</v>
      </c>
      <c r="R1" s="22" t="s">
        <v>17</v>
      </c>
      <c r="S1" s="22" t="s">
        <v>18</v>
      </c>
      <c r="T1" s="22" t="s">
        <v>19</v>
      </c>
      <c r="U1" s="22" t="s">
        <v>20</v>
      </c>
      <c r="V1" s="22" t="s">
        <v>21</v>
      </c>
    </row>
    <row r="2" spans="1:22" x14ac:dyDescent="0.3">
      <c r="A2" s="53">
        <v>1</v>
      </c>
      <c r="B2" s="53" t="s">
        <v>23</v>
      </c>
      <c r="C2" s="53" t="s">
        <v>850</v>
      </c>
      <c r="D2" s="53">
        <v>50126214</v>
      </c>
      <c r="E2" s="53">
        <v>250</v>
      </c>
      <c r="F2" s="53">
        <v>299</v>
      </c>
      <c r="G2" s="53">
        <v>112</v>
      </c>
      <c r="H2" s="53" t="s">
        <v>1413</v>
      </c>
      <c r="I2" s="53" t="s">
        <v>109</v>
      </c>
      <c r="J2" s="53" t="s">
        <v>130</v>
      </c>
      <c r="K2" s="82">
        <v>0.74375000000000002</v>
      </c>
      <c r="L2" s="53" t="s">
        <v>109</v>
      </c>
      <c r="M2" s="53" t="s">
        <v>109</v>
      </c>
      <c r="N2" s="53" t="s">
        <v>110</v>
      </c>
      <c r="O2" s="53" t="s">
        <v>61</v>
      </c>
      <c r="P2" s="53" t="s">
        <v>131</v>
      </c>
      <c r="Q2" s="53" t="s">
        <v>222</v>
      </c>
      <c r="R2" s="53" t="s">
        <v>62</v>
      </c>
      <c r="S2" s="53" t="s">
        <v>109</v>
      </c>
      <c r="T2" s="53" t="s">
        <v>424</v>
      </c>
      <c r="U2" s="53" t="s">
        <v>109</v>
      </c>
      <c r="V2" s="53" t="s">
        <v>109</v>
      </c>
    </row>
    <row r="3" spans="1:22" x14ac:dyDescent="0.3">
      <c r="A3" s="53">
        <v>2</v>
      </c>
      <c r="B3" s="53" t="s">
        <v>23</v>
      </c>
      <c r="C3" s="53" t="s">
        <v>940</v>
      </c>
      <c r="D3" s="53">
        <v>50126249</v>
      </c>
      <c r="E3" s="53">
        <v>600</v>
      </c>
      <c r="F3" s="53">
        <v>1079</v>
      </c>
      <c r="G3" s="53">
        <v>542</v>
      </c>
      <c r="H3" s="53" t="s">
        <v>1414</v>
      </c>
      <c r="I3" s="53" t="s">
        <v>109</v>
      </c>
      <c r="J3" s="53" t="s">
        <v>130</v>
      </c>
      <c r="K3" s="53" t="s">
        <v>109</v>
      </c>
      <c r="L3" s="82">
        <v>0.81527777777777777</v>
      </c>
      <c r="M3" s="53" t="s">
        <v>109</v>
      </c>
      <c r="N3" s="53" t="s">
        <v>110</v>
      </c>
      <c r="O3" s="53" t="s">
        <v>61</v>
      </c>
      <c r="P3" s="53" t="s">
        <v>131</v>
      </c>
      <c r="Q3" s="53" t="s">
        <v>179</v>
      </c>
      <c r="R3" s="53" t="s">
        <v>62</v>
      </c>
      <c r="S3" s="53" t="s">
        <v>109</v>
      </c>
      <c r="T3" s="53" t="s">
        <v>424</v>
      </c>
      <c r="U3" s="53" t="s">
        <v>109</v>
      </c>
      <c r="V3" s="53" t="s">
        <v>109</v>
      </c>
    </row>
    <row r="4" spans="1:22" x14ac:dyDescent="0.3">
      <c r="A4" s="53">
        <v>3</v>
      </c>
      <c r="B4" s="53" t="s">
        <v>23</v>
      </c>
      <c r="C4" s="53" t="s">
        <v>664</v>
      </c>
      <c r="D4" s="53">
        <v>50126150</v>
      </c>
      <c r="E4" s="53">
        <v>75</v>
      </c>
      <c r="F4" s="53">
        <v>78</v>
      </c>
      <c r="G4" s="53">
        <v>24</v>
      </c>
      <c r="H4" s="53" t="s">
        <v>153</v>
      </c>
      <c r="I4" s="53" t="s">
        <v>109</v>
      </c>
      <c r="J4" s="53" t="s">
        <v>130</v>
      </c>
      <c r="K4" s="53" t="s">
        <v>109</v>
      </c>
      <c r="L4" s="82">
        <v>0.72986111111111107</v>
      </c>
      <c r="M4" s="53" t="s">
        <v>109</v>
      </c>
      <c r="N4" s="53" t="s">
        <v>660</v>
      </c>
      <c r="O4" s="53" t="s">
        <v>61</v>
      </c>
      <c r="P4" s="53" t="s">
        <v>131</v>
      </c>
      <c r="Q4" s="53" t="s">
        <v>153</v>
      </c>
      <c r="R4" s="53" t="s">
        <v>62</v>
      </c>
      <c r="S4" s="53" t="s">
        <v>109</v>
      </c>
      <c r="T4" s="53" t="s">
        <v>661</v>
      </c>
      <c r="U4" s="53" t="s">
        <v>109</v>
      </c>
      <c r="V4" s="53" t="s">
        <v>109</v>
      </c>
    </row>
    <row r="5" spans="1:22" x14ac:dyDescent="0.3">
      <c r="A5" s="53">
        <v>4</v>
      </c>
      <c r="B5" s="53" t="s">
        <v>23</v>
      </c>
      <c r="C5" s="53" t="s">
        <v>662</v>
      </c>
      <c r="D5" s="53">
        <v>50126152</v>
      </c>
      <c r="E5" s="53">
        <v>100</v>
      </c>
      <c r="F5" s="53">
        <v>160</v>
      </c>
      <c r="G5" s="53">
        <v>97</v>
      </c>
      <c r="H5" s="53" t="s">
        <v>68</v>
      </c>
      <c r="I5" s="53" t="s">
        <v>109</v>
      </c>
      <c r="J5" s="53" t="s">
        <v>130</v>
      </c>
      <c r="K5" s="53" t="s">
        <v>109</v>
      </c>
      <c r="L5" s="82">
        <v>1.8749999999999999E-2</v>
      </c>
      <c r="M5" s="53" t="s">
        <v>109</v>
      </c>
      <c r="N5" s="53" t="s">
        <v>660</v>
      </c>
      <c r="O5" s="53" t="s">
        <v>61</v>
      </c>
      <c r="P5" s="53" t="s">
        <v>131</v>
      </c>
      <c r="Q5" s="53" t="s">
        <v>68</v>
      </c>
      <c r="R5" s="53" t="s">
        <v>62</v>
      </c>
      <c r="S5" s="53" t="s">
        <v>109</v>
      </c>
      <c r="T5" s="53" t="s">
        <v>661</v>
      </c>
      <c r="U5" s="53" t="s">
        <v>109</v>
      </c>
      <c r="V5" s="53" t="s">
        <v>109</v>
      </c>
    </row>
    <row r="6" spans="1:22" x14ac:dyDescent="0.3">
      <c r="A6" s="53">
        <v>5</v>
      </c>
      <c r="B6" s="53" t="s">
        <v>23</v>
      </c>
      <c r="C6" s="53" t="s">
        <v>647</v>
      </c>
      <c r="D6" s="53">
        <v>50126033</v>
      </c>
      <c r="E6" s="53">
        <v>50</v>
      </c>
      <c r="F6" s="53">
        <v>71</v>
      </c>
      <c r="G6" s="53">
        <v>53</v>
      </c>
      <c r="H6" s="53" t="s">
        <v>71</v>
      </c>
      <c r="I6" s="53" t="s">
        <v>87</v>
      </c>
      <c r="J6" s="53" t="s">
        <v>130</v>
      </c>
      <c r="K6" s="82">
        <v>0.69861111111111107</v>
      </c>
      <c r="L6" s="82">
        <v>0.75208333333333333</v>
      </c>
      <c r="M6" s="53" t="s">
        <v>109</v>
      </c>
      <c r="N6" s="53" t="s">
        <v>109</v>
      </c>
      <c r="O6" s="53" t="s">
        <v>61</v>
      </c>
      <c r="P6" s="53" t="s">
        <v>131</v>
      </c>
      <c r="Q6" s="53" t="s">
        <v>87</v>
      </c>
      <c r="R6" s="53" t="s">
        <v>62</v>
      </c>
      <c r="S6" s="53" t="s">
        <v>109</v>
      </c>
      <c r="T6" s="53" t="s">
        <v>480</v>
      </c>
      <c r="U6" s="53" t="s">
        <v>109</v>
      </c>
      <c r="V6" s="53" t="s">
        <v>109</v>
      </c>
    </row>
    <row r="7" spans="1:22" x14ac:dyDescent="0.3">
      <c r="A7" s="53">
        <v>6</v>
      </c>
      <c r="B7" s="53" t="s">
        <v>23</v>
      </c>
      <c r="C7" s="53" t="s">
        <v>650</v>
      </c>
      <c r="D7" s="53">
        <v>50126035</v>
      </c>
      <c r="E7" s="53">
        <v>70</v>
      </c>
      <c r="F7" s="53">
        <v>125</v>
      </c>
      <c r="G7" s="53">
        <v>27</v>
      </c>
      <c r="H7" s="53" t="s">
        <v>241</v>
      </c>
      <c r="I7" s="53" t="s">
        <v>154</v>
      </c>
      <c r="J7" s="53" t="s">
        <v>130</v>
      </c>
      <c r="K7" s="82">
        <v>0.85277777777777775</v>
      </c>
      <c r="L7" s="82">
        <v>0.88402777777777775</v>
      </c>
      <c r="M7" s="53" t="s">
        <v>109</v>
      </c>
      <c r="N7" s="53" t="s">
        <v>109</v>
      </c>
      <c r="O7" s="53" t="s">
        <v>61</v>
      </c>
      <c r="P7" s="53" t="s">
        <v>131</v>
      </c>
      <c r="Q7" s="53" t="s">
        <v>154</v>
      </c>
      <c r="R7" s="53" t="s">
        <v>62</v>
      </c>
      <c r="S7" s="53" t="s">
        <v>109</v>
      </c>
      <c r="T7" s="53" t="s">
        <v>480</v>
      </c>
      <c r="U7" s="53" t="s">
        <v>109</v>
      </c>
      <c r="V7" s="53" t="s">
        <v>109</v>
      </c>
    </row>
    <row r="8" spans="1:22" x14ac:dyDescent="0.3">
      <c r="A8" s="53">
        <v>7</v>
      </c>
      <c r="B8" s="53" t="s">
        <v>23</v>
      </c>
      <c r="C8" s="53" t="s">
        <v>651</v>
      </c>
      <c r="D8" s="53">
        <v>50126034</v>
      </c>
      <c r="E8" s="53">
        <v>50</v>
      </c>
      <c r="F8" s="53">
        <v>102</v>
      </c>
      <c r="G8" s="53">
        <v>51</v>
      </c>
      <c r="H8" s="53" t="s">
        <v>200</v>
      </c>
      <c r="I8" s="53" t="s">
        <v>91</v>
      </c>
      <c r="J8" s="53" t="s">
        <v>130</v>
      </c>
      <c r="K8" s="82">
        <v>0.6791666666666667</v>
      </c>
      <c r="L8" s="82">
        <v>0.81874999999999998</v>
      </c>
      <c r="M8" s="53" t="s">
        <v>109</v>
      </c>
      <c r="N8" s="53" t="s">
        <v>109</v>
      </c>
      <c r="O8" s="53" t="s">
        <v>61</v>
      </c>
      <c r="P8" s="53" t="s">
        <v>131</v>
      </c>
      <c r="Q8" s="53" t="s">
        <v>91</v>
      </c>
      <c r="R8" s="53" t="s">
        <v>62</v>
      </c>
      <c r="S8" s="53" t="s">
        <v>109</v>
      </c>
      <c r="T8" s="53" t="s">
        <v>480</v>
      </c>
      <c r="U8" s="53" t="s">
        <v>109</v>
      </c>
      <c r="V8" s="53" t="s">
        <v>109</v>
      </c>
    </row>
    <row r="9" spans="1:22" x14ac:dyDescent="0.3">
      <c r="A9" s="53">
        <v>8</v>
      </c>
      <c r="B9" s="53" t="s">
        <v>23</v>
      </c>
      <c r="C9" s="53" t="s">
        <v>656</v>
      </c>
      <c r="D9" s="53">
        <v>50126031</v>
      </c>
      <c r="E9" s="53">
        <v>100</v>
      </c>
      <c r="F9" s="53">
        <v>200</v>
      </c>
      <c r="G9" s="53">
        <v>19</v>
      </c>
      <c r="H9" s="53" t="s">
        <v>64</v>
      </c>
      <c r="I9" s="53" t="s">
        <v>86</v>
      </c>
      <c r="J9" s="53" t="s">
        <v>130</v>
      </c>
      <c r="K9" s="82">
        <v>0.97013888888888888</v>
      </c>
      <c r="L9" s="82">
        <v>1.8749999999999999E-2</v>
      </c>
      <c r="M9" s="53" t="s">
        <v>109</v>
      </c>
      <c r="N9" s="53" t="s">
        <v>109</v>
      </c>
      <c r="O9" s="53" t="s">
        <v>61</v>
      </c>
      <c r="P9" s="53" t="s">
        <v>131</v>
      </c>
      <c r="Q9" s="53" t="s">
        <v>86</v>
      </c>
      <c r="R9" s="53" t="s">
        <v>62</v>
      </c>
      <c r="S9" s="53" t="s">
        <v>109</v>
      </c>
      <c r="T9" s="53" t="s">
        <v>480</v>
      </c>
      <c r="U9" s="53" t="s">
        <v>109</v>
      </c>
      <c r="V9" s="53" t="s">
        <v>109</v>
      </c>
    </row>
    <row r="10" spans="1:22" x14ac:dyDescent="0.3">
      <c r="A10" s="53">
        <v>9</v>
      </c>
      <c r="B10" s="53" t="s">
        <v>23</v>
      </c>
      <c r="C10" s="53" t="s">
        <v>657</v>
      </c>
      <c r="D10" s="53">
        <v>50126030</v>
      </c>
      <c r="E10" s="53">
        <v>50</v>
      </c>
      <c r="F10" s="53">
        <v>100</v>
      </c>
      <c r="G10" s="53">
        <v>4</v>
      </c>
      <c r="H10" s="53" t="s">
        <v>68</v>
      </c>
      <c r="I10" s="53" t="s">
        <v>86</v>
      </c>
      <c r="J10" s="53" t="s">
        <v>130</v>
      </c>
      <c r="K10" s="53" t="s">
        <v>1458</v>
      </c>
      <c r="L10" s="82">
        <v>8.8888888888888892E-2</v>
      </c>
      <c r="M10" s="53" t="s">
        <v>109</v>
      </c>
      <c r="N10" s="53" t="s">
        <v>109</v>
      </c>
      <c r="O10" s="53" t="s">
        <v>61</v>
      </c>
      <c r="P10" s="53" t="s">
        <v>131</v>
      </c>
      <c r="Q10" s="53" t="s">
        <v>86</v>
      </c>
      <c r="R10" s="53" t="s">
        <v>62</v>
      </c>
      <c r="S10" s="53" t="s">
        <v>109</v>
      </c>
      <c r="T10" s="53" t="s">
        <v>480</v>
      </c>
      <c r="U10" s="53" t="s">
        <v>109</v>
      </c>
      <c r="V10" s="53" t="s">
        <v>109</v>
      </c>
    </row>
    <row r="11" spans="1:22" x14ac:dyDescent="0.3">
      <c r="A11" s="53">
        <v>10</v>
      </c>
      <c r="B11" s="53" t="s">
        <v>135</v>
      </c>
      <c r="C11" s="53" t="s">
        <v>1415</v>
      </c>
      <c r="D11" s="53">
        <v>20126003</v>
      </c>
      <c r="E11" s="53">
        <v>175</v>
      </c>
      <c r="F11" s="53">
        <v>222</v>
      </c>
      <c r="G11" s="53">
        <v>27</v>
      </c>
      <c r="H11" s="53" t="s">
        <v>1416</v>
      </c>
      <c r="I11" s="53" t="s">
        <v>1417</v>
      </c>
      <c r="J11" s="53" t="s">
        <v>130</v>
      </c>
      <c r="K11" s="82">
        <v>0.97777777777777775</v>
      </c>
      <c r="L11" s="82">
        <v>0</v>
      </c>
      <c r="M11" s="53" t="s">
        <v>109</v>
      </c>
      <c r="N11" s="53" t="s">
        <v>109</v>
      </c>
      <c r="O11" s="53" t="s">
        <v>61</v>
      </c>
      <c r="P11" s="53" t="s">
        <v>131</v>
      </c>
      <c r="Q11" s="53" t="s">
        <v>179</v>
      </c>
      <c r="R11" s="53" t="s">
        <v>62</v>
      </c>
      <c r="S11" s="53" t="s">
        <v>109</v>
      </c>
      <c r="T11" s="53" t="s">
        <v>112</v>
      </c>
      <c r="U11" s="53" t="s">
        <v>109</v>
      </c>
      <c r="V11" s="53" t="s">
        <v>109</v>
      </c>
    </row>
    <row r="12" spans="1:22" x14ac:dyDescent="0.3">
      <c r="A12" s="53">
        <v>11</v>
      </c>
      <c r="B12" s="53" t="s">
        <v>135</v>
      </c>
      <c r="C12" s="53" t="s">
        <v>1418</v>
      </c>
      <c r="D12" s="53">
        <v>20126004</v>
      </c>
      <c r="E12" s="53">
        <v>196</v>
      </c>
      <c r="F12" s="53">
        <v>200</v>
      </c>
      <c r="G12" s="53">
        <v>57</v>
      </c>
      <c r="H12" s="53" t="s">
        <v>156</v>
      </c>
      <c r="I12" s="53" t="s">
        <v>157</v>
      </c>
      <c r="J12" s="53" t="s">
        <v>130</v>
      </c>
      <c r="K12" s="82">
        <v>0.79305555555555551</v>
      </c>
      <c r="L12" s="82">
        <v>0.86319444444444449</v>
      </c>
      <c r="M12" s="53" t="s">
        <v>109</v>
      </c>
      <c r="N12" s="53" t="s">
        <v>109</v>
      </c>
      <c r="O12" s="53" t="s">
        <v>61</v>
      </c>
      <c r="P12" s="53" t="s">
        <v>131</v>
      </c>
      <c r="Q12" s="53" t="s">
        <v>93</v>
      </c>
      <c r="R12" s="53" t="s">
        <v>62</v>
      </c>
      <c r="S12" s="53" t="s">
        <v>109</v>
      </c>
      <c r="T12" s="53" t="s">
        <v>112</v>
      </c>
      <c r="U12" s="53" t="s">
        <v>109</v>
      </c>
      <c r="V12" s="53" t="s">
        <v>109</v>
      </c>
    </row>
    <row r="13" spans="1:22" x14ac:dyDescent="0.3">
      <c r="A13" s="53">
        <v>12</v>
      </c>
      <c r="B13" s="53" t="s">
        <v>411</v>
      </c>
      <c r="C13" s="53" t="s">
        <v>1357</v>
      </c>
      <c r="D13" s="53">
        <v>30126010</v>
      </c>
      <c r="E13" s="53">
        <v>375</v>
      </c>
      <c r="F13" s="53">
        <v>564</v>
      </c>
      <c r="G13" s="53">
        <v>212</v>
      </c>
      <c r="H13" s="53" t="s">
        <v>1419</v>
      </c>
      <c r="I13" s="53" t="s">
        <v>1420</v>
      </c>
      <c r="J13" s="53" t="s">
        <v>130</v>
      </c>
      <c r="K13" s="82">
        <v>0.89513888888888893</v>
      </c>
      <c r="L13" s="82">
        <v>0.95208333333333328</v>
      </c>
      <c r="M13" s="53" t="s">
        <v>109</v>
      </c>
      <c r="N13" s="53" t="s">
        <v>109</v>
      </c>
      <c r="O13" s="53" t="s">
        <v>61</v>
      </c>
      <c r="P13" s="53" t="s">
        <v>131</v>
      </c>
      <c r="Q13" s="53" t="s">
        <v>87</v>
      </c>
      <c r="R13" s="53" t="s">
        <v>62</v>
      </c>
      <c r="S13" s="53" t="s">
        <v>109</v>
      </c>
      <c r="T13" s="53" t="s">
        <v>1359</v>
      </c>
      <c r="U13" s="53" t="s">
        <v>109</v>
      </c>
      <c r="V13" s="53" t="s">
        <v>109</v>
      </c>
    </row>
    <row r="14" spans="1:22" x14ac:dyDescent="0.3">
      <c r="A14" s="53">
        <v>13</v>
      </c>
      <c r="B14" s="53" t="s">
        <v>411</v>
      </c>
      <c r="C14" s="53" t="s">
        <v>1360</v>
      </c>
      <c r="D14" s="53">
        <v>30126011</v>
      </c>
      <c r="E14" s="53">
        <v>254</v>
      </c>
      <c r="F14" s="53">
        <v>472</v>
      </c>
      <c r="G14" s="53">
        <v>76</v>
      </c>
      <c r="H14" s="53" t="s">
        <v>1421</v>
      </c>
      <c r="I14" s="53" t="s">
        <v>1422</v>
      </c>
      <c r="J14" s="53" t="s">
        <v>130</v>
      </c>
      <c r="K14" s="82">
        <v>5.5555555555555558E-3</v>
      </c>
      <c r="L14" s="82">
        <v>2.7777777777777776E-2</v>
      </c>
      <c r="M14" s="53" t="s">
        <v>109</v>
      </c>
      <c r="N14" s="53" t="s">
        <v>109</v>
      </c>
      <c r="O14" s="53" t="s">
        <v>61</v>
      </c>
      <c r="P14" s="53" t="s">
        <v>131</v>
      </c>
      <c r="Q14" s="53" t="s">
        <v>154</v>
      </c>
      <c r="R14" s="53" t="s">
        <v>62</v>
      </c>
      <c r="S14" s="53" t="s">
        <v>109</v>
      </c>
      <c r="T14" s="53" t="s">
        <v>1359</v>
      </c>
      <c r="U14" s="53" t="s">
        <v>109</v>
      </c>
      <c r="V14" s="53" t="s">
        <v>109</v>
      </c>
    </row>
    <row r="15" spans="1:22" x14ac:dyDescent="0.3">
      <c r="A15" s="53">
        <v>14</v>
      </c>
      <c r="B15" s="53" t="s">
        <v>411</v>
      </c>
      <c r="C15" s="53" t="s">
        <v>1361</v>
      </c>
      <c r="D15" s="53">
        <v>30126012</v>
      </c>
      <c r="E15" s="53">
        <v>245</v>
      </c>
      <c r="F15" s="53">
        <v>251</v>
      </c>
      <c r="G15" s="53">
        <v>3</v>
      </c>
      <c r="H15" s="53" t="s">
        <v>1423</v>
      </c>
      <c r="I15" s="53" t="s">
        <v>1424</v>
      </c>
      <c r="J15" s="53" t="s">
        <v>130</v>
      </c>
      <c r="K15" s="82">
        <v>9.7222222222222224E-3</v>
      </c>
      <c r="L15" s="82">
        <v>6.9444444444444448E-2</v>
      </c>
      <c r="M15" s="53" t="s">
        <v>109</v>
      </c>
      <c r="N15" s="53" t="s">
        <v>109</v>
      </c>
      <c r="O15" s="53" t="s">
        <v>61</v>
      </c>
      <c r="P15" s="53" t="s">
        <v>131</v>
      </c>
      <c r="Q15" s="53" t="s">
        <v>179</v>
      </c>
      <c r="R15" s="53" t="s">
        <v>62</v>
      </c>
      <c r="S15" s="53" t="s">
        <v>109</v>
      </c>
      <c r="T15" s="53" t="s">
        <v>1359</v>
      </c>
      <c r="U15" s="53" t="s">
        <v>109</v>
      </c>
      <c r="V15" s="53" t="s">
        <v>109</v>
      </c>
    </row>
    <row r="16" spans="1:22" x14ac:dyDescent="0.3">
      <c r="A16" s="53">
        <v>15</v>
      </c>
      <c r="B16" s="53" t="s">
        <v>23</v>
      </c>
      <c r="C16" s="53" t="s">
        <v>869</v>
      </c>
      <c r="D16" s="53">
        <v>50126215</v>
      </c>
      <c r="E16" s="53">
        <v>60</v>
      </c>
      <c r="F16" s="53">
        <v>111</v>
      </c>
      <c r="G16" s="53">
        <v>2</v>
      </c>
      <c r="H16" s="53" t="s">
        <v>274</v>
      </c>
      <c r="I16" s="53" t="s">
        <v>87</v>
      </c>
      <c r="J16" s="53" t="s">
        <v>130</v>
      </c>
      <c r="K16" s="82">
        <v>6.2500000000000003E-3</v>
      </c>
      <c r="L16" s="82">
        <v>1.6666666666666666E-2</v>
      </c>
      <c r="M16" s="53" t="s">
        <v>109</v>
      </c>
      <c r="N16" s="53" t="s">
        <v>109</v>
      </c>
      <c r="O16" s="53" t="s">
        <v>61</v>
      </c>
      <c r="P16" s="53" t="s">
        <v>131</v>
      </c>
      <c r="Q16" s="53" t="s">
        <v>87</v>
      </c>
      <c r="R16" s="53" t="s">
        <v>62</v>
      </c>
      <c r="S16" s="53" t="s">
        <v>109</v>
      </c>
      <c r="T16" s="53" t="s">
        <v>870</v>
      </c>
      <c r="U16" s="53" t="s">
        <v>109</v>
      </c>
      <c r="V16" s="53" t="s">
        <v>109</v>
      </c>
    </row>
    <row r="17" spans="1:22" x14ac:dyDescent="0.3">
      <c r="A17" s="53">
        <v>16</v>
      </c>
      <c r="B17" s="53" t="s">
        <v>23</v>
      </c>
      <c r="C17" s="53" t="s">
        <v>1065</v>
      </c>
      <c r="D17" s="53">
        <v>50126305</v>
      </c>
      <c r="E17" s="53">
        <v>30</v>
      </c>
      <c r="F17" s="53">
        <v>64</v>
      </c>
      <c r="G17" s="53">
        <v>34</v>
      </c>
      <c r="H17" s="53" t="s">
        <v>153</v>
      </c>
      <c r="I17" s="53" t="s">
        <v>109</v>
      </c>
      <c r="J17" s="53" t="s">
        <v>130</v>
      </c>
      <c r="K17" s="53" t="s">
        <v>109</v>
      </c>
      <c r="L17" s="82">
        <v>0.70694444444444449</v>
      </c>
      <c r="M17" s="53" t="s">
        <v>109</v>
      </c>
      <c r="N17" s="53" t="s">
        <v>109</v>
      </c>
      <c r="O17" s="53" t="s">
        <v>61</v>
      </c>
      <c r="P17" s="53" t="s">
        <v>131</v>
      </c>
      <c r="Q17" s="53" t="s">
        <v>153</v>
      </c>
      <c r="R17" s="53" t="s">
        <v>62</v>
      </c>
      <c r="S17" s="53" t="s">
        <v>109</v>
      </c>
      <c r="T17" s="53" t="s">
        <v>1063</v>
      </c>
      <c r="U17" s="53" t="s">
        <v>109</v>
      </c>
      <c r="V17" s="53" t="s">
        <v>109</v>
      </c>
    </row>
    <row r="18" spans="1:22" x14ac:dyDescent="0.3">
      <c r="A18" s="53">
        <v>17</v>
      </c>
      <c r="B18" s="53" t="s">
        <v>23</v>
      </c>
      <c r="C18" s="53" t="s">
        <v>958</v>
      </c>
      <c r="D18" s="53">
        <v>51125186</v>
      </c>
      <c r="E18" s="53">
        <v>100</v>
      </c>
      <c r="F18" s="53" t="s">
        <v>109</v>
      </c>
      <c r="G18" s="53" t="s">
        <v>109</v>
      </c>
      <c r="H18" s="53" t="s">
        <v>67</v>
      </c>
      <c r="I18" s="81" t="s">
        <v>109</v>
      </c>
      <c r="J18" s="53" t="s">
        <v>85</v>
      </c>
      <c r="K18" s="53" t="s">
        <v>109</v>
      </c>
      <c r="L18" s="53" t="s">
        <v>109</v>
      </c>
      <c r="M18" s="53" t="s">
        <v>109</v>
      </c>
      <c r="N18" s="53" t="s">
        <v>109</v>
      </c>
      <c r="O18" s="53" t="s">
        <v>61</v>
      </c>
      <c r="P18" s="53" t="s">
        <v>109</v>
      </c>
      <c r="Q18" s="53" t="s">
        <v>109</v>
      </c>
      <c r="R18" s="53" t="s">
        <v>62</v>
      </c>
      <c r="S18" s="53" t="s">
        <v>109</v>
      </c>
      <c r="T18" s="53" t="s">
        <v>959</v>
      </c>
      <c r="U18" s="53" t="s">
        <v>109</v>
      </c>
      <c r="V18" s="53" t="s">
        <v>109</v>
      </c>
    </row>
    <row r="19" spans="1:22" x14ac:dyDescent="0.3">
      <c r="A19" s="53">
        <v>18</v>
      </c>
      <c r="B19" s="53" t="s">
        <v>23</v>
      </c>
      <c r="C19" s="53" t="s">
        <v>137</v>
      </c>
      <c r="D19" s="53">
        <v>51225033</v>
      </c>
      <c r="E19" s="53">
        <v>60</v>
      </c>
      <c r="F19" s="53">
        <v>84</v>
      </c>
      <c r="G19" s="53">
        <v>63</v>
      </c>
      <c r="H19" s="53" t="s">
        <v>82</v>
      </c>
      <c r="I19" s="53" t="s">
        <v>109</v>
      </c>
      <c r="J19" s="53" t="s">
        <v>130</v>
      </c>
      <c r="K19" s="53" t="s">
        <v>109</v>
      </c>
      <c r="L19" s="82">
        <v>9.0277777777777769E-3</v>
      </c>
      <c r="M19" s="53" t="s">
        <v>109</v>
      </c>
      <c r="N19" s="53" t="s">
        <v>109</v>
      </c>
      <c r="O19" s="53" t="s">
        <v>61</v>
      </c>
      <c r="P19" s="53" t="s">
        <v>131</v>
      </c>
      <c r="Q19" s="53" t="s">
        <v>82</v>
      </c>
      <c r="R19" s="53" t="s">
        <v>62</v>
      </c>
      <c r="S19" s="53" t="s">
        <v>109</v>
      </c>
      <c r="T19" s="53" t="s">
        <v>142</v>
      </c>
      <c r="U19" s="53" t="s">
        <v>109</v>
      </c>
      <c r="V19" s="53" t="s">
        <v>109</v>
      </c>
    </row>
    <row r="20" spans="1:22" x14ac:dyDescent="0.3">
      <c r="A20" s="53">
        <v>19</v>
      </c>
      <c r="B20" s="53" t="s">
        <v>23</v>
      </c>
      <c r="C20" s="53" t="s">
        <v>139</v>
      </c>
      <c r="D20" s="53">
        <v>51225032</v>
      </c>
      <c r="E20" s="53">
        <v>20</v>
      </c>
      <c r="F20" s="53">
        <v>23</v>
      </c>
      <c r="G20" s="53">
        <v>21</v>
      </c>
      <c r="H20" s="53" t="s">
        <v>66</v>
      </c>
      <c r="I20" s="53" t="s">
        <v>109</v>
      </c>
      <c r="J20" s="53" t="s">
        <v>130</v>
      </c>
      <c r="K20" s="53" t="s">
        <v>109</v>
      </c>
      <c r="L20" s="82">
        <v>0.66527777777777775</v>
      </c>
      <c r="M20" s="53" t="s">
        <v>109</v>
      </c>
      <c r="N20" s="53" t="s">
        <v>109</v>
      </c>
      <c r="O20" s="53" t="s">
        <v>61</v>
      </c>
      <c r="P20" s="53" t="s">
        <v>131</v>
      </c>
      <c r="Q20" s="53" t="s">
        <v>66</v>
      </c>
      <c r="R20" s="53" t="s">
        <v>62</v>
      </c>
      <c r="S20" s="53" t="s">
        <v>109</v>
      </c>
      <c r="T20" s="53" t="s">
        <v>142</v>
      </c>
      <c r="U20" s="53" t="s">
        <v>109</v>
      </c>
      <c r="V20" s="53" t="s">
        <v>109</v>
      </c>
    </row>
    <row r="21" spans="1:22" x14ac:dyDescent="0.3">
      <c r="A21" s="53">
        <v>20</v>
      </c>
      <c r="B21" s="53" t="s">
        <v>23</v>
      </c>
      <c r="C21" s="53" t="s">
        <v>1099</v>
      </c>
      <c r="D21" s="53">
        <v>50126319</v>
      </c>
      <c r="E21" s="53">
        <v>30</v>
      </c>
      <c r="F21" s="53">
        <v>49</v>
      </c>
      <c r="G21" s="53">
        <v>33</v>
      </c>
      <c r="H21" s="53" t="s">
        <v>179</v>
      </c>
      <c r="I21" s="53" t="s">
        <v>109</v>
      </c>
      <c r="J21" s="53" t="s">
        <v>130</v>
      </c>
      <c r="K21" s="82">
        <v>9.930555555555555E-2</v>
      </c>
      <c r="L21" s="53" t="s">
        <v>109</v>
      </c>
      <c r="M21" s="53" t="s">
        <v>109</v>
      </c>
      <c r="N21" s="53" t="s">
        <v>109</v>
      </c>
      <c r="O21" s="53" t="s">
        <v>61</v>
      </c>
      <c r="P21" s="53" t="s">
        <v>131</v>
      </c>
      <c r="Q21" s="53" t="s">
        <v>179</v>
      </c>
      <c r="R21" s="53" t="s">
        <v>62</v>
      </c>
      <c r="S21" s="53" t="s">
        <v>109</v>
      </c>
      <c r="T21" s="53" t="s">
        <v>142</v>
      </c>
      <c r="U21" s="53" t="s">
        <v>109</v>
      </c>
      <c r="V21" s="53" t="s">
        <v>109</v>
      </c>
    </row>
    <row r="22" spans="1:22" x14ac:dyDescent="0.3">
      <c r="A22" s="53">
        <v>21</v>
      </c>
      <c r="B22" s="53" t="s">
        <v>23</v>
      </c>
      <c r="C22" s="53" t="s">
        <v>277</v>
      </c>
      <c r="D22" s="53">
        <v>51125164</v>
      </c>
      <c r="E22" s="53">
        <v>100</v>
      </c>
      <c r="F22" s="53" t="s">
        <v>109</v>
      </c>
      <c r="G22" s="53" t="s">
        <v>109</v>
      </c>
      <c r="H22" s="53" t="s">
        <v>72</v>
      </c>
      <c r="I22" s="53" t="s">
        <v>109</v>
      </c>
      <c r="J22" s="53" t="s">
        <v>85</v>
      </c>
      <c r="K22" s="53" t="s">
        <v>109</v>
      </c>
      <c r="L22" s="53" t="s">
        <v>109</v>
      </c>
      <c r="M22" s="53" t="s">
        <v>109</v>
      </c>
      <c r="N22" s="53" t="s">
        <v>109</v>
      </c>
      <c r="O22" s="53" t="s">
        <v>61</v>
      </c>
      <c r="P22" s="53" t="s">
        <v>109</v>
      </c>
      <c r="Q22" s="53" t="s">
        <v>109</v>
      </c>
      <c r="R22" s="53" t="s">
        <v>62</v>
      </c>
      <c r="S22" s="53" t="s">
        <v>109</v>
      </c>
      <c r="T22" s="53" t="s">
        <v>278</v>
      </c>
      <c r="U22" s="53" t="s">
        <v>109</v>
      </c>
      <c r="V22" s="53" t="s">
        <v>109</v>
      </c>
    </row>
    <row r="23" spans="1:22" x14ac:dyDescent="0.3">
      <c r="A23" s="53">
        <v>22</v>
      </c>
      <c r="B23" s="53" t="s">
        <v>23</v>
      </c>
      <c r="C23" s="53" t="s">
        <v>581</v>
      </c>
      <c r="D23" s="53">
        <v>51125193</v>
      </c>
      <c r="E23" s="53">
        <v>50</v>
      </c>
      <c r="F23" s="53">
        <v>26</v>
      </c>
      <c r="G23" s="53">
        <v>9</v>
      </c>
      <c r="H23" s="53" t="s">
        <v>64</v>
      </c>
      <c r="I23" s="53" t="s">
        <v>109</v>
      </c>
      <c r="J23" s="53" t="s">
        <v>130</v>
      </c>
      <c r="K23" s="53" t="s">
        <v>109</v>
      </c>
      <c r="L23" s="82">
        <v>0.99513888888888891</v>
      </c>
      <c r="M23" s="53" t="s">
        <v>109</v>
      </c>
      <c r="N23" s="53" t="s">
        <v>109</v>
      </c>
      <c r="O23" s="53" t="s">
        <v>61</v>
      </c>
      <c r="P23" s="53" t="s">
        <v>131</v>
      </c>
      <c r="Q23" s="53" t="s">
        <v>64</v>
      </c>
      <c r="R23" s="53" t="s">
        <v>62</v>
      </c>
      <c r="S23" s="53" t="s">
        <v>109</v>
      </c>
      <c r="T23" s="53" t="s">
        <v>278</v>
      </c>
      <c r="U23" s="53" t="s">
        <v>109</v>
      </c>
      <c r="V23" s="53" t="s">
        <v>109</v>
      </c>
    </row>
    <row r="24" spans="1:22" x14ac:dyDescent="0.3">
      <c r="A24" s="53">
        <v>23</v>
      </c>
      <c r="B24" s="53" t="s">
        <v>143</v>
      </c>
      <c r="C24" s="53" t="s">
        <v>1327</v>
      </c>
      <c r="D24" s="53">
        <v>10126026</v>
      </c>
      <c r="E24" s="53">
        <v>300</v>
      </c>
      <c r="F24" s="53">
        <v>591</v>
      </c>
      <c r="G24" s="53">
        <v>172</v>
      </c>
      <c r="H24" s="53" t="s">
        <v>1451</v>
      </c>
      <c r="I24" s="53" t="s">
        <v>1453</v>
      </c>
      <c r="J24" s="53" t="s">
        <v>130</v>
      </c>
      <c r="K24" s="82">
        <v>0.95694444444444449</v>
      </c>
      <c r="L24" s="82">
        <v>0.98333333333333328</v>
      </c>
      <c r="M24" s="53" t="s">
        <v>109</v>
      </c>
      <c r="N24" s="53" t="s">
        <v>109</v>
      </c>
      <c r="O24" s="53" t="s">
        <v>61</v>
      </c>
      <c r="P24" s="53" t="s">
        <v>131</v>
      </c>
      <c r="Q24" s="53" t="s">
        <v>91</v>
      </c>
      <c r="R24" s="53" t="s">
        <v>62</v>
      </c>
      <c r="S24" s="53" t="s">
        <v>109</v>
      </c>
      <c r="T24" s="53" t="s">
        <v>777</v>
      </c>
      <c r="U24" s="53" t="s">
        <v>109</v>
      </c>
      <c r="V24" s="53" t="s">
        <v>109</v>
      </c>
    </row>
    <row r="25" spans="1:22" x14ac:dyDescent="0.3">
      <c r="A25" s="53">
        <v>24</v>
      </c>
      <c r="B25" s="53" t="s">
        <v>143</v>
      </c>
      <c r="C25" s="53" t="s">
        <v>1330</v>
      </c>
      <c r="D25" s="53">
        <v>10126029</v>
      </c>
      <c r="E25" s="53">
        <v>90</v>
      </c>
      <c r="F25" s="53">
        <v>149</v>
      </c>
      <c r="G25" s="53">
        <v>89</v>
      </c>
      <c r="H25" s="53" t="s">
        <v>71</v>
      </c>
      <c r="I25" s="53" t="s">
        <v>91</v>
      </c>
      <c r="J25" s="53" t="s">
        <v>130</v>
      </c>
      <c r="K25" s="82">
        <v>0.77569444444444446</v>
      </c>
      <c r="L25" s="82">
        <v>0.87777777777777777</v>
      </c>
      <c r="M25" s="53" t="s">
        <v>109</v>
      </c>
      <c r="N25" s="53" t="s">
        <v>1425</v>
      </c>
      <c r="O25" s="53" t="s">
        <v>61</v>
      </c>
      <c r="P25" s="53" t="s">
        <v>131</v>
      </c>
      <c r="Q25" s="53" t="s">
        <v>91</v>
      </c>
      <c r="R25" s="53" t="s">
        <v>62</v>
      </c>
      <c r="S25" s="53" t="s">
        <v>109</v>
      </c>
      <c r="T25" s="53" t="s">
        <v>1329</v>
      </c>
      <c r="U25" s="53" t="s">
        <v>109</v>
      </c>
      <c r="V25" s="53" t="s">
        <v>109</v>
      </c>
    </row>
    <row r="26" spans="1:22" x14ac:dyDescent="0.3">
      <c r="A26" s="53">
        <v>25</v>
      </c>
      <c r="B26" s="53" t="s">
        <v>143</v>
      </c>
      <c r="C26" s="53" t="s">
        <v>1328</v>
      </c>
      <c r="D26" s="53">
        <v>10126027</v>
      </c>
      <c r="E26" s="53">
        <v>150</v>
      </c>
      <c r="F26" s="53">
        <v>371</v>
      </c>
      <c r="G26" s="53">
        <v>36</v>
      </c>
      <c r="H26" s="53" t="s">
        <v>186</v>
      </c>
      <c r="I26" s="53" t="s">
        <v>1426</v>
      </c>
      <c r="J26" s="53" t="s">
        <v>130</v>
      </c>
      <c r="K26" s="82">
        <v>6.9444444444444447E-4</v>
      </c>
      <c r="L26" s="82">
        <v>5.5555555555555552E-2</v>
      </c>
      <c r="M26" s="53" t="s">
        <v>109</v>
      </c>
      <c r="N26" s="53" t="s">
        <v>1425</v>
      </c>
      <c r="O26" s="53" t="s">
        <v>61</v>
      </c>
      <c r="P26" s="53" t="s">
        <v>131</v>
      </c>
      <c r="Q26" s="53" t="s">
        <v>179</v>
      </c>
      <c r="R26" s="53" t="s">
        <v>62</v>
      </c>
      <c r="S26" s="53" t="s">
        <v>109</v>
      </c>
      <c r="T26" s="53" t="s">
        <v>1329</v>
      </c>
      <c r="U26" s="53" t="s">
        <v>109</v>
      </c>
      <c r="V26" s="53" t="s">
        <v>109</v>
      </c>
    </row>
    <row r="27" spans="1:22" x14ac:dyDescent="0.3">
      <c r="A27" s="53">
        <v>26</v>
      </c>
      <c r="B27" s="53" t="s">
        <v>143</v>
      </c>
      <c r="C27" s="53" t="s">
        <v>1332</v>
      </c>
      <c r="D27" s="53">
        <v>10126028</v>
      </c>
      <c r="E27" s="53">
        <v>175</v>
      </c>
      <c r="F27" s="53">
        <v>303</v>
      </c>
      <c r="G27" s="53">
        <v>171</v>
      </c>
      <c r="H27" s="53" t="s">
        <v>172</v>
      </c>
      <c r="I27" s="53" t="s">
        <v>1427</v>
      </c>
      <c r="J27" s="53" t="s">
        <v>130</v>
      </c>
      <c r="K27" s="82">
        <v>0.98472222222222228</v>
      </c>
      <c r="L27" s="82">
        <v>4.4444444444444446E-2</v>
      </c>
      <c r="M27" s="53" t="s">
        <v>109</v>
      </c>
      <c r="N27" s="53" t="s">
        <v>1425</v>
      </c>
      <c r="O27" s="53" t="s">
        <v>61</v>
      </c>
      <c r="P27" s="53" t="s">
        <v>131</v>
      </c>
      <c r="Q27" s="53" t="s">
        <v>154</v>
      </c>
      <c r="R27" s="53" t="s">
        <v>62</v>
      </c>
      <c r="S27" s="53" t="s">
        <v>109</v>
      </c>
      <c r="T27" s="53" t="s">
        <v>1329</v>
      </c>
      <c r="U27" s="53" t="s">
        <v>109</v>
      </c>
      <c r="V27" s="53" t="s">
        <v>109</v>
      </c>
    </row>
    <row r="28" spans="1:22" x14ac:dyDescent="0.3">
      <c r="A28" s="53">
        <v>27</v>
      </c>
      <c r="B28" s="53" t="s">
        <v>143</v>
      </c>
      <c r="C28" s="53" t="s">
        <v>1384</v>
      </c>
      <c r="D28" s="53">
        <v>10126032</v>
      </c>
      <c r="E28" s="53">
        <v>125</v>
      </c>
      <c r="F28" s="53">
        <v>232</v>
      </c>
      <c r="G28" s="53">
        <v>123</v>
      </c>
      <c r="H28" s="53" t="s">
        <v>159</v>
      </c>
      <c r="I28" s="53" t="s">
        <v>1428</v>
      </c>
      <c r="J28" s="53" t="s">
        <v>130</v>
      </c>
      <c r="K28" s="82">
        <v>0.85277777777777775</v>
      </c>
      <c r="L28" s="82">
        <v>0.9916666666666667</v>
      </c>
      <c r="M28" s="53" t="s">
        <v>109</v>
      </c>
      <c r="N28" s="53" t="s">
        <v>1425</v>
      </c>
      <c r="O28" s="53" t="s">
        <v>61</v>
      </c>
      <c r="P28" s="53" t="s">
        <v>131</v>
      </c>
      <c r="Q28" s="53" t="s">
        <v>603</v>
      </c>
      <c r="R28" s="53" t="s">
        <v>62</v>
      </c>
      <c r="S28" s="53" t="s">
        <v>109</v>
      </c>
      <c r="T28" s="53" t="s">
        <v>182</v>
      </c>
      <c r="U28" s="53" t="s">
        <v>109</v>
      </c>
      <c r="V28" s="53" t="s">
        <v>109</v>
      </c>
    </row>
    <row r="29" spans="1:22" x14ac:dyDescent="0.3">
      <c r="A29" s="53">
        <v>28</v>
      </c>
      <c r="B29" s="53" t="s">
        <v>143</v>
      </c>
      <c r="C29" s="53" t="s">
        <v>1060</v>
      </c>
      <c r="D29" s="53">
        <v>10126017</v>
      </c>
      <c r="E29" s="53">
        <v>92</v>
      </c>
      <c r="F29" s="53">
        <v>133</v>
      </c>
      <c r="G29" s="53">
        <v>66</v>
      </c>
      <c r="H29" s="53" t="s">
        <v>200</v>
      </c>
      <c r="I29" s="53" t="s">
        <v>87</v>
      </c>
      <c r="J29" s="53" t="s">
        <v>130</v>
      </c>
      <c r="K29" s="82">
        <v>0.80138888888888893</v>
      </c>
      <c r="L29" s="82">
        <v>0.84861111111111109</v>
      </c>
      <c r="M29" s="53" t="s">
        <v>109</v>
      </c>
      <c r="N29" s="53" t="s">
        <v>109</v>
      </c>
      <c r="O29" s="53" t="s">
        <v>61</v>
      </c>
      <c r="P29" s="53" t="s">
        <v>131</v>
      </c>
      <c r="Q29" s="53" t="s">
        <v>603</v>
      </c>
      <c r="R29" s="53" t="s">
        <v>62</v>
      </c>
      <c r="S29" s="53" t="s">
        <v>109</v>
      </c>
      <c r="T29" s="53" t="s">
        <v>398</v>
      </c>
      <c r="U29" s="53" t="s">
        <v>109</v>
      </c>
      <c r="V29" s="53" t="s">
        <v>109</v>
      </c>
    </row>
    <row r="30" spans="1:22" x14ac:dyDescent="0.3">
      <c r="A30" s="53">
        <v>29</v>
      </c>
      <c r="B30" s="53" t="s">
        <v>143</v>
      </c>
      <c r="C30" s="53" t="s">
        <v>1429</v>
      </c>
      <c r="D30" s="53">
        <v>10126034</v>
      </c>
      <c r="E30" s="53">
        <v>65</v>
      </c>
      <c r="F30" s="53">
        <v>105</v>
      </c>
      <c r="G30" s="53">
        <v>65</v>
      </c>
      <c r="H30" s="53" t="s">
        <v>71</v>
      </c>
      <c r="I30" s="53" t="s">
        <v>87</v>
      </c>
      <c r="J30" s="53" t="s">
        <v>130</v>
      </c>
      <c r="K30" s="82">
        <v>0.85277777777777775</v>
      </c>
      <c r="L30" s="82">
        <v>0.91249999999999998</v>
      </c>
      <c r="M30" s="53" t="s">
        <v>109</v>
      </c>
      <c r="N30" s="53" t="s">
        <v>109</v>
      </c>
      <c r="O30" s="53" t="s">
        <v>61</v>
      </c>
      <c r="P30" s="53" t="s">
        <v>131</v>
      </c>
      <c r="Q30" s="53" t="s">
        <v>603</v>
      </c>
      <c r="R30" s="53" t="s">
        <v>62</v>
      </c>
      <c r="S30" s="53" t="s">
        <v>109</v>
      </c>
      <c r="T30" s="53" t="s">
        <v>182</v>
      </c>
      <c r="U30" s="53" t="s">
        <v>109</v>
      </c>
      <c r="V30" s="53" t="s">
        <v>109</v>
      </c>
    </row>
    <row r="31" spans="1:22" x14ac:dyDescent="0.3">
      <c r="A31" s="53">
        <v>30</v>
      </c>
      <c r="B31" s="53" t="s">
        <v>143</v>
      </c>
      <c r="C31" s="53" t="s">
        <v>1430</v>
      </c>
      <c r="D31" s="53">
        <v>10126033</v>
      </c>
      <c r="E31" s="53" t="s">
        <v>287</v>
      </c>
      <c r="F31" s="53">
        <v>171</v>
      </c>
      <c r="G31" s="53">
        <v>57</v>
      </c>
      <c r="H31" s="53" t="s">
        <v>1431</v>
      </c>
      <c r="I31" s="53" t="s">
        <v>1432</v>
      </c>
      <c r="J31" s="53" t="s">
        <v>130</v>
      </c>
      <c r="K31" s="82">
        <v>0.83194444444444449</v>
      </c>
      <c r="L31" s="82">
        <v>0.85486111111111107</v>
      </c>
      <c r="M31" s="53" t="s">
        <v>109</v>
      </c>
      <c r="N31" s="53" t="s">
        <v>109</v>
      </c>
      <c r="O31" s="53" t="s">
        <v>61</v>
      </c>
      <c r="P31" s="53" t="s">
        <v>131</v>
      </c>
      <c r="Q31" s="53" t="s">
        <v>95</v>
      </c>
      <c r="R31" s="53" t="s">
        <v>62</v>
      </c>
      <c r="S31" s="53" t="s">
        <v>109</v>
      </c>
      <c r="T31" s="53" t="s">
        <v>1433</v>
      </c>
      <c r="U31" s="53" t="s">
        <v>109</v>
      </c>
      <c r="V31" s="53" t="s">
        <v>109</v>
      </c>
    </row>
    <row r="32" spans="1:22" x14ac:dyDescent="0.3">
      <c r="A32" s="53">
        <v>31</v>
      </c>
      <c r="B32" s="53" t="s">
        <v>143</v>
      </c>
      <c r="C32" s="53" t="s">
        <v>781</v>
      </c>
      <c r="D32" s="53">
        <v>10126009</v>
      </c>
      <c r="E32" s="53">
        <v>150</v>
      </c>
      <c r="F32" s="53">
        <v>389</v>
      </c>
      <c r="G32" s="53">
        <v>32</v>
      </c>
      <c r="H32" s="53" t="s">
        <v>229</v>
      </c>
      <c r="I32" s="53" t="s">
        <v>384</v>
      </c>
      <c r="J32" s="53" t="s">
        <v>130</v>
      </c>
      <c r="K32" s="82">
        <v>0.97986111111111107</v>
      </c>
      <c r="L32" s="53" t="s">
        <v>1457</v>
      </c>
      <c r="M32" s="53" t="s">
        <v>109</v>
      </c>
      <c r="N32" s="53" t="s">
        <v>109</v>
      </c>
      <c r="O32" s="53" t="s">
        <v>61</v>
      </c>
      <c r="P32" s="53" t="s">
        <v>131</v>
      </c>
      <c r="Q32" s="53" t="s">
        <v>744</v>
      </c>
      <c r="R32" s="53" t="s">
        <v>62</v>
      </c>
      <c r="S32" s="53" t="s">
        <v>109</v>
      </c>
      <c r="T32" s="53" t="s">
        <v>398</v>
      </c>
      <c r="U32" s="53" t="s">
        <v>109</v>
      </c>
      <c r="V32" s="53" t="s">
        <v>109</v>
      </c>
    </row>
    <row r="33" spans="1:22" x14ac:dyDescent="0.3">
      <c r="A33" s="53">
        <v>32</v>
      </c>
      <c r="B33" s="53" t="s">
        <v>143</v>
      </c>
      <c r="C33" s="53" t="s">
        <v>1253</v>
      </c>
      <c r="D33" s="53">
        <v>10126025</v>
      </c>
      <c r="E33" s="53">
        <v>50</v>
      </c>
      <c r="F33" s="53">
        <v>62</v>
      </c>
      <c r="G33" s="53">
        <v>11</v>
      </c>
      <c r="H33" s="53" t="s">
        <v>67</v>
      </c>
      <c r="I33" s="53" t="s">
        <v>95</v>
      </c>
      <c r="J33" s="53" t="s">
        <v>130</v>
      </c>
      <c r="K33" s="82">
        <v>0.77847222222222223</v>
      </c>
      <c r="L33" s="82">
        <v>0.80972222222222223</v>
      </c>
      <c r="M33" s="53" t="s">
        <v>109</v>
      </c>
      <c r="N33" s="53" t="s">
        <v>1425</v>
      </c>
      <c r="O33" s="53" t="s">
        <v>61</v>
      </c>
      <c r="P33" s="53" t="s">
        <v>131</v>
      </c>
      <c r="Q33" s="53" t="s">
        <v>787</v>
      </c>
      <c r="R33" s="53" t="s">
        <v>62</v>
      </c>
      <c r="S33" s="53" t="s">
        <v>109</v>
      </c>
      <c r="T33" s="53" t="s">
        <v>398</v>
      </c>
      <c r="U33" s="53" t="s">
        <v>109</v>
      </c>
      <c r="V33" s="53" t="s">
        <v>109</v>
      </c>
    </row>
    <row r="34" spans="1:22" x14ac:dyDescent="0.3">
      <c r="A34" s="53">
        <v>33</v>
      </c>
      <c r="B34" s="53" t="s">
        <v>143</v>
      </c>
      <c r="C34" s="53" t="s">
        <v>1187</v>
      </c>
      <c r="D34" s="53">
        <v>10126020</v>
      </c>
      <c r="E34" s="53">
        <v>30</v>
      </c>
      <c r="F34" s="53">
        <v>58</v>
      </c>
      <c r="G34" s="53">
        <v>29</v>
      </c>
      <c r="H34" s="53" t="s">
        <v>70</v>
      </c>
      <c r="I34" s="53" t="s">
        <v>510</v>
      </c>
      <c r="J34" s="53" t="s">
        <v>130</v>
      </c>
      <c r="K34" s="82">
        <v>0.86527777777777781</v>
      </c>
      <c r="L34" s="82">
        <v>0.92777777777777781</v>
      </c>
      <c r="M34" s="53" t="s">
        <v>109</v>
      </c>
      <c r="N34" s="53" t="s">
        <v>109</v>
      </c>
      <c r="O34" s="53" t="s">
        <v>61</v>
      </c>
      <c r="P34" s="53" t="s">
        <v>131</v>
      </c>
      <c r="Q34" s="53" t="s">
        <v>510</v>
      </c>
      <c r="R34" s="53" t="s">
        <v>62</v>
      </c>
      <c r="S34" s="53" t="s">
        <v>109</v>
      </c>
      <c r="T34" s="53" t="s">
        <v>398</v>
      </c>
      <c r="U34" s="53" t="s">
        <v>109</v>
      </c>
      <c r="V34" s="53" t="s">
        <v>109</v>
      </c>
    </row>
    <row r="35" spans="1:22" x14ac:dyDescent="0.3">
      <c r="A35" s="53">
        <v>34</v>
      </c>
      <c r="B35" s="53" t="s">
        <v>25</v>
      </c>
      <c r="C35" s="53" t="s">
        <v>33</v>
      </c>
      <c r="D35" s="53">
        <v>41225016</v>
      </c>
      <c r="E35" s="53">
        <v>87</v>
      </c>
      <c r="F35" s="53">
        <v>76</v>
      </c>
      <c r="G35" s="53">
        <v>22</v>
      </c>
      <c r="H35" s="53" t="s">
        <v>196</v>
      </c>
      <c r="I35" s="53" t="s">
        <v>87</v>
      </c>
      <c r="J35" s="53" t="s">
        <v>130</v>
      </c>
      <c r="K35" s="82">
        <v>0.9770833333333333</v>
      </c>
      <c r="L35" s="82">
        <v>0.99513888888888891</v>
      </c>
      <c r="M35" s="53" t="s">
        <v>109</v>
      </c>
      <c r="N35" s="53" t="s">
        <v>1434</v>
      </c>
      <c r="O35" s="53" t="s">
        <v>61</v>
      </c>
      <c r="P35" s="53" t="s">
        <v>131</v>
      </c>
      <c r="Q35" s="53" t="s">
        <v>87</v>
      </c>
      <c r="R35" s="53" t="s">
        <v>62</v>
      </c>
      <c r="S35" s="53" t="s">
        <v>109</v>
      </c>
      <c r="T35" s="53" t="s">
        <v>114</v>
      </c>
      <c r="U35" s="53" t="s">
        <v>109</v>
      </c>
      <c r="V35" s="53" t="s">
        <v>109</v>
      </c>
    </row>
    <row r="36" spans="1:22" x14ac:dyDescent="0.3">
      <c r="A36" s="53">
        <v>35</v>
      </c>
      <c r="B36" s="53" t="s">
        <v>25</v>
      </c>
      <c r="C36" s="53" t="s">
        <v>1435</v>
      </c>
      <c r="D36" s="53">
        <v>40126030</v>
      </c>
      <c r="E36" s="53">
        <v>200</v>
      </c>
      <c r="F36" s="53">
        <v>112</v>
      </c>
      <c r="G36" s="53">
        <v>27</v>
      </c>
      <c r="H36" s="53" t="s">
        <v>73</v>
      </c>
      <c r="I36" s="53" t="s">
        <v>1436</v>
      </c>
      <c r="J36" s="53" t="s">
        <v>130</v>
      </c>
      <c r="K36" s="82">
        <v>0.96527777777777779</v>
      </c>
      <c r="L36" s="82">
        <v>6.1805555555555558E-2</v>
      </c>
      <c r="M36" s="53" t="s">
        <v>109</v>
      </c>
      <c r="N36" s="53" t="s">
        <v>109</v>
      </c>
      <c r="O36" s="53" t="s">
        <v>61</v>
      </c>
      <c r="P36" s="53" t="s">
        <v>131</v>
      </c>
      <c r="Q36" s="53" t="s">
        <v>179</v>
      </c>
      <c r="R36" s="53" t="s">
        <v>62</v>
      </c>
      <c r="S36" s="53" t="s">
        <v>109</v>
      </c>
      <c r="T36" s="53" t="s">
        <v>1437</v>
      </c>
      <c r="U36" s="53" t="s">
        <v>109</v>
      </c>
      <c r="V36" s="53" t="s">
        <v>109</v>
      </c>
    </row>
    <row r="37" spans="1:22" x14ac:dyDescent="0.3">
      <c r="A37" s="53">
        <v>36</v>
      </c>
      <c r="B37" s="53" t="s">
        <v>25</v>
      </c>
      <c r="C37" s="53" t="s">
        <v>44</v>
      </c>
      <c r="D37" s="53">
        <v>41225022</v>
      </c>
      <c r="E37" s="53">
        <v>176</v>
      </c>
      <c r="F37" s="53">
        <v>198</v>
      </c>
      <c r="G37" s="53">
        <v>23</v>
      </c>
      <c r="H37" s="53" t="s">
        <v>259</v>
      </c>
      <c r="I37" s="53" t="s">
        <v>1427</v>
      </c>
      <c r="J37" s="53" t="s">
        <v>130</v>
      </c>
      <c r="K37" s="82">
        <v>1.6666666666666666E-2</v>
      </c>
      <c r="L37" s="82">
        <v>5.4166666666666669E-2</v>
      </c>
      <c r="M37" s="53" t="s">
        <v>109</v>
      </c>
      <c r="N37" s="53" t="s">
        <v>109</v>
      </c>
      <c r="O37" s="53" t="s">
        <v>61</v>
      </c>
      <c r="P37" s="53" t="s">
        <v>131</v>
      </c>
      <c r="Q37" s="53" t="s">
        <v>154</v>
      </c>
      <c r="R37" s="53" t="s">
        <v>62</v>
      </c>
      <c r="S37" s="53" t="s">
        <v>109</v>
      </c>
      <c r="T37" s="53" t="s">
        <v>114</v>
      </c>
      <c r="U37" s="53" t="s">
        <v>109</v>
      </c>
      <c r="V37" s="53" t="s">
        <v>109</v>
      </c>
    </row>
    <row r="38" spans="1:22" x14ac:dyDescent="0.3">
      <c r="A38" s="53">
        <v>37</v>
      </c>
      <c r="B38" s="53" t="s">
        <v>24</v>
      </c>
      <c r="C38" s="53" t="s">
        <v>49</v>
      </c>
      <c r="D38" s="53">
        <v>61225008</v>
      </c>
      <c r="E38" s="53">
        <v>246</v>
      </c>
      <c r="F38" s="53">
        <v>574</v>
      </c>
      <c r="G38" s="53">
        <v>113</v>
      </c>
      <c r="H38" s="53" t="s">
        <v>1438</v>
      </c>
      <c r="I38" s="53" t="s">
        <v>1439</v>
      </c>
      <c r="J38" s="53" t="s">
        <v>130</v>
      </c>
      <c r="K38" s="82">
        <v>0.84027777777777779</v>
      </c>
      <c r="L38" s="82">
        <v>0.88749999999999996</v>
      </c>
      <c r="M38" s="53" t="s">
        <v>109</v>
      </c>
      <c r="N38" s="53" t="s">
        <v>109</v>
      </c>
      <c r="O38" s="53" t="s">
        <v>61</v>
      </c>
      <c r="P38" s="53" t="s">
        <v>131</v>
      </c>
      <c r="Q38" s="53" t="s">
        <v>93</v>
      </c>
      <c r="R38" s="53" t="s">
        <v>63</v>
      </c>
      <c r="S38" s="53" t="s">
        <v>109</v>
      </c>
      <c r="T38" s="53" t="s">
        <v>120</v>
      </c>
      <c r="U38" s="53" t="s">
        <v>109</v>
      </c>
      <c r="V38" s="53" t="s">
        <v>109</v>
      </c>
    </row>
    <row r="39" spans="1:22" x14ac:dyDescent="0.3">
      <c r="A39" s="53">
        <v>38</v>
      </c>
      <c r="B39" s="53" t="s">
        <v>23</v>
      </c>
      <c r="C39" s="53" t="s">
        <v>1370</v>
      </c>
      <c r="D39" s="53">
        <v>50126342</v>
      </c>
      <c r="E39" s="53">
        <v>60</v>
      </c>
      <c r="F39" s="53">
        <v>83</v>
      </c>
      <c r="G39" s="53">
        <v>11</v>
      </c>
      <c r="H39" s="53" t="s">
        <v>214</v>
      </c>
      <c r="I39" s="53" t="s">
        <v>109</v>
      </c>
      <c r="J39" s="53" t="s">
        <v>130</v>
      </c>
      <c r="K39" s="53" t="s">
        <v>109</v>
      </c>
      <c r="L39" s="82">
        <v>0.89583333333333337</v>
      </c>
      <c r="M39" s="53" t="s">
        <v>109</v>
      </c>
      <c r="N39" s="53" t="s">
        <v>110</v>
      </c>
      <c r="O39" s="53" t="s">
        <v>61</v>
      </c>
      <c r="P39" s="53" t="s">
        <v>131</v>
      </c>
      <c r="Q39" s="53" t="s">
        <v>214</v>
      </c>
      <c r="R39" s="53" t="s">
        <v>62</v>
      </c>
      <c r="S39" s="53" t="s">
        <v>109</v>
      </c>
      <c r="T39" s="53" t="s">
        <v>1365</v>
      </c>
      <c r="U39" s="53" t="s">
        <v>109</v>
      </c>
      <c r="V39" s="53" t="s">
        <v>109</v>
      </c>
    </row>
    <row r="40" spans="1:22" x14ac:dyDescent="0.3">
      <c r="A40" s="53">
        <v>39</v>
      </c>
      <c r="B40" s="53" t="s">
        <v>23</v>
      </c>
      <c r="C40" s="53" t="s">
        <v>286</v>
      </c>
      <c r="D40" s="53">
        <v>51125166</v>
      </c>
      <c r="E40" s="53">
        <v>50</v>
      </c>
      <c r="F40" s="53">
        <v>82</v>
      </c>
      <c r="G40" s="53">
        <v>51</v>
      </c>
      <c r="H40" s="53" t="s">
        <v>72</v>
      </c>
      <c r="I40" s="53" t="s">
        <v>109</v>
      </c>
      <c r="J40" s="53" t="s">
        <v>130</v>
      </c>
      <c r="K40" s="53" t="s">
        <v>109</v>
      </c>
      <c r="L40" s="82">
        <v>0.78194444444444444</v>
      </c>
      <c r="M40" s="53" t="s">
        <v>109</v>
      </c>
      <c r="N40" s="53" t="s">
        <v>1440</v>
      </c>
      <c r="O40" s="53" t="s">
        <v>61</v>
      </c>
      <c r="P40" s="53" t="s">
        <v>131</v>
      </c>
      <c r="Q40" s="53" t="s">
        <v>72</v>
      </c>
      <c r="R40" s="53" t="s">
        <v>62</v>
      </c>
      <c r="S40" s="53" t="s">
        <v>109</v>
      </c>
      <c r="T40" s="53" t="s">
        <v>289</v>
      </c>
      <c r="U40" s="53" t="s">
        <v>109</v>
      </c>
      <c r="V40" s="53" t="s">
        <v>109</v>
      </c>
    </row>
    <row r="41" spans="1:22" x14ac:dyDescent="0.3">
      <c r="A41" s="53">
        <v>40</v>
      </c>
      <c r="B41" s="53" t="s">
        <v>23</v>
      </c>
      <c r="C41" s="53" t="s">
        <v>1375</v>
      </c>
      <c r="D41" s="53">
        <v>50126345</v>
      </c>
      <c r="E41" s="53">
        <v>200</v>
      </c>
      <c r="F41" s="53">
        <v>354</v>
      </c>
      <c r="G41" s="53">
        <v>201</v>
      </c>
      <c r="H41" s="53" t="s">
        <v>74</v>
      </c>
      <c r="I41" s="53" t="s">
        <v>109</v>
      </c>
      <c r="J41" s="53" t="s">
        <v>130</v>
      </c>
      <c r="K41" s="53" t="s">
        <v>109</v>
      </c>
      <c r="L41" s="82">
        <v>0.95277777777777772</v>
      </c>
      <c r="M41" s="53" t="s">
        <v>109</v>
      </c>
      <c r="N41" s="53" t="s">
        <v>109</v>
      </c>
      <c r="O41" s="53" t="s">
        <v>61</v>
      </c>
      <c r="P41" s="53" t="s">
        <v>131</v>
      </c>
      <c r="Q41" s="53" t="s">
        <v>72</v>
      </c>
      <c r="R41" s="53" t="s">
        <v>62</v>
      </c>
      <c r="S41" s="53" t="s">
        <v>109</v>
      </c>
      <c r="T41" s="53" t="s">
        <v>1377</v>
      </c>
      <c r="U41" s="53" t="s">
        <v>109</v>
      </c>
      <c r="V41" s="53" t="s">
        <v>109</v>
      </c>
    </row>
    <row r="42" spans="1:22" x14ac:dyDescent="0.3">
      <c r="A42" s="53">
        <v>41</v>
      </c>
      <c r="B42" s="53" t="s">
        <v>23</v>
      </c>
      <c r="C42" s="53" t="s">
        <v>1371</v>
      </c>
      <c r="D42" s="53">
        <v>50126338</v>
      </c>
      <c r="E42" s="53">
        <v>200</v>
      </c>
      <c r="F42" s="53">
        <v>386</v>
      </c>
      <c r="G42" s="53">
        <v>141</v>
      </c>
      <c r="H42" s="53" t="s">
        <v>1441</v>
      </c>
      <c r="I42" s="53" t="s">
        <v>109</v>
      </c>
      <c r="J42" s="53" t="s">
        <v>130</v>
      </c>
      <c r="K42" s="53" t="s">
        <v>1456</v>
      </c>
      <c r="L42" s="53" t="s">
        <v>109</v>
      </c>
      <c r="M42" s="53" t="s">
        <v>109</v>
      </c>
      <c r="N42" s="53" t="s">
        <v>110</v>
      </c>
      <c r="O42" s="53" t="s">
        <v>61</v>
      </c>
      <c r="P42" s="53" t="s">
        <v>131</v>
      </c>
      <c r="Q42" s="53" t="s">
        <v>82</v>
      </c>
      <c r="R42" s="53" t="s">
        <v>62</v>
      </c>
      <c r="S42" s="53" t="s">
        <v>109</v>
      </c>
      <c r="T42" s="53" t="s">
        <v>1365</v>
      </c>
      <c r="U42" s="53" t="s">
        <v>109</v>
      </c>
      <c r="V42" s="53" t="s">
        <v>109</v>
      </c>
    </row>
    <row r="43" spans="1:22" x14ac:dyDescent="0.3">
      <c r="A43" s="53">
        <v>42</v>
      </c>
      <c r="B43" s="53" t="s">
        <v>23</v>
      </c>
      <c r="C43" s="53" t="s">
        <v>1378</v>
      </c>
      <c r="D43" s="53">
        <v>50126346</v>
      </c>
      <c r="E43" s="53">
        <v>15</v>
      </c>
      <c r="F43" s="53">
        <v>21</v>
      </c>
      <c r="G43" s="53">
        <v>4</v>
      </c>
      <c r="H43" s="53" t="s">
        <v>214</v>
      </c>
      <c r="I43" s="53" t="s">
        <v>109</v>
      </c>
      <c r="J43" s="53" t="s">
        <v>130</v>
      </c>
      <c r="K43" s="53" t="s">
        <v>109</v>
      </c>
      <c r="L43" s="82">
        <v>0.66874999999999996</v>
      </c>
      <c r="M43" s="53" t="s">
        <v>109</v>
      </c>
      <c r="N43" s="53" t="s">
        <v>109</v>
      </c>
      <c r="O43" s="53" t="s">
        <v>61</v>
      </c>
      <c r="P43" s="53" t="s">
        <v>131</v>
      </c>
      <c r="Q43" s="53" t="s">
        <v>214</v>
      </c>
      <c r="R43" s="53" t="s">
        <v>62</v>
      </c>
      <c r="S43" s="53" t="s">
        <v>109</v>
      </c>
      <c r="T43" s="53" t="s">
        <v>223</v>
      </c>
      <c r="U43" s="53" t="s">
        <v>109</v>
      </c>
      <c r="V43" s="53" t="s">
        <v>109</v>
      </c>
    </row>
    <row r="44" spans="1:22" x14ac:dyDescent="0.3">
      <c r="A44" s="53">
        <v>43</v>
      </c>
      <c r="B44" s="53" t="s">
        <v>23</v>
      </c>
      <c r="C44" s="53" t="s">
        <v>1369</v>
      </c>
      <c r="D44" s="53">
        <v>50126339</v>
      </c>
      <c r="E44" s="53">
        <v>250</v>
      </c>
      <c r="F44" s="53">
        <v>304</v>
      </c>
      <c r="G44" s="53">
        <v>83</v>
      </c>
      <c r="H44" s="53" t="s">
        <v>1442</v>
      </c>
      <c r="I44" s="81" t="s">
        <v>109</v>
      </c>
      <c r="J44" s="53" t="s">
        <v>130</v>
      </c>
      <c r="K44" s="53" t="s">
        <v>109</v>
      </c>
      <c r="L44" s="82">
        <v>0.74097222222222225</v>
      </c>
      <c r="M44" s="53" t="s">
        <v>109</v>
      </c>
      <c r="N44" s="53" t="s">
        <v>110</v>
      </c>
      <c r="O44" s="53" t="s">
        <v>61</v>
      </c>
      <c r="P44" s="53" t="s">
        <v>131</v>
      </c>
      <c r="Q44" s="53" t="s">
        <v>214</v>
      </c>
      <c r="R44" s="53" t="s">
        <v>62</v>
      </c>
      <c r="S44" s="53" t="s">
        <v>109</v>
      </c>
      <c r="T44" s="53" t="s">
        <v>1365</v>
      </c>
      <c r="U44" s="53" t="s">
        <v>109</v>
      </c>
      <c r="V44" s="53" t="s">
        <v>109</v>
      </c>
    </row>
    <row r="45" spans="1:22" x14ac:dyDescent="0.3">
      <c r="A45" s="53">
        <v>44</v>
      </c>
      <c r="B45" s="53" t="s">
        <v>23</v>
      </c>
      <c r="C45" s="53" t="s">
        <v>1368</v>
      </c>
      <c r="D45" s="53">
        <v>50126340</v>
      </c>
      <c r="E45" s="53">
        <v>50</v>
      </c>
      <c r="F45" s="53">
        <v>71</v>
      </c>
      <c r="G45" s="53">
        <v>7</v>
      </c>
      <c r="H45" s="53" t="s">
        <v>84</v>
      </c>
      <c r="I45" s="53" t="s">
        <v>109</v>
      </c>
      <c r="J45" s="53" t="s">
        <v>130</v>
      </c>
      <c r="K45" s="53" t="s">
        <v>109</v>
      </c>
      <c r="L45" s="82">
        <v>0.8</v>
      </c>
      <c r="M45" s="53" t="s">
        <v>109</v>
      </c>
      <c r="N45" s="53" t="s">
        <v>110</v>
      </c>
      <c r="O45" s="53" t="s">
        <v>61</v>
      </c>
      <c r="P45" s="53" t="s">
        <v>131</v>
      </c>
      <c r="Q45" s="53" t="s">
        <v>84</v>
      </c>
      <c r="R45" s="53" t="s">
        <v>62</v>
      </c>
      <c r="S45" s="53" t="s">
        <v>109</v>
      </c>
      <c r="T45" s="53" t="s">
        <v>1365</v>
      </c>
      <c r="U45" s="53" t="s">
        <v>109</v>
      </c>
      <c r="V45" s="53" t="s">
        <v>109</v>
      </c>
    </row>
    <row r="46" spans="1:22" x14ac:dyDescent="0.3">
      <c r="A46" s="53">
        <v>45</v>
      </c>
      <c r="B46" s="53" t="s">
        <v>23</v>
      </c>
      <c r="C46" s="53" t="s">
        <v>1364</v>
      </c>
      <c r="D46" s="53">
        <v>50126341</v>
      </c>
      <c r="E46" s="53">
        <v>75</v>
      </c>
      <c r="F46" s="53">
        <v>78</v>
      </c>
      <c r="G46" s="53">
        <v>11</v>
      </c>
      <c r="H46" s="53" t="s">
        <v>222</v>
      </c>
      <c r="I46" s="53" t="s">
        <v>109</v>
      </c>
      <c r="J46" s="53" t="s">
        <v>130</v>
      </c>
      <c r="K46" s="53" t="s">
        <v>109</v>
      </c>
      <c r="L46" s="82">
        <v>0.6791666666666667</v>
      </c>
      <c r="M46" s="53" t="s">
        <v>109</v>
      </c>
      <c r="N46" s="53" t="s">
        <v>110</v>
      </c>
      <c r="O46" s="53" t="s">
        <v>61</v>
      </c>
      <c r="P46" s="53" t="s">
        <v>131</v>
      </c>
      <c r="Q46" s="53" t="s">
        <v>222</v>
      </c>
      <c r="R46" s="53" t="s">
        <v>62</v>
      </c>
      <c r="S46" s="53" t="s">
        <v>109</v>
      </c>
      <c r="T46" s="53" t="s">
        <v>1365</v>
      </c>
      <c r="U46" s="53" t="s">
        <v>109</v>
      </c>
      <c r="V46" s="53" t="s">
        <v>109</v>
      </c>
    </row>
    <row r="47" spans="1:22" x14ac:dyDescent="0.3">
      <c r="A47" s="53">
        <v>46</v>
      </c>
      <c r="B47" s="53" t="s">
        <v>23</v>
      </c>
      <c r="C47" s="53" t="s">
        <v>686</v>
      </c>
      <c r="D47" s="53">
        <v>50126137</v>
      </c>
      <c r="E47" s="53">
        <v>75</v>
      </c>
      <c r="F47" s="53">
        <v>0</v>
      </c>
      <c r="G47" s="53">
        <v>0</v>
      </c>
      <c r="H47" s="53" t="s">
        <v>274</v>
      </c>
      <c r="I47" s="53" t="s">
        <v>109</v>
      </c>
      <c r="J47" s="53" t="s">
        <v>130</v>
      </c>
      <c r="K47" s="82">
        <v>5.2777777777777778E-2</v>
      </c>
      <c r="L47" s="53" t="s">
        <v>109</v>
      </c>
      <c r="M47" s="53" t="s">
        <v>109</v>
      </c>
      <c r="N47" s="53" t="s">
        <v>1443</v>
      </c>
      <c r="O47" s="53" t="s">
        <v>61</v>
      </c>
      <c r="P47" s="53" t="s">
        <v>131</v>
      </c>
      <c r="Q47" s="53" t="s">
        <v>274</v>
      </c>
      <c r="R47" s="53" t="s">
        <v>62</v>
      </c>
      <c r="S47" s="53" t="s">
        <v>109</v>
      </c>
      <c r="T47" s="53" t="s">
        <v>688</v>
      </c>
      <c r="U47" s="53" t="s">
        <v>109</v>
      </c>
      <c r="V47" s="53" t="s">
        <v>109</v>
      </c>
    </row>
    <row r="48" spans="1:22" x14ac:dyDescent="0.3">
      <c r="A48" s="53">
        <v>47</v>
      </c>
      <c r="B48" s="53" t="s">
        <v>23</v>
      </c>
      <c r="C48" s="53" t="s">
        <v>982</v>
      </c>
      <c r="D48" s="53">
        <v>50126277</v>
      </c>
      <c r="E48" s="53">
        <v>100</v>
      </c>
      <c r="F48" s="53">
        <v>150</v>
      </c>
      <c r="G48" s="53">
        <v>56</v>
      </c>
      <c r="H48" s="53" t="s">
        <v>84</v>
      </c>
      <c r="I48" s="53" t="s">
        <v>109</v>
      </c>
      <c r="J48" s="53" t="s">
        <v>130</v>
      </c>
      <c r="K48" s="82">
        <v>0.12361111111111112</v>
      </c>
      <c r="L48" s="53" t="s">
        <v>109</v>
      </c>
      <c r="M48" s="53" t="s">
        <v>109</v>
      </c>
      <c r="N48" s="53" t="s">
        <v>109</v>
      </c>
      <c r="O48" s="53" t="s">
        <v>61</v>
      </c>
      <c r="P48" s="53" t="s">
        <v>131</v>
      </c>
      <c r="Q48" s="53" t="s">
        <v>84</v>
      </c>
      <c r="R48" s="53" t="s">
        <v>62</v>
      </c>
      <c r="S48" s="53" t="s">
        <v>109</v>
      </c>
      <c r="T48" s="53" t="s">
        <v>334</v>
      </c>
      <c r="U48" s="53" t="s">
        <v>109</v>
      </c>
      <c r="V48" s="53" t="s">
        <v>109</v>
      </c>
    </row>
    <row r="49" spans="1:22" x14ac:dyDescent="0.3">
      <c r="A49" s="53">
        <v>48</v>
      </c>
      <c r="B49" s="53" t="s">
        <v>23</v>
      </c>
      <c r="C49" s="53" t="s">
        <v>985</v>
      </c>
      <c r="D49" s="53">
        <v>50126273</v>
      </c>
      <c r="E49" s="53">
        <v>150</v>
      </c>
      <c r="F49" s="53">
        <v>276</v>
      </c>
      <c r="G49" s="53">
        <v>157</v>
      </c>
      <c r="H49" s="53" t="s">
        <v>232</v>
      </c>
      <c r="I49" s="53" t="s">
        <v>109</v>
      </c>
      <c r="J49" s="53" t="s">
        <v>130</v>
      </c>
      <c r="K49" s="53" t="s">
        <v>109</v>
      </c>
      <c r="L49" s="82">
        <v>0.73263888888888884</v>
      </c>
      <c r="M49" s="53" t="s">
        <v>109</v>
      </c>
      <c r="N49" s="53" t="s">
        <v>109</v>
      </c>
      <c r="O49" s="53" t="s">
        <v>61</v>
      </c>
      <c r="P49" s="53" t="s">
        <v>131</v>
      </c>
      <c r="Q49" s="53" t="s">
        <v>241</v>
      </c>
      <c r="R49" s="53" t="s">
        <v>62</v>
      </c>
      <c r="S49" s="53" t="s">
        <v>109</v>
      </c>
      <c r="T49" s="53" t="s">
        <v>334</v>
      </c>
      <c r="U49" s="53" t="s">
        <v>109</v>
      </c>
      <c r="V49" s="53" t="s">
        <v>109</v>
      </c>
    </row>
    <row r="50" spans="1:22" x14ac:dyDescent="0.3">
      <c r="A50" s="53">
        <v>49</v>
      </c>
      <c r="B50" s="53" t="s">
        <v>23</v>
      </c>
      <c r="C50" s="53" t="s">
        <v>1366</v>
      </c>
      <c r="D50" s="53">
        <v>50126343</v>
      </c>
      <c r="E50" s="53">
        <v>1000</v>
      </c>
      <c r="F50" s="53">
        <v>2295</v>
      </c>
      <c r="G50" s="53">
        <v>1158</v>
      </c>
      <c r="H50" s="53" t="s">
        <v>1452</v>
      </c>
      <c r="I50" s="53" t="s">
        <v>109</v>
      </c>
      <c r="J50" s="53" t="s">
        <v>130</v>
      </c>
      <c r="K50" s="82">
        <v>0.7631944444444444</v>
      </c>
      <c r="L50" s="82">
        <v>0.85486111111111107</v>
      </c>
      <c r="M50" s="53" t="s">
        <v>109</v>
      </c>
      <c r="N50" s="53" t="s">
        <v>1444</v>
      </c>
      <c r="O50" s="53" t="s">
        <v>61</v>
      </c>
      <c r="P50" s="53" t="s">
        <v>109</v>
      </c>
      <c r="Q50" s="53" t="s">
        <v>109</v>
      </c>
      <c r="R50" s="53" t="s">
        <v>62</v>
      </c>
      <c r="S50" s="53" t="s">
        <v>109</v>
      </c>
      <c r="T50" s="53" t="s">
        <v>1365</v>
      </c>
      <c r="U50" s="53" t="s">
        <v>109</v>
      </c>
      <c r="V50" s="53" t="s">
        <v>109</v>
      </c>
    </row>
    <row r="51" spans="1:22" x14ac:dyDescent="0.3">
      <c r="A51" s="53">
        <v>50</v>
      </c>
      <c r="B51" s="53" t="s">
        <v>23</v>
      </c>
      <c r="C51" s="53" t="s">
        <v>1027</v>
      </c>
      <c r="D51" s="53">
        <v>50126290</v>
      </c>
      <c r="E51" s="53">
        <v>15</v>
      </c>
      <c r="F51" s="53">
        <v>27</v>
      </c>
      <c r="G51" s="53">
        <v>0</v>
      </c>
      <c r="H51" s="53" t="s">
        <v>65</v>
      </c>
      <c r="I51" s="53" t="s">
        <v>109</v>
      </c>
      <c r="J51" s="53" t="s">
        <v>130</v>
      </c>
      <c r="K51" s="53" t="s">
        <v>109</v>
      </c>
      <c r="L51" s="82">
        <v>0.78472222222222221</v>
      </c>
      <c r="M51" s="53" t="s">
        <v>109</v>
      </c>
      <c r="N51" s="53" t="s">
        <v>109</v>
      </c>
      <c r="O51" s="53" t="s">
        <v>61</v>
      </c>
      <c r="P51" s="53" t="s">
        <v>131</v>
      </c>
      <c r="Q51" s="53" t="s">
        <v>65</v>
      </c>
      <c r="R51" s="53" t="s">
        <v>62</v>
      </c>
      <c r="S51" s="53" t="s">
        <v>109</v>
      </c>
      <c r="T51" s="53" t="s">
        <v>223</v>
      </c>
      <c r="U51" s="53" t="s">
        <v>109</v>
      </c>
      <c r="V51" s="53" t="s">
        <v>109</v>
      </c>
    </row>
    <row r="52" spans="1:22" x14ac:dyDescent="0.3">
      <c r="A52" s="53">
        <v>51</v>
      </c>
      <c r="B52" s="53" t="s">
        <v>23</v>
      </c>
      <c r="C52" s="53" t="s">
        <v>1030</v>
      </c>
      <c r="D52" s="53">
        <v>50126292</v>
      </c>
      <c r="E52" s="53">
        <v>50</v>
      </c>
      <c r="F52" s="53">
        <v>132</v>
      </c>
      <c r="G52" s="53">
        <v>4</v>
      </c>
      <c r="H52" s="53" t="s">
        <v>184</v>
      </c>
      <c r="I52" s="53" t="s">
        <v>109</v>
      </c>
      <c r="J52" s="53" t="s">
        <v>130</v>
      </c>
      <c r="K52" s="53" t="s">
        <v>109</v>
      </c>
      <c r="L52" s="82">
        <v>0.8041666666666667</v>
      </c>
      <c r="M52" s="53" t="s">
        <v>109</v>
      </c>
      <c r="N52" s="53" t="s">
        <v>109</v>
      </c>
      <c r="O52" s="53" t="s">
        <v>61</v>
      </c>
      <c r="P52" s="53" t="s">
        <v>131</v>
      </c>
      <c r="Q52" s="53" t="s">
        <v>184</v>
      </c>
      <c r="R52" s="53" t="s">
        <v>62</v>
      </c>
      <c r="S52" s="53" t="s">
        <v>109</v>
      </c>
      <c r="T52" s="53" t="s">
        <v>223</v>
      </c>
      <c r="U52" s="53" t="s">
        <v>109</v>
      </c>
      <c r="V52" s="53" t="s">
        <v>109</v>
      </c>
    </row>
    <row r="53" spans="1:22" x14ac:dyDescent="0.3">
      <c r="A53" s="53">
        <v>52</v>
      </c>
      <c r="B53" s="53" t="s">
        <v>23</v>
      </c>
      <c r="C53" s="53" t="s">
        <v>1044</v>
      </c>
      <c r="D53" s="53">
        <v>50126281</v>
      </c>
      <c r="E53" s="53">
        <v>30</v>
      </c>
      <c r="F53" s="53">
        <v>64</v>
      </c>
      <c r="G53" s="53">
        <v>32</v>
      </c>
      <c r="H53" s="53" t="s">
        <v>196</v>
      </c>
      <c r="I53" s="53" t="s">
        <v>109</v>
      </c>
      <c r="J53" s="53" t="s">
        <v>130</v>
      </c>
      <c r="K53" s="53" t="s">
        <v>109</v>
      </c>
      <c r="L53" s="82">
        <v>0.68333333333333335</v>
      </c>
      <c r="M53" s="53" t="s">
        <v>109</v>
      </c>
      <c r="N53" s="53" t="s">
        <v>109</v>
      </c>
      <c r="O53" s="53" t="s">
        <v>61</v>
      </c>
      <c r="P53" s="53" t="s">
        <v>131</v>
      </c>
      <c r="Q53" s="53" t="s">
        <v>196</v>
      </c>
      <c r="R53" s="53" t="s">
        <v>62</v>
      </c>
      <c r="S53" s="53" t="s">
        <v>109</v>
      </c>
      <c r="T53" s="53" t="s">
        <v>223</v>
      </c>
      <c r="U53" s="53" t="s">
        <v>109</v>
      </c>
      <c r="V53" s="53" t="s">
        <v>109</v>
      </c>
    </row>
    <row r="54" spans="1:22" x14ac:dyDescent="0.3">
      <c r="A54" s="53">
        <v>53</v>
      </c>
      <c r="B54" s="53" t="s">
        <v>23</v>
      </c>
      <c r="C54" s="53" t="s">
        <v>752</v>
      </c>
      <c r="D54" s="53">
        <v>50126141</v>
      </c>
      <c r="E54" s="53">
        <v>100</v>
      </c>
      <c r="F54" s="53">
        <v>200</v>
      </c>
      <c r="G54" s="53">
        <v>47</v>
      </c>
      <c r="H54" s="53" t="s">
        <v>184</v>
      </c>
      <c r="I54" s="53" t="s">
        <v>91</v>
      </c>
      <c r="J54" s="53" t="s">
        <v>130</v>
      </c>
      <c r="K54" s="82">
        <v>7.2222222222222215E-2</v>
      </c>
      <c r="L54" s="82">
        <v>0.10138888888888889</v>
      </c>
      <c r="M54" s="53" t="s">
        <v>109</v>
      </c>
      <c r="N54" s="53" t="s">
        <v>109</v>
      </c>
      <c r="O54" s="53" t="s">
        <v>61</v>
      </c>
      <c r="P54" s="53" t="s">
        <v>131</v>
      </c>
      <c r="Q54" s="53" t="s">
        <v>91</v>
      </c>
      <c r="R54" s="53" t="s">
        <v>62</v>
      </c>
      <c r="S54" s="53" t="s">
        <v>109</v>
      </c>
      <c r="T54" s="53" t="s">
        <v>480</v>
      </c>
      <c r="U54" s="53" t="s">
        <v>109</v>
      </c>
      <c r="V54" s="53" t="s">
        <v>109</v>
      </c>
    </row>
    <row r="55" spans="1:22" x14ac:dyDescent="0.3">
      <c r="A55" s="53">
        <v>54</v>
      </c>
      <c r="B55" s="53" t="s">
        <v>23</v>
      </c>
      <c r="C55" s="53" t="s">
        <v>754</v>
      </c>
      <c r="D55" s="53">
        <v>50126148</v>
      </c>
      <c r="E55" s="53">
        <v>100</v>
      </c>
      <c r="F55" s="53">
        <v>200</v>
      </c>
      <c r="G55" s="53">
        <v>54</v>
      </c>
      <c r="H55" s="53" t="s">
        <v>70</v>
      </c>
      <c r="I55" s="53" t="s">
        <v>179</v>
      </c>
      <c r="J55" s="53" t="s">
        <v>130</v>
      </c>
      <c r="K55" s="82">
        <v>0.99513888888888891</v>
      </c>
      <c r="L55" s="82">
        <v>9.7222222222222224E-3</v>
      </c>
      <c r="M55" s="53" t="s">
        <v>109</v>
      </c>
      <c r="N55" s="53" t="s">
        <v>109</v>
      </c>
      <c r="O55" s="53" t="s">
        <v>61</v>
      </c>
      <c r="P55" s="53" t="s">
        <v>131</v>
      </c>
      <c r="Q55" s="53" t="s">
        <v>179</v>
      </c>
      <c r="R55" s="53" t="s">
        <v>62</v>
      </c>
      <c r="S55" s="53" t="s">
        <v>109</v>
      </c>
      <c r="T55" s="53" t="s">
        <v>480</v>
      </c>
      <c r="U55" s="53" t="s">
        <v>109</v>
      </c>
      <c r="V55" s="53" t="s">
        <v>109</v>
      </c>
    </row>
    <row r="56" spans="1:22" x14ac:dyDescent="0.3">
      <c r="A56" s="53">
        <v>55</v>
      </c>
      <c r="B56" s="53" t="s">
        <v>23</v>
      </c>
      <c r="C56" s="53" t="s">
        <v>755</v>
      </c>
      <c r="D56" s="53">
        <v>50126149</v>
      </c>
      <c r="E56" s="53">
        <v>120</v>
      </c>
      <c r="F56" s="53">
        <v>208</v>
      </c>
      <c r="G56" s="53">
        <v>118</v>
      </c>
      <c r="H56" s="53" t="s">
        <v>204</v>
      </c>
      <c r="I56" s="53" t="s">
        <v>230</v>
      </c>
      <c r="J56" s="53" t="s">
        <v>130</v>
      </c>
      <c r="K56" s="82">
        <v>7.8472222222222221E-2</v>
      </c>
      <c r="L56" s="82">
        <v>0.85833333333333328</v>
      </c>
      <c r="M56" s="53" t="s">
        <v>109</v>
      </c>
      <c r="N56" s="53" t="s">
        <v>109</v>
      </c>
      <c r="O56" s="53" t="s">
        <v>61</v>
      </c>
      <c r="P56" s="53" t="s">
        <v>131</v>
      </c>
      <c r="Q56" s="53" t="s">
        <v>86</v>
      </c>
      <c r="R56" s="53" t="s">
        <v>62</v>
      </c>
      <c r="S56" s="53" t="s">
        <v>109</v>
      </c>
      <c r="T56" s="53" t="s">
        <v>480</v>
      </c>
      <c r="U56" s="53" t="s">
        <v>109</v>
      </c>
      <c r="V56" s="53" t="s">
        <v>109</v>
      </c>
    </row>
    <row r="57" spans="1:22" x14ac:dyDescent="0.3">
      <c r="A57" s="53">
        <v>56</v>
      </c>
      <c r="B57" s="53" t="s">
        <v>23</v>
      </c>
      <c r="C57" s="53" t="s">
        <v>756</v>
      </c>
      <c r="D57" s="53">
        <v>50126144</v>
      </c>
      <c r="E57" s="53">
        <v>81</v>
      </c>
      <c r="F57" s="53">
        <v>81</v>
      </c>
      <c r="G57" s="53">
        <v>44</v>
      </c>
      <c r="H57" s="53" t="s">
        <v>274</v>
      </c>
      <c r="I57" s="53" t="s">
        <v>91</v>
      </c>
      <c r="J57" s="53" t="s">
        <v>130</v>
      </c>
      <c r="K57" s="53" t="s">
        <v>1455</v>
      </c>
      <c r="L57" s="82">
        <v>9.0277777777777776E-2</v>
      </c>
      <c r="M57" s="53" t="s">
        <v>109</v>
      </c>
      <c r="N57" s="53" t="s">
        <v>109</v>
      </c>
      <c r="O57" s="53" t="s">
        <v>61</v>
      </c>
      <c r="P57" s="53" t="s">
        <v>131</v>
      </c>
      <c r="Q57" s="53" t="s">
        <v>91</v>
      </c>
      <c r="R57" s="53" t="s">
        <v>62</v>
      </c>
      <c r="S57" s="53" t="s">
        <v>109</v>
      </c>
      <c r="T57" s="53" t="s">
        <v>480</v>
      </c>
      <c r="U57" s="53" t="s">
        <v>109</v>
      </c>
      <c r="V57" s="53" t="s">
        <v>109</v>
      </c>
    </row>
    <row r="58" spans="1:22" x14ac:dyDescent="0.3">
      <c r="A58" s="53">
        <v>57</v>
      </c>
      <c r="B58" s="53" t="s">
        <v>23</v>
      </c>
      <c r="C58" s="53" t="s">
        <v>758</v>
      </c>
      <c r="D58" s="53">
        <v>50126142</v>
      </c>
      <c r="E58" s="53">
        <v>200</v>
      </c>
      <c r="F58" s="53">
        <v>367</v>
      </c>
      <c r="G58" s="53">
        <v>150</v>
      </c>
      <c r="H58" s="53" t="s">
        <v>574</v>
      </c>
      <c r="I58" s="53" t="s">
        <v>1445</v>
      </c>
      <c r="J58" s="53" t="s">
        <v>130</v>
      </c>
      <c r="K58" s="82">
        <v>0.9868055555555556</v>
      </c>
      <c r="L58" s="82">
        <v>4.2361111111111113E-2</v>
      </c>
      <c r="M58" s="53" t="s">
        <v>109</v>
      </c>
      <c r="N58" s="53" t="s">
        <v>109</v>
      </c>
      <c r="O58" s="53" t="s">
        <v>61</v>
      </c>
      <c r="P58" s="53" t="s">
        <v>131</v>
      </c>
      <c r="Q58" s="53" t="s">
        <v>179</v>
      </c>
      <c r="R58" s="53" t="s">
        <v>62</v>
      </c>
      <c r="S58" s="53" t="s">
        <v>109</v>
      </c>
      <c r="T58" s="53" t="s">
        <v>480</v>
      </c>
      <c r="U58" s="53" t="s">
        <v>109</v>
      </c>
      <c r="V58" s="53" t="s">
        <v>109</v>
      </c>
    </row>
    <row r="59" spans="1:22" x14ac:dyDescent="0.3">
      <c r="A59" s="53">
        <v>58</v>
      </c>
      <c r="B59" s="53" t="s">
        <v>23</v>
      </c>
      <c r="C59" s="53" t="s">
        <v>759</v>
      </c>
      <c r="D59" s="53">
        <v>50126147</v>
      </c>
      <c r="E59" s="53">
        <v>150</v>
      </c>
      <c r="F59" s="53">
        <v>289</v>
      </c>
      <c r="G59" s="53">
        <v>145</v>
      </c>
      <c r="H59" s="53" t="s">
        <v>237</v>
      </c>
      <c r="I59" s="53" t="s">
        <v>173</v>
      </c>
      <c r="J59" s="53" t="s">
        <v>130</v>
      </c>
      <c r="K59" s="82">
        <v>0.88888888888888884</v>
      </c>
      <c r="L59" s="82">
        <v>0.95763888888888893</v>
      </c>
      <c r="M59" s="53" t="s">
        <v>109</v>
      </c>
      <c r="N59" s="53" t="s">
        <v>109</v>
      </c>
      <c r="O59" s="53" t="s">
        <v>61</v>
      </c>
      <c r="P59" s="53" t="s">
        <v>131</v>
      </c>
      <c r="Q59" s="53" t="s">
        <v>91</v>
      </c>
      <c r="R59" s="53" t="s">
        <v>62</v>
      </c>
      <c r="S59" s="53" t="s">
        <v>109</v>
      </c>
      <c r="T59" s="53" t="s">
        <v>480</v>
      </c>
      <c r="U59" s="53" t="s">
        <v>109</v>
      </c>
      <c r="V59" s="53" t="s">
        <v>109</v>
      </c>
    </row>
    <row r="60" spans="1:22" x14ac:dyDescent="0.3">
      <c r="A60" s="53">
        <v>59</v>
      </c>
      <c r="B60" s="53" t="s">
        <v>23</v>
      </c>
      <c r="C60" s="53" t="s">
        <v>1053</v>
      </c>
      <c r="D60" s="53">
        <v>50126314</v>
      </c>
      <c r="E60" s="53">
        <v>110</v>
      </c>
      <c r="F60" s="53">
        <v>218</v>
      </c>
      <c r="G60" s="53">
        <v>97</v>
      </c>
      <c r="H60" s="53" t="s">
        <v>79</v>
      </c>
      <c r="I60" s="53" t="s">
        <v>1446</v>
      </c>
      <c r="J60" s="53" t="s">
        <v>130</v>
      </c>
      <c r="K60" s="82">
        <v>0.92569444444444449</v>
      </c>
      <c r="L60" s="55">
        <v>0.9506944444444444</v>
      </c>
      <c r="M60" s="53" t="s">
        <v>109</v>
      </c>
      <c r="N60" s="53" t="s">
        <v>109</v>
      </c>
      <c r="O60" s="53" t="s">
        <v>61</v>
      </c>
      <c r="P60" s="53" t="s">
        <v>131</v>
      </c>
      <c r="Q60" s="53" t="s">
        <v>86</v>
      </c>
      <c r="R60" s="53" t="s">
        <v>62</v>
      </c>
      <c r="S60" s="53" t="s">
        <v>109</v>
      </c>
      <c r="T60" s="53" t="s">
        <v>480</v>
      </c>
      <c r="U60" s="53" t="s">
        <v>109</v>
      </c>
      <c r="V60" s="53" t="s">
        <v>109</v>
      </c>
    </row>
    <row r="61" spans="1:22" x14ac:dyDescent="0.3">
      <c r="A61" s="53">
        <v>60</v>
      </c>
      <c r="B61" s="53" t="s">
        <v>23</v>
      </c>
      <c r="C61" s="53" t="s">
        <v>1054</v>
      </c>
      <c r="D61" s="53">
        <v>50126315</v>
      </c>
      <c r="E61" s="53">
        <v>200</v>
      </c>
      <c r="F61" s="53">
        <v>372</v>
      </c>
      <c r="G61" s="53">
        <v>46</v>
      </c>
      <c r="H61" s="53" t="s">
        <v>1447</v>
      </c>
      <c r="I61" s="53" t="s">
        <v>1448</v>
      </c>
      <c r="J61" s="53" t="s">
        <v>130</v>
      </c>
      <c r="K61" s="82">
        <v>0.91666666666666663</v>
      </c>
      <c r="L61" s="82">
        <v>0.94374999999999998</v>
      </c>
      <c r="M61" s="53" t="s">
        <v>109</v>
      </c>
      <c r="N61" s="53" t="s">
        <v>109</v>
      </c>
      <c r="O61" s="53" t="s">
        <v>61</v>
      </c>
      <c r="P61" s="53" t="s">
        <v>131</v>
      </c>
      <c r="Q61" s="53" t="s">
        <v>95</v>
      </c>
      <c r="R61" s="53" t="s">
        <v>62</v>
      </c>
      <c r="S61" s="53" t="s">
        <v>109</v>
      </c>
      <c r="T61" s="53" t="s">
        <v>480</v>
      </c>
      <c r="U61" s="53" t="s">
        <v>109</v>
      </c>
      <c r="V61" s="53" t="s">
        <v>109</v>
      </c>
    </row>
    <row r="62" spans="1:22" x14ac:dyDescent="0.3">
      <c r="A62" s="53">
        <v>61</v>
      </c>
      <c r="B62" s="53" t="s">
        <v>23</v>
      </c>
      <c r="C62" s="53" t="s">
        <v>1055</v>
      </c>
      <c r="D62" s="53">
        <v>50126317</v>
      </c>
      <c r="E62" s="53">
        <v>25</v>
      </c>
      <c r="F62" s="53">
        <v>46</v>
      </c>
      <c r="G62" s="53">
        <v>12</v>
      </c>
      <c r="H62" s="53" t="s">
        <v>241</v>
      </c>
      <c r="I62" s="53" t="s">
        <v>93</v>
      </c>
      <c r="J62" s="53" t="s">
        <v>130</v>
      </c>
      <c r="K62" s="82">
        <v>3.125E-2</v>
      </c>
      <c r="L62" s="82">
        <v>6.458333333333334E-2</v>
      </c>
      <c r="M62" s="53" t="s">
        <v>109</v>
      </c>
      <c r="N62" s="53" t="s">
        <v>109</v>
      </c>
      <c r="O62" s="53" t="s">
        <v>61</v>
      </c>
      <c r="P62" s="53" t="s">
        <v>131</v>
      </c>
      <c r="Q62" s="53" t="s">
        <v>93</v>
      </c>
      <c r="R62" s="53" t="s">
        <v>62</v>
      </c>
      <c r="S62" s="53" t="s">
        <v>109</v>
      </c>
      <c r="T62" s="53" t="s">
        <v>480</v>
      </c>
      <c r="U62" s="53" t="s">
        <v>109</v>
      </c>
      <c r="V62" s="53" t="s">
        <v>109</v>
      </c>
    </row>
    <row r="63" spans="1:22" x14ac:dyDescent="0.3">
      <c r="A63" s="53">
        <v>62</v>
      </c>
      <c r="B63" s="53" t="s">
        <v>23</v>
      </c>
      <c r="C63" s="53" t="s">
        <v>1056</v>
      </c>
      <c r="D63" s="53">
        <v>50126316</v>
      </c>
      <c r="E63" s="53">
        <v>250</v>
      </c>
      <c r="F63" s="53">
        <v>470</v>
      </c>
      <c r="G63" s="53">
        <v>118</v>
      </c>
      <c r="H63" s="53" t="s">
        <v>1449</v>
      </c>
      <c r="I63" s="53" t="s">
        <v>1450</v>
      </c>
      <c r="J63" s="53" t="s">
        <v>130</v>
      </c>
      <c r="K63" s="82">
        <v>0.92708333333333337</v>
      </c>
      <c r="L63" s="82">
        <v>0.97986111111111107</v>
      </c>
      <c r="M63" s="53" t="s">
        <v>109</v>
      </c>
      <c r="N63" s="53" t="s">
        <v>109</v>
      </c>
      <c r="O63" s="53" t="s">
        <v>61</v>
      </c>
      <c r="P63" s="53" t="s">
        <v>131</v>
      </c>
      <c r="Q63" s="53" t="s">
        <v>93</v>
      </c>
      <c r="R63" s="53" t="s">
        <v>62</v>
      </c>
      <c r="S63" s="53" t="s">
        <v>109</v>
      </c>
      <c r="T63" s="53" t="s">
        <v>480</v>
      </c>
      <c r="U63" s="53" t="s">
        <v>109</v>
      </c>
      <c r="V63" s="53" t="s">
        <v>109</v>
      </c>
    </row>
    <row r="64" spans="1:22" x14ac:dyDescent="0.3">
      <c r="A64" s="53">
        <v>63</v>
      </c>
      <c r="B64" s="53" t="s">
        <v>23</v>
      </c>
      <c r="C64" s="53" t="s">
        <v>1110</v>
      </c>
      <c r="D64" s="53">
        <v>50126322</v>
      </c>
      <c r="E64" s="53">
        <v>200</v>
      </c>
      <c r="F64" s="53">
        <v>347</v>
      </c>
      <c r="G64" s="53">
        <v>198</v>
      </c>
      <c r="H64" s="53" t="s">
        <v>672</v>
      </c>
      <c r="I64" s="53" t="s">
        <v>109</v>
      </c>
      <c r="J64" s="53" t="s">
        <v>130</v>
      </c>
      <c r="K64" s="53" t="s">
        <v>109</v>
      </c>
      <c r="L64" s="82">
        <v>0.77916666666666667</v>
      </c>
      <c r="M64" s="53" t="s">
        <v>109</v>
      </c>
      <c r="N64" s="53" t="s">
        <v>109</v>
      </c>
      <c r="O64" s="53" t="s">
        <v>61</v>
      </c>
      <c r="P64" s="53" t="s">
        <v>131</v>
      </c>
      <c r="Q64" s="53" t="s">
        <v>520</v>
      </c>
      <c r="R64" s="53" t="s">
        <v>62</v>
      </c>
      <c r="S64" s="53" t="s">
        <v>109</v>
      </c>
      <c r="T64" s="53" t="s">
        <v>1112</v>
      </c>
      <c r="U64" s="53" t="s">
        <v>109</v>
      </c>
      <c r="V64" s="53" t="s">
        <v>109</v>
      </c>
    </row>
    <row r="65" spans="1:22" x14ac:dyDescent="0.3">
      <c r="A65" s="53">
        <v>64</v>
      </c>
      <c r="B65" s="53" t="s">
        <v>23</v>
      </c>
      <c r="C65" s="53" t="s">
        <v>219</v>
      </c>
      <c r="D65" s="53">
        <v>51225067</v>
      </c>
      <c r="E65" s="53">
        <v>20</v>
      </c>
      <c r="F65" s="53">
        <v>46</v>
      </c>
      <c r="G65" s="53">
        <v>12</v>
      </c>
      <c r="H65" s="53" t="s">
        <v>68</v>
      </c>
      <c r="I65" s="53" t="s">
        <v>109</v>
      </c>
      <c r="J65" s="53" t="s">
        <v>130</v>
      </c>
      <c r="K65" s="53" t="s">
        <v>109</v>
      </c>
      <c r="L65" s="82">
        <v>0.8</v>
      </c>
      <c r="M65" s="53" t="s">
        <v>109</v>
      </c>
      <c r="N65" s="53" t="s">
        <v>109</v>
      </c>
      <c r="O65" s="53" t="s">
        <v>61</v>
      </c>
      <c r="P65" s="53" t="s">
        <v>131</v>
      </c>
      <c r="Q65" s="53" t="s">
        <v>68</v>
      </c>
      <c r="R65" s="53" t="s">
        <v>62</v>
      </c>
      <c r="S65" s="53" t="s">
        <v>109</v>
      </c>
      <c r="T65" s="53" t="s">
        <v>218</v>
      </c>
      <c r="U65" s="53" t="s">
        <v>109</v>
      </c>
      <c r="V65" s="53" t="s">
        <v>109</v>
      </c>
    </row>
    <row r="66" spans="1:22" x14ac:dyDescent="0.3">
      <c r="A66" s="53">
        <v>64</v>
      </c>
      <c r="B66" s="53" t="s">
        <v>143</v>
      </c>
      <c r="C66" s="53" t="s">
        <v>1454</v>
      </c>
      <c r="D66" s="53">
        <v>11125084</v>
      </c>
      <c r="E66" s="53">
        <v>43</v>
      </c>
      <c r="F66" s="53">
        <v>8</v>
      </c>
      <c r="G66" s="53">
        <v>2</v>
      </c>
      <c r="H66" s="53" t="s">
        <v>93</v>
      </c>
      <c r="I66" s="53" t="s">
        <v>109</v>
      </c>
      <c r="J66" s="53" t="s">
        <v>130</v>
      </c>
      <c r="K66" s="82">
        <v>7.7777777777777779E-2</v>
      </c>
      <c r="L66" s="53" t="s">
        <v>109</v>
      </c>
      <c r="M66" s="53" t="s">
        <v>109</v>
      </c>
      <c r="N66" s="53" t="s">
        <v>109</v>
      </c>
      <c r="O66" s="53" t="s">
        <v>145</v>
      </c>
      <c r="P66" s="53" t="s">
        <v>131</v>
      </c>
      <c r="Q66" s="53" t="s">
        <v>93</v>
      </c>
      <c r="R66" s="53" t="s">
        <v>62</v>
      </c>
      <c r="S66" s="53" t="s">
        <v>109</v>
      </c>
      <c r="T66" s="53" t="s">
        <v>349</v>
      </c>
      <c r="U66" s="53" t="s">
        <v>109</v>
      </c>
      <c r="V66" s="53" t="s">
        <v>109</v>
      </c>
    </row>
    <row r="67" spans="1:22" x14ac:dyDescent="0.3">
      <c r="A67" s="53">
        <v>65</v>
      </c>
      <c r="B67" s="53" t="s">
        <v>23</v>
      </c>
      <c r="C67" s="53" t="s">
        <v>1241</v>
      </c>
      <c r="D67" s="53">
        <v>50126325</v>
      </c>
      <c r="E67" s="53">
        <v>10</v>
      </c>
      <c r="F67" s="53">
        <v>4</v>
      </c>
      <c r="G67" s="53">
        <v>1</v>
      </c>
      <c r="H67" s="53" t="s">
        <v>603</v>
      </c>
      <c r="I67" s="53" t="s">
        <v>109</v>
      </c>
      <c r="J67" s="53" t="s">
        <v>130</v>
      </c>
      <c r="K67" s="53" t="s">
        <v>109</v>
      </c>
      <c r="L67" s="82">
        <v>0.94652777777777775</v>
      </c>
      <c r="M67" s="53" t="s">
        <v>109</v>
      </c>
      <c r="N67" s="53" t="s">
        <v>109</v>
      </c>
      <c r="O67" s="53" t="s">
        <v>61</v>
      </c>
      <c r="P67" s="53" t="s">
        <v>131</v>
      </c>
      <c r="Q67" s="53" t="s">
        <v>603</v>
      </c>
      <c r="R67" s="53" t="s">
        <v>62</v>
      </c>
      <c r="S67" s="53" t="s">
        <v>109</v>
      </c>
      <c r="T67" s="53" t="s">
        <v>349</v>
      </c>
      <c r="U67" s="53" t="s">
        <v>109</v>
      </c>
      <c r="V67" s="53" t="s">
        <v>109</v>
      </c>
    </row>
    <row r="68" spans="1:22" x14ac:dyDescent="0.3">
      <c r="A68" s="53">
        <v>66</v>
      </c>
      <c r="B68" s="53" t="s">
        <v>163</v>
      </c>
      <c r="C68" s="53" t="s">
        <v>167</v>
      </c>
      <c r="D68" s="47">
        <v>40126007</v>
      </c>
      <c r="E68" s="53">
        <v>97</v>
      </c>
      <c r="F68" s="53" t="s">
        <v>109</v>
      </c>
      <c r="G68" s="53" t="s">
        <v>109</v>
      </c>
      <c r="H68" s="53" t="s">
        <v>109</v>
      </c>
      <c r="I68" s="53" t="s">
        <v>109</v>
      </c>
      <c r="J68" s="53" t="s">
        <v>109</v>
      </c>
      <c r="K68" s="53" t="s">
        <v>109</v>
      </c>
      <c r="L68" s="53" t="s">
        <v>109</v>
      </c>
      <c r="M68" s="53" t="s">
        <v>109</v>
      </c>
      <c r="N68" s="53" t="s">
        <v>109</v>
      </c>
      <c r="O68" s="53" t="s">
        <v>145</v>
      </c>
      <c r="P68" s="53" t="s">
        <v>109</v>
      </c>
      <c r="Q68" s="53" t="s">
        <v>109</v>
      </c>
      <c r="R68" s="53" t="s">
        <v>109</v>
      </c>
      <c r="S68" s="53" t="s">
        <v>109</v>
      </c>
      <c r="T68" s="53" t="s">
        <v>109</v>
      </c>
      <c r="U68" s="53" t="s">
        <v>109</v>
      </c>
      <c r="V68" s="53" t="s">
        <v>109</v>
      </c>
    </row>
  </sheetData>
  <conditionalFormatting sqref="D1">
    <cfRule type="duplicateValues" dxfId="97" priority="1"/>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BB35D-438F-4CF3-AE9F-3DE1ED6E6B5D}">
  <sheetPr codeName="Sheet17"/>
  <dimension ref="A1:W54"/>
  <sheetViews>
    <sheetView workbookViewId="0">
      <pane ySplit="1" topLeftCell="A2" activePane="bottomLeft" state="frozen"/>
      <selection pane="bottomLeft" activeCell="I2" sqref="I2"/>
    </sheetView>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c r="W1" s="5" t="s">
        <v>22</v>
      </c>
    </row>
    <row r="2" spans="1:23" x14ac:dyDescent="0.3">
      <c r="A2" s="7">
        <v>1</v>
      </c>
      <c r="B2" s="29" t="s">
        <v>23</v>
      </c>
      <c r="C2" s="29" t="s">
        <v>1378</v>
      </c>
      <c r="D2" s="29">
        <v>50126346</v>
      </c>
      <c r="E2" s="29">
        <v>15</v>
      </c>
      <c r="F2" s="7">
        <v>21</v>
      </c>
      <c r="G2" s="7">
        <v>11</v>
      </c>
      <c r="H2" s="7" t="s">
        <v>82</v>
      </c>
      <c r="I2" s="7" t="s">
        <v>109</v>
      </c>
      <c r="J2" s="7" t="s">
        <v>130</v>
      </c>
      <c r="K2" s="11">
        <v>0.92291666666666672</v>
      </c>
      <c r="L2" s="7" t="s">
        <v>109</v>
      </c>
      <c r="M2" s="7" t="s">
        <v>109</v>
      </c>
      <c r="N2" s="29" t="s">
        <v>109</v>
      </c>
      <c r="O2" s="29" t="s">
        <v>61</v>
      </c>
      <c r="P2" s="7" t="s">
        <v>131</v>
      </c>
      <c r="Q2" s="7" t="s">
        <v>82</v>
      </c>
      <c r="R2" s="7" t="s">
        <v>62</v>
      </c>
      <c r="S2" s="7" t="s">
        <v>109</v>
      </c>
      <c r="T2" s="7" t="s">
        <v>109</v>
      </c>
      <c r="U2" s="7" t="s">
        <v>109</v>
      </c>
      <c r="V2" s="7" t="s">
        <v>109</v>
      </c>
      <c r="W2" s="29" t="s">
        <v>223</v>
      </c>
    </row>
    <row r="3" spans="1:23" x14ac:dyDescent="0.3">
      <c r="A3" s="7">
        <v>2</v>
      </c>
      <c r="B3" s="29" t="s">
        <v>143</v>
      </c>
      <c r="C3" s="29" t="s">
        <v>1336</v>
      </c>
      <c r="D3" s="29">
        <v>10126031</v>
      </c>
      <c r="E3" s="29">
        <v>20</v>
      </c>
      <c r="F3" s="7">
        <v>14</v>
      </c>
      <c r="G3" s="7">
        <v>4</v>
      </c>
      <c r="H3" s="7" t="s">
        <v>184</v>
      </c>
      <c r="I3" s="7" t="s">
        <v>94</v>
      </c>
      <c r="J3" s="7" t="s">
        <v>130</v>
      </c>
      <c r="K3" s="11">
        <v>0.23333333333333334</v>
      </c>
      <c r="L3" s="7" t="s">
        <v>1487</v>
      </c>
      <c r="M3" s="7" t="s">
        <v>109</v>
      </c>
      <c r="N3" s="29" t="s">
        <v>1459</v>
      </c>
      <c r="O3" s="29" t="s">
        <v>61</v>
      </c>
      <c r="P3" s="7" t="s">
        <v>131</v>
      </c>
      <c r="Q3" s="7" t="s">
        <v>94</v>
      </c>
      <c r="R3" s="7" t="s">
        <v>62</v>
      </c>
      <c r="S3" s="7" t="s">
        <v>109</v>
      </c>
      <c r="T3" s="7" t="s">
        <v>109</v>
      </c>
      <c r="U3" s="7" t="s">
        <v>109</v>
      </c>
      <c r="V3" s="7" t="s">
        <v>109</v>
      </c>
      <c r="W3" s="29" t="s">
        <v>1335</v>
      </c>
    </row>
    <row r="4" spans="1:23" x14ac:dyDescent="0.3">
      <c r="A4" s="7">
        <v>3</v>
      </c>
      <c r="B4" s="29" t="s">
        <v>23</v>
      </c>
      <c r="C4" s="29" t="s">
        <v>37</v>
      </c>
      <c r="D4" s="29">
        <v>50825009</v>
      </c>
      <c r="E4" s="29">
        <v>30</v>
      </c>
      <c r="F4" s="7">
        <v>46</v>
      </c>
      <c r="G4" s="7">
        <v>33</v>
      </c>
      <c r="H4" s="7" t="s">
        <v>70</v>
      </c>
      <c r="I4" s="7" t="s">
        <v>109</v>
      </c>
      <c r="J4" s="7" t="s">
        <v>130</v>
      </c>
      <c r="K4" s="11">
        <v>0.66249999999999998</v>
      </c>
      <c r="L4" s="7" t="s">
        <v>109</v>
      </c>
      <c r="M4" s="7" t="s">
        <v>109</v>
      </c>
      <c r="N4" s="29" t="s">
        <v>109</v>
      </c>
      <c r="O4" s="29" t="s">
        <v>61</v>
      </c>
      <c r="P4" s="7" t="s">
        <v>131</v>
      </c>
      <c r="Q4" s="7" t="s">
        <v>70</v>
      </c>
      <c r="R4" s="7" t="s">
        <v>62</v>
      </c>
      <c r="S4" s="7" t="s">
        <v>109</v>
      </c>
      <c r="T4" s="7" t="s">
        <v>109</v>
      </c>
      <c r="U4" s="7" t="s">
        <v>109</v>
      </c>
      <c r="V4" s="7" t="s">
        <v>109</v>
      </c>
      <c r="W4" s="29" t="s">
        <v>115</v>
      </c>
    </row>
    <row r="5" spans="1:23" x14ac:dyDescent="0.3">
      <c r="A5" s="7">
        <v>4</v>
      </c>
      <c r="B5" s="29" t="s">
        <v>23</v>
      </c>
      <c r="C5" s="29" t="s">
        <v>1050</v>
      </c>
      <c r="D5" s="29">
        <v>50126285</v>
      </c>
      <c r="E5" s="29">
        <v>35</v>
      </c>
      <c r="F5" s="7">
        <v>68</v>
      </c>
      <c r="G5" s="7">
        <v>19</v>
      </c>
      <c r="H5" s="7" t="s">
        <v>64</v>
      </c>
      <c r="I5" s="7" t="s">
        <v>109</v>
      </c>
      <c r="J5" s="7" t="s">
        <v>130</v>
      </c>
      <c r="K5" s="7" t="s">
        <v>1491</v>
      </c>
      <c r="L5" s="7" t="s">
        <v>109</v>
      </c>
      <c r="M5" s="7" t="s">
        <v>109</v>
      </c>
      <c r="N5" s="29" t="s">
        <v>109</v>
      </c>
      <c r="O5" s="29" t="s">
        <v>61</v>
      </c>
      <c r="P5" s="7" t="s">
        <v>131</v>
      </c>
      <c r="Q5" s="7" t="s">
        <v>64</v>
      </c>
      <c r="R5" s="7" t="s">
        <v>62</v>
      </c>
      <c r="S5" s="7" t="s">
        <v>109</v>
      </c>
      <c r="T5" s="7" t="s">
        <v>109</v>
      </c>
      <c r="U5" s="7" t="s">
        <v>109</v>
      </c>
      <c r="V5" s="7" t="s">
        <v>109</v>
      </c>
      <c r="W5" s="29" t="s">
        <v>223</v>
      </c>
    </row>
    <row r="6" spans="1:23" x14ac:dyDescent="0.3">
      <c r="A6" s="7">
        <v>5</v>
      </c>
      <c r="B6" s="29" t="s">
        <v>23</v>
      </c>
      <c r="C6" s="29" t="s">
        <v>1099</v>
      </c>
      <c r="D6" s="29">
        <v>50126319</v>
      </c>
      <c r="E6" s="29">
        <v>40</v>
      </c>
      <c r="F6" s="7">
        <v>59</v>
      </c>
      <c r="G6" s="7">
        <v>25</v>
      </c>
      <c r="H6" s="7" t="s">
        <v>153</v>
      </c>
      <c r="I6" s="7" t="s">
        <v>109</v>
      </c>
      <c r="J6" s="7" t="s">
        <v>130</v>
      </c>
      <c r="K6" s="11">
        <v>0.63611111111111107</v>
      </c>
      <c r="L6" s="7" t="s">
        <v>109</v>
      </c>
      <c r="M6" s="7" t="s">
        <v>109</v>
      </c>
      <c r="N6" s="29" t="s">
        <v>109</v>
      </c>
      <c r="O6" s="29" t="s">
        <v>868</v>
      </c>
      <c r="P6" s="7" t="s">
        <v>131</v>
      </c>
      <c r="Q6" s="7" t="s">
        <v>153</v>
      </c>
      <c r="R6" s="7" t="s">
        <v>62</v>
      </c>
      <c r="S6" s="7" t="s">
        <v>109</v>
      </c>
      <c r="T6" s="7" t="s">
        <v>109</v>
      </c>
      <c r="U6" s="7" t="s">
        <v>109</v>
      </c>
      <c r="V6" s="7" t="s">
        <v>109</v>
      </c>
      <c r="W6" s="29" t="s">
        <v>142</v>
      </c>
    </row>
    <row r="7" spans="1:23" x14ac:dyDescent="0.3">
      <c r="A7" s="7">
        <v>6</v>
      </c>
      <c r="B7" s="29" t="s">
        <v>23</v>
      </c>
      <c r="C7" s="29" t="s">
        <v>586</v>
      </c>
      <c r="D7" s="29">
        <v>50126061</v>
      </c>
      <c r="E7" s="29">
        <v>40</v>
      </c>
      <c r="F7" s="7">
        <v>53</v>
      </c>
      <c r="G7" s="7">
        <v>42</v>
      </c>
      <c r="H7" s="7" t="s">
        <v>200</v>
      </c>
      <c r="I7" s="7" t="s">
        <v>109</v>
      </c>
      <c r="J7" s="7" t="s">
        <v>130</v>
      </c>
      <c r="K7" s="11">
        <v>0.66874999999999996</v>
      </c>
      <c r="L7" s="7" t="s">
        <v>109</v>
      </c>
      <c r="M7" s="7" t="s">
        <v>109</v>
      </c>
      <c r="N7" s="29" t="s">
        <v>109</v>
      </c>
      <c r="O7" s="29" t="s">
        <v>61</v>
      </c>
      <c r="P7" s="7" t="s">
        <v>131</v>
      </c>
      <c r="Q7" s="7" t="s">
        <v>200</v>
      </c>
      <c r="R7" s="7" t="s">
        <v>62</v>
      </c>
      <c r="S7" s="7" t="s">
        <v>109</v>
      </c>
      <c r="T7" s="7" t="s">
        <v>109</v>
      </c>
      <c r="U7" s="7" t="s">
        <v>109</v>
      </c>
      <c r="V7" s="7" t="s">
        <v>109</v>
      </c>
      <c r="W7" s="29" t="s">
        <v>610</v>
      </c>
    </row>
    <row r="8" spans="1:23" x14ac:dyDescent="0.3">
      <c r="A8" s="7">
        <v>7</v>
      </c>
      <c r="B8" s="29" t="s">
        <v>23</v>
      </c>
      <c r="C8" s="29" t="s">
        <v>589</v>
      </c>
      <c r="D8" s="29">
        <v>50126062</v>
      </c>
      <c r="E8" s="29">
        <v>40</v>
      </c>
      <c r="F8" s="7">
        <v>129</v>
      </c>
      <c r="G8" s="7">
        <v>26</v>
      </c>
      <c r="H8" s="7" t="s">
        <v>69</v>
      </c>
      <c r="I8" s="7" t="s">
        <v>109</v>
      </c>
      <c r="J8" s="7" t="s">
        <v>130</v>
      </c>
      <c r="K8" s="11">
        <v>0.82430555555555551</v>
      </c>
      <c r="L8" s="7" t="s">
        <v>109</v>
      </c>
      <c r="M8" s="7" t="s">
        <v>109</v>
      </c>
      <c r="N8" s="29" t="s">
        <v>109</v>
      </c>
      <c r="O8" s="29" t="s">
        <v>61</v>
      </c>
      <c r="P8" s="7" t="s">
        <v>131</v>
      </c>
      <c r="Q8" s="7" t="s">
        <v>69</v>
      </c>
      <c r="R8" s="7" t="s">
        <v>62</v>
      </c>
      <c r="S8" s="7" t="s">
        <v>109</v>
      </c>
      <c r="T8" s="7" t="s">
        <v>109</v>
      </c>
      <c r="U8" s="7" t="s">
        <v>109</v>
      </c>
      <c r="V8" s="7" t="s">
        <v>109</v>
      </c>
      <c r="W8" s="29" t="s">
        <v>610</v>
      </c>
    </row>
    <row r="9" spans="1:23" x14ac:dyDescent="0.3">
      <c r="A9" s="7">
        <v>8</v>
      </c>
      <c r="B9" s="29" t="s">
        <v>23</v>
      </c>
      <c r="C9" s="29" t="s">
        <v>595</v>
      </c>
      <c r="D9" s="29">
        <v>50126068</v>
      </c>
      <c r="E9" s="29">
        <v>40</v>
      </c>
      <c r="F9" s="7">
        <v>90</v>
      </c>
      <c r="G9" s="7">
        <v>36</v>
      </c>
      <c r="H9" s="7" t="s">
        <v>84</v>
      </c>
      <c r="I9" s="7" t="s">
        <v>109</v>
      </c>
      <c r="J9" s="7" t="s">
        <v>130</v>
      </c>
      <c r="K9" s="11">
        <v>0.90347222222222223</v>
      </c>
      <c r="L9" s="7" t="s">
        <v>109</v>
      </c>
      <c r="M9" s="7" t="s">
        <v>109</v>
      </c>
      <c r="N9" s="29" t="s">
        <v>109</v>
      </c>
      <c r="O9" s="29" t="s">
        <v>61</v>
      </c>
      <c r="P9" s="7" t="s">
        <v>131</v>
      </c>
      <c r="Q9" s="7" t="s">
        <v>84</v>
      </c>
      <c r="R9" s="7" t="s">
        <v>62</v>
      </c>
      <c r="S9" s="7" t="s">
        <v>109</v>
      </c>
      <c r="T9" s="7" t="s">
        <v>109</v>
      </c>
      <c r="U9" s="7" t="s">
        <v>109</v>
      </c>
      <c r="V9" s="7" t="s">
        <v>109</v>
      </c>
      <c r="W9" s="29" t="s">
        <v>610</v>
      </c>
    </row>
    <row r="10" spans="1:23" x14ac:dyDescent="0.3">
      <c r="A10" s="7">
        <v>9</v>
      </c>
      <c r="B10" s="29" t="s">
        <v>23</v>
      </c>
      <c r="C10" s="29" t="s">
        <v>596</v>
      </c>
      <c r="D10" s="29">
        <v>50126071</v>
      </c>
      <c r="E10" s="29">
        <v>40</v>
      </c>
      <c r="F10" s="7">
        <v>52</v>
      </c>
      <c r="G10" s="7">
        <v>41</v>
      </c>
      <c r="H10" s="7" t="s">
        <v>72</v>
      </c>
      <c r="I10" s="7" t="s">
        <v>109</v>
      </c>
      <c r="J10" s="7" t="s">
        <v>130</v>
      </c>
      <c r="K10" s="7" t="s">
        <v>1489</v>
      </c>
      <c r="L10" s="7" t="s">
        <v>109</v>
      </c>
      <c r="M10" s="7" t="s">
        <v>109</v>
      </c>
      <c r="N10" s="29" t="s">
        <v>109</v>
      </c>
      <c r="O10" s="29" t="s">
        <v>61</v>
      </c>
      <c r="P10" s="7" t="s">
        <v>131</v>
      </c>
      <c r="Q10" s="7" t="s">
        <v>72</v>
      </c>
      <c r="R10" s="7" t="s">
        <v>62</v>
      </c>
      <c r="S10" s="7" t="s">
        <v>109</v>
      </c>
      <c r="T10" s="7" t="s">
        <v>109</v>
      </c>
      <c r="U10" s="7" t="s">
        <v>109</v>
      </c>
      <c r="V10" s="7" t="s">
        <v>109</v>
      </c>
      <c r="W10" s="29" t="s">
        <v>610</v>
      </c>
    </row>
    <row r="11" spans="1:23" x14ac:dyDescent="0.3">
      <c r="A11" s="7">
        <v>10</v>
      </c>
      <c r="B11" s="29" t="s">
        <v>23</v>
      </c>
      <c r="C11" s="29" t="s">
        <v>36</v>
      </c>
      <c r="D11" s="29">
        <v>50825010</v>
      </c>
      <c r="E11" s="29">
        <v>40</v>
      </c>
      <c r="F11" s="7">
        <v>45</v>
      </c>
      <c r="G11" s="7">
        <v>36</v>
      </c>
      <c r="H11" s="7" t="s">
        <v>241</v>
      </c>
      <c r="I11" s="7" t="s">
        <v>109</v>
      </c>
      <c r="J11" s="7" t="s">
        <v>130</v>
      </c>
      <c r="K11" s="11">
        <v>0.7583333333333333</v>
      </c>
      <c r="L11" s="7" t="s">
        <v>109</v>
      </c>
      <c r="M11" s="7" t="s">
        <v>109</v>
      </c>
      <c r="N11" s="29" t="s">
        <v>109</v>
      </c>
      <c r="O11" s="29" t="s">
        <v>61</v>
      </c>
      <c r="P11" s="7" t="s">
        <v>131</v>
      </c>
      <c r="Q11" s="7" t="s">
        <v>241</v>
      </c>
      <c r="R11" s="7" t="s">
        <v>62</v>
      </c>
      <c r="S11" s="7" t="s">
        <v>109</v>
      </c>
      <c r="T11" s="7" t="s">
        <v>109</v>
      </c>
      <c r="U11" s="7" t="s">
        <v>109</v>
      </c>
      <c r="V11" s="7" t="s">
        <v>109</v>
      </c>
      <c r="W11" s="29" t="s">
        <v>115</v>
      </c>
    </row>
    <row r="12" spans="1:23" x14ac:dyDescent="0.3">
      <c r="A12" s="7">
        <v>11</v>
      </c>
      <c r="B12" s="29" t="s">
        <v>23</v>
      </c>
      <c r="C12" s="29" t="s">
        <v>1025</v>
      </c>
      <c r="D12" s="29">
        <v>51225087</v>
      </c>
      <c r="E12" s="29">
        <v>50</v>
      </c>
      <c r="F12" s="7">
        <v>46</v>
      </c>
      <c r="G12" s="7">
        <v>19</v>
      </c>
      <c r="H12" s="7" t="s">
        <v>71</v>
      </c>
      <c r="I12" s="7" t="s">
        <v>109</v>
      </c>
      <c r="J12" s="7" t="s">
        <v>130</v>
      </c>
      <c r="K12" s="11">
        <v>1.1805555555555555E-2</v>
      </c>
      <c r="L12" s="7" t="s">
        <v>109</v>
      </c>
      <c r="M12" s="7" t="s">
        <v>109</v>
      </c>
      <c r="N12" s="29" t="s">
        <v>1460</v>
      </c>
      <c r="O12" s="29" t="s">
        <v>61</v>
      </c>
      <c r="P12" s="7" t="s">
        <v>131</v>
      </c>
      <c r="Q12" s="7" t="s">
        <v>71</v>
      </c>
      <c r="R12" s="7" t="s">
        <v>62</v>
      </c>
      <c r="S12" s="7" t="s">
        <v>109</v>
      </c>
      <c r="T12" s="7" t="s">
        <v>109</v>
      </c>
      <c r="U12" s="7" t="s">
        <v>109</v>
      </c>
      <c r="V12" s="7" t="s">
        <v>109</v>
      </c>
      <c r="W12" s="29" t="s">
        <v>1024</v>
      </c>
    </row>
    <row r="13" spans="1:23" x14ac:dyDescent="0.3">
      <c r="A13" s="7">
        <v>12</v>
      </c>
      <c r="B13" s="29" t="s">
        <v>23</v>
      </c>
      <c r="C13" s="29" t="s">
        <v>1287</v>
      </c>
      <c r="D13" s="29">
        <v>50126331</v>
      </c>
      <c r="E13" s="29">
        <v>50</v>
      </c>
      <c r="F13" s="7">
        <v>73</v>
      </c>
      <c r="G13" s="7">
        <v>56</v>
      </c>
      <c r="H13" s="7" t="s">
        <v>67</v>
      </c>
      <c r="I13" s="7" t="s">
        <v>109</v>
      </c>
      <c r="J13" s="7" t="s">
        <v>130</v>
      </c>
      <c r="K13" s="11">
        <v>0.67500000000000004</v>
      </c>
      <c r="L13" s="7" t="s">
        <v>109</v>
      </c>
      <c r="M13" s="7" t="s">
        <v>109</v>
      </c>
      <c r="N13" s="29" t="s">
        <v>109</v>
      </c>
      <c r="O13" s="29" t="s">
        <v>61</v>
      </c>
      <c r="P13" s="7" t="s">
        <v>131</v>
      </c>
      <c r="Q13" s="7" t="s">
        <v>67</v>
      </c>
      <c r="R13" s="7" t="s">
        <v>62</v>
      </c>
      <c r="S13" s="7" t="s">
        <v>109</v>
      </c>
      <c r="T13" s="7" t="s">
        <v>109</v>
      </c>
      <c r="U13" s="7" t="s">
        <v>109</v>
      </c>
      <c r="V13" s="7" t="s">
        <v>109</v>
      </c>
      <c r="W13" s="29" t="s">
        <v>266</v>
      </c>
    </row>
    <row r="14" spans="1:23" x14ac:dyDescent="0.3">
      <c r="A14" s="7">
        <v>13</v>
      </c>
      <c r="B14" s="29" t="s">
        <v>23</v>
      </c>
      <c r="C14" s="29" t="s">
        <v>1241</v>
      </c>
      <c r="D14" s="29">
        <v>50126325</v>
      </c>
      <c r="E14" s="29">
        <v>50</v>
      </c>
      <c r="F14" s="7">
        <v>7</v>
      </c>
      <c r="G14" s="7">
        <v>2</v>
      </c>
      <c r="H14" s="7" t="s">
        <v>68</v>
      </c>
      <c r="I14" s="7" t="s">
        <v>109</v>
      </c>
      <c r="J14" s="7" t="s">
        <v>130</v>
      </c>
      <c r="K14" s="11">
        <v>0.73263888888888884</v>
      </c>
      <c r="L14" s="7" t="s">
        <v>109</v>
      </c>
      <c r="M14" s="7" t="s">
        <v>109</v>
      </c>
      <c r="N14" s="29" t="s">
        <v>1461</v>
      </c>
      <c r="O14" s="29" t="s">
        <v>61</v>
      </c>
      <c r="P14" s="7" t="s">
        <v>131</v>
      </c>
      <c r="Q14" s="7" t="s">
        <v>68</v>
      </c>
      <c r="R14" s="7" t="s">
        <v>62</v>
      </c>
      <c r="S14" s="7" t="s">
        <v>109</v>
      </c>
      <c r="T14" s="7" t="s">
        <v>109</v>
      </c>
      <c r="U14" s="7" t="s">
        <v>109</v>
      </c>
      <c r="V14" s="7" t="s">
        <v>109</v>
      </c>
      <c r="W14" s="29" t="s">
        <v>1240</v>
      </c>
    </row>
    <row r="15" spans="1:23" x14ac:dyDescent="0.3">
      <c r="A15" s="7">
        <v>14</v>
      </c>
      <c r="B15" s="29" t="s">
        <v>23</v>
      </c>
      <c r="C15" s="29" t="s">
        <v>869</v>
      </c>
      <c r="D15" s="29">
        <v>50126215</v>
      </c>
      <c r="E15" s="29">
        <v>50</v>
      </c>
      <c r="F15" s="7">
        <v>149</v>
      </c>
      <c r="G15" s="7">
        <v>8</v>
      </c>
      <c r="H15" s="7" t="s">
        <v>66</v>
      </c>
      <c r="I15" s="7" t="s">
        <v>109</v>
      </c>
      <c r="J15" s="7" t="s">
        <v>130</v>
      </c>
      <c r="K15" s="11">
        <v>0.95694444444444449</v>
      </c>
      <c r="L15" s="7" t="s">
        <v>109</v>
      </c>
      <c r="M15" s="7" t="s">
        <v>109</v>
      </c>
      <c r="N15" s="29" t="s">
        <v>109</v>
      </c>
      <c r="O15" s="29" t="s">
        <v>868</v>
      </c>
      <c r="P15" s="7" t="s">
        <v>131</v>
      </c>
      <c r="Q15" s="7" t="s">
        <v>66</v>
      </c>
      <c r="R15" s="7" t="s">
        <v>62</v>
      </c>
      <c r="S15" s="7" t="s">
        <v>109</v>
      </c>
      <c r="T15" s="7" t="s">
        <v>109</v>
      </c>
      <c r="U15" s="7" t="s">
        <v>109</v>
      </c>
      <c r="V15" s="7" t="s">
        <v>109</v>
      </c>
      <c r="W15" s="29" t="s">
        <v>870</v>
      </c>
    </row>
    <row r="16" spans="1:23" s="21" customFormat="1" x14ac:dyDescent="0.3">
      <c r="A16" s="18">
        <v>15</v>
      </c>
      <c r="B16" s="39" t="s">
        <v>23</v>
      </c>
      <c r="C16" s="39" t="s">
        <v>581</v>
      </c>
      <c r="D16" s="39">
        <v>51125193</v>
      </c>
      <c r="E16" s="39">
        <v>50</v>
      </c>
      <c r="F16" s="18" t="s">
        <v>109</v>
      </c>
      <c r="G16" s="18" t="s">
        <v>109</v>
      </c>
      <c r="H16" s="18" t="s">
        <v>214</v>
      </c>
      <c r="I16" s="18" t="s">
        <v>109</v>
      </c>
      <c r="J16" s="18" t="s">
        <v>85</v>
      </c>
      <c r="K16" s="18" t="s">
        <v>109</v>
      </c>
      <c r="L16" s="18" t="s">
        <v>109</v>
      </c>
      <c r="M16" s="18" t="s">
        <v>109</v>
      </c>
      <c r="N16" s="39" t="s">
        <v>109</v>
      </c>
      <c r="O16" s="39" t="s">
        <v>868</v>
      </c>
      <c r="P16" s="18" t="s">
        <v>109</v>
      </c>
      <c r="Q16" s="18" t="s">
        <v>109</v>
      </c>
      <c r="R16" s="18" t="s">
        <v>62</v>
      </c>
      <c r="S16" s="18" t="s">
        <v>109</v>
      </c>
      <c r="T16" s="18" t="s">
        <v>109</v>
      </c>
      <c r="U16" s="18" t="s">
        <v>109</v>
      </c>
      <c r="V16" s="18" t="s">
        <v>109</v>
      </c>
      <c r="W16" s="39" t="s">
        <v>278</v>
      </c>
    </row>
    <row r="17" spans="1:23" x14ac:dyDescent="0.3">
      <c r="A17" s="7">
        <v>16</v>
      </c>
      <c r="B17" s="29" t="s">
        <v>143</v>
      </c>
      <c r="C17" s="29" t="s">
        <v>781</v>
      </c>
      <c r="D17" s="29">
        <v>10126009</v>
      </c>
      <c r="E17" s="29">
        <v>50</v>
      </c>
      <c r="F17" s="7">
        <v>51</v>
      </c>
      <c r="G17" s="7">
        <v>1</v>
      </c>
      <c r="H17" s="7" t="s">
        <v>65</v>
      </c>
      <c r="I17" s="7" t="s">
        <v>88</v>
      </c>
      <c r="J17" s="7" t="s">
        <v>130</v>
      </c>
      <c r="K17" s="11">
        <v>0.8041666666666667</v>
      </c>
      <c r="L17" s="11">
        <v>0.89513888888888893</v>
      </c>
      <c r="M17" s="7" t="s">
        <v>109</v>
      </c>
      <c r="N17" s="29" t="s">
        <v>1459</v>
      </c>
      <c r="O17" s="29" t="s">
        <v>61</v>
      </c>
      <c r="P17" s="7" t="s">
        <v>131</v>
      </c>
      <c r="Q17" s="7" t="s">
        <v>605</v>
      </c>
      <c r="R17" s="7" t="s">
        <v>62</v>
      </c>
      <c r="S17" s="7" t="s">
        <v>109</v>
      </c>
      <c r="T17" s="7" t="s">
        <v>109</v>
      </c>
      <c r="U17" s="7" t="s">
        <v>109</v>
      </c>
      <c r="V17" s="7" t="s">
        <v>109</v>
      </c>
      <c r="W17" s="29" t="s">
        <v>398</v>
      </c>
    </row>
    <row r="18" spans="1:23" x14ac:dyDescent="0.3">
      <c r="A18" s="7">
        <v>17</v>
      </c>
      <c r="B18" s="29" t="s">
        <v>135</v>
      </c>
      <c r="C18" s="29" t="s">
        <v>1352</v>
      </c>
      <c r="D18" s="29">
        <v>20126005</v>
      </c>
      <c r="E18" s="29">
        <v>58</v>
      </c>
      <c r="F18" s="7">
        <v>0</v>
      </c>
      <c r="G18" s="7">
        <v>0</v>
      </c>
      <c r="H18" s="7" t="s">
        <v>222</v>
      </c>
      <c r="I18" s="7" t="s">
        <v>209</v>
      </c>
      <c r="J18" s="7" t="s">
        <v>130</v>
      </c>
      <c r="K18" s="7" t="s">
        <v>1488</v>
      </c>
      <c r="L18" s="11">
        <v>0.95763888888888893</v>
      </c>
      <c r="M18" s="7" t="s">
        <v>109</v>
      </c>
      <c r="N18" s="29" t="s">
        <v>109</v>
      </c>
      <c r="O18" s="29" t="s">
        <v>61</v>
      </c>
      <c r="P18" s="7" t="s">
        <v>131</v>
      </c>
      <c r="Q18" s="7" t="s">
        <v>209</v>
      </c>
      <c r="R18" s="7" t="s">
        <v>62</v>
      </c>
      <c r="S18" s="7" t="s">
        <v>109</v>
      </c>
      <c r="T18" s="7" t="s">
        <v>109</v>
      </c>
      <c r="U18" s="7" t="s">
        <v>109</v>
      </c>
      <c r="V18" s="7" t="s">
        <v>109</v>
      </c>
      <c r="W18" s="29" t="s">
        <v>112</v>
      </c>
    </row>
    <row r="19" spans="1:23" x14ac:dyDescent="0.3">
      <c r="A19" s="7">
        <v>18</v>
      </c>
      <c r="B19" s="29" t="s">
        <v>143</v>
      </c>
      <c r="C19" s="29" t="s">
        <v>1253</v>
      </c>
      <c r="D19" s="29">
        <v>10126025</v>
      </c>
      <c r="E19" s="29">
        <v>60</v>
      </c>
      <c r="F19" s="7">
        <v>124</v>
      </c>
      <c r="G19" s="7">
        <v>9</v>
      </c>
      <c r="H19" s="7" t="s">
        <v>274</v>
      </c>
      <c r="I19" s="7" t="s">
        <v>93</v>
      </c>
      <c r="J19" s="7" t="s">
        <v>130</v>
      </c>
      <c r="K19" s="7" t="s">
        <v>1492</v>
      </c>
      <c r="L19" s="7" t="s">
        <v>1496</v>
      </c>
      <c r="M19" s="7" t="s">
        <v>109</v>
      </c>
      <c r="N19" s="29" t="s">
        <v>1459</v>
      </c>
      <c r="O19" s="29" t="s">
        <v>61</v>
      </c>
      <c r="P19" s="7" t="s">
        <v>131</v>
      </c>
      <c r="Q19" s="7" t="s">
        <v>93</v>
      </c>
      <c r="R19" s="7" t="s">
        <v>62</v>
      </c>
      <c r="S19" s="7" t="s">
        <v>109</v>
      </c>
      <c r="T19" s="7" t="s">
        <v>109</v>
      </c>
      <c r="U19" s="7" t="s">
        <v>109</v>
      </c>
      <c r="V19" s="7" t="s">
        <v>109</v>
      </c>
      <c r="W19" s="29" t="s">
        <v>398</v>
      </c>
    </row>
    <row r="20" spans="1:23" x14ac:dyDescent="0.3">
      <c r="A20" s="7">
        <v>19</v>
      </c>
      <c r="B20" s="29" t="s">
        <v>23</v>
      </c>
      <c r="C20" s="29" t="s">
        <v>137</v>
      </c>
      <c r="D20" s="29">
        <v>51225033</v>
      </c>
      <c r="E20" s="29">
        <v>70</v>
      </c>
      <c r="F20" s="7">
        <v>118</v>
      </c>
      <c r="G20" s="7">
        <v>79</v>
      </c>
      <c r="H20" s="7" t="s">
        <v>82</v>
      </c>
      <c r="I20" s="7" t="s">
        <v>109</v>
      </c>
      <c r="J20" s="7" t="s">
        <v>130</v>
      </c>
      <c r="K20" s="11">
        <v>0.81666666666666665</v>
      </c>
      <c r="L20" s="7" t="s">
        <v>109</v>
      </c>
      <c r="M20" s="7" t="s">
        <v>109</v>
      </c>
      <c r="N20" s="29" t="s">
        <v>109</v>
      </c>
      <c r="O20" s="29" t="s">
        <v>868</v>
      </c>
      <c r="P20" s="7" t="s">
        <v>131</v>
      </c>
      <c r="Q20" s="7" t="s">
        <v>82</v>
      </c>
      <c r="R20" s="7" t="s">
        <v>62</v>
      </c>
      <c r="S20" s="7" t="s">
        <v>109</v>
      </c>
      <c r="T20" s="7" t="s">
        <v>109</v>
      </c>
      <c r="U20" s="7" t="s">
        <v>109</v>
      </c>
      <c r="V20" s="7" t="s">
        <v>109</v>
      </c>
      <c r="W20" s="29" t="s">
        <v>142</v>
      </c>
    </row>
    <row r="21" spans="1:23" x14ac:dyDescent="0.3">
      <c r="A21" s="7">
        <v>20</v>
      </c>
      <c r="B21" s="29" t="s">
        <v>26</v>
      </c>
      <c r="C21" s="29" t="s">
        <v>768</v>
      </c>
      <c r="D21" s="29">
        <v>40126005</v>
      </c>
      <c r="E21" s="29">
        <v>79</v>
      </c>
      <c r="F21" s="7">
        <v>170</v>
      </c>
      <c r="G21" s="7">
        <v>19</v>
      </c>
      <c r="H21" s="7" t="s">
        <v>184</v>
      </c>
      <c r="I21" s="7" t="s">
        <v>90</v>
      </c>
      <c r="J21" s="7" t="s">
        <v>130</v>
      </c>
      <c r="K21" s="11">
        <v>0.82986111111111116</v>
      </c>
      <c r="L21" s="11">
        <v>0.90555555555555556</v>
      </c>
      <c r="M21" s="7" t="s">
        <v>109</v>
      </c>
      <c r="N21" s="29" t="s">
        <v>109</v>
      </c>
      <c r="O21" s="29" t="s">
        <v>61</v>
      </c>
      <c r="P21" s="7" t="s">
        <v>131</v>
      </c>
      <c r="Q21" s="7" t="s">
        <v>90</v>
      </c>
      <c r="R21" s="7" t="s">
        <v>63</v>
      </c>
      <c r="S21" s="7" t="s">
        <v>109</v>
      </c>
      <c r="T21" s="7" t="s">
        <v>109</v>
      </c>
      <c r="U21" s="7" t="s">
        <v>109</v>
      </c>
      <c r="V21" s="7" t="s">
        <v>109</v>
      </c>
      <c r="W21" s="29" t="s">
        <v>767</v>
      </c>
    </row>
    <row r="22" spans="1:23" x14ac:dyDescent="0.3">
      <c r="A22" s="7">
        <v>21</v>
      </c>
      <c r="B22" s="29" t="s">
        <v>23</v>
      </c>
      <c r="C22" s="29" t="s">
        <v>958</v>
      </c>
      <c r="D22" s="29">
        <v>51125186</v>
      </c>
      <c r="E22" s="29">
        <v>80</v>
      </c>
      <c r="F22" s="7">
        <v>136</v>
      </c>
      <c r="G22" s="7">
        <v>73</v>
      </c>
      <c r="H22" s="7" t="s">
        <v>70</v>
      </c>
      <c r="I22" s="7" t="s">
        <v>109</v>
      </c>
      <c r="J22" s="7" t="s">
        <v>130</v>
      </c>
      <c r="K22" s="11">
        <v>0.70694444444444449</v>
      </c>
      <c r="L22" s="7" t="s">
        <v>109</v>
      </c>
      <c r="M22" s="7" t="s">
        <v>109</v>
      </c>
      <c r="N22" s="29" t="s">
        <v>109</v>
      </c>
      <c r="O22" s="29" t="s">
        <v>868</v>
      </c>
      <c r="P22" s="7" t="s">
        <v>131</v>
      </c>
      <c r="Q22" s="7" t="s">
        <v>70</v>
      </c>
      <c r="R22" s="7" t="s">
        <v>62</v>
      </c>
      <c r="S22" s="7" t="s">
        <v>109</v>
      </c>
      <c r="T22" s="7" t="s">
        <v>109</v>
      </c>
      <c r="U22" s="7" t="s">
        <v>109</v>
      </c>
      <c r="V22" s="7" t="s">
        <v>109</v>
      </c>
      <c r="W22" s="29" t="s">
        <v>959</v>
      </c>
    </row>
    <row r="23" spans="1:23" x14ac:dyDescent="0.3">
      <c r="A23" s="7">
        <v>22</v>
      </c>
      <c r="B23" s="29" t="s">
        <v>23</v>
      </c>
      <c r="C23" s="29" t="s">
        <v>1022</v>
      </c>
      <c r="D23" s="29">
        <v>51225088</v>
      </c>
      <c r="E23" s="29">
        <v>100</v>
      </c>
      <c r="F23" s="7">
        <v>190</v>
      </c>
      <c r="G23" s="7">
        <v>17</v>
      </c>
      <c r="H23" s="7" t="s">
        <v>64</v>
      </c>
      <c r="I23" s="7" t="s">
        <v>109</v>
      </c>
      <c r="J23" s="7" t="s">
        <v>130</v>
      </c>
      <c r="K23" s="11">
        <v>0.99097222222222225</v>
      </c>
      <c r="L23" s="7" t="s">
        <v>109</v>
      </c>
      <c r="M23" s="7" t="s">
        <v>109</v>
      </c>
      <c r="N23" s="29" t="s">
        <v>1460</v>
      </c>
      <c r="O23" s="29" t="s">
        <v>61</v>
      </c>
      <c r="P23" s="7" t="s">
        <v>131</v>
      </c>
      <c r="Q23" s="7" t="s">
        <v>64</v>
      </c>
      <c r="R23" s="7" t="s">
        <v>62</v>
      </c>
      <c r="S23" s="7" t="s">
        <v>109</v>
      </c>
      <c r="T23" s="7" t="s">
        <v>109</v>
      </c>
      <c r="U23" s="7" t="s">
        <v>109</v>
      </c>
      <c r="V23" s="7" t="s">
        <v>109</v>
      </c>
      <c r="W23" s="29" t="s">
        <v>1024</v>
      </c>
    </row>
    <row r="24" spans="1:23" x14ac:dyDescent="0.3">
      <c r="A24" s="7">
        <v>23</v>
      </c>
      <c r="B24" s="29" t="s">
        <v>23</v>
      </c>
      <c r="C24" s="29" t="s">
        <v>1337</v>
      </c>
      <c r="D24" s="29">
        <v>50126336</v>
      </c>
      <c r="E24" s="29">
        <v>100</v>
      </c>
      <c r="F24" s="7">
        <v>153</v>
      </c>
      <c r="G24" s="7">
        <v>103</v>
      </c>
      <c r="H24" s="7" t="s">
        <v>153</v>
      </c>
      <c r="I24" s="7" t="s">
        <v>109</v>
      </c>
      <c r="J24" s="7" t="s">
        <v>130</v>
      </c>
      <c r="K24" s="11">
        <v>0.70486111111111116</v>
      </c>
      <c r="L24" s="7" t="s">
        <v>109</v>
      </c>
      <c r="M24" s="7" t="s">
        <v>109</v>
      </c>
      <c r="N24" s="29" t="s">
        <v>109</v>
      </c>
      <c r="O24" s="29" t="s">
        <v>61</v>
      </c>
      <c r="P24" s="7" t="s">
        <v>131</v>
      </c>
      <c r="Q24" s="7" t="s">
        <v>153</v>
      </c>
      <c r="R24" s="7" t="s">
        <v>62</v>
      </c>
      <c r="S24" s="7" t="s">
        <v>109</v>
      </c>
      <c r="T24" s="7" t="s">
        <v>109</v>
      </c>
      <c r="U24" s="7" t="s">
        <v>109</v>
      </c>
      <c r="V24" s="7" t="s">
        <v>109</v>
      </c>
      <c r="W24" s="29" t="s">
        <v>1338</v>
      </c>
    </row>
    <row r="25" spans="1:23" x14ac:dyDescent="0.3">
      <c r="A25" s="7">
        <v>24</v>
      </c>
      <c r="B25" s="29" t="s">
        <v>143</v>
      </c>
      <c r="C25" s="29" t="s">
        <v>347</v>
      </c>
      <c r="D25" s="29">
        <v>11225025</v>
      </c>
      <c r="E25" s="29">
        <v>100</v>
      </c>
      <c r="F25" s="7">
        <v>206</v>
      </c>
      <c r="G25" s="7">
        <v>98</v>
      </c>
      <c r="H25" s="7" t="s">
        <v>200</v>
      </c>
      <c r="I25" s="7" t="s">
        <v>87</v>
      </c>
      <c r="J25" s="7" t="s">
        <v>130</v>
      </c>
      <c r="K25" s="11">
        <v>0.80069444444444449</v>
      </c>
      <c r="L25" s="11">
        <v>0.87430555555555556</v>
      </c>
      <c r="M25" s="7" t="s">
        <v>109</v>
      </c>
      <c r="N25" s="29" t="s">
        <v>109</v>
      </c>
      <c r="O25" s="29" t="s">
        <v>61</v>
      </c>
      <c r="P25" s="7" t="s">
        <v>131</v>
      </c>
      <c r="Q25" s="7" t="s">
        <v>87</v>
      </c>
      <c r="R25" s="7" t="s">
        <v>62</v>
      </c>
      <c r="S25" s="7" t="s">
        <v>109</v>
      </c>
      <c r="T25" s="7" t="s">
        <v>109</v>
      </c>
      <c r="U25" s="7" t="s">
        <v>109</v>
      </c>
      <c r="V25" s="7" t="s">
        <v>109</v>
      </c>
      <c r="W25" s="29" t="s">
        <v>116</v>
      </c>
    </row>
    <row r="26" spans="1:23" x14ac:dyDescent="0.3">
      <c r="A26" s="7">
        <v>25</v>
      </c>
      <c r="B26" s="29" t="s">
        <v>143</v>
      </c>
      <c r="C26" s="29" t="s">
        <v>1384</v>
      </c>
      <c r="D26" s="29">
        <v>10126032</v>
      </c>
      <c r="E26" s="29">
        <v>100</v>
      </c>
      <c r="F26" s="7">
        <v>221</v>
      </c>
      <c r="G26" s="7">
        <v>112</v>
      </c>
      <c r="H26" s="7" t="s">
        <v>1462</v>
      </c>
      <c r="I26" s="7" t="s">
        <v>1463</v>
      </c>
      <c r="J26" s="7" t="s">
        <v>130</v>
      </c>
      <c r="K26" s="11">
        <v>0.73124999999999996</v>
      </c>
      <c r="L26" s="11">
        <v>0.87083333333333335</v>
      </c>
      <c r="M26" s="7" t="s">
        <v>109</v>
      </c>
      <c r="N26" s="29" t="s">
        <v>1459</v>
      </c>
      <c r="O26" s="29" t="s">
        <v>61</v>
      </c>
      <c r="P26" s="7" t="s">
        <v>131</v>
      </c>
      <c r="Q26" s="7" t="s">
        <v>787</v>
      </c>
      <c r="R26" s="7" t="s">
        <v>62</v>
      </c>
      <c r="S26" s="7" t="s">
        <v>109</v>
      </c>
      <c r="T26" s="7" t="s">
        <v>109</v>
      </c>
      <c r="U26" s="7" t="s">
        <v>109</v>
      </c>
      <c r="V26" s="7" t="s">
        <v>109</v>
      </c>
      <c r="W26" s="29" t="s">
        <v>182</v>
      </c>
    </row>
    <row r="27" spans="1:23" x14ac:dyDescent="0.3">
      <c r="A27" s="7">
        <v>26</v>
      </c>
      <c r="B27" s="29" t="s">
        <v>143</v>
      </c>
      <c r="C27" s="29" t="s">
        <v>1328</v>
      </c>
      <c r="D27" s="29">
        <v>10126027</v>
      </c>
      <c r="E27" s="29">
        <v>100</v>
      </c>
      <c r="F27" s="7">
        <v>137</v>
      </c>
      <c r="G27" s="7">
        <v>42</v>
      </c>
      <c r="H27" s="7" t="s">
        <v>84</v>
      </c>
      <c r="I27" s="7" t="s">
        <v>94</v>
      </c>
      <c r="J27" s="7" t="s">
        <v>130</v>
      </c>
      <c r="K27" s="11">
        <v>0.80625000000000002</v>
      </c>
      <c r="L27" s="11">
        <v>1.4583333333333334E-2</v>
      </c>
      <c r="M27" s="7" t="s">
        <v>109</v>
      </c>
      <c r="N27" s="29" t="s">
        <v>1459</v>
      </c>
      <c r="O27" s="29" t="s">
        <v>61</v>
      </c>
      <c r="P27" s="7" t="s">
        <v>131</v>
      </c>
      <c r="Q27" s="7" t="s">
        <v>94</v>
      </c>
      <c r="R27" s="7" t="s">
        <v>62</v>
      </c>
      <c r="S27" s="7" t="s">
        <v>109</v>
      </c>
      <c r="T27" s="7" t="s">
        <v>109</v>
      </c>
      <c r="U27" s="7" t="s">
        <v>109</v>
      </c>
      <c r="V27" s="7" t="s">
        <v>109</v>
      </c>
      <c r="W27" s="29" t="s">
        <v>1329</v>
      </c>
    </row>
    <row r="28" spans="1:23" x14ac:dyDescent="0.3">
      <c r="A28" s="7">
        <v>27</v>
      </c>
      <c r="B28" s="29" t="s">
        <v>23</v>
      </c>
      <c r="C28" s="29" t="s">
        <v>1375</v>
      </c>
      <c r="D28" s="29">
        <v>50126345</v>
      </c>
      <c r="E28" s="29">
        <v>100</v>
      </c>
      <c r="F28" s="7">
        <v>155</v>
      </c>
      <c r="G28" s="7">
        <v>90</v>
      </c>
      <c r="H28" s="7" t="s">
        <v>72</v>
      </c>
      <c r="I28" s="7" t="s">
        <v>109</v>
      </c>
      <c r="J28" s="7" t="s">
        <v>130</v>
      </c>
      <c r="K28" s="11">
        <v>0.75972222222222219</v>
      </c>
      <c r="L28" s="7" t="s">
        <v>109</v>
      </c>
      <c r="M28" s="7" t="s">
        <v>109</v>
      </c>
      <c r="N28" s="29" t="s">
        <v>109</v>
      </c>
      <c r="O28" s="29" t="s">
        <v>61</v>
      </c>
      <c r="P28" s="7" t="s">
        <v>131</v>
      </c>
      <c r="Q28" s="7" t="s">
        <v>72</v>
      </c>
      <c r="R28" s="7" t="s">
        <v>62</v>
      </c>
      <c r="S28" s="7" t="s">
        <v>109</v>
      </c>
      <c r="T28" s="7" t="s">
        <v>109</v>
      </c>
      <c r="U28" s="7" t="s">
        <v>109</v>
      </c>
      <c r="V28" s="7" t="s">
        <v>109</v>
      </c>
      <c r="W28" s="29" t="s">
        <v>1377</v>
      </c>
    </row>
    <row r="29" spans="1:23" x14ac:dyDescent="0.3">
      <c r="A29" s="7">
        <v>28</v>
      </c>
      <c r="B29" s="29" t="s">
        <v>23</v>
      </c>
      <c r="C29" s="29" t="s">
        <v>591</v>
      </c>
      <c r="D29" s="29">
        <v>50126066</v>
      </c>
      <c r="E29" s="29">
        <v>100</v>
      </c>
      <c r="F29" s="7">
        <v>34</v>
      </c>
      <c r="G29" s="7">
        <v>0</v>
      </c>
      <c r="H29" s="7" t="s">
        <v>241</v>
      </c>
      <c r="I29" s="7" t="s">
        <v>109</v>
      </c>
      <c r="J29" s="7" t="s">
        <v>130</v>
      </c>
      <c r="K29" s="11">
        <v>2.7777777777777779E-3</v>
      </c>
      <c r="L29" s="7" t="s">
        <v>109</v>
      </c>
      <c r="M29" s="7" t="s">
        <v>109</v>
      </c>
      <c r="N29" s="29" t="s">
        <v>109</v>
      </c>
      <c r="O29" s="29" t="s">
        <v>61</v>
      </c>
      <c r="P29" s="7" t="s">
        <v>131</v>
      </c>
      <c r="Q29" s="7" t="s">
        <v>241</v>
      </c>
      <c r="R29" s="7" t="s">
        <v>62</v>
      </c>
      <c r="S29" s="7" t="s">
        <v>109</v>
      </c>
      <c r="T29" s="7" t="s">
        <v>109</v>
      </c>
      <c r="U29" s="7" t="s">
        <v>109</v>
      </c>
      <c r="V29" s="7" t="s">
        <v>109</v>
      </c>
      <c r="W29" s="29" t="s">
        <v>610</v>
      </c>
    </row>
    <row r="30" spans="1:23" x14ac:dyDescent="0.3">
      <c r="A30" s="7">
        <v>29</v>
      </c>
      <c r="B30" s="29" t="s">
        <v>135</v>
      </c>
      <c r="C30" s="29" t="s">
        <v>1353</v>
      </c>
      <c r="D30" s="29">
        <v>20126006</v>
      </c>
      <c r="E30" s="29">
        <v>110</v>
      </c>
      <c r="F30" s="7">
        <v>175</v>
      </c>
      <c r="G30" s="7">
        <v>18</v>
      </c>
      <c r="H30" s="7" t="s">
        <v>186</v>
      </c>
      <c r="I30" s="7" t="s">
        <v>294</v>
      </c>
      <c r="J30" s="7" t="s">
        <v>130</v>
      </c>
      <c r="K30" s="11">
        <v>0.66874999999999996</v>
      </c>
      <c r="L30" s="11">
        <v>0.78819444444444442</v>
      </c>
      <c r="M30" s="7" t="s">
        <v>109</v>
      </c>
      <c r="N30" s="29" t="s">
        <v>109</v>
      </c>
      <c r="O30" s="29" t="s">
        <v>61</v>
      </c>
      <c r="P30" s="7" t="s">
        <v>131</v>
      </c>
      <c r="Q30" s="7" t="s">
        <v>209</v>
      </c>
      <c r="R30" s="7" t="s">
        <v>62</v>
      </c>
      <c r="S30" s="7" t="s">
        <v>109</v>
      </c>
      <c r="T30" s="7" t="s">
        <v>109</v>
      </c>
      <c r="U30" s="7" t="s">
        <v>109</v>
      </c>
      <c r="V30" s="7" t="s">
        <v>109</v>
      </c>
      <c r="W30" s="29" t="s">
        <v>112</v>
      </c>
    </row>
    <row r="31" spans="1:23" x14ac:dyDescent="0.3">
      <c r="A31" s="7">
        <v>30</v>
      </c>
      <c r="B31" s="29" t="s">
        <v>23</v>
      </c>
      <c r="C31" s="29" t="s">
        <v>1464</v>
      </c>
      <c r="D31" s="29">
        <v>50126352</v>
      </c>
      <c r="E31" s="29">
        <v>120</v>
      </c>
      <c r="F31" s="7">
        <v>233</v>
      </c>
      <c r="G31" s="7">
        <v>115</v>
      </c>
      <c r="H31" s="7" t="s">
        <v>262</v>
      </c>
      <c r="I31" s="7" t="s">
        <v>109</v>
      </c>
      <c r="J31" s="7" t="s">
        <v>130</v>
      </c>
      <c r="K31" s="11">
        <v>0.70694444444444449</v>
      </c>
      <c r="L31" s="7" t="s">
        <v>109</v>
      </c>
      <c r="M31" s="7" t="s">
        <v>109</v>
      </c>
      <c r="N31" s="29" t="s">
        <v>110</v>
      </c>
      <c r="O31" s="29" t="s">
        <v>61</v>
      </c>
      <c r="P31" s="7" t="s">
        <v>131</v>
      </c>
      <c r="Q31" s="7" t="s">
        <v>65</v>
      </c>
      <c r="R31" s="7" t="s">
        <v>62</v>
      </c>
      <c r="S31" s="7" t="s">
        <v>109</v>
      </c>
      <c r="T31" s="7" t="s">
        <v>109</v>
      </c>
      <c r="U31" s="7" t="s">
        <v>109</v>
      </c>
      <c r="V31" s="7" t="s">
        <v>109</v>
      </c>
      <c r="W31" s="29" t="s">
        <v>424</v>
      </c>
    </row>
    <row r="32" spans="1:23" x14ac:dyDescent="0.3">
      <c r="A32" s="7">
        <v>31</v>
      </c>
      <c r="B32" s="29" t="s">
        <v>23</v>
      </c>
      <c r="C32" s="29" t="s">
        <v>322</v>
      </c>
      <c r="D32" s="29">
        <v>50126008</v>
      </c>
      <c r="E32" s="29">
        <v>150</v>
      </c>
      <c r="F32" s="7">
        <v>255</v>
      </c>
      <c r="G32" s="7">
        <v>164</v>
      </c>
      <c r="H32" s="7" t="s">
        <v>330</v>
      </c>
      <c r="I32" s="7" t="s">
        <v>109</v>
      </c>
      <c r="J32" s="7" t="s">
        <v>130</v>
      </c>
      <c r="K32" s="11">
        <v>0.84513888888888888</v>
      </c>
      <c r="L32" s="7" t="s">
        <v>109</v>
      </c>
      <c r="M32" s="7" t="s">
        <v>109</v>
      </c>
      <c r="N32" s="29" t="s">
        <v>109</v>
      </c>
      <c r="O32" s="29" t="s">
        <v>61</v>
      </c>
      <c r="P32" s="7" t="s">
        <v>131</v>
      </c>
      <c r="Q32" s="7" t="s">
        <v>71</v>
      </c>
      <c r="R32" s="7" t="s">
        <v>62</v>
      </c>
      <c r="S32" s="7" t="s">
        <v>109</v>
      </c>
      <c r="T32" s="7" t="s">
        <v>109</v>
      </c>
      <c r="U32" s="7" t="s">
        <v>109</v>
      </c>
      <c r="V32" s="7" t="s">
        <v>109</v>
      </c>
      <c r="W32" s="29" t="s">
        <v>325</v>
      </c>
    </row>
    <row r="33" spans="1:23" x14ac:dyDescent="0.3">
      <c r="A33" s="7">
        <v>32</v>
      </c>
      <c r="B33" s="29" t="s">
        <v>414</v>
      </c>
      <c r="C33" s="29" t="s">
        <v>1465</v>
      </c>
      <c r="D33" s="29">
        <v>40126031</v>
      </c>
      <c r="E33" s="29">
        <v>150</v>
      </c>
      <c r="F33" s="7">
        <v>83</v>
      </c>
      <c r="G33" s="7">
        <v>10</v>
      </c>
      <c r="H33" s="7" t="s">
        <v>68</v>
      </c>
      <c r="I33" s="7" t="s">
        <v>93</v>
      </c>
      <c r="J33" s="7" t="s">
        <v>130</v>
      </c>
      <c r="K33" s="11">
        <v>0.92500000000000004</v>
      </c>
      <c r="L33" s="11">
        <v>0.94930555555555551</v>
      </c>
      <c r="M33" s="7" t="s">
        <v>109</v>
      </c>
      <c r="N33" s="29" t="s">
        <v>109</v>
      </c>
      <c r="O33" s="29" t="s">
        <v>61</v>
      </c>
      <c r="P33" s="7" t="s">
        <v>131</v>
      </c>
      <c r="Q33" s="7" t="s">
        <v>93</v>
      </c>
      <c r="R33" s="7" t="s">
        <v>62</v>
      </c>
      <c r="S33" s="7" t="s">
        <v>109</v>
      </c>
      <c r="T33" s="7" t="s">
        <v>109</v>
      </c>
      <c r="U33" s="7" t="s">
        <v>109</v>
      </c>
      <c r="V33" s="7" t="s">
        <v>109</v>
      </c>
      <c r="W33" s="29" t="s">
        <v>1466</v>
      </c>
    </row>
    <row r="34" spans="1:23" x14ac:dyDescent="0.3">
      <c r="A34" s="7">
        <v>33</v>
      </c>
      <c r="B34" s="29" t="s">
        <v>23</v>
      </c>
      <c r="C34" s="29" t="s">
        <v>1055</v>
      </c>
      <c r="D34" s="29">
        <v>50126317</v>
      </c>
      <c r="E34" s="29">
        <v>150</v>
      </c>
      <c r="F34" s="7">
        <v>309</v>
      </c>
      <c r="G34" s="7">
        <v>99</v>
      </c>
      <c r="H34" s="7" t="s">
        <v>1132</v>
      </c>
      <c r="I34" s="7" t="s">
        <v>1467</v>
      </c>
      <c r="J34" s="7" t="s">
        <v>130</v>
      </c>
      <c r="K34" s="11">
        <v>0.92986111111111114</v>
      </c>
      <c r="L34" s="7" t="s">
        <v>1493</v>
      </c>
      <c r="M34" s="7" t="s">
        <v>109</v>
      </c>
      <c r="N34" s="29" t="s">
        <v>109</v>
      </c>
      <c r="O34" s="29" t="s">
        <v>61</v>
      </c>
      <c r="P34" s="7" t="s">
        <v>131</v>
      </c>
      <c r="Q34" s="7" t="s">
        <v>86</v>
      </c>
      <c r="R34" s="7" t="s">
        <v>62</v>
      </c>
      <c r="S34" s="7" t="s">
        <v>109</v>
      </c>
      <c r="T34" s="7" t="s">
        <v>109</v>
      </c>
      <c r="U34" s="7" t="s">
        <v>109</v>
      </c>
      <c r="V34" s="7" t="s">
        <v>109</v>
      </c>
      <c r="W34" s="29" t="s">
        <v>480</v>
      </c>
    </row>
    <row r="35" spans="1:23" x14ac:dyDescent="0.3">
      <c r="A35" s="7">
        <v>34</v>
      </c>
      <c r="B35" s="29" t="s">
        <v>23</v>
      </c>
      <c r="C35" s="29" t="s">
        <v>1056</v>
      </c>
      <c r="D35" s="29">
        <v>50126316</v>
      </c>
      <c r="E35" s="29">
        <v>150</v>
      </c>
      <c r="F35" s="7">
        <v>306</v>
      </c>
      <c r="G35" s="7">
        <v>129</v>
      </c>
      <c r="H35" s="7" t="s">
        <v>633</v>
      </c>
      <c r="I35" s="7" t="s">
        <v>102</v>
      </c>
      <c r="J35" s="7" t="s">
        <v>130</v>
      </c>
      <c r="K35" s="11">
        <v>0.76666666666666672</v>
      </c>
      <c r="L35" s="11">
        <v>0.83958333333333335</v>
      </c>
      <c r="M35" s="7" t="s">
        <v>109</v>
      </c>
      <c r="N35" s="29" t="s">
        <v>109</v>
      </c>
      <c r="O35" s="29" t="s">
        <v>61</v>
      </c>
      <c r="P35" s="7" t="s">
        <v>131</v>
      </c>
      <c r="Q35" s="7" t="s">
        <v>89</v>
      </c>
      <c r="R35" s="7" t="s">
        <v>62</v>
      </c>
      <c r="S35" s="7" t="s">
        <v>109</v>
      </c>
      <c r="T35" s="7" t="s">
        <v>109</v>
      </c>
      <c r="U35" s="7" t="s">
        <v>109</v>
      </c>
      <c r="V35" s="7" t="s">
        <v>109</v>
      </c>
      <c r="W35" s="29" t="s">
        <v>480</v>
      </c>
    </row>
    <row r="36" spans="1:23" x14ac:dyDescent="0.3">
      <c r="A36" s="7">
        <v>35</v>
      </c>
      <c r="B36" s="29" t="s">
        <v>23</v>
      </c>
      <c r="C36" s="29" t="s">
        <v>1046</v>
      </c>
      <c r="D36" s="29">
        <v>50126283</v>
      </c>
      <c r="E36" s="29">
        <v>150</v>
      </c>
      <c r="F36" s="7">
        <v>78</v>
      </c>
      <c r="G36" s="7">
        <v>18</v>
      </c>
      <c r="H36" s="7" t="s">
        <v>302</v>
      </c>
      <c r="I36" s="7" t="s">
        <v>109</v>
      </c>
      <c r="J36" s="7" t="s">
        <v>130</v>
      </c>
      <c r="K36" s="11">
        <v>0.96458333333333335</v>
      </c>
      <c r="L36" s="7" t="s">
        <v>109</v>
      </c>
      <c r="M36" s="7" t="s">
        <v>109</v>
      </c>
      <c r="N36" s="29" t="s">
        <v>109</v>
      </c>
      <c r="O36" s="29" t="s">
        <v>61</v>
      </c>
      <c r="P36" s="7" t="s">
        <v>131</v>
      </c>
      <c r="Q36" s="7" t="s">
        <v>69</v>
      </c>
      <c r="R36" s="7" t="s">
        <v>62</v>
      </c>
      <c r="S36" s="7" t="s">
        <v>109</v>
      </c>
      <c r="T36" s="7" t="s">
        <v>109</v>
      </c>
      <c r="U36" s="7" t="s">
        <v>109</v>
      </c>
      <c r="V36" s="7" t="s">
        <v>109</v>
      </c>
      <c r="W36" s="29" t="s">
        <v>223</v>
      </c>
    </row>
    <row r="37" spans="1:23" x14ac:dyDescent="0.3">
      <c r="A37" s="7">
        <v>36</v>
      </c>
      <c r="B37" s="29" t="s">
        <v>23</v>
      </c>
      <c r="C37" s="29" t="s">
        <v>380</v>
      </c>
      <c r="D37" s="29">
        <v>50425241</v>
      </c>
      <c r="E37" s="29">
        <v>200</v>
      </c>
      <c r="F37" s="7">
        <v>63</v>
      </c>
      <c r="G37" s="7">
        <v>7</v>
      </c>
      <c r="H37" s="7" t="s">
        <v>296</v>
      </c>
      <c r="I37" s="7" t="s">
        <v>109</v>
      </c>
      <c r="J37" s="7" t="s">
        <v>130</v>
      </c>
      <c r="K37" s="11">
        <v>0.73819444444444449</v>
      </c>
      <c r="L37" s="7" t="s">
        <v>109</v>
      </c>
      <c r="M37" s="7" t="s">
        <v>109</v>
      </c>
      <c r="N37" s="29" t="s">
        <v>1461</v>
      </c>
      <c r="O37" s="29" t="s">
        <v>61</v>
      </c>
      <c r="P37" s="7" t="s">
        <v>131</v>
      </c>
      <c r="Q37" s="7" t="s">
        <v>184</v>
      </c>
      <c r="R37" s="7" t="s">
        <v>62</v>
      </c>
      <c r="S37" s="7" t="s">
        <v>109</v>
      </c>
      <c r="T37" s="7" t="s">
        <v>109</v>
      </c>
      <c r="U37" s="7" t="s">
        <v>109</v>
      </c>
      <c r="V37" s="7" t="s">
        <v>109</v>
      </c>
      <c r="W37" s="29" t="s">
        <v>379</v>
      </c>
    </row>
    <row r="38" spans="1:23" x14ac:dyDescent="0.3">
      <c r="A38" s="7">
        <v>37</v>
      </c>
      <c r="B38" s="29" t="s">
        <v>23</v>
      </c>
      <c r="C38" s="29" t="s">
        <v>1468</v>
      </c>
      <c r="D38" s="29">
        <v>51225103</v>
      </c>
      <c r="E38" s="29">
        <v>200</v>
      </c>
      <c r="F38" s="7">
        <v>298</v>
      </c>
      <c r="G38" s="7">
        <v>90</v>
      </c>
      <c r="H38" s="7" t="s">
        <v>156</v>
      </c>
      <c r="I38" s="7" t="s">
        <v>109</v>
      </c>
      <c r="J38" s="7" t="s">
        <v>130</v>
      </c>
      <c r="K38" s="11">
        <v>0.98958333333333337</v>
      </c>
      <c r="L38" s="7" t="s">
        <v>109</v>
      </c>
      <c r="M38" s="7" t="s">
        <v>109</v>
      </c>
      <c r="N38" s="29" t="s">
        <v>1461</v>
      </c>
      <c r="O38" s="29" t="s">
        <v>562</v>
      </c>
      <c r="P38" s="7" t="s">
        <v>131</v>
      </c>
      <c r="Q38" s="7" t="s">
        <v>241</v>
      </c>
      <c r="R38" s="7" t="s">
        <v>62</v>
      </c>
      <c r="S38" s="7" t="s">
        <v>109</v>
      </c>
      <c r="T38" s="7" t="s">
        <v>109</v>
      </c>
      <c r="U38" s="7" t="s">
        <v>109</v>
      </c>
      <c r="V38" s="7" t="s">
        <v>109</v>
      </c>
      <c r="W38" s="29" t="s">
        <v>121</v>
      </c>
    </row>
    <row r="39" spans="1:23" x14ac:dyDescent="0.3">
      <c r="A39" s="7">
        <v>38</v>
      </c>
      <c r="B39" s="29" t="s">
        <v>23</v>
      </c>
      <c r="C39" s="29" t="s">
        <v>1183</v>
      </c>
      <c r="D39" s="29">
        <v>50126324</v>
      </c>
      <c r="E39" s="29">
        <v>200</v>
      </c>
      <c r="F39" s="7">
        <v>67</v>
      </c>
      <c r="G39" s="7">
        <v>15</v>
      </c>
      <c r="H39" s="7" t="s">
        <v>294</v>
      </c>
      <c r="I39" s="7" t="s">
        <v>109</v>
      </c>
      <c r="J39" s="7" t="s">
        <v>130</v>
      </c>
      <c r="K39" s="11">
        <v>0.95138888888888884</v>
      </c>
      <c r="L39" s="7" t="s">
        <v>109</v>
      </c>
      <c r="M39" s="7" t="s">
        <v>109</v>
      </c>
      <c r="N39" s="29" t="s">
        <v>1469</v>
      </c>
      <c r="O39" s="29" t="s">
        <v>61</v>
      </c>
      <c r="P39" s="7" t="s">
        <v>131</v>
      </c>
      <c r="Q39" s="7" t="s">
        <v>88</v>
      </c>
      <c r="R39" s="7" t="s">
        <v>62</v>
      </c>
      <c r="S39" s="7" t="s">
        <v>109</v>
      </c>
      <c r="T39" s="7" t="s">
        <v>109</v>
      </c>
      <c r="U39" s="7" t="s">
        <v>109</v>
      </c>
      <c r="V39" s="7" t="s">
        <v>109</v>
      </c>
      <c r="W39" s="29" t="s">
        <v>1185</v>
      </c>
    </row>
    <row r="40" spans="1:23" x14ac:dyDescent="0.3">
      <c r="A40" s="7">
        <v>39</v>
      </c>
      <c r="B40" s="29" t="s">
        <v>23</v>
      </c>
      <c r="C40" s="29" t="s">
        <v>758</v>
      </c>
      <c r="D40" s="29">
        <v>50126142</v>
      </c>
      <c r="E40" s="29">
        <v>200</v>
      </c>
      <c r="F40" s="7">
        <v>301</v>
      </c>
      <c r="G40" s="7">
        <v>196</v>
      </c>
      <c r="H40" s="7" t="s">
        <v>750</v>
      </c>
      <c r="I40" s="7" t="s">
        <v>99</v>
      </c>
      <c r="J40" s="7" t="s">
        <v>130</v>
      </c>
      <c r="K40" s="11">
        <v>0.90694444444444444</v>
      </c>
      <c r="L40" s="7" t="s">
        <v>109</v>
      </c>
      <c r="M40" s="7" t="s">
        <v>109</v>
      </c>
      <c r="N40" s="29" t="s">
        <v>109</v>
      </c>
      <c r="O40" s="29" t="s">
        <v>61</v>
      </c>
      <c r="P40" s="7" t="s">
        <v>131</v>
      </c>
      <c r="Q40" s="7" t="s">
        <v>91</v>
      </c>
      <c r="R40" s="7" t="s">
        <v>62</v>
      </c>
      <c r="S40" s="7" t="s">
        <v>109</v>
      </c>
      <c r="T40" s="7" t="s">
        <v>109</v>
      </c>
      <c r="U40" s="7" t="s">
        <v>109</v>
      </c>
      <c r="V40" s="7" t="s">
        <v>109</v>
      </c>
      <c r="W40" s="29" t="s">
        <v>480</v>
      </c>
    </row>
    <row r="41" spans="1:23" x14ac:dyDescent="0.3">
      <c r="A41" s="7">
        <v>40</v>
      </c>
      <c r="B41" s="29" t="s">
        <v>23</v>
      </c>
      <c r="C41" s="29" t="s">
        <v>656</v>
      </c>
      <c r="D41" s="29">
        <v>50126031</v>
      </c>
      <c r="E41" s="29">
        <v>250</v>
      </c>
      <c r="F41" s="7">
        <v>535</v>
      </c>
      <c r="G41" s="7">
        <v>66</v>
      </c>
      <c r="H41" s="7" t="s">
        <v>1470</v>
      </c>
      <c r="I41" s="7" t="s">
        <v>109</v>
      </c>
      <c r="J41" s="7" t="s">
        <v>130</v>
      </c>
      <c r="K41" s="11">
        <v>2.5694444444444443E-2</v>
      </c>
      <c r="L41" s="7" t="s">
        <v>109</v>
      </c>
      <c r="M41" s="7" t="s">
        <v>109</v>
      </c>
      <c r="N41" s="29" t="s">
        <v>109</v>
      </c>
      <c r="O41" s="29" t="s">
        <v>61</v>
      </c>
      <c r="P41" s="7" t="s">
        <v>131</v>
      </c>
      <c r="Q41" s="7" t="s">
        <v>89</v>
      </c>
      <c r="R41" s="7" t="s">
        <v>62</v>
      </c>
      <c r="S41" s="7" t="s">
        <v>109</v>
      </c>
      <c r="T41" s="7" t="s">
        <v>109</v>
      </c>
      <c r="U41" s="7" t="s">
        <v>109</v>
      </c>
      <c r="V41" s="7" t="s">
        <v>109</v>
      </c>
      <c r="W41" s="29" t="s">
        <v>480</v>
      </c>
    </row>
    <row r="42" spans="1:23" x14ac:dyDescent="0.3">
      <c r="A42" s="7">
        <v>41</v>
      </c>
      <c r="B42" s="29" t="s">
        <v>143</v>
      </c>
      <c r="C42" s="29" t="s">
        <v>1327</v>
      </c>
      <c r="D42" s="29">
        <v>10126026</v>
      </c>
      <c r="E42" s="29">
        <v>250</v>
      </c>
      <c r="F42" s="7">
        <v>437</v>
      </c>
      <c r="G42" s="7">
        <v>135</v>
      </c>
      <c r="H42" s="7" t="s">
        <v>103</v>
      </c>
      <c r="I42" s="7" t="s">
        <v>109</v>
      </c>
      <c r="J42" s="7" t="s">
        <v>130</v>
      </c>
      <c r="K42" s="11">
        <v>0.99722222222222223</v>
      </c>
      <c r="L42" s="7" t="s">
        <v>109</v>
      </c>
      <c r="M42" s="7" t="s">
        <v>109</v>
      </c>
      <c r="N42" s="29" t="s">
        <v>1459</v>
      </c>
      <c r="O42" s="29" t="s">
        <v>61</v>
      </c>
      <c r="P42" s="7" t="s">
        <v>131</v>
      </c>
      <c r="Q42" s="11" t="s">
        <v>94</v>
      </c>
      <c r="R42" s="7" t="s">
        <v>62</v>
      </c>
      <c r="S42" s="7" t="s">
        <v>109</v>
      </c>
      <c r="T42" s="7" t="s">
        <v>109</v>
      </c>
      <c r="U42" s="7" t="s">
        <v>109</v>
      </c>
      <c r="V42" s="7" t="s">
        <v>109</v>
      </c>
      <c r="W42" s="29" t="s">
        <v>777</v>
      </c>
    </row>
    <row r="43" spans="1:23" x14ac:dyDescent="0.3">
      <c r="A43" s="7">
        <v>42</v>
      </c>
      <c r="B43" s="29" t="s">
        <v>23</v>
      </c>
      <c r="C43" s="29" t="s">
        <v>1054</v>
      </c>
      <c r="D43" s="29">
        <v>50126315</v>
      </c>
      <c r="E43" s="29">
        <v>250</v>
      </c>
      <c r="F43" s="7">
        <v>367</v>
      </c>
      <c r="G43" s="7">
        <v>27</v>
      </c>
      <c r="H43" s="7" t="s">
        <v>1358</v>
      </c>
      <c r="I43" s="7" t="s">
        <v>1471</v>
      </c>
      <c r="J43" s="7" t="s">
        <v>130</v>
      </c>
      <c r="K43" s="11">
        <v>0.7680555555555556</v>
      </c>
      <c r="L43" s="11">
        <v>0.88611111111111107</v>
      </c>
      <c r="M43" s="7" t="s">
        <v>109</v>
      </c>
      <c r="N43" s="29" t="s">
        <v>109</v>
      </c>
      <c r="O43" s="29" t="s">
        <v>61</v>
      </c>
      <c r="P43" s="7" t="s">
        <v>131</v>
      </c>
      <c r="Q43" s="7" t="s">
        <v>209</v>
      </c>
      <c r="R43" s="7" t="s">
        <v>62</v>
      </c>
      <c r="S43" s="7" t="s">
        <v>109</v>
      </c>
      <c r="T43" s="7" t="s">
        <v>109</v>
      </c>
      <c r="U43" s="7" t="s">
        <v>109</v>
      </c>
      <c r="V43" s="7" t="s">
        <v>109</v>
      </c>
      <c r="W43" s="29" t="s">
        <v>480</v>
      </c>
    </row>
    <row r="44" spans="1:23" x14ac:dyDescent="0.3">
      <c r="A44" s="7">
        <v>43</v>
      </c>
      <c r="B44" s="29" t="s">
        <v>26</v>
      </c>
      <c r="C44" s="29" t="s">
        <v>1391</v>
      </c>
      <c r="D44" s="29">
        <v>40126023</v>
      </c>
      <c r="E44" s="29">
        <v>254</v>
      </c>
      <c r="F44" s="7">
        <v>458</v>
      </c>
      <c r="G44" s="7">
        <v>240</v>
      </c>
      <c r="H44" s="7" t="s">
        <v>1472</v>
      </c>
      <c r="I44" s="7" t="s">
        <v>1473</v>
      </c>
      <c r="J44" s="7" t="s">
        <v>130</v>
      </c>
      <c r="K44" s="11">
        <v>0.80694444444444446</v>
      </c>
      <c r="L44" s="7" t="s">
        <v>1490</v>
      </c>
      <c r="M44" s="7" t="s">
        <v>109</v>
      </c>
      <c r="N44" s="29" t="s">
        <v>109</v>
      </c>
      <c r="O44" s="29" t="s">
        <v>61</v>
      </c>
      <c r="P44" s="7" t="s">
        <v>131</v>
      </c>
      <c r="Q44" s="7" t="s">
        <v>87</v>
      </c>
      <c r="R44" s="7" t="s">
        <v>62</v>
      </c>
      <c r="S44" s="7" t="s">
        <v>109</v>
      </c>
      <c r="T44" s="7" t="s">
        <v>109</v>
      </c>
      <c r="U44" s="7" t="s">
        <v>109</v>
      </c>
      <c r="V44" s="7" t="s">
        <v>109</v>
      </c>
      <c r="W44" s="29" t="s">
        <v>121</v>
      </c>
    </row>
    <row r="45" spans="1:23" x14ac:dyDescent="0.3">
      <c r="A45" s="7">
        <v>44</v>
      </c>
      <c r="B45" s="29" t="s">
        <v>411</v>
      </c>
      <c r="C45" s="29" t="s">
        <v>1361</v>
      </c>
      <c r="D45" s="29">
        <v>30126012</v>
      </c>
      <c r="E45" s="29">
        <v>280</v>
      </c>
      <c r="F45" s="7">
        <v>625</v>
      </c>
      <c r="G45" s="7">
        <v>56</v>
      </c>
      <c r="H45" s="7" t="s">
        <v>1474</v>
      </c>
      <c r="I45" s="7" t="s">
        <v>1475</v>
      </c>
      <c r="J45" s="7" t="s">
        <v>130</v>
      </c>
      <c r="K45" s="11">
        <v>0.82847222222222228</v>
      </c>
      <c r="L45" s="11">
        <v>0.94236111111111109</v>
      </c>
      <c r="M45" s="7" t="s">
        <v>109</v>
      </c>
      <c r="N45" s="29" t="s">
        <v>109</v>
      </c>
      <c r="O45" s="29" t="s">
        <v>61</v>
      </c>
      <c r="P45" s="7" t="s">
        <v>131</v>
      </c>
      <c r="Q45" s="7" t="s">
        <v>89</v>
      </c>
      <c r="R45" s="7" t="s">
        <v>62</v>
      </c>
      <c r="S45" s="7" t="s">
        <v>109</v>
      </c>
      <c r="T45" s="7" t="s">
        <v>109</v>
      </c>
      <c r="U45" s="7" t="s">
        <v>109</v>
      </c>
      <c r="V45" s="7" t="s">
        <v>109</v>
      </c>
      <c r="W45" s="29" t="s">
        <v>1359</v>
      </c>
    </row>
    <row r="46" spans="1:23" x14ac:dyDescent="0.3">
      <c r="A46" s="7">
        <v>45</v>
      </c>
      <c r="B46" s="29" t="s">
        <v>26</v>
      </c>
      <c r="C46" s="29" t="s">
        <v>1388</v>
      </c>
      <c r="D46" s="29">
        <v>40126024</v>
      </c>
      <c r="E46" s="29">
        <v>289</v>
      </c>
      <c r="F46" s="7">
        <v>534</v>
      </c>
      <c r="G46" s="7">
        <v>273</v>
      </c>
      <c r="H46" s="7" t="s">
        <v>1476</v>
      </c>
      <c r="I46" s="7" t="s">
        <v>1477</v>
      </c>
      <c r="J46" s="7" t="s">
        <v>130</v>
      </c>
      <c r="K46" s="11">
        <v>0.81180555555555556</v>
      </c>
      <c r="L46" s="11">
        <v>0.97986111111111107</v>
      </c>
      <c r="M46" s="7" t="s">
        <v>109</v>
      </c>
      <c r="N46" s="29" t="s">
        <v>109</v>
      </c>
      <c r="O46" s="29" t="s">
        <v>61</v>
      </c>
      <c r="P46" s="7" t="s">
        <v>131</v>
      </c>
      <c r="Q46" s="7" t="s">
        <v>89</v>
      </c>
      <c r="R46" s="7" t="s">
        <v>62</v>
      </c>
      <c r="S46" s="7" t="s">
        <v>109</v>
      </c>
      <c r="T46" s="7" t="s">
        <v>109</v>
      </c>
      <c r="U46" s="7" t="s">
        <v>109</v>
      </c>
      <c r="V46" s="7" t="s">
        <v>109</v>
      </c>
      <c r="W46" s="29" t="s">
        <v>121</v>
      </c>
    </row>
    <row r="47" spans="1:23" x14ac:dyDescent="0.3">
      <c r="A47" s="7">
        <v>46</v>
      </c>
      <c r="B47" s="29" t="s">
        <v>26</v>
      </c>
      <c r="C47" s="29" t="s">
        <v>1323</v>
      </c>
      <c r="D47" s="29">
        <v>40126022</v>
      </c>
      <c r="E47" s="29">
        <v>297</v>
      </c>
      <c r="F47" s="7">
        <v>77</v>
      </c>
      <c r="G47" s="7">
        <v>12</v>
      </c>
      <c r="H47" s="7" t="s">
        <v>254</v>
      </c>
      <c r="I47" s="7" t="s">
        <v>1478</v>
      </c>
      <c r="J47" s="7" t="s">
        <v>130</v>
      </c>
      <c r="K47" s="11">
        <v>0.63888888888888884</v>
      </c>
      <c r="L47" s="11">
        <v>0.70833333333333337</v>
      </c>
      <c r="M47" s="7" t="s">
        <v>109</v>
      </c>
      <c r="N47" s="29" t="s">
        <v>1479</v>
      </c>
      <c r="O47" s="29" t="s">
        <v>61</v>
      </c>
      <c r="P47" s="7" t="s">
        <v>131</v>
      </c>
      <c r="Q47" s="7" t="s">
        <v>90</v>
      </c>
      <c r="R47" s="7" t="s">
        <v>62</v>
      </c>
      <c r="S47" s="7" t="s">
        <v>109</v>
      </c>
      <c r="T47" s="7" t="s">
        <v>109</v>
      </c>
      <c r="U47" s="7" t="s">
        <v>109</v>
      </c>
      <c r="V47" s="7" t="s">
        <v>109</v>
      </c>
      <c r="W47" s="29" t="s">
        <v>122</v>
      </c>
    </row>
    <row r="48" spans="1:23" x14ac:dyDescent="0.3">
      <c r="A48" s="7">
        <v>47</v>
      </c>
      <c r="B48" s="29" t="s">
        <v>23</v>
      </c>
      <c r="C48" s="29" t="s">
        <v>377</v>
      </c>
      <c r="D48" s="29">
        <v>50425243</v>
      </c>
      <c r="E48" s="29">
        <v>300</v>
      </c>
      <c r="F48" s="7">
        <v>102</v>
      </c>
      <c r="G48" s="7">
        <v>16</v>
      </c>
      <c r="H48" s="7" t="s">
        <v>1480</v>
      </c>
      <c r="I48" s="7" t="s">
        <v>109</v>
      </c>
      <c r="J48" s="7" t="s">
        <v>130</v>
      </c>
      <c r="K48" s="11">
        <v>0.88472222222222219</v>
      </c>
      <c r="L48" s="11">
        <v>0.91597222222222219</v>
      </c>
      <c r="M48" s="7" t="s">
        <v>109</v>
      </c>
      <c r="N48" s="29" t="s">
        <v>1461</v>
      </c>
      <c r="O48" s="29" t="s">
        <v>61</v>
      </c>
      <c r="P48" s="7" t="s">
        <v>131</v>
      </c>
      <c r="Q48" s="7" t="s">
        <v>154</v>
      </c>
      <c r="R48" s="7" t="s">
        <v>62</v>
      </c>
      <c r="S48" s="7" t="s">
        <v>109</v>
      </c>
      <c r="T48" s="7" t="s">
        <v>109</v>
      </c>
      <c r="U48" s="7" t="s">
        <v>109</v>
      </c>
      <c r="V48" s="7" t="s">
        <v>109</v>
      </c>
      <c r="W48" s="29" t="s">
        <v>379</v>
      </c>
    </row>
    <row r="49" spans="1:23" x14ac:dyDescent="0.3">
      <c r="A49" s="7">
        <v>48</v>
      </c>
      <c r="B49" s="29" t="s">
        <v>26</v>
      </c>
      <c r="C49" s="29" t="s">
        <v>1389</v>
      </c>
      <c r="D49" s="29">
        <v>40126028</v>
      </c>
      <c r="E49" s="29">
        <v>388</v>
      </c>
      <c r="F49" s="7">
        <v>629</v>
      </c>
      <c r="G49" s="7">
        <v>381</v>
      </c>
      <c r="H49" s="7" t="s">
        <v>1481</v>
      </c>
      <c r="I49" s="7" t="s">
        <v>1482</v>
      </c>
      <c r="J49" s="7" t="s">
        <v>130</v>
      </c>
      <c r="K49" s="11">
        <v>0.72152777777777777</v>
      </c>
      <c r="L49" s="11">
        <v>0.92986111111111114</v>
      </c>
      <c r="M49" s="7" t="s">
        <v>109</v>
      </c>
      <c r="N49" s="29" t="s">
        <v>109</v>
      </c>
      <c r="O49" s="29" t="s">
        <v>61</v>
      </c>
      <c r="P49" s="7" t="s">
        <v>131</v>
      </c>
      <c r="Q49" s="7" t="s">
        <v>91</v>
      </c>
      <c r="R49" s="7" t="s">
        <v>62</v>
      </c>
      <c r="S49" s="7" t="s">
        <v>109</v>
      </c>
      <c r="T49" s="7" t="s">
        <v>109</v>
      </c>
      <c r="U49" s="7" t="s">
        <v>109</v>
      </c>
      <c r="V49" s="7" t="s">
        <v>109</v>
      </c>
      <c r="W49" s="29" t="s">
        <v>121</v>
      </c>
    </row>
    <row r="50" spans="1:23" x14ac:dyDescent="0.3">
      <c r="A50" s="7">
        <v>49</v>
      </c>
      <c r="B50" s="29" t="s">
        <v>23</v>
      </c>
      <c r="C50" s="29" t="s">
        <v>940</v>
      </c>
      <c r="D50" s="29">
        <v>50126249</v>
      </c>
      <c r="E50" s="29">
        <v>800</v>
      </c>
      <c r="F50" s="7">
        <v>1235</v>
      </c>
      <c r="G50" s="7">
        <v>610</v>
      </c>
      <c r="H50" s="7" t="s">
        <v>1483</v>
      </c>
      <c r="I50" s="7" t="s">
        <v>109</v>
      </c>
      <c r="J50" s="7" t="s">
        <v>130</v>
      </c>
      <c r="K50" s="11">
        <v>0.71458333333333335</v>
      </c>
      <c r="L50" s="7" t="s">
        <v>109</v>
      </c>
      <c r="M50" s="7" t="s">
        <v>109</v>
      </c>
      <c r="N50" s="29" t="s">
        <v>110</v>
      </c>
      <c r="O50" s="29" t="s">
        <v>61</v>
      </c>
      <c r="P50" s="7" t="s">
        <v>131</v>
      </c>
      <c r="Q50" s="7" t="s">
        <v>274</v>
      </c>
      <c r="R50" s="7" t="s">
        <v>62</v>
      </c>
      <c r="S50" s="7" t="s">
        <v>109</v>
      </c>
      <c r="T50" s="7" t="s">
        <v>109</v>
      </c>
      <c r="U50" s="7" t="s">
        <v>109</v>
      </c>
      <c r="V50" s="7" t="s">
        <v>109</v>
      </c>
      <c r="W50" s="29" t="s">
        <v>424</v>
      </c>
    </row>
    <row r="51" spans="1:23" x14ac:dyDescent="0.3">
      <c r="A51" s="7">
        <v>50</v>
      </c>
      <c r="B51" s="29" t="s">
        <v>23</v>
      </c>
      <c r="C51" s="29" t="s">
        <v>1366</v>
      </c>
      <c r="D51" s="29">
        <v>50126343</v>
      </c>
      <c r="E51" s="29">
        <v>1200</v>
      </c>
      <c r="F51" s="7">
        <v>2612</v>
      </c>
      <c r="G51" s="7">
        <v>1118</v>
      </c>
      <c r="H51" s="7" t="s">
        <v>1484</v>
      </c>
      <c r="I51" s="7" t="s">
        <v>109</v>
      </c>
      <c r="J51" s="7" t="s">
        <v>130</v>
      </c>
      <c r="K51" s="11">
        <v>0.8666666666666667</v>
      </c>
      <c r="L51" s="7" t="s">
        <v>109</v>
      </c>
      <c r="M51" s="7" t="s">
        <v>109</v>
      </c>
      <c r="N51" s="29" t="s">
        <v>1485</v>
      </c>
      <c r="O51" s="29" t="s">
        <v>61</v>
      </c>
      <c r="P51" s="7" t="s">
        <v>131</v>
      </c>
      <c r="Q51" s="7" t="s">
        <v>241</v>
      </c>
      <c r="R51" s="7" t="s">
        <v>62</v>
      </c>
      <c r="S51" s="7" t="s">
        <v>109</v>
      </c>
      <c r="T51" s="7" t="s">
        <v>109</v>
      </c>
      <c r="U51" s="7" t="s">
        <v>109</v>
      </c>
      <c r="V51" s="7" t="s">
        <v>109</v>
      </c>
      <c r="W51" s="29" t="s">
        <v>1365</v>
      </c>
    </row>
    <row r="52" spans="1:23" x14ac:dyDescent="0.3">
      <c r="A52" s="7">
        <v>51</v>
      </c>
      <c r="B52" s="29" t="s">
        <v>23</v>
      </c>
      <c r="C52" s="83" t="s">
        <v>664</v>
      </c>
      <c r="D52" s="7">
        <v>50126150</v>
      </c>
      <c r="E52" s="7">
        <v>40</v>
      </c>
      <c r="F52" s="7">
        <v>14</v>
      </c>
      <c r="G52" s="7">
        <v>6</v>
      </c>
      <c r="H52" s="7" t="s">
        <v>65</v>
      </c>
      <c r="I52" s="7" t="s">
        <v>109</v>
      </c>
      <c r="J52" s="7" t="s">
        <v>130</v>
      </c>
      <c r="K52" s="7" t="s">
        <v>1494</v>
      </c>
      <c r="L52" s="7" t="s">
        <v>109</v>
      </c>
      <c r="M52" s="7" t="s">
        <v>109</v>
      </c>
      <c r="N52" s="7" t="s">
        <v>109</v>
      </c>
      <c r="O52" s="29" t="s">
        <v>61</v>
      </c>
      <c r="P52" s="7" t="s">
        <v>131</v>
      </c>
      <c r="Q52" s="7" t="s">
        <v>65</v>
      </c>
      <c r="R52" s="7" t="s">
        <v>62</v>
      </c>
      <c r="S52" s="7" t="s">
        <v>109</v>
      </c>
      <c r="T52" s="7" t="s">
        <v>109</v>
      </c>
      <c r="U52" s="7" t="s">
        <v>109</v>
      </c>
      <c r="V52" s="7" t="s">
        <v>109</v>
      </c>
      <c r="W52" s="7" t="s">
        <v>661</v>
      </c>
    </row>
    <row r="53" spans="1:23" x14ac:dyDescent="0.3">
      <c r="A53" s="7">
        <v>52</v>
      </c>
      <c r="B53" s="7" t="s">
        <v>143</v>
      </c>
      <c r="C53" s="7" t="s">
        <v>348</v>
      </c>
      <c r="D53" s="7">
        <v>11125084</v>
      </c>
      <c r="E53" s="7">
        <v>10</v>
      </c>
      <c r="F53" s="7">
        <v>14</v>
      </c>
      <c r="G53" s="7">
        <v>3</v>
      </c>
      <c r="H53" s="7" t="s">
        <v>71</v>
      </c>
      <c r="I53" s="7" t="s">
        <v>109</v>
      </c>
      <c r="J53" s="7" t="s">
        <v>130</v>
      </c>
      <c r="K53" s="7" t="s">
        <v>1486</v>
      </c>
      <c r="L53" s="7" t="s">
        <v>109</v>
      </c>
      <c r="M53" s="7" t="s">
        <v>109</v>
      </c>
      <c r="N53" s="7" t="s">
        <v>110</v>
      </c>
      <c r="O53" s="29" t="s">
        <v>61</v>
      </c>
      <c r="P53" s="7" t="s">
        <v>131</v>
      </c>
      <c r="Q53" s="7" t="s">
        <v>71</v>
      </c>
      <c r="R53" s="7" t="s">
        <v>62</v>
      </c>
      <c r="S53" s="7" t="s">
        <v>109</v>
      </c>
      <c r="T53" s="7" t="s">
        <v>109</v>
      </c>
      <c r="U53" s="7" t="s">
        <v>109</v>
      </c>
      <c r="V53" s="7" t="s">
        <v>109</v>
      </c>
      <c r="W53" s="7" t="s">
        <v>109</v>
      </c>
    </row>
    <row r="54" spans="1:23" x14ac:dyDescent="0.3">
      <c r="A54" s="7">
        <v>53</v>
      </c>
      <c r="B54" s="29" t="s">
        <v>143</v>
      </c>
      <c r="C54" s="7" t="s">
        <v>604</v>
      </c>
      <c r="D54" s="7">
        <v>10525047</v>
      </c>
      <c r="E54" s="7">
        <v>22</v>
      </c>
      <c r="F54" s="7">
        <v>22</v>
      </c>
      <c r="G54" s="7">
        <v>13</v>
      </c>
      <c r="H54" s="7" t="s">
        <v>69</v>
      </c>
      <c r="I54" s="7" t="s">
        <v>109</v>
      </c>
      <c r="J54" s="7" t="s">
        <v>130</v>
      </c>
      <c r="K54" s="11">
        <v>2.7777777777777779E-3</v>
      </c>
      <c r="L54" s="7" t="s">
        <v>1495</v>
      </c>
      <c r="M54" s="7" t="s">
        <v>109</v>
      </c>
      <c r="N54" s="7" t="s">
        <v>109</v>
      </c>
      <c r="O54" s="7" t="s">
        <v>606</v>
      </c>
      <c r="P54" s="7" t="s">
        <v>109</v>
      </c>
      <c r="Q54" s="7" t="s">
        <v>90</v>
      </c>
      <c r="R54" s="7" t="s">
        <v>109</v>
      </c>
      <c r="S54" s="7" t="s">
        <v>109</v>
      </c>
      <c r="T54" s="7" t="s">
        <v>109</v>
      </c>
      <c r="U54" s="7" t="s">
        <v>109</v>
      </c>
      <c r="V54" s="7" t="s">
        <v>109</v>
      </c>
      <c r="W54" s="7" t="s">
        <v>109</v>
      </c>
    </row>
  </sheetData>
  <conditionalFormatting sqref="D1">
    <cfRule type="duplicateValues" dxfId="96" priority="1"/>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3152F-1C70-48CF-82BE-D223080F76DE}">
  <sheetPr codeName="Sheet18"/>
  <dimension ref="A1:V47"/>
  <sheetViews>
    <sheetView topLeftCell="C1" workbookViewId="0">
      <selection activeCell="M17" sqref="M17"/>
    </sheetView>
  </sheetViews>
  <sheetFormatPr defaultRowHeight="14.4" x14ac:dyDescent="0.3"/>
  <cols>
    <col min="3" max="3" width="27.5546875" customWidth="1"/>
    <col min="4" max="4" width="10.77734375" customWidth="1"/>
    <col min="22" max="22" width="11.6640625" bestFit="1" customWidth="1"/>
  </cols>
  <sheetData>
    <row r="1" spans="1:22"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row>
    <row r="2" spans="1:22" x14ac:dyDescent="0.3">
      <c r="A2" s="7">
        <v>1</v>
      </c>
      <c r="B2" s="6" t="s">
        <v>25</v>
      </c>
      <c r="C2" s="6" t="s">
        <v>33</v>
      </c>
      <c r="D2" s="6">
        <v>41225016</v>
      </c>
      <c r="E2" s="6">
        <v>233</v>
      </c>
      <c r="F2" s="7">
        <v>135</v>
      </c>
      <c r="G2" s="7">
        <v>52</v>
      </c>
      <c r="H2" s="6" t="s">
        <v>1497</v>
      </c>
      <c r="I2" s="6" t="s">
        <v>1498</v>
      </c>
      <c r="J2" s="6" t="s">
        <v>130</v>
      </c>
      <c r="K2" s="11">
        <v>0.67569444444444449</v>
      </c>
      <c r="L2" s="11">
        <v>0.76875000000000004</v>
      </c>
      <c r="M2" s="7" t="s">
        <v>109</v>
      </c>
      <c r="N2" s="84" t="s">
        <v>1499</v>
      </c>
      <c r="O2" s="9" t="s">
        <v>145</v>
      </c>
      <c r="P2" s="7" t="s">
        <v>131</v>
      </c>
      <c r="Q2" s="7" t="s">
        <v>88</v>
      </c>
      <c r="R2" s="6" t="s">
        <v>62</v>
      </c>
      <c r="S2" s="7" t="s">
        <v>1500</v>
      </c>
      <c r="T2" s="6" t="s">
        <v>114</v>
      </c>
      <c r="U2" s="7" t="s">
        <v>109</v>
      </c>
      <c r="V2" s="7" t="s">
        <v>109</v>
      </c>
    </row>
    <row r="3" spans="1:22" x14ac:dyDescent="0.3">
      <c r="A3" s="7">
        <v>2</v>
      </c>
      <c r="B3" s="6" t="s">
        <v>25</v>
      </c>
      <c r="C3" s="6" t="s">
        <v>616</v>
      </c>
      <c r="D3" s="6">
        <v>40126015</v>
      </c>
      <c r="E3" s="6">
        <v>151</v>
      </c>
      <c r="F3" s="7">
        <v>342</v>
      </c>
      <c r="G3" s="7">
        <v>90</v>
      </c>
      <c r="H3" s="6" t="s">
        <v>330</v>
      </c>
      <c r="I3" s="6" t="s">
        <v>99</v>
      </c>
      <c r="J3" s="6" t="s">
        <v>130</v>
      </c>
      <c r="K3" s="11">
        <v>0.74583333333333335</v>
      </c>
      <c r="L3" s="11">
        <v>0.7993055555555556</v>
      </c>
      <c r="M3" s="7" t="s">
        <v>109</v>
      </c>
      <c r="N3" s="84" t="s">
        <v>1501</v>
      </c>
      <c r="O3" s="6" t="s">
        <v>61</v>
      </c>
      <c r="P3" s="7" t="s">
        <v>131</v>
      </c>
      <c r="Q3" s="7" t="s">
        <v>87</v>
      </c>
      <c r="R3" s="6" t="s">
        <v>62</v>
      </c>
      <c r="S3" s="7" t="s">
        <v>1500</v>
      </c>
      <c r="T3" s="6" t="s">
        <v>295</v>
      </c>
      <c r="U3" s="7" t="s">
        <v>109</v>
      </c>
      <c r="V3" s="7" t="s">
        <v>109</v>
      </c>
    </row>
    <row r="4" spans="1:22" x14ac:dyDescent="0.3">
      <c r="A4" s="7">
        <v>3</v>
      </c>
      <c r="B4" s="6" t="s">
        <v>24</v>
      </c>
      <c r="C4" s="6" t="s">
        <v>890</v>
      </c>
      <c r="D4" s="6">
        <v>60126003</v>
      </c>
      <c r="E4" s="6">
        <v>45</v>
      </c>
      <c r="F4" s="7">
        <v>102</v>
      </c>
      <c r="G4" s="7">
        <v>55</v>
      </c>
      <c r="H4" s="6" t="s">
        <v>196</v>
      </c>
      <c r="I4" s="6" t="s">
        <v>91</v>
      </c>
      <c r="J4" s="6" t="s">
        <v>130</v>
      </c>
      <c r="K4" s="11">
        <v>0.68194444444444446</v>
      </c>
      <c r="L4" s="11">
        <v>0.73124999999999996</v>
      </c>
      <c r="M4" s="7" t="s">
        <v>109</v>
      </c>
      <c r="N4" s="6" t="s">
        <v>109</v>
      </c>
      <c r="O4" s="6" t="s">
        <v>61</v>
      </c>
      <c r="P4" s="7" t="s">
        <v>131</v>
      </c>
      <c r="Q4" s="7" t="s">
        <v>91</v>
      </c>
      <c r="R4" s="6" t="s">
        <v>63</v>
      </c>
      <c r="S4" s="7" t="s">
        <v>1500</v>
      </c>
      <c r="T4" s="6" t="s">
        <v>891</v>
      </c>
      <c r="U4" s="7" t="s">
        <v>109</v>
      </c>
      <c r="V4" s="7" t="s">
        <v>109</v>
      </c>
    </row>
    <row r="5" spans="1:22" x14ac:dyDescent="0.3">
      <c r="A5" s="7">
        <v>4</v>
      </c>
      <c r="B5" s="6" t="s">
        <v>24</v>
      </c>
      <c r="C5" s="6" t="s">
        <v>892</v>
      </c>
      <c r="D5" s="6">
        <v>60126002</v>
      </c>
      <c r="E5" s="6">
        <v>60</v>
      </c>
      <c r="F5" s="7">
        <v>128</v>
      </c>
      <c r="G5" s="7">
        <v>67</v>
      </c>
      <c r="H5" s="6" t="s">
        <v>70</v>
      </c>
      <c r="I5" s="6" t="s">
        <v>94</v>
      </c>
      <c r="J5" s="6" t="s">
        <v>130</v>
      </c>
      <c r="K5" s="11">
        <v>0.83750000000000002</v>
      </c>
      <c r="L5" s="11">
        <v>0.94305555555555554</v>
      </c>
      <c r="M5" s="7" t="s">
        <v>109</v>
      </c>
      <c r="N5" s="6" t="s">
        <v>109</v>
      </c>
      <c r="O5" s="6" t="s">
        <v>61</v>
      </c>
      <c r="P5" s="7" t="s">
        <v>131</v>
      </c>
      <c r="Q5" s="7" t="s">
        <v>94</v>
      </c>
      <c r="R5" s="6" t="s">
        <v>63</v>
      </c>
      <c r="S5" s="7" t="s">
        <v>1500</v>
      </c>
      <c r="T5" s="6" t="s">
        <v>891</v>
      </c>
      <c r="U5" s="7" t="s">
        <v>109</v>
      </c>
      <c r="V5" s="7" t="s">
        <v>109</v>
      </c>
    </row>
    <row r="6" spans="1:22" x14ac:dyDescent="0.3">
      <c r="A6" s="7">
        <v>5</v>
      </c>
      <c r="B6" s="6" t="s">
        <v>24</v>
      </c>
      <c r="C6" s="6" t="s">
        <v>893</v>
      </c>
      <c r="D6" s="6">
        <v>60126004</v>
      </c>
      <c r="E6" s="6">
        <v>72</v>
      </c>
      <c r="F6" s="7">
        <v>109</v>
      </c>
      <c r="G6" s="7">
        <v>85</v>
      </c>
      <c r="H6" s="6" t="s">
        <v>82</v>
      </c>
      <c r="I6" s="6" t="s">
        <v>86</v>
      </c>
      <c r="J6" s="6" t="s">
        <v>130</v>
      </c>
      <c r="K6" s="11">
        <v>0.89444444444444449</v>
      </c>
      <c r="L6" s="11">
        <v>0.94166666666666665</v>
      </c>
      <c r="M6" s="7" t="s">
        <v>109</v>
      </c>
      <c r="N6" s="6" t="s">
        <v>109</v>
      </c>
      <c r="O6" s="6" t="s">
        <v>61</v>
      </c>
      <c r="P6" s="7" t="s">
        <v>131</v>
      </c>
      <c r="Q6" s="7" t="s">
        <v>86</v>
      </c>
      <c r="R6" s="6" t="s">
        <v>63</v>
      </c>
      <c r="S6" s="7" t="s">
        <v>1500</v>
      </c>
      <c r="T6" s="6" t="s">
        <v>891</v>
      </c>
      <c r="U6" s="7" t="s">
        <v>109</v>
      </c>
      <c r="V6" s="7" t="s">
        <v>109</v>
      </c>
    </row>
    <row r="7" spans="1:22" x14ac:dyDescent="0.3">
      <c r="A7" s="7">
        <v>6</v>
      </c>
      <c r="B7" s="6" t="s">
        <v>24</v>
      </c>
      <c r="C7" s="6" t="s">
        <v>894</v>
      </c>
      <c r="D7" s="6">
        <v>60126005</v>
      </c>
      <c r="E7" s="6">
        <v>60</v>
      </c>
      <c r="F7" s="7">
        <v>76</v>
      </c>
      <c r="G7" s="7">
        <v>56</v>
      </c>
      <c r="H7" s="6" t="s">
        <v>66</v>
      </c>
      <c r="I7" s="6" t="s">
        <v>88</v>
      </c>
      <c r="J7" s="6" t="s">
        <v>130</v>
      </c>
      <c r="K7" s="11">
        <v>0.86250000000000004</v>
      </c>
      <c r="L7" s="11">
        <v>0.88541666666666663</v>
      </c>
      <c r="M7" s="7" t="s">
        <v>109</v>
      </c>
      <c r="N7" s="6" t="s">
        <v>109</v>
      </c>
      <c r="O7" s="6" t="s">
        <v>61</v>
      </c>
      <c r="P7" s="7" t="s">
        <v>131</v>
      </c>
      <c r="Q7" s="7" t="s">
        <v>88</v>
      </c>
      <c r="R7" s="6" t="s">
        <v>63</v>
      </c>
      <c r="S7" s="7" t="s">
        <v>1500</v>
      </c>
      <c r="T7" s="6" t="s">
        <v>891</v>
      </c>
      <c r="U7" s="7" t="s">
        <v>109</v>
      </c>
      <c r="V7" s="7" t="s">
        <v>109</v>
      </c>
    </row>
    <row r="8" spans="1:22" x14ac:dyDescent="0.3">
      <c r="A8" s="7">
        <v>7</v>
      </c>
      <c r="B8" s="6" t="s">
        <v>24</v>
      </c>
      <c r="C8" s="6" t="s">
        <v>895</v>
      </c>
      <c r="D8" s="6">
        <v>60126006</v>
      </c>
      <c r="E8" s="6">
        <v>72</v>
      </c>
      <c r="F8" s="7">
        <v>128</v>
      </c>
      <c r="G8" s="7">
        <v>79</v>
      </c>
      <c r="H8" s="6" t="s">
        <v>65</v>
      </c>
      <c r="I8" s="6" t="s">
        <v>87</v>
      </c>
      <c r="J8" s="6" t="s">
        <v>130</v>
      </c>
      <c r="K8" s="11">
        <v>0.71666666666666667</v>
      </c>
      <c r="L8" s="11">
        <v>0.75763888888888886</v>
      </c>
      <c r="M8" s="7" t="s">
        <v>109</v>
      </c>
      <c r="N8" s="6" t="s">
        <v>109</v>
      </c>
      <c r="O8" s="6" t="s">
        <v>61</v>
      </c>
      <c r="P8" s="7" t="s">
        <v>131</v>
      </c>
      <c r="Q8" s="7" t="s">
        <v>87</v>
      </c>
      <c r="R8" s="6" t="s">
        <v>63</v>
      </c>
      <c r="S8" s="7" t="s">
        <v>1500</v>
      </c>
      <c r="T8" s="6" t="s">
        <v>891</v>
      </c>
      <c r="U8" s="7" t="s">
        <v>109</v>
      </c>
      <c r="V8" s="7" t="s">
        <v>109</v>
      </c>
    </row>
    <row r="9" spans="1:22" x14ac:dyDescent="0.3">
      <c r="A9" s="7">
        <v>8</v>
      </c>
      <c r="B9" s="6" t="s">
        <v>24</v>
      </c>
      <c r="C9" s="6" t="s">
        <v>896</v>
      </c>
      <c r="D9" s="6">
        <v>60126008</v>
      </c>
      <c r="E9" s="6">
        <v>54</v>
      </c>
      <c r="F9" s="7">
        <v>67</v>
      </c>
      <c r="G9" s="7">
        <v>51</v>
      </c>
      <c r="H9" s="6" t="s">
        <v>72</v>
      </c>
      <c r="I9" s="6" t="s">
        <v>89</v>
      </c>
      <c r="J9" s="6" t="s">
        <v>130</v>
      </c>
      <c r="K9" s="11">
        <v>0.73958333333333337</v>
      </c>
      <c r="L9" s="11">
        <v>0.78819444444444442</v>
      </c>
      <c r="M9" s="7" t="s">
        <v>109</v>
      </c>
      <c r="N9" s="6" t="s">
        <v>109</v>
      </c>
      <c r="O9" s="6" t="s">
        <v>61</v>
      </c>
      <c r="P9" s="7" t="s">
        <v>131</v>
      </c>
      <c r="Q9" s="7" t="s">
        <v>89</v>
      </c>
      <c r="R9" s="6" t="s">
        <v>63</v>
      </c>
      <c r="S9" s="7" t="s">
        <v>1500</v>
      </c>
      <c r="T9" s="6" t="s">
        <v>891</v>
      </c>
      <c r="U9" s="7" t="s">
        <v>109</v>
      </c>
      <c r="V9" s="7" t="s">
        <v>109</v>
      </c>
    </row>
    <row r="10" spans="1:22" x14ac:dyDescent="0.3">
      <c r="A10" s="7">
        <v>9</v>
      </c>
      <c r="B10" s="6" t="s">
        <v>24</v>
      </c>
      <c r="C10" s="6" t="s">
        <v>897</v>
      </c>
      <c r="D10" s="6">
        <v>60126007</v>
      </c>
      <c r="E10" s="6">
        <v>173</v>
      </c>
      <c r="F10" s="7">
        <v>288</v>
      </c>
      <c r="G10" s="7">
        <v>171</v>
      </c>
      <c r="H10" s="6" t="s">
        <v>1502</v>
      </c>
      <c r="I10" s="6" t="s">
        <v>1503</v>
      </c>
      <c r="J10" s="6" t="s">
        <v>130</v>
      </c>
      <c r="K10" s="11">
        <v>0.81319444444444444</v>
      </c>
      <c r="L10" s="11">
        <v>0.85416666666666663</v>
      </c>
      <c r="M10" s="7" t="s">
        <v>109</v>
      </c>
      <c r="N10" s="6" t="s">
        <v>109</v>
      </c>
      <c r="O10" s="6" t="s">
        <v>61</v>
      </c>
      <c r="P10" s="7" t="s">
        <v>131</v>
      </c>
      <c r="Q10" s="7" t="s">
        <v>154</v>
      </c>
      <c r="R10" s="6" t="s">
        <v>63</v>
      </c>
      <c r="S10" s="7" t="s">
        <v>1500</v>
      </c>
      <c r="T10" s="6" t="s">
        <v>891</v>
      </c>
      <c r="U10" s="7" t="s">
        <v>109</v>
      </c>
      <c r="V10" s="7" t="s">
        <v>109</v>
      </c>
    </row>
    <row r="11" spans="1:22" x14ac:dyDescent="0.3">
      <c r="A11" s="7">
        <v>10</v>
      </c>
      <c r="B11" s="6" t="s">
        <v>26</v>
      </c>
      <c r="C11" s="6" t="s">
        <v>1011</v>
      </c>
      <c r="D11" s="6">
        <v>40126017</v>
      </c>
      <c r="E11" s="6">
        <v>289</v>
      </c>
      <c r="F11" s="7">
        <v>99</v>
      </c>
      <c r="G11" s="7">
        <v>17</v>
      </c>
      <c r="H11" s="6" t="s">
        <v>1504</v>
      </c>
      <c r="I11" s="6" t="s">
        <v>1505</v>
      </c>
      <c r="J11" s="6" t="s">
        <v>130</v>
      </c>
      <c r="K11" s="11">
        <v>0.73611111111111116</v>
      </c>
      <c r="L11" s="11">
        <v>0.81180555555555556</v>
      </c>
      <c r="M11" s="7" t="s">
        <v>109</v>
      </c>
      <c r="N11" s="84" t="s">
        <v>1506</v>
      </c>
      <c r="O11" s="6" t="s">
        <v>61</v>
      </c>
      <c r="P11" s="7" t="s">
        <v>131</v>
      </c>
      <c r="Q11" s="7" t="s">
        <v>93</v>
      </c>
      <c r="R11" s="6" t="s">
        <v>62</v>
      </c>
      <c r="S11" s="7" t="s">
        <v>1500</v>
      </c>
      <c r="T11" s="6" t="s">
        <v>122</v>
      </c>
      <c r="U11" s="7" t="s">
        <v>109</v>
      </c>
      <c r="V11" s="18" t="s">
        <v>1524</v>
      </c>
    </row>
    <row r="12" spans="1:22" x14ac:dyDescent="0.3">
      <c r="A12" s="7">
        <v>11</v>
      </c>
      <c r="B12" s="6" t="s">
        <v>26</v>
      </c>
      <c r="C12" s="6" t="s">
        <v>1394</v>
      </c>
      <c r="D12" s="6">
        <v>40126021</v>
      </c>
      <c r="E12" s="6">
        <v>199</v>
      </c>
      <c r="F12" s="7">
        <v>301</v>
      </c>
      <c r="G12" s="7">
        <v>200</v>
      </c>
      <c r="H12" s="6" t="s">
        <v>1507</v>
      </c>
      <c r="I12" s="6" t="s">
        <v>1508</v>
      </c>
      <c r="J12" s="6" t="s">
        <v>130</v>
      </c>
      <c r="K12" s="11">
        <v>0.78194444444444444</v>
      </c>
      <c r="L12" s="11">
        <v>0.8881944444444444</v>
      </c>
      <c r="M12" s="7" t="s">
        <v>109</v>
      </c>
      <c r="N12" s="6" t="s">
        <v>109</v>
      </c>
      <c r="O12" s="6" t="s">
        <v>61</v>
      </c>
      <c r="P12" s="7" t="s">
        <v>131</v>
      </c>
      <c r="Q12" s="7" t="s">
        <v>91</v>
      </c>
      <c r="R12" s="6" t="s">
        <v>62</v>
      </c>
      <c r="S12" s="7" t="s">
        <v>1500</v>
      </c>
      <c r="T12" s="6" t="s">
        <v>1397</v>
      </c>
      <c r="U12" s="7" t="s">
        <v>109</v>
      </c>
      <c r="V12" s="7" t="s">
        <v>109</v>
      </c>
    </row>
    <row r="13" spans="1:22" x14ac:dyDescent="0.3">
      <c r="A13" s="7">
        <v>12</v>
      </c>
      <c r="B13" s="6" t="s">
        <v>23</v>
      </c>
      <c r="C13" s="6" t="s">
        <v>940</v>
      </c>
      <c r="D13" s="6">
        <v>50126249</v>
      </c>
      <c r="E13" s="6">
        <v>100</v>
      </c>
      <c r="F13" s="7">
        <v>184</v>
      </c>
      <c r="G13" s="7">
        <v>61</v>
      </c>
      <c r="H13" s="6" t="s">
        <v>84</v>
      </c>
      <c r="I13" s="6" t="s">
        <v>109</v>
      </c>
      <c r="J13" s="6" t="s">
        <v>130</v>
      </c>
      <c r="K13" s="7" t="s">
        <v>109</v>
      </c>
      <c r="L13" s="11">
        <v>0.84305555555555556</v>
      </c>
      <c r="M13" s="7" t="s">
        <v>109</v>
      </c>
      <c r="N13" s="6" t="s">
        <v>110</v>
      </c>
      <c r="O13" s="6" t="s">
        <v>61</v>
      </c>
      <c r="P13" s="7" t="s">
        <v>131</v>
      </c>
      <c r="Q13" s="7" t="s">
        <v>84</v>
      </c>
      <c r="R13" s="6" t="s">
        <v>62</v>
      </c>
      <c r="S13" s="7" t="s">
        <v>1500</v>
      </c>
      <c r="T13" s="6" t="s">
        <v>424</v>
      </c>
      <c r="U13" s="7" t="s">
        <v>109</v>
      </c>
      <c r="V13" s="7" t="s">
        <v>109</v>
      </c>
    </row>
    <row r="14" spans="1:22" x14ac:dyDescent="0.3">
      <c r="A14" s="7">
        <v>13</v>
      </c>
      <c r="B14" s="6" t="s">
        <v>23</v>
      </c>
      <c r="C14" s="6" t="s">
        <v>1464</v>
      </c>
      <c r="D14" s="6">
        <v>50126352</v>
      </c>
      <c r="E14" s="6">
        <v>60</v>
      </c>
      <c r="F14" s="7">
        <v>199</v>
      </c>
      <c r="G14" s="7">
        <v>59</v>
      </c>
      <c r="H14" s="6" t="s">
        <v>200</v>
      </c>
      <c r="I14" s="6" t="s">
        <v>109</v>
      </c>
      <c r="J14" s="6" t="s">
        <v>130</v>
      </c>
      <c r="K14" s="7" t="s">
        <v>109</v>
      </c>
      <c r="L14" s="11">
        <v>0.69513888888888886</v>
      </c>
      <c r="M14" s="7" t="s">
        <v>109</v>
      </c>
      <c r="N14" s="6" t="s">
        <v>110</v>
      </c>
      <c r="O14" s="6" t="s">
        <v>61</v>
      </c>
      <c r="P14" s="7" t="s">
        <v>131</v>
      </c>
      <c r="Q14" s="7" t="s">
        <v>200</v>
      </c>
      <c r="R14" s="6" t="s">
        <v>62</v>
      </c>
      <c r="S14" s="7" t="s">
        <v>1500</v>
      </c>
      <c r="T14" s="6" t="s">
        <v>424</v>
      </c>
      <c r="U14" s="7" t="s">
        <v>109</v>
      </c>
      <c r="V14" s="7" t="s">
        <v>109</v>
      </c>
    </row>
    <row r="15" spans="1:22" x14ac:dyDescent="0.3">
      <c r="A15" s="7">
        <v>14</v>
      </c>
      <c r="B15" s="6" t="s">
        <v>23</v>
      </c>
      <c r="C15" s="6" t="s">
        <v>534</v>
      </c>
      <c r="D15" s="6">
        <v>50126079</v>
      </c>
      <c r="E15" s="6">
        <v>350</v>
      </c>
      <c r="F15" s="7">
        <v>414</v>
      </c>
      <c r="G15" s="7">
        <v>365</v>
      </c>
      <c r="H15" s="6" t="s">
        <v>1523</v>
      </c>
      <c r="I15" s="6" t="s">
        <v>109</v>
      </c>
      <c r="J15" s="6" t="s">
        <v>130</v>
      </c>
      <c r="K15" s="7" t="s">
        <v>109</v>
      </c>
      <c r="L15" s="11">
        <v>0.74652777777777779</v>
      </c>
      <c r="M15" s="7" t="s">
        <v>109</v>
      </c>
      <c r="N15" s="6" t="s">
        <v>110</v>
      </c>
      <c r="O15" s="6" t="s">
        <v>61</v>
      </c>
      <c r="P15" s="7" t="s">
        <v>131</v>
      </c>
      <c r="Q15" s="7" t="s">
        <v>82</v>
      </c>
      <c r="R15" s="6" t="s">
        <v>62</v>
      </c>
      <c r="S15" s="7" t="s">
        <v>1500</v>
      </c>
      <c r="T15" s="6" t="s">
        <v>424</v>
      </c>
      <c r="U15" s="7" t="s">
        <v>109</v>
      </c>
      <c r="V15" s="7" t="s">
        <v>109</v>
      </c>
    </row>
    <row r="16" spans="1:22" x14ac:dyDescent="0.3">
      <c r="A16" s="7">
        <v>15</v>
      </c>
      <c r="B16" s="6" t="s">
        <v>23</v>
      </c>
      <c r="C16" s="6" t="s">
        <v>1022</v>
      </c>
      <c r="D16" s="6">
        <v>51225088</v>
      </c>
      <c r="E16" s="6">
        <v>250</v>
      </c>
      <c r="F16" s="7">
        <v>254</v>
      </c>
      <c r="G16" s="7">
        <v>70</v>
      </c>
      <c r="H16" s="6" t="s">
        <v>1509</v>
      </c>
      <c r="I16" s="6" t="s">
        <v>109</v>
      </c>
      <c r="J16" s="6" t="s">
        <v>130</v>
      </c>
      <c r="K16" s="7" t="s">
        <v>109</v>
      </c>
      <c r="L16" s="11">
        <v>0.91041666666666665</v>
      </c>
      <c r="M16" s="7" t="s">
        <v>109</v>
      </c>
      <c r="N16" s="6" t="s">
        <v>1510</v>
      </c>
      <c r="O16" s="6" t="s">
        <v>61</v>
      </c>
      <c r="P16" s="7" t="s">
        <v>131</v>
      </c>
      <c r="Q16" s="7" t="s">
        <v>209</v>
      </c>
      <c r="R16" s="6" t="s">
        <v>62</v>
      </c>
      <c r="S16" s="7" t="s">
        <v>1500</v>
      </c>
      <c r="T16" s="6" t="s">
        <v>1024</v>
      </c>
      <c r="U16" s="7" t="s">
        <v>109</v>
      </c>
      <c r="V16" s="7" t="s">
        <v>109</v>
      </c>
    </row>
    <row r="17" spans="1:22" x14ac:dyDescent="0.3">
      <c r="A17" s="7">
        <v>16</v>
      </c>
      <c r="B17" s="6" t="s">
        <v>23</v>
      </c>
      <c r="C17" s="6" t="s">
        <v>656</v>
      </c>
      <c r="D17" s="6">
        <v>50126031</v>
      </c>
      <c r="E17" s="6">
        <v>50</v>
      </c>
      <c r="F17" s="7">
        <v>80</v>
      </c>
      <c r="G17" s="7">
        <v>6</v>
      </c>
      <c r="H17" s="6" t="s">
        <v>241</v>
      </c>
      <c r="I17" s="6" t="s">
        <v>93</v>
      </c>
      <c r="J17" s="6" t="s">
        <v>130</v>
      </c>
      <c r="K17" s="11">
        <v>0.68958333333333333</v>
      </c>
      <c r="L17" s="11">
        <v>0.72152777777777777</v>
      </c>
      <c r="M17" s="7" t="s">
        <v>109</v>
      </c>
      <c r="N17" s="6" t="s">
        <v>109</v>
      </c>
      <c r="O17" s="6" t="s">
        <v>61</v>
      </c>
      <c r="P17" s="7" t="s">
        <v>131</v>
      </c>
      <c r="Q17" s="7" t="s">
        <v>93</v>
      </c>
      <c r="R17" s="6" t="s">
        <v>62</v>
      </c>
      <c r="S17" s="7" t="s">
        <v>1500</v>
      </c>
      <c r="T17" s="6" t="s">
        <v>480</v>
      </c>
      <c r="U17" s="7" t="s">
        <v>109</v>
      </c>
      <c r="V17" s="7" t="s">
        <v>109</v>
      </c>
    </row>
    <row r="18" spans="1:22" x14ac:dyDescent="0.3">
      <c r="A18" s="7">
        <v>17</v>
      </c>
      <c r="B18" s="6" t="s">
        <v>23</v>
      </c>
      <c r="C18" s="6" t="s">
        <v>855</v>
      </c>
      <c r="D18" s="6">
        <v>50126229</v>
      </c>
      <c r="E18" s="6">
        <v>60</v>
      </c>
      <c r="F18" s="7">
        <v>24</v>
      </c>
      <c r="G18" s="7">
        <v>15</v>
      </c>
      <c r="H18" s="6" t="s">
        <v>72</v>
      </c>
      <c r="I18" s="6" t="s">
        <v>109</v>
      </c>
      <c r="J18" s="6" t="s">
        <v>130</v>
      </c>
      <c r="K18" s="7" t="s">
        <v>109</v>
      </c>
      <c r="L18" s="11">
        <v>0.98055555555555551</v>
      </c>
      <c r="M18" s="7" t="s">
        <v>109</v>
      </c>
      <c r="N18" s="6" t="s">
        <v>660</v>
      </c>
      <c r="O18" s="6" t="s">
        <v>61</v>
      </c>
      <c r="P18" s="7" t="s">
        <v>131</v>
      </c>
      <c r="Q18" s="7" t="s">
        <v>72</v>
      </c>
      <c r="R18" s="6" t="s">
        <v>62</v>
      </c>
      <c r="S18" s="7" t="s">
        <v>1500</v>
      </c>
      <c r="T18" s="6" t="s">
        <v>856</v>
      </c>
      <c r="U18" s="7" t="s">
        <v>109</v>
      </c>
      <c r="V18" s="18" t="s">
        <v>1524</v>
      </c>
    </row>
    <row r="19" spans="1:22" x14ac:dyDescent="0.3">
      <c r="A19" s="7">
        <v>18</v>
      </c>
      <c r="B19" s="6" t="s">
        <v>23</v>
      </c>
      <c r="C19" s="6" t="s">
        <v>648</v>
      </c>
      <c r="D19" s="6">
        <v>50126036</v>
      </c>
      <c r="E19" s="6">
        <v>200</v>
      </c>
      <c r="F19" s="7">
        <v>395</v>
      </c>
      <c r="G19" s="7">
        <v>144</v>
      </c>
      <c r="H19" s="6" t="s">
        <v>73</v>
      </c>
      <c r="I19" s="6" t="s">
        <v>1071</v>
      </c>
      <c r="J19" s="6" t="s">
        <v>130</v>
      </c>
      <c r="K19" s="11">
        <v>0.78333333333333333</v>
      </c>
      <c r="L19" s="11">
        <v>0.80347222222222225</v>
      </c>
      <c r="M19" s="7" t="s">
        <v>109</v>
      </c>
      <c r="N19" s="6" t="s">
        <v>109</v>
      </c>
      <c r="O19" s="6" t="s">
        <v>61</v>
      </c>
      <c r="P19" s="7" t="s">
        <v>131</v>
      </c>
      <c r="Q19" s="7" t="s">
        <v>95</v>
      </c>
      <c r="R19" s="6" t="s">
        <v>62</v>
      </c>
      <c r="S19" s="7" t="s">
        <v>1500</v>
      </c>
      <c r="T19" s="6" t="s">
        <v>480</v>
      </c>
      <c r="U19" s="7" t="s">
        <v>109</v>
      </c>
      <c r="V19" s="7" t="s">
        <v>109</v>
      </c>
    </row>
    <row r="20" spans="1:22" x14ac:dyDescent="0.3">
      <c r="A20" s="7">
        <v>19</v>
      </c>
      <c r="B20" s="6" t="s">
        <v>23</v>
      </c>
      <c r="C20" s="6" t="s">
        <v>654</v>
      </c>
      <c r="D20" s="6">
        <v>50126032</v>
      </c>
      <c r="E20" s="6">
        <v>175</v>
      </c>
      <c r="F20" s="7">
        <v>292</v>
      </c>
      <c r="G20" s="7">
        <v>72</v>
      </c>
      <c r="H20" s="6" t="s">
        <v>1511</v>
      </c>
      <c r="I20" s="6" t="s">
        <v>1512</v>
      </c>
      <c r="J20" s="6" t="s">
        <v>130</v>
      </c>
      <c r="K20" s="11">
        <v>0.86388888888888893</v>
      </c>
      <c r="L20" s="11">
        <v>0.95902777777777781</v>
      </c>
      <c r="M20" s="7" t="s">
        <v>109</v>
      </c>
      <c r="N20" s="6" t="s">
        <v>109</v>
      </c>
      <c r="O20" s="6" t="s">
        <v>61</v>
      </c>
      <c r="P20" s="7" t="s">
        <v>131</v>
      </c>
      <c r="Q20" s="7" t="s">
        <v>94</v>
      </c>
      <c r="R20" s="6" t="s">
        <v>62</v>
      </c>
      <c r="S20" s="7" t="s">
        <v>1500</v>
      </c>
      <c r="T20" s="6" t="s">
        <v>480</v>
      </c>
      <c r="U20" s="7" t="s">
        <v>109</v>
      </c>
      <c r="V20" s="7" t="s">
        <v>109</v>
      </c>
    </row>
    <row r="21" spans="1:22" x14ac:dyDescent="0.3">
      <c r="A21" s="7">
        <v>20</v>
      </c>
      <c r="B21" s="6" t="s">
        <v>23</v>
      </c>
      <c r="C21" s="6" t="s">
        <v>869</v>
      </c>
      <c r="D21" s="6">
        <v>50126215</v>
      </c>
      <c r="E21" s="6">
        <v>50</v>
      </c>
      <c r="F21" s="7">
        <v>156</v>
      </c>
      <c r="G21" s="7">
        <v>4</v>
      </c>
      <c r="H21" s="6" t="s">
        <v>83</v>
      </c>
      <c r="I21" s="6" t="s">
        <v>109</v>
      </c>
      <c r="J21" s="6" t="s">
        <v>130</v>
      </c>
      <c r="K21" s="7" t="s">
        <v>109</v>
      </c>
      <c r="L21" s="11">
        <v>0.75972222222222219</v>
      </c>
      <c r="M21" s="7" t="s">
        <v>109</v>
      </c>
      <c r="N21" s="6" t="s">
        <v>109</v>
      </c>
      <c r="O21" s="6" t="s">
        <v>868</v>
      </c>
      <c r="P21" s="7" t="s">
        <v>131</v>
      </c>
      <c r="Q21" s="7" t="s">
        <v>83</v>
      </c>
      <c r="R21" s="6" t="s">
        <v>62</v>
      </c>
      <c r="S21" s="7" t="s">
        <v>1500</v>
      </c>
      <c r="T21" s="6" t="s">
        <v>870</v>
      </c>
      <c r="U21" s="7" t="s">
        <v>109</v>
      </c>
      <c r="V21" s="7" t="s">
        <v>109</v>
      </c>
    </row>
    <row r="22" spans="1:22" x14ac:dyDescent="0.3">
      <c r="A22" s="7">
        <v>21</v>
      </c>
      <c r="B22" s="6" t="s">
        <v>23</v>
      </c>
      <c r="C22" s="6" t="s">
        <v>1062</v>
      </c>
      <c r="D22" s="6">
        <v>50126304</v>
      </c>
      <c r="E22" s="6">
        <v>10</v>
      </c>
      <c r="F22" s="7">
        <v>18</v>
      </c>
      <c r="G22" s="7">
        <v>10</v>
      </c>
      <c r="H22" s="6" t="s">
        <v>64</v>
      </c>
      <c r="I22" s="6" t="s">
        <v>109</v>
      </c>
      <c r="J22" s="6" t="s">
        <v>130</v>
      </c>
      <c r="K22" s="7" t="s">
        <v>109</v>
      </c>
      <c r="L22" s="11">
        <v>0.9555555555555556</v>
      </c>
      <c r="M22" s="7" t="s">
        <v>109</v>
      </c>
      <c r="N22" s="6" t="s">
        <v>109</v>
      </c>
      <c r="O22" s="6" t="s">
        <v>868</v>
      </c>
      <c r="P22" s="7" t="s">
        <v>131</v>
      </c>
      <c r="Q22" s="7" t="s">
        <v>64</v>
      </c>
      <c r="R22" s="6" t="s">
        <v>62</v>
      </c>
      <c r="S22" s="7" t="s">
        <v>1500</v>
      </c>
      <c r="T22" s="6" t="s">
        <v>1063</v>
      </c>
      <c r="U22" s="7" t="s">
        <v>109</v>
      </c>
      <c r="V22" s="7" t="s">
        <v>109</v>
      </c>
    </row>
    <row r="23" spans="1:22" x14ac:dyDescent="0.3">
      <c r="A23" s="7">
        <v>22</v>
      </c>
      <c r="B23" s="6" t="s">
        <v>23</v>
      </c>
      <c r="C23" s="6" t="s">
        <v>479</v>
      </c>
      <c r="D23" s="6">
        <v>50126013</v>
      </c>
      <c r="E23" s="6">
        <v>40</v>
      </c>
      <c r="F23" s="7">
        <v>26</v>
      </c>
      <c r="G23" s="7">
        <v>2</v>
      </c>
      <c r="H23" s="6" t="s">
        <v>67</v>
      </c>
      <c r="I23" s="6" t="s">
        <v>89</v>
      </c>
      <c r="J23" s="6" t="s">
        <v>130</v>
      </c>
      <c r="K23" s="11">
        <v>0.68541666666666667</v>
      </c>
      <c r="L23" s="11">
        <v>0.75763888888888886</v>
      </c>
      <c r="M23" s="7" t="s">
        <v>109</v>
      </c>
      <c r="N23" s="6" t="s">
        <v>109</v>
      </c>
      <c r="O23" s="6" t="s">
        <v>868</v>
      </c>
      <c r="P23" s="7" t="s">
        <v>131</v>
      </c>
      <c r="Q23" s="7" t="s">
        <v>89</v>
      </c>
      <c r="R23" s="6" t="s">
        <v>62</v>
      </c>
      <c r="S23" s="7" t="s">
        <v>1500</v>
      </c>
      <c r="T23" s="6" t="s">
        <v>480</v>
      </c>
      <c r="U23" s="7" t="s">
        <v>109</v>
      </c>
      <c r="V23" s="18" t="s">
        <v>1524</v>
      </c>
    </row>
    <row r="24" spans="1:22" x14ac:dyDescent="0.3">
      <c r="A24" s="7">
        <v>23</v>
      </c>
      <c r="B24" s="6" t="s">
        <v>23</v>
      </c>
      <c r="C24" s="6" t="s">
        <v>280</v>
      </c>
      <c r="D24" s="6">
        <v>51125192</v>
      </c>
      <c r="E24" s="6">
        <v>30</v>
      </c>
      <c r="F24" s="7">
        <v>91</v>
      </c>
      <c r="G24" s="7">
        <v>33</v>
      </c>
      <c r="H24" s="6" t="s">
        <v>68</v>
      </c>
      <c r="I24" s="6" t="s">
        <v>109</v>
      </c>
      <c r="J24" s="6" t="s">
        <v>130</v>
      </c>
      <c r="K24" s="7" t="s">
        <v>109</v>
      </c>
      <c r="L24" s="11">
        <v>0.7006944444444444</v>
      </c>
      <c r="M24" s="7" t="s">
        <v>109</v>
      </c>
      <c r="N24" s="6" t="s">
        <v>109</v>
      </c>
      <c r="O24" s="6" t="s">
        <v>868</v>
      </c>
      <c r="P24" s="7" t="s">
        <v>131</v>
      </c>
      <c r="Q24" s="7" t="s">
        <v>68</v>
      </c>
      <c r="R24" s="6" t="s">
        <v>62</v>
      </c>
      <c r="S24" s="7" t="s">
        <v>1500</v>
      </c>
      <c r="T24" s="6" t="s">
        <v>278</v>
      </c>
      <c r="U24" s="7" t="s">
        <v>109</v>
      </c>
      <c r="V24" s="7" t="s">
        <v>109</v>
      </c>
    </row>
    <row r="25" spans="1:22" x14ac:dyDescent="0.3">
      <c r="A25" s="7">
        <v>24</v>
      </c>
      <c r="B25" s="6" t="s">
        <v>143</v>
      </c>
      <c r="C25" s="6" t="s">
        <v>347</v>
      </c>
      <c r="D25" s="6">
        <v>11225025</v>
      </c>
      <c r="E25" s="6">
        <v>75</v>
      </c>
      <c r="F25" s="7">
        <v>180</v>
      </c>
      <c r="G25" s="7">
        <v>52</v>
      </c>
      <c r="H25" s="6" t="s">
        <v>214</v>
      </c>
      <c r="I25" s="6" t="s">
        <v>88</v>
      </c>
      <c r="J25" s="6" t="s">
        <v>130</v>
      </c>
      <c r="K25" s="11">
        <v>0.96388888888888891</v>
      </c>
      <c r="L25" s="11">
        <v>0.9819444444444444</v>
      </c>
      <c r="M25" s="7" t="s">
        <v>109</v>
      </c>
      <c r="N25" s="6" t="s">
        <v>109</v>
      </c>
      <c r="O25" s="6" t="s">
        <v>61</v>
      </c>
      <c r="P25" s="7" t="s">
        <v>131</v>
      </c>
      <c r="Q25" s="7" t="s">
        <v>88</v>
      </c>
      <c r="R25" s="6" t="s">
        <v>62</v>
      </c>
      <c r="S25" s="7" t="s">
        <v>1500</v>
      </c>
      <c r="T25" s="6" t="s">
        <v>116</v>
      </c>
      <c r="U25" s="7" t="s">
        <v>109</v>
      </c>
      <c r="V25" s="7" t="s">
        <v>109</v>
      </c>
    </row>
    <row r="26" spans="1:22" x14ac:dyDescent="0.3">
      <c r="A26" s="7">
        <v>25</v>
      </c>
      <c r="B26" s="6" t="s">
        <v>143</v>
      </c>
      <c r="C26" s="6" t="s">
        <v>554</v>
      </c>
      <c r="D26" s="6">
        <v>10725018</v>
      </c>
      <c r="E26" s="6">
        <v>20</v>
      </c>
      <c r="F26" s="7">
        <v>85</v>
      </c>
      <c r="G26" s="7">
        <v>23</v>
      </c>
      <c r="H26" s="6" t="s">
        <v>82</v>
      </c>
      <c r="I26" s="6" t="s">
        <v>95</v>
      </c>
      <c r="J26" s="6" t="s">
        <v>130</v>
      </c>
      <c r="K26" s="11">
        <v>0.69722222222222219</v>
      </c>
      <c r="L26" s="11">
        <v>0.70347222222222228</v>
      </c>
      <c r="M26" s="7" t="s">
        <v>109</v>
      </c>
      <c r="N26" s="6" t="s">
        <v>109</v>
      </c>
      <c r="O26" s="6" t="s">
        <v>61</v>
      </c>
      <c r="P26" s="7" t="s">
        <v>131</v>
      </c>
      <c r="Q26" s="7" t="s">
        <v>95</v>
      </c>
      <c r="R26" s="6" t="s">
        <v>62</v>
      </c>
      <c r="S26" s="7" t="s">
        <v>1500</v>
      </c>
      <c r="T26" s="6" t="s">
        <v>609</v>
      </c>
      <c r="U26" s="7" t="s">
        <v>109</v>
      </c>
      <c r="V26" s="7" t="s">
        <v>109</v>
      </c>
    </row>
    <row r="27" spans="1:22" x14ac:dyDescent="0.3">
      <c r="A27" s="7">
        <v>26</v>
      </c>
      <c r="B27" s="6" t="s">
        <v>143</v>
      </c>
      <c r="C27" s="6" t="s">
        <v>1513</v>
      </c>
      <c r="D27" s="6">
        <v>10126036</v>
      </c>
      <c r="E27" s="6">
        <v>85</v>
      </c>
      <c r="F27" s="7">
        <v>229</v>
      </c>
      <c r="G27" s="7">
        <v>68</v>
      </c>
      <c r="H27" s="6" t="s">
        <v>65</v>
      </c>
      <c r="I27" s="6" t="s">
        <v>209</v>
      </c>
      <c r="J27" s="6" t="s">
        <v>130</v>
      </c>
      <c r="K27" s="11">
        <v>0.81597222222222221</v>
      </c>
      <c r="L27" s="11">
        <v>0.98611111111111116</v>
      </c>
      <c r="M27" s="7" t="s">
        <v>109</v>
      </c>
      <c r="N27" s="6" t="s">
        <v>109</v>
      </c>
      <c r="O27" s="6" t="s">
        <v>61</v>
      </c>
      <c r="P27" s="7" t="s">
        <v>131</v>
      </c>
      <c r="Q27" s="7" t="s">
        <v>605</v>
      </c>
      <c r="R27" s="6" t="s">
        <v>62</v>
      </c>
      <c r="S27" s="7" t="s">
        <v>1500</v>
      </c>
      <c r="T27" s="6" t="s">
        <v>182</v>
      </c>
      <c r="U27" s="7" t="s">
        <v>109</v>
      </c>
      <c r="V27" s="7" t="s">
        <v>109</v>
      </c>
    </row>
    <row r="28" spans="1:22" x14ac:dyDescent="0.3">
      <c r="A28" s="7">
        <v>27</v>
      </c>
      <c r="B28" s="6" t="s">
        <v>143</v>
      </c>
      <c r="C28" s="6" t="s">
        <v>1514</v>
      </c>
      <c r="D28" s="6">
        <v>10126035</v>
      </c>
      <c r="E28" s="6">
        <v>171</v>
      </c>
      <c r="F28" s="7">
        <v>304</v>
      </c>
      <c r="G28" s="7">
        <v>173</v>
      </c>
      <c r="H28" s="6" t="s">
        <v>159</v>
      </c>
      <c r="I28" s="6" t="s">
        <v>99</v>
      </c>
      <c r="J28" s="6" t="s">
        <v>130</v>
      </c>
      <c r="K28" s="11">
        <v>0.93333333333333335</v>
      </c>
      <c r="L28" s="11">
        <v>0.99861111111111112</v>
      </c>
      <c r="M28" s="7" t="s">
        <v>109</v>
      </c>
      <c r="N28" s="6" t="s">
        <v>109</v>
      </c>
      <c r="O28" s="6" t="s">
        <v>61</v>
      </c>
      <c r="P28" s="7" t="s">
        <v>131</v>
      </c>
      <c r="Q28" s="7" t="s">
        <v>603</v>
      </c>
      <c r="R28" s="6" t="s">
        <v>62</v>
      </c>
      <c r="S28" s="7" t="s">
        <v>1500</v>
      </c>
      <c r="T28" s="6" t="s">
        <v>398</v>
      </c>
      <c r="U28" s="7" t="s">
        <v>109</v>
      </c>
      <c r="V28" s="7" t="s">
        <v>109</v>
      </c>
    </row>
    <row r="29" spans="1:22" x14ac:dyDescent="0.3">
      <c r="A29" s="7">
        <v>28</v>
      </c>
      <c r="B29" s="6" t="s">
        <v>143</v>
      </c>
      <c r="C29" s="6" t="s">
        <v>1328</v>
      </c>
      <c r="D29" s="6">
        <v>10126027</v>
      </c>
      <c r="E29" s="10">
        <v>110</v>
      </c>
      <c r="F29" s="7">
        <v>222</v>
      </c>
      <c r="G29" s="7">
        <v>107</v>
      </c>
      <c r="H29" s="6" t="s">
        <v>70</v>
      </c>
      <c r="I29" s="6" t="s">
        <v>94</v>
      </c>
      <c r="J29" s="6" t="s">
        <v>130</v>
      </c>
      <c r="K29" s="11">
        <v>0.97847222222222219</v>
      </c>
      <c r="L29" s="11">
        <v>2.9166666666666667E-2</v>
      </c>
      <c r="M29" s="7" t="s">
        <v>109</v>
      </c>
      <c r="N29" s="84" t="s">
        <v>1515</v>
      </c>
      <c r="O29" s="6" t="s">
        <v>61</v>
      </c>
      <c r="P29" s="7" t="s">
        <v>131</v>
      </c>
      <c r="Q29" s="7" t="s">
        <v>94</v>
      </c>
      <c r="R29" s="6" t="s">
        <v>62</v>
      </c>
      <c r="S29" s="7" t="s">
        <v>1500</v>
      </c>
      <c r="T29" s="6" t="s">
        <v>1329</v>
      </c>
      <c r="U29" s="7" t="s">
        <v>109</v>
      </c>
      <c r="V29" s="7" t="s">
        <v>1526</v>
      </c>
    </row>
    <row r="30" spans="1:22" x14ac:dyDescent="0.3">
      <c r="A30" s="7">
        <v>29</v>
      </c>
      <c r="B30" s="6" t="s">
        <v>143</v>
      </c>
      <c r="C30" s="6" t="s">
        <v>1253</v>
      </c>
      <c r="D30" s="6">
        <v>10126025</v>
      </c>
      <c r="E30" s="6">
        <v>50</v>
      </c>
      <c r="F30" s="7">
        <v>33</v>
      </c>
      <c r="G30" s="7">
        <v>5</v>
      </c>
      <c r="H30" s="6" t="s">
        <v>527</v>
      </c>
      <c r="I30" s="6" t="s">
        <v>154</v>
      </c>
      <c r="J30" s="6" t="s">
        <v>130</v>
      </c>
      <c r="K30" s="11">
        <v>0.85763888888888884</v>
      </c>
      <c r="L30" s="11">
        <v>0.89722222222222225</v>
      </c>
      <c r="M30" s="7" t="s">
        <v>109</v>
      </c>
      <c r="N30" s="84" t="s">
        <v>1515</v>
      </c>
      <c r="O30" s="6" t="s">
        <v>61</v>
      </c>
      <c r="P30" s="7" t="s">
        <v>131</v>
      </c>
      <c r="Q30" s="7" t="s">
        <v>154</v>
      </c>
      <c r="R30" s="6" t="s">
        <v>62</v>
      </c>
      <c r="S30" s="7" t="s">
        <v>1500</v>
      </c>
      <c r="T30" s="6" t="s">
        <v>398</v>
      </c>
      <c r="U30" s="7" t="s">
        <v>109</v>
      </c>
      <c r="V30" s="7" t="s">
        <v>109</v>
      </c>
    </row>
    <row r="31" spans="1:22" x14ac:dyDescent="0.3">
      <c r="A31" s="7">
        <v>30</v>
      </c>
      <c r="B31" s="6" t="s">
        <v>23</v>
      </c>
      <c r="C31" s="6" t="s">
        <v>1366</v>
      </c>
      <c r="D31" s="6">
        <v>50126343</v>
      </c>
      <c r="E31" s="6">
        <v>1200</v>
      </c>
      <c r="F31" s="7">
        <v>2344</v>
      </c>
      <c r="G31" s="7">
        <v>890</v>
      </c>
      <c r="H31" s="84" t="s">
        <v>1516</v>
      </c>
      <c r="I31" s="6" t="s">
        <v>109</v>
      </c>
      <c r="J31" s="6" t="s">
        <v>130</v>
      </c>
      <c r="K31" s="7" t="s">
        <v>109</v>
      </c>
      <c r="L31" s="11">
        <v>0.95347222222222228</v>
      </c>
      <c r="M31" s="85" t="s">
        <v>1517</v>
      </c>
      <c r="N31" s="6" t="s">
        <v>110</v>
      </c>
      <c r="O31" s="6" t="s">
        <v>61</v>
      </c>
      <c r="P31" s="7" t="s">
        <v>131</v>
      </c>
      <c r="Q31" s="7" t="s">
        <v>241</v>
      </c>
      <c r="R31" s="6" t="s">
        <v>62</v>
      </c>
      <c r="S31" s="7" t="s">
        <v>1500</v>
      </c>
      <c r="T31" s="6" t="s">
        <v>1365</v>
      </c>
      <c r="U31" s="7" t="s">
        <v>109</v>
      </c>
      <c r="V31" s="7" t="s">
        <v>109</v>
      </c>
    </row>
    <row r="32" spans="1:22" x14ac:dyDescent="0.3">
      <c r="A32" s="14">
        <v>31</v>
      </c>
      <c r="B32" s="8" t="s">
        <v>23</v>
      </c>
      <c r="C32" s="8" t="s">
        <v>1054</v>
      </c>
      <c r="D32" s="8">
        <v>50126315</v>
      </c>
      <c r="E32" s="8">
        <v>50</v>
      </c>
      <c r="F32" s="14" t="s">
        <v>109</v>
      </c>
      <c r="G32" s="14" t="s">
        <v>109</v>
      </c>
      <c r="H32" s="8" t="s">
        <v>214</v>
      </c>
      <c r="I32" s="8" t="s">
        <v>209</v>
      </c>
      <c r="J32" s="8" t="s">
        <v>85</v>
      </c>
      <c r="K32" s="14" t="s">
        <v>109</v>
      </c>
      <c r="L32" s="14" t="s">
        <v>109</v>
      </c>
      <c r="M32" s="14" t="s">
        <v>109</v>
      </c>
      <c r="N32" s="8" t="s">
        <v>109</v>
      </c>
      <c r="O32" s="8" t="s">
        <v>61</v>
      </c>
      <c r="P32" s="14" t="s">
        <v>109</v>
      </c>
      <c r="Q32" s="14" t="s">
        <v>109</v>
      </c>
      <c r="R32" s="8" t="s">
        <v>62</v>
      </c>
      <c r="S32" s="14" t="s">
        <v>1500</v>
      </c>
      <c r="T32" s="8" t="s">
        <v>480</v>
      </c>
      <c r="U32" s="14" t="s">
        <v>109</v>
      </c>
      <c r="V32" s="14" t="s">
        <v>109</v>
      </c>
    </row>
    <row r="33" spans="1:22" x14ac:dyDescent="0.3">
      <c r="A33" s="7">
        <v>32</v>
      </c>
      <c r="B33" s="6" t="s">
        <v>23</v>
      </c>
      <c r="C33" s="6" t="s">
        <v>758</v>
      </c>
      <c r="D33" s="6">
        <v>50126142</v>
      </c>
      <c r="E33" s="6">
        <v>200</v>
      </c>
      <c r="F33" s="7">
        <v>408</v>
      </c>
      <c r="G33" s="7">
        <v>78</v>
      </c>
      <c r="H33" s="6" t="s">
        <v>73</v>
      </c>
      <c r="I33" s="6" t="s">
        <v>1156</v>
      </c>
      <c r="J33" s="6" t="s">
        <v>130</v>
      </c>
      <c r="K33" s="11">
        <v>0.95416666666666672</v>
      </c>
      <c r="L33" s="11">
        <v>0.97777777777777775</v>
      </c>
      <c r="M33" s="7" t="s">
        <v>109</v>
      </c>
      <c r="N33" s="6" t="s">
        <v>109</v>
      </c>
      <c r="O33" s="6" t="s">
        <v>61</v>
      </c>
      <c r="P33" s="7" t="s">
        <v>131</v>
      </c>
      <c r="Q33" s="7" t="s">
        <v>86</v>
      </c>
      <c r="R33" s="6" t="s">
        <v>62</v>
      </c>
      <c r="S33" s="7" t="s">
        <v>1500</v>
      </c>
      <c r="T33" s="6" t="s">
        <v>480</v>
      </c>
      <c r="U33" s="7" t="s">
        <v>109</v>
      </c>
      <c r="V33" s="7" t="s">
        <v>109</v>
      </c>
    </row>
    <row r="34" spans="1:22" x14ac:dyDescent="0.3">
      <c r="A34" s="7">
        <v>33</v>
      </c>
      <c r="B34" s="6" t="s">
        <v>23</v>
      </c>
      <c r="C34" s="6" t="s">
        <v>595</v>
      </c>
      <c r="D34" s="6">
        <v>50126068</v>
      </c>
      <c r="E34" s="6">
        <v>30</v>
      </c>
      <c r="F34" s="7">
        <v>46</v>
      </c>
      <c r="G34" s="7">
        <v>11</v>
      </c>
      <c r="H34" s="6" t="s">
        <v>71</v>
      </c>
      <c r="I34" s="6" t="s">
        <v>109</v>
      </c>
      <c r="J34" s="6" t="s">
        <v>130</v>
      </c>
      <c r="K34" s="7" t="s">
        <v>109</v>
      </c>
      <c r="L34" s="11">
        <v>0.84166666666666667</v>
      </c>
      <c r="M34" s="7" t="s">
        <v>109</v>
      </c>
      <c r="N34" s="6" t="s">
        <v>109</v>
      </c>
      <c r="O34" s="6" t="s">
        <v>61</v>
      </c>
      <c r="P34" s="7" t="s">
        <v>131</v>
      </c>
      <c r="Q34" s="7" t="s">
        <v>71</v>
      </c>
      <c r="R34" s="6" t="s">
        <v>62</v>
      </c>
      <c r="S34" s="7" t="s">
        <v>1500</v>
      </c>
      <c r="T34" s="6" t="s">
        <v>610</v>
      </c>
      <c r="U34" s="7" t="s">
        <v>109</v>
      </c>
      <c r="V34" s="7" t="s">
        <v>109</v>
      </c>
    </row>
    <row r="35" spans="1:22" x14ac:dyDescent="0.3">
      <c r="A35" s="7">
        <v>34</v>
      </c>
      <c r="B35" s="6" t="s">
        <v>23</v>
      </c>
      <c r="C35" s="6" t="s">
        <v>36</v>
      </c>
      <c r="D35" s="6">
        <v>50825010</v>
      </c>
      <c r="E35" s="6">
        <v>50</v>
      </c>
      <c r="F35" s="7">
        <v>87</v>
      </c>
      <c r="G35" s="7">
        <v>32</v>
      </c>
      <c r="H35" s="6" t="s">
        <v>84</v>
      </c>
      <c r="I35" s="6" t="s">
        <v>109</v>
      </c>
      <c r="J35" s="6" t="s">
        <v>130</v>
      </c>
      <c r="K35" s="7" t="s">
        <v>109</v>
      </c>
      <c r="L35" s="11">
        <v>0.96388888888888891</v>
      </c>
      <c r="M35" s="7" t="s">
        <v>109</v>
      </c>
      <c r="N35" s="6" t="s">
        <v>109</v>
      </c>
      <c r="O35" s="6" t="s">
        <v>61</v>
      </c>
      <c r="P35" s="7" t="s">
        <v>131</v>
      </c>
      <c r="Q35" s="7" t="s">
        <v>84</v>
      </c>
      <c r="R35" s="6" t="s">
        <v>62</v>
      </c>
      <c r="S35" s="7" t="s">
        <v>1500</v>
      </c>
      <c r="T35" s="6" t="s">
        <v>115</v>
      </c>
      <c r="U35" s="7" t="s">
        <v>109</v>
      </c>
      <c r="V35" s="7" t="s">
        <v>109</v>
      </c>
    </row>
    <row r="36" spans="1:22" x14ac:dyDescent="0.3">
      <c r="A36" s="7">
        <v>35</v>
      </c>
      <c r="B36" s="6" t="s">
        <v>23</v>
      </c>
      <c r="C36" s="6" t="s">
        <v>592</v>
      </c>
      <c r="D36" s="6">
        <v>50126073</v>
      </c>
      <c r="E36" s="6">
        <v>100</v>
      </c>
      <c r="F36" s="7">
        <v>225</v>
      </c>
      <c r="G36" s="7">
        <v>72</v>
      </c>
      <c r="H36" s="6" t="s">
        <v>1518</v>
      </c>
      <c r="I36" s="6" t="s">
        <v>109</v>
      </c>
      <c r="J36" s="6" t="s">
        <v>130</v>
      </c>
      <c r="K36" s="7" t="s">
        <v>109</v>
      </c>
      <c r="L36" s="11">
        <v>0.79722222222222228</v>
      </c>
      <c r="M36" s="7" t="s">
        <v>109</v>
      </c>
      <c r="N36" s="6" t="s">
        <v>109</v>
      </c>
      <c r="O36" s="6" t="s">
        <v>61</v>
      </c>
      <c r="P36" s="7" t="s">
        <v>131</v>
      </c>
      <c r="Q36" s="7" t="s">
        <v>89</v>
      </c>
      <c r="R36" s="6" t="s">
        <v>62</v>
      </c>
      <c r="S36" s="7" t="s">
        <v>1500</v>
      </c>
      <c r="T36" s="6" t="s">
        <v>610</v>
      </c>
      <c r="U36" s="7" t="s">
        <v>109</v>
      </c>
      <c r="V36" s="7" t="s">
        <v>109</v>
      </c>
    </row>
    <row r="37" spans="1:22" x14ac:dyDescent="0.3">
      <c r="A37" s="7">
        <v>36</v>
      </c>
      <c r="B37" s="6" t="s">
        <v>23</v>
      </c>
      <c r="C37" s="6" t="s">
        <v>596</v>
      </c>
      <c r="D37" s="6">
        <v>50126071</v>
      </c>
      <c r="E37" s="6">
        <v>75</v>
      </c>
      <c r="F37" s="7">
        <v>130</v>
      </c>
      <c r="G37" s="7">
        <v>69</v>
      </c>
      <c r="H37" s="6" t="s">
        <v>184</v>
      </c>
      <c r="I37" s="6" t="s">
        <v>109</v>
      </c>
      <c r="J37" s="6" t="s">
        <v>130</v>
      </c>
      <c r="K37" s="11" t="s">
        <v>109</v>
      </c>
      <c r="L37" s="11">
        <v>0.95277777777777772</v>
      </c>
      <c r="M37" s="7" t="s">
        <v>109</v>
      </c>
      <c r="N37" s="6" t="s">
        <v>109</v>
      </c>
      <c r="O37" s="6" t="s">
        <v>61</v>
      </c>
      <c r="P37" s="7" t="s">
        <v>131</v>
      </c>
      <c r="Q37" s="7" t="s">
        <v>184</v>
      </c>
      <c r="R37" s="6" t="s">
        <v>62</v>
      </c>
      <c r="S37" s="7" t="s">
        <v>1500</v>
      </c>
      <c r="T37" s="6" t="s">
        <v>610</v>
      </c>
      <c r="U37" s="7" t="s">
        <v>109</v>
      </c>
      <c r="V37" s="7" t="s">
        <v>109</v>
      </c>
    </row>
    <row r="38" spans="1:22" x14ac:dyDescent="0.3">
      <c r="A38" s="7">
        <v>37</v>
      </c>
      <c r="B38" s="6" t="s">
        <v>23</v>
      </c>
      <c r="C38" s="6" t="s">
        <v>1519</v>
      </c>
      <c r="D38" s="6">
        <v>50126353</v>
      </c>
      <c r="E38" s="6">
        <v>50</v>
      </c>
      <c r="F38" s="7">
        <v>75</v>
      </c>
      <c r="G38" s="7">
        <v>59</v>
      </c>
      <c r="H38" s="6" t="s">
        <v>274</v>
      </c>
      <c r="I38" s="6" t="s">
        <v>109</v>
      </c>
      <c r="J38" s="6" t="s">
        <v>130</v>
      </c>
      <c r="K38" s="7" t="s">
        <v>109</v>
      </c>
      <c r="L38" s="11">
        <v>0.96736111111111112</v>
      </c>
      <c r="M38" s="7" t="s">
        <v>109</v>
      </c>
      <c r="N38" s="6" t="s">
        <v>109</v>
      </c>
      <c r="O38" s="6" t="s">
        <v>61</v>
      </c>
      <c r="P38" s="7" t="s">
        <v>131</v>
      </c>
      <c r="Q38" s="7" t="s">
        <v>274</v>
      </c>
      <c r="R38" s="6" t="s">
        <v>62</v>
      </c>
      <c r="S38" s="7" t="s">
        <v>1500</v>
      </c>
      <c r="T38" s="6" t="s">
        <v>1309</v>
      </c>
      <c r="U38" s="7" t="s">
        <v>109</v>
      </c>
      <c r="V38" s="7" t="s">
        <v>109</v>
      </c>
    </row>
    <row r="39" spans="1:22" x14ac:dyDescent="0.3">
      <c r="A39" s="7">
        <v>38</v>
      </c>
      <c r="B39" s="6" t="s">
        <v>23</v>
      </c>
      <c r="C39" s="6" t="s">
        <v>1055</v>
      </c>
      <c r="D39" s="6">
        <v>50126317</v>
      </c>
      <c r="E39" s="6">
        <v>100</v>
      </c>
      <c r="F39" s="7">
        <v>200</v>
      </c>
      <c r="G39" s="7">
        <v>64</v>
      </c>
      <c r="H39" s="6" t="s">
        <v>184</v>
      </c>
      <c r="I39" s="6" t="s">
        <v>94</v>
      </c>
      <c r="J39" s="6" t="s">
        <v>130</v>
      </c>
      <c r="K39" s="11">
        <v>0.8305555555555556</v>
      </c>
      <c r="L39" s="11">
        <v>0.91736111111111107</v>
      </c>
      <c r="M39" s="7" t="s">
        <v>109</v>
      </c>
      <c r="N39" s="6" t="s">
        <v>109</v>
      </c>
      <c r="O39" s="6" t="s">
        <v>61</v>
      </c>
      <c r="P39" s="7" t="s">
        <v>131</v>
      </c>
      <c r="Q39" s="7" t="s">
        <v>94</v>
      </c>
      <c r="R39" s="6" t="s">
        <v>62</v>
      </c>
      <c r="S39" s="7" t="s">
        <v>1500</v>
      </c>
      <c r="T39" s="6" t="s">
        <v>480</v>
      </c>
      <c r="U39" s="7" t="s">
        <v>109</v>
      </c>
      <c r="V39" s="7" t="s">
        <v>109</v>
      </c>
    </row>
    <row r="40" spans="1:22" x14ac:dyDescent="0.3">
      <c r="A40" s="7">
        <v>39</v>
      </c>
      <c r="B40" s="6" t="s">
        <v>23</v>
      </c>
      <c r="C40" s="6" t="s">
        <v>1056</v>
      </c>
      <c r="D40" s="6">
        <v>50126316</v>
      </c>
      <c r="E40" s="6">
        <v>100</v>
      </c>
      <c r="F40" s="7">
        <v>215</v>
      </c>
      <c r="G40" s="7">
        <v>74</v>
      </c>
      <c r="H40" s="6" t="s">
        <v>196</v>
      </c>
      <c r="I40" s="6" t="s">
        <v>87</v>
      </c>
      <c r="J40" s="6" t="s">
        <v>130</v>
      </c>
      <c r="K40" s="11">
        <v>0.79374999999999996</v>
      </c>
      <c r="L40" s="11">
        <v>0.83263888888888893</v>
      </c>
      <c r="M40" s="7" t="s">
        <v>109</v>
      </c>
      <c r="N40" s="6" t="s">
        <v>109</v>
      </c>
      <c r="O40" s="6" t="s">
        <v>61</v>
      </c>
      <c r="P40" s="7" t="s">
        <v>131</v>
      </c>
      <c r="Q40" s="7" t="s">
        <v>87</v>
      </c>
      <c r="R40" s="6" t="s">
        <v>62</v>
      </c>
      <c r="S40" s="7" t="s">
        <v>1500</v>
      </c>
      <c r="T40" s="6" t="s">
        <v>480</v>
      </c>
      <c r="U40" s="7" t="s">
        <v>109</v>
      </c>
      <c r="V40" s="7" t="s">
        <v>109</v>
      </c>
    </row>
    <row r="41" spans="1:22" x14ac:dyDescent="0.3">
      <c r="A41" s="7">
        <v>40</v>
      </c>
      <c r="B41" s="6" t="s">
        <v>411</v>
      </c>
      <c r="C41" s="6" t="s">
        <v>1361</v>
      </c>
      <c r="D41" s="6">
        <v>30126012</v>
      </c>
      <c r="E41" s="6">
        <v>186</v>
      </c>
      <c r="F41" s="7">
        <v>378</v>
      </c>
      <c r="G41" s="7">
        <v>31</v>
      </c>
      <c r="H41" s="6" t="s">
        <v>420</v>
      </c>
      <c r="I41" s="6" t="s">
        <v>1520</v>
      </c>
      <c r="J41" s="6" t="s">
        <v>130</v>
      </c>
      <c r="K41" s="11">
        <v>0.7319444444444444</v>
      </c>
      <c r="L41" s="11">
        <v>0.77708333333333335</v>
      </c>
      <c r="M41" s="7" t="s">
        <v>109</v>
      </c>
      <c r="N41" s="6" t="s">
        <v>109</v>
      </c>
      <c r="O41" s="6" t="s">
        <v>61</v>
      </c>
      <c r="P41" s="7" t="s">
        <v>131</v>
      </c>
      <c r="Q41" s="7" t="s">
        <v>93</v>
      </c>
      <c r="R41" s="6" t="s">
        <v>62</v>
      </c>
      <c r="S41" s="7" t="s">
        <v>1500</v>
      </c>
      <c r="T41" s="6" t="s">
        <v>1359</v>
      </c>
      <c r="U41" s="7" t="s">
        <v>109</v>
      </c>
      <c r="V41" s="7" t="s">
        <v>109</v>
      </c>
    </row>
    <row r="42" spans="1:22" x14ac:dyDescent="0.3">
      <c r="A42" s="7">
        <v>41</v>
      </c>
      <c r="B42" s="6" t="s">
        <v>414</v>
      </c>
      <c r="C42" s="6" t="s">
        <v>1465</v>
      </c>
      <c r="D42" s="6">
        <v>40126031</v>
      </c>
      <c r="E42" s="6">
        <v>150</v>
      </c>
      <c r="F42" s="7">
        <v>116</v>
      </c>
      <c r="G42" s="7">
        <v>15</v>
      </c>
      <c r="H42" s="6" t="s">
        <v>1521</v>
      </c>
      <c r="I42" s="6" t="s">
        <v>1127</v>
      </c>
      <c r="J42" s="6" t="s">
        <v>130</v>
      </c>
      <c r="K42" s="11">
        <v>0.75277777777777777</v>
      </c>
      <c r="L42" s="11">
        <v>0.76388888888888884</v>
      </c>
      <c r="M42" s="7" t="s">
        <v>109</v>
      </c>
      <c r="N42" s="6" t="s">
        <v>1522</v>
      </c>
      <c r="O42" s="6" t="s">
        <v>61</v>
      </c>
      <c r="P42" s="7" t="s">
        <v>131</v>
      </c>
      <c r="Q42" s="7" t="s">
        <v>95</v>
      </c>
      <c r="R42" s="6" t="s">
        <v>62</v>
      </c>
      <c r="S42" s="7" t="s">
        <v>1500</v>
      </c>
      <c r="T42" s="6" t="s">
        <v>1466</v>
      </c>
      <c r="U42" s="7" t="s">
        <v>109</v>
      </c>
      <c r="V42" s="18" t="s">
        <v>1524</v>
      </c>
    </row>
    <row r="43" spans="1:22" x14ac:dyDescent="0.3">
      <c r="A43" s="7">
        <v>42</v>
      </c>
      <c r="B43" s="6" t="s">
        <v>143</v>
      </c>
      <c r="C43" s="6" t="s">
        <v>1327</v>
      </c>
      <c r="D43" s="6">
        <v>10126026</v>
      </c>
      <c r="E43" s="6">
        <v>15</v>
      </c>
      <c r="F43" s="7">
        <v>13</v>
      </c>
      <c r="G43" s="7">
        <v>0</v>
      </c>
      <c r="H43" s="6" t="s">
        <v>68</v>
      </c>
      <c r="I43" s="6" t="s">
        <v>89</v>
      </c>
      <c r="J43" s="6" t="s">
        <v>130</v>
      </c>
      <c r="K43" s="11">
        <v>0.7993055555555556</v>
      </c>
      <c r="L43" s="11">
        <v>0.80208333333333337</v>
      </c>
      <c r="M43" s="7" t="s">
        <v>109</v>
      </c>
      <c r="N43" s="6" t="s">
        <v>109</v>
      </c>
      <c r="O43" s="6" t="s">
        <v>61</v>
      </c>
      <c r="P43" s="7" t="s">
        <v>131</v>
      </c>
      <c r="Q43" s="7" t="s">
        <v>89</v>
      </c>
      <c r="R43" s="6" t="s">
        <v>62</v>
      </c>
      <c r="S43" s="7" t="s">
        <v>878</v>
      </c>
      <c r="T43" s="6" t="s">
        <v>777</v>
      </c>
      <c r="U43" s="7" t="s">
        <v>109</v>
      </c>
      <c r="V43" s="18" t="s">
        <v>1524</v>
      </c>
    </row>
    <row r="44" spans="1:22" x14ac:dyDescent="0.3">
      <c r="A44" s="7">
        <v>43</v>
      </c>
      <c r="B44" s="6" t="s">
        <v>23</v>
      </c>
      <c r="C44" s="6" t="s">
        <v>271</v>
      </c>
      <c r="D44" s="6">
        <v>51125117</v>
      </c>
      <c r="E44" s="6">
        <v>25</v>
      </c>
      <c r="F44" s="7">
        <v>16</v>
      </c>
      <c r="G44" s="7">
        <v>8</v>
      </c>
      <c r="H44" s="6" t="s">
        <v>214</v>
      </c>
      <c r="I44" s="6" t="s">
        <v>109</v>
      </c>
      <c r="J44" s="6" t="s">
        <v>130</v>
      </c>
      <c r="K44" s="6" t="s">
        <v>109</v>
      </c>
      <c r="L44" s="15">
        <v>0.99791666666666667</v>
      </c>
      <c r="M44" s="7" t="s">
        <v>109</v>
      </c>
      <c r="N44" s="6" t="s">
        <v>109</v>
      </c>
      <c r="O44" s="6" t="s">
        <v>145</v>
      </c>
      <c r="P44" s="7" t="s">
        <v>131</v>
      </c>
      <c r="Q44" s="7" t="s">
        <v>214</v>
      </c>
      <c r="R44" s="6" t="s">
        <v>62</v>
      </c>
      <c r="S44" s="7" t="s">
        <v>1525</v>
      </c>
      <c r="T44" s="6" t="s">
        <v>270</v>
      </c>
      <c r="U44" s="7" t="s">
        <v>109</v>
      </c>
      <c r="V44" s="7" t="s">
        <v>109</v>
      </c>
    </row>
    <row r="45" spans="1:22" x14ac:dyDescent="0.3">
      <c r="A45" s="7">
        <v>44</v>
      </c>
      <c r="B45" s="6" t="s">
        <v>23</v>
      </c>
      <c r="C45" s="6" t="s">
        <v>1527</v>
      </c>
      <c r="D45" s="6">
        <v>51125121</v>
      </c>
      <c r="E45" s="6">
        <v>59</v>
      </c>
      <c r="F45" s="7">
        <v>49</v>
      </c>
      <c r="G45" s="7">
        <v>11</v>
      </c>
      <c r="H45" s="6" t="s">
        <v>241</v>
      </c>
      <c r="I45" s="6" t="s">
        <v>109</v>
      </c>
      <c r="J45" s="6" t="s">
        <v>130</v>
      </c>
      <c r="K45" s="6" t="s">
        <v>109</v>
      </c>
      <c r="L45" s="15">
        <v>0.98750000000000004</v>
      </c>
      <c r="M45" s="7" t="s">
        <v>109</v>
      </c>
      <c r="N45" s="6" t="s">
        <v>109</v>
      </c>
      <c r="O45" s="6" t="s">
        <v>145</v>
      </c>
      <c r="P45" s="7" t="s">
        <v>131</v>
      </c>
      <c r="Q45" s="7" t="s">
        <v>241</v>
      </c>
      <c r="R45" s="6" t="s">
        <v>62</v>
      </c>
      <c r="S45" s="7" t="s">
        <v>615</v>
      </c>
      <c r="T45" s="6" t="s">
        <v>270</v>
      </c>
      <c r="U45" s="7" t="s">
        <v>109</v>
      </c>
      <c r="V45" s="7" t="s">
        <v>109</v>
      </c>
    </row>
    <row r="46" spans="1:22" x14ac:dyDescent="0.3">
      <c r="A46" s="7">
        <v>45</v>
      </c>
      <c r="B46" s="6" t="s">
        <v>143</v>
      </c>
      <c r="C46" s="6" t="s">
        <v>1528</v>
      </c>
      <c r="D46" s="6">
        <v>10126009</v>
      </c>
      <c r="E46" s="6">
        <v>60</v>
      </c>
      <c r="F46" s="7">
        <v>57</v>
      </c>
      <c r="G46" s="6">
        <v>0</v>
      </c>
      <c r="H46" s="6" t="s">
        <v>82</v>
      </c>
      <c r="I46" s="6" t="s">
        <v>95</v>
      </c>
      <c r="J46" s="6" t="s">
        <v>130</v>
      </c>
      <c r="K46" s="15">
        <v>0.97777777777777775</v>
      </c>
      <c r="L46" s="15">
        <v>2.2916666666666665E-2</v>
      </c>
      <c r="M46" s="7" t="s">
        <v>109</v>
      </c>
      <c r="N46" s="6" t="s">
        <v>109</v>
      </c>
      <c r="O46" s="6" t="s">
        <v>145</v>
      </c>
      <c r="P46" s="7" t="s">
        <v>131</v>
      </c>
      <c r="Q46" s="7" t="s">
        <v>95</v>
      </c>
      <c r="R46" s="6" t="s">
        <v>62</v>
      </c>
      <c r="S46" s="7" t="s">
        <v>370</v>
      </c>
      <c r="T46" s="6" t="s">
        <v>398</v>
      </c>
      <c r="U46" s="7" t="s">
        <v>109</v>
      </c>
      <c r="V46" s="7" t="s">
        <v>109</v>
      </c>
    </row>
    <row r="47" spans="1:22" x14ac:dyDescent="0.3">
      <c r="A47" s="7">
        <v>46</v>
      </c>
      <c r="B47" s="6" t="s">
        <v>411</v>
      </c>
      <c r="C47" s="6" t="s">
        <v>676</v>
      </c>
      <c r="D47" s="6">
        <v>30126003</v>
      </c>
      <c r="E47" s="6">
        <v>100</v>
      </c>
      <c r="F47" s="7">
        <v>92</v>
      </c>
      <c r="G47" s="6">
        <v>49</v>
      </c>
      <c r="H47" s="6" t="s">
        <v>1529</v>
      </c>
      <c r="I47" s="6" t="s">
        <v>1530</v>
      </c>
      <c r="J47" s="6" t="s">
        <v>130</v>
      </c>
      <c r="K47" s="15">
        <v>0.97777777777777775</v>
      </c>
      <c r="L47" s="15">
        <v>4.1666666666666666E-3</v>
      </c>
      <c r="M47" s="7" t="s">
        <v>109</v>
      </c>
      <c r="N47" s="6" t="s">
        <v>109</v>
      </c>
      <c r="O47" s="6" t="s">
        <v>145</v>
      </c>
      <c r="P47" s="7" t="s">
        <v>131</v>
      </c>
      <c r="Q47" s="7" t="s">
        <v>94</v>
      </c>
      <c r="R47" s="6" t="s">
        <v>62</v>
      </c>
      <c r="S47" s="7" t="s">
        <v>615</v>
      </c>
      <c r="T47" s="6" t="s">
        <v>675</v>
      </c>
      <c r="U47" s="7" t="s">
        <v>109</v>
      </c>
      <c r="V47" s="7" t="s">
        <v>109</v>
      </c>
    </row>
  </sheetData>
  <conditionalFormatting sqref="D1">
    <cfRule type="duplicateValues" dxfId="95" priority="1"/>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F6A46-B299-4DAB-ADA3-A8002949F2E8}">
  <sheetPr codeName="Sheet19"/>
  <dimension ref="A1:W46"/>
  <sheetViews>
    <sheetView topLeftCell="J1" workbookViewId="0">
      <pane ySplit="1" topLeftCell="A2" activePane="bottomLeft" state="frozen"/>
      <selection activeCell="B1" sqref="B1"/>
      <selection pane="bottomLeft" activeCell="K1" sqref="K1"/>
    </sheetView>
  </sheetViews>
  <sheetFormatPr defaultRowHeight="14.4" x14ac:dyDescent="0.3"/>
  <cols>
    <col min="1" max="2" width="8.88671875" style="31"/>
    <col min="3" max="3" width="15.21875" style="31" customWidth="1"/>
    <col min="4" max="5" width="8.88671875" style="31"/>
    <col min="6" max="6" width="15.44140625" style="31" customWidth="1"/>
    <col min="7" max="7" width="13.5546875" style="31" customWidth="1"/>
    <col min="8" max="8" width="128" style="31" customWidth="1"/>
    <col min="9" max="9" width="29.44140625" style="31" customWidth="1"/>
    <col min="10" max="10" width="8.88671875" style="31"/>
    <col min="11" max="11" width="14.44140625" style="31" customWidth="1"/>
    <col min="12" max="12" width="22.21875" style="31" customWidth="1"/>
    <col min="13" max="13" width="8.88671875" style="31"/>
    <col min="14" max="14" width="21" style="31" customWidth="1"/>
    <col min="15" max="15" width="8.88671875" style="31"/>
    <col min="16" max="16" width="15.33203125" style="31" customWidth="1"/>
    <col min="17" max="17" width="21.88671875" style="31" customWidth="1"/>
    <col min="18" max="18" width="8.88671875" style="31"/>
    <col min="19" max="19" width="15.109375" style="31" customWidth="1"/>
    <col min="20" max="16384" width="8.88671875" style="31"/>
  </cols>
  <sheetData>
    <row r="1" spans="1:23" x14ac:dyDescent="0.3">
      <c r="A1" s="22" t="s">
        <v>0</v>
      </c>
      <c r="B1" s="22" t="s">
        <v>1</v>
      </c>
      <c r="C1" s="22" t="s">
        <v>2</v>
      </c>
      <c r="D1" s="22" t="s">
        <v>3</v>
      </c>
      <c r="E1" s="22" t="s">
        <v>4</v>
      </c>
      <c r="F1" s="22" t="s">
        <v>5</v>
      </c>
      <c r="G1" s="22" t="s">
        <v>6</v>
      </c>
      <c r="H1" s="22" t="s">
        <v>7</v>
      </c>
      <c r="I1" s="22" t="s">
        <v>8</v>
      </c>
      <c r="J1" s="22" t="s">
        <v>9</v>
      </c>
      <c r="K1" s="23" t="s">
        <v>10</v>
      </c>
      <c r="L1" s="23" t="s">
        <v>11</v>
      </c>
      <c r="M1" s="24" t="s">
        <v>12</v>
      </c>
      <c r="N1" s="25" t="s">
        <v>13</v>
      </c>
      <c r="O1" s="22" t="s">
        <v>14</v>
      </c>
      <c r="P1" s="22" t="s">
        <v>15</v>
      </c>
      <c r="Q1" s="22" t="s">
        <v>16</v>
      </c>
      <c r="R1" s="22" t="s">
        <v>17</v>
      </c>
      <c r="S1" s="22" t="s">
        <v>18</v>
      </c>
      <c r="T1" s="22" t="s">
        <v>19</v>
      </c>
      <c r="U1" s="22" t="s">
        <v>20</v>
      </c>
      <c r="V1" s="22" t="s">
        <v>21</v>
      </c>
      <c r="W1" s="26" t="s">
        <v>22</v>
      </c>
    </row>
    <row r="2" spans="1:23" x14ac:dyDescent="0.3">
      <c r="A2" s="7">
        <v>1</v>
      </c>
      <c r="B2" s="29" t="s">
        <v>24</v>
      </c>
      <c r="C2" s="29" t="s">
        <v>46</v>
      </c>
      <c r="D2" s="29">
        <v>61225009</v>
      </c>
      <c r="E2" s="29">
        <v>103</v>
      </c>
      <c r="F2" s="7">
        <v>86</v>
      </c>
      <c r="G2" s="7">
        <v>56</v>
      </c>
      <c r="H2" s="7" t="s">
        <v>68</v>
      </c>
      <c r="I2" s="7" t="s">
        <v>89</v>
      </c>
      <c r="J2" s="7" t="s">
        <v>130</v>
      </c>
      <c r="K2" s="11">
        <v>0.95902777777777781</v>
      </c>
      <c r="L2" s="11">
        <v>0.99444444444444446</v>
      </c>
      <c r="M2" s="7" t="s">
        <v>109</v>
      </c>
      <c r="N2" s="29" t="s">
        <v>109</v>
      </c>
      <c r="O2" s="29" t="s">
        <v>61</v>
      </c>
      <c r="P2" s="7" t="s">
        <v>131</v>
      </c>
      <c r="Q2" s="7" t="s">
        <v>89</v>
      </c>
      <c r="R2" s="7" t="s">
        <v>63</v>
      </c>
      <c r="S2" s="7" t="s">
        <v>109</v>
      </c>
      <c r="T2" s="7" t="s">
        <v>109</v>
      </c>
      <c r="U2" s="7" t="s">
        <v>109</v>
      </c>
      <c r="V2" s="7" t="s">
        <v>109</v>
      </c>
      <c r="W2" s="29" t="s">
        <v>119</v>
      </c>
    </row>
    <row r="3" spans="1:23" x14ac:dyDescent="0.3">
      <c r="A3" s="7">
        <v>2</v>
      </c>
      <c r="B3" s="29" t="s">
        <v>26</v>
      </c>
      <c r="C3" s="29" t="s">
        <v>1389</v>
      </c>
      <c r="D3" s="29">
        <v>40126028</v>
      </c>
      <c r="E3" s="29">
        <v>346</v>
      </c>
      <c r="F3" s="7">
        <v>568</v>
      </c>
      <c r="G3" s="7">
        <v>316</v>
      </c>
      <c r="H3" s="7" t="s">
        <v>1531</v>
      </c>
      <c r="I3" s="7" t="s">
        <v>1532</v>
      </c>
      <c r="J3" s="7" t="s">
        <v>130</v>
      </c>
      <c r="K3" s="11">
        <v>0.91736111111111107</v>
      </c>
      <c r="L3" s="11">
        <v>1.5972222222222221E-2</v>
      </c>
      <c r="M3" s="7" t="s">
        <v>109</v>
      </c>
      <c r="N3" s="29" t="s">
        <v>109</v>
      </c>
      <c r="O3" s="29" t="s">
        <v>61</v>
      </c>
      <c r="P3" s="7" t="s">
        <v>131</v>
      </c>
      <c r="Q3" s="7" t="s">
        <v>86</v>
      </c>
      <c r="R3" s="7" t="s">
        <v>62</v>
      </c>
      <c r="S3" s="7" t="s">
        <v>109</v>
      </c>
      <c r="T3" s="7" t="s">
        <v>109</v>
      </c>
      <c r="U3" s="7" t="s">
        <v>109</v>
      </c>
      <c r="V3" s="7" t="s">
        <v>109</v>
      </c>
      <c r="W3" s="29" t="s">
        <v>121</v>
      </c>
    </row>
    <row r="4" spans="1:23" x14ac:dyDescent="0.3">
      <c r="A4" s="7">
        <v>3</v>
      </c>
      <c r="B4" s="29" t="s">
        <v>26</v>
      </c>
      <c r="C4" s="29" t="s">
        <v>1323</v>
      </c>
      <c r="D4" s="29">
        <v>40126022</v>
      </c>
      <c r="E4" s="29">
        <v>142</v>
      </c>
      <c r="F4" s="7">
        <v>134</v>
      </c>
      <c r="G4" s="7">
        <v>16</v>
      </c>
      <c r="H4" s="7" t="s">
        <v>1533</v>
      </c>
      <c r="I4" s="7" t="s">
        <v>1534</v>
      </c>
      <c r="J4" s="7" t="s">
        <v>130</v>
      </c>
      <c r="K4" s="11">
        <v>0.90972222222222221</v>
      </c>
      <c r="L4" s="11">
        <v>4.1666666666666664E-2</v>
      </c>
      <c r="M4" s="7" t="s">
        <v>109</v>
      </c>
      <c r="N4" s="29" t="s">
        <v>1506</v>
      </c>
      <c r="O4" s="29" t="s">
        <v>61</v>
      </c>
      <c r="P4" s="7" t="s">
        <v>131</v>
      </c>
      <c r="Q4" s="7" t="s">
        <v>94</v>
      </c>
      <c r="R4" s="7" t="s">
        <v>62</v>
      </c>
      <c r="S4" s="7" t="s">
        <v>109</v>
      </c>
      <c r="T4" s="7" t="s">
        <v>109</v>
      </c>
      <c r="U4" s="7" t="s">
        <v>109</v>
      </c>
      <c r="V4" s="7" t="s">
        <v>109</v>
      </c>
      <c r="W4" s="29" t="s">
        <v>122</v>
      </c>
    </row>
    <row r="5" spans="1:23" x14ac:dyDescent="0.3">
      <c r="A5" s="7">
        <v>4</v>
      </c>
      <c r="B5" s="29" t="s">
        <v>24</v>
      </c>
      <c r="C5" s="29" t="s">
        <v>1535</v>
      </c>
      <c r="D5" s="29">
        <v>60126011</v>
      </c>
      <c r="E5" s="29">
        <v>69</v>
      </c>
      <c r="F5" s="7">
        <v>69</v>
      </c>
      <c r="G5" s="7">
        <v>38</v>
      </c>
      <c r="H5" s="7" t="s">
        <v>70</v>
      </c>
      <c r="I5" s="7" t="s">
        <v>94</v>
      </c>
      <c r="J5" s="7" t="s">
        <v>130</v>
      </c>
      <c r="K5" s="11">
        <v>0.66388888888888886</v>
      </c>
      <c r="L5" s="11">
        <v>0.74722222222222223</v>
      </c>
      <c r="M5" s="7" t="s">
        <v>109</v>
      </c>
      <c r="N5" s="29" t="s">
        <v>109</v>
      </c>
      <c r="O5" s="29" t="s">
        <v>61</v>
      </c>
      <c r="P5" s="7" t="s">
        <v>131</v>
      </c>
      <c r="Q5" s="7" t="s">
        <v>94</v>
      </c>
      <c r="R5" s="7" t="s">
        <v>63</v>
      </c>
      <c r="S5" s="7" t="s">
        <v>109</v>
      </c>
      <c r="T5" s="7" t="s">
        <v>109</v>
      </c>
      <c r="U5" s="7" t="s">
        <v>109</v>
      </c>
      <c r="V5" s="7" t="s">
        <v>109</v>
      </c>
      <c r="W5" s="29" t="s">
        <v>1536</v>
      </c>
    </row>
    <row r="6" spans="1:23" x14ac:dyDescent="0.3">
      <c r="A6" s="7">
        <v>5</v>
      </c>
      <c r="B6" s="29" t="s">
        <v>25</v>
      </c>
      <c r="C6" s="29" t="s">
        <v>1537</v>
      </c>
      <c r="D6" s="29">
        <v>40126033</v>
      </c>
      <c r="E6" s="29">
        <v>189</v>
      </c>
      <c r="F6" s="7">
        <v>364</v>
      </c>
      <c r="G6" s="7">
        <v>194</v>
      </c>
      <c r="H6" s="53" t="s">
        <v>1538</v>
      </c>
      <c r="I6" s="7" t="s">
        <v>970</v>
      </c>
      <c r="J6" s="7" t="s">
        <v>130</v>
      </c>
      <c r="K6" s="11">
        <v>0.83611111111111114</v>
      </c>
      <c r="L6" s="11">
        <v>0.94097222222222221</v>
      </c>
      <c r="M6" s="7" t="s">
        <v>109</v>
      </c>
      <c r="N6" s="29" t="s">
        <v>109</v>
      </c>
      <c r="O6" s="29" t="s">
        <v>61</v>
      </c>
      <c r="P6" s="7" t="s">
        <v>131</v>
      </c>
      <c r="Q6" s="7" t="s">
        <v>91</v>
      </c>
      <c r="R6" s="7" t="s">
        <v>62</v>
      </c>
      <c r="S6" s="7" t="s">
        <v>109</v>
      </c>
      <c r="T6" s="7" t="s">
        <v>109</v>
      </c>
      <c r="U6" s="7" t="s">
        <v>109</v>
      </c>
      <c r="V6" s="7" t="s">
        <v>109</v>
      </c>
      <c r="W6" s="29" t="s">
        <v>1539</v>
      </c>
    </row>
    <row r="7" spans="1:23" x14ac:dyDescent="0.3">
      <c r="A7" s="7">
        <v>6</v>
      </c>
      <c r="B7" s="29" t="s">
        <v>170</v>
      </c>
      <c r="C7" s="29" t="s">
        <v>1350</v>
      </c>
      <c r="D7" s="29">
        <v>40126025</v>
      </c>
      <c r="E7" s="29">
        <v>153</v>
      </c>
      <c r="F7" s="7">
        <v>250</v>
      </c>
      <c r="G7" s="7">
        <v>40</v>
      </c>
      <c r="H7" s="7" t="s">
        <v>1540</v>
      </c>
      <c r="I7" s="7" t="s">
        <v>1541</v>
      </c>
      <c r="J7" s="7" t="s">
        <v>130</v>
      </c>
      <c r="K7" s="11">
        <v>0.77222222222222225</v>
      </c>
      <c r="L7" s="11">
        <v>0.78680555555555554</v>
      </c>
      <c r="M7" s="7" t="s">
        <v>109</v>
      </c>
      <c r="N7" s="29" t="s">
        <v>109</v>
      </c>
      <c r="O7" s="29" t="s">
        <v>61</v>
      </c>
      <c r="P7" s="7" t="s">
        <v>131</v>
      </c>
      <c r="Q7" s="7" t="s">
        <v>88</v>
      </c>
      <c r="R7" s="7" t="s">
        <v>62</v>
      </c>
      <c r="S7" s="7" t="s">
        <v>109</v>
      </c>
      <c r="T7" s="7" t="s">
        <v>109</v>
      </c>
      <c r="U7" s="7" t="s">
        <v>109</v>
      </c>
      <c r="V7" s="7" t="s">
        <v>109</v>
      </c>
      <c r="W7" s="29" t="s">
        <v>859</v>
      </c>
    </row>
    <row r="8" spans="1:23" x14ac:dyDescent="0.3">
      <c r="A8" s="7">
        <v>7</v>
      </c>
      <c r="B8" s="29" t="s">
        <v>411</v>
      </c>
      <c r="C8" s="29" t="s">
        <v>1357</v>
      </c>
      <c r="D8" s="29">
        <v>30126010</v>
      </c>
      <c r="E8" s="29">
        <v>376</v>
      </c>
      <c r="F8" s="7">
        <v>740</v>
      </c>
      <c r="G8" s="7">
        <v>138</v>
      </c>
      <c r="H8" s="7" t="s">
        <v>1542</v>
      </c>
      <c r="I8" s="7" t="s">
        <v>1543</v>
      </c>
      <c r="J8" s="7" t="s">
        <v>130</v>
      </c>
      <c r="K8" s="11">
        <v>0.92083333333333328</v>
      </c>
      <c r="L8" s="11">
        <v>0.99583333333333335</v>
      </c>
      <c r="M8" s="7" t="s">
        <v>109</v>
      </c>
      <c r="N8" s="29" t="s">
        <v>109</v>
      </c>
      <c r="O8" s="29" t="s">
        <v>61</v>
      </c>
      <c r="P8" s="7" t="s">
        <v>131</v>
      </c>
      <c r="Q8" s="7" t="s">
        <v>94</v>
      </c>
      <c r="R8" s="7" t="s">
        <v>62</v>
      </c>
      <c r="S8" s="7" t="s">
        <v>109</v>
      </c>
      <c r="T8" s="7" t="s">
        <v>109</v>
      </c>
      <c r="U8" s="7" t="s">
        <v>109</v>
      </c>
      <c r="V8" s="7" t="s">
        <v>109</v>
      </c>
      <c r="W8" s="29" t="s">
        <v>1359</v>
      </c>
    </row>
    <row r="9" spans="1:23" x14ac:dyDescent="0.3">
      <c r="A9" s="7">
        <v>8</v>
      </c>
      <c r="B9" s="29" t="s">
        <v>411</v>
      </c>
      <c r="C9" s="29" t="s">
        <v>1360</v>
      </c>
      <c r="D9" s="29">
        <v>30126011</v>
      </c>
      <c r="E9" s="29">
        <v>209</v>
      </c>
      <c r="F9" s="7">
        <v>435</v>
      </c>
      <c r="G9" s="7">
        <v>58</v>
      </c>
      <c r="H9" s="7" t="s">
        <v>1544</v>
      </c>
      <c r="I9" s="7" t="s">
        <v>1545</v>
      </c>
      <c r="J9" s="7" t="s">
        <v>130</v>
      </c>
      <c r="K9" s="11">
        <v>0.78263888888888888</v>
      </c>
      <c r="L9" s="11">
        <v>0.80972222222222223</v>
      </c>
      <c r="M9" s="7" t="s">
        <v>109</v>
      </c>
      <c r="N9" s="29" t="s">
        <v>109</v>
      </c>
      <c r="O9" s="29" t="s">
        <v>61</v>
      </c>
      <c r="P9" s="7" t="s">
        <v>131</v>
      </c>
      <c r="Q9" s="7" t="s">
        <v>86</v>
      </c>
      <c r="R9" s="7" t="s">
        <v>62</v>
      </c>
      <c r="S9" s="7" t="s">
        <v>109</v>
      </c>
      <c r="T9" s="7" t="s">
        <v>109</v>
      </c>
      <c r="U9" s="7" t="s">
        <v>109</v>
      </c>
      <c r="V9" s="7" t="s">
        <v>109</v>
      </c>
      <c r="W9" s="29" t="s">
        <v>1359</v>
      </c>
    </row>
    <row r="10" spans="1:23" x14ac:dyDescent="0.3">
      <c r="A10" s="7">
        <v>9</v>
      </c>
      <c r="B10" s="29" t="s">
        <v>411</v>
      </c>
      <c r="C10" s="29" t="s">
        <v>1361</v>
      </c>
      <c r="D10" s="29">
        <v>30126012</v>
      </c>
      <c r="E10" s="29">
        <v>424</v>
      </c>
      <c r="F10" s="7">
        <v>896</v>
      </c>
      <c r="G10" s="7">
        <v>64</v>
      </c>
      <c r="H10" s="7" t="s">
        <v>1546</v>
      </c>
      <c r="I10" s="7" t="s">
        <v>1547</v>
      </c>
      <c r="J10" s="7" t="s">
        <v>130</v>
      </c>
      <c r="K10" s="11">
        <v>2.7777777777777776E-2</v>
      </c>
      <c r="L10" s="11">
        <v>4.2361111111111113E-2</v>
      </c>
      <c r="M10" s="7" t="s">
        <v>109</v>
      </c>
      <c r="N10" s="29" t="s">
        <v>109</v>
      </c>
      <c r="O10" s="29" t="s">
        <v>61</v>
      </c>
      <c r="P10" s="7" t="s">
        <v>131</v>
      </c>
      <c r="Q10" s="7" t="s">
        <v>91</v>
      </c>
      <c r="R10" s="7" t="s">
        <v>62</v>
      </c>
      <c r="S10" s="7" t="s">
        <v>109</v>
      </c>
      <c r="T10" s="7" t="s">
        <v>109</v>
      </c>
      <c r="U10" s="7" t="s">
        <v>109</v>
      </c>
      <c r="V10" s="7" t="s">
        <v>109</v>
      </c>
      <c r="W10" s="29" t="s">
        <v>1359</v>
      </c>
    </row>
    <row r="11" spans="1:23" x14ac:dyDescent="0.3">
      <c r="A11" s="7">
        <v>10</v>
      </c>
      <c r="B11" s="29" t="s">
        <v>411</v>
      </c>
      <c r="C11" s="29" t="s">
        <v>676</v>
      </c>
      <c r="D11" s="29">
        <v>30126003</v>
      </c>
      <c r="E11" s="29">
        <v>124</v>
      </c>
      <c r="F11" s="7">
        <v>270</v>
      </c>
      <c r="G11" s="7">
        <v>58</v>
      </c>
      <c r="H11" s="7" t="s">
        <v>1548</v>
      </c>
      <c r="I11" s="7" t="s">
        <v>1549</v>
      </c>
      <c r="J11" s="7" t="s">
        <v>130</v>
      </c>
      <c r="K11" s="11">
        <v>0.93888888888888888</v>
      </c>
      <c r="L11" s="11">
        <v>1.7361111111111112E-2</v>
      </c>
      <c r="M11" s="7" t="s">
        <v>109</v>
      </c>
      <c r="N11" s="29" t="s">
        <v>109</v>
      </c>
      <c r="O11" s="29" t="s">
        <v>61</v>
      </c>
      <c r="P11" s="7" t="s">
        <v>131</v>
      </c>
      <c r="Q11" s="7" t="s">
        <v>94</v>
      </c>
      <c r="R11" s="7" t="s">
        <v>62</v>
      </c>
      <c r="S11" s="7" t="s">
        <v>109</v>
      </c>
      <c r="T11" s="7" t="s">
        <v>109</v>
      </c>
      <c r="U11" s="7" t="s">
        <v>109</v>
      </c>
      <c r="V11" s="7" t="s">
        <v>109</v>
      </c>
      <c r="W11" s="29" t="s">
        <v>675</v>
      </c>
    </row>
    <row r="12" spans="1:23" x14ac:dyDescent="0.3">
      <c r="A12" s="7">
        <v>11</v>
      </c>
      <c r="B12" s="29" t="s">
        <v>411</v>
      </c>
      <c r="C12" s="29" t="s">
        <v>1201</v>
      </c>
      <c r="D12" s="29">
        <v>30126006</v>
      </c>
      <c r="E12" s="29">
        <v>38</v>
      </c>
      <c r="F12" s="7">
        <v>38</v>
      </c>
      <c r="G12" s="7">
        <v>17</v>
      </c>
      <c r="H12" s="53" t="s">
        <v>72</v>
      </c>
      <c r="I12" s="7" t="s">
        <v>95</v>
      </c>
      <c r="J12" s="7" t="s">
        <v>130</v>
      </c>
      <c r="K12" s="11">
        <v>0.74375000000000002</v>
      </c>
      <c r="L12" s="11">
        <v>0.75</v>
      </c>
      <c r="M12" s="7" t="s">
        <v>109</v>
      </c>
      <c r="N12" s="29" t="s">
        <v>109</v>
      </c>
      <c r="O12" s="29" t="s">
        <v>61</v>
      </c>
      <c r="P12" s="7" t="s">
        <v>131</v>
      </c>
      <c r="Q12" s="7" t="s">
        <v>95</v>
      </c>
      <c r="R12" s="7" t="s">
        <v>62</v>
      </c>
      <c r="S12" s="7" t="s">
        <v>109</v>
      </c>
      <c r="T12" s="7" t="s">
        <v>109</v>
      </c>
      <c r="U12" s="7" t="s">
        <v>109</v>
      </c>
      <c r="V12" s="7" t="s">
        <v>109</v>
      </c>
      <c r="W12" s="29" t="s">
        <v>675</v>
      </c>
    </row>
    <row r="13" spans="1:23" x14ac:dyDescent="0.3">
      <c r="A13" s="7">
        <v>12</v>
      </c>
      <c r="B13" s="29" t="s">
        <v>411</v>
      </c>
      <c r="C13" s="29" t="s">
        <v>674</v>
      </c>
      <c r="D13" s="29">
        <v>30126002</v>
      </c>
      <c r="E13" s="39">
        <v>123</v>
      </c>
      <c r="F13" s="7">
        <v>197</v>
      </c>
      <c r="G13" s="7">
        <v>122</v>
      </c>
      <c r="H13" s="18" t="s">
        <v>1586</v>
      </c>
      <c r="I13" s="18" t="s">
        <v>1004</v>
      </c>
      <c r="J13" s="7" t="s">
        <v>130</v>
      </c>
      <c r="K13" s="11">
        <v>0.95902777777777781</v>
      </c>
      <c r="L13" s="11">
        <v>9.0277777777777769E-3</v>
      </c>
      <c r="M13" s="7" t="s">
        <v>109</v>
      </c>
      <c r="N13" s="29" t="s">
        <v>109</v>
      </c>
      <c r="O13" s="29" t="s">
        <v>61</v>
      </c>
      <c r="P13" s="7" t="s">
        <v>131</v>
      </c>
      <c r="Q13" s="7" t="s">
        <v>93</v>
      </c>
      <c r="R13" s="7" t="s">
        <v>62</v>
      </c>
      <c r="S13" s="7" t="s">
        <v>109</v>
      </c>
      <c r="T13" s="7" t="s">
        <v>109</v>
      </c>
      <c r="U13" s="7" t="s">
        <v>109</v>
      </c>
      <c r="V13" s="7" t="s">
        <v>109</v>
      </c>
      <c r="W13" s="29" t="s">
        <v>675</v>
      </c>
    </row>
    <row r="14" spans="1:23" x14ac:dyDescent="0.3">
      <c r="A14" s="7">
        <v>13</v>
      </c>
      <c r="B14" s="29" t="s">
        <v>1550</v>
      </c>
      <c r="C14" s="29" t="s">
        <v>1551</v>
      </c>
      <c r="D14" s="29">
        <v>40126035</v>
      </c>
      <c r="E14" s="29">
        <v>125</v>
      </c>
      <c r="F14" s="7">
        <v>206</v>
      </c>
      <c r="G14" s="7">
        <v>135</v>
      </c>
      <c r="H14" s="7" t="s">
        <v>1552</v>
      </c>
      <c r="I14" s="7" t="s">
        <v>970</v>
      </c>
      <c r="J14" s="7" t="s">
        <v>130</v>
      </c>
      <c r="K14" s="11">
        <v>0.82777777777777772</v>
      </c>
      <c r="L14" s="11">
        <v>0.93611111111111112</v>
      </c>
      <c r="M14" s="7" t="s">
        <v>109</v>
      </c>
      <c r="N14" s="29" t="s">
        <v>1553</v>
      </c>
      <c r="O14" s="29" t="s">
        <v>61</v>
      </c>
      <c r="P14" s="7" t="s">
        <v>131</v>
      </c>
      <c r="Q14" s="7" t="s">
        <v>91</v>
      </c>
      <c r="R14" s="7" t="s">
        <v>109</v>
      </c>
      <c r="S14" s="7" t="s">
        <v>109</v>
      </c>
      <c r="T14" s="7" t="s">
        <v>109</v>
      </c>
      <c r="U14" s="7" t="s">
        <v>109</v>
      </c>
      <c r="V14" s="7" t="s">
        <v>109</v>
      </c>
      <c r="W14" s="29" t="s">
        <v>1554</v>
      </c>
    </row>
    <row r="15" spans="1:23" x14ac:dyDescent="0.3">
      <c r="A15" s="7">
        <v>14</v>
      </c>
      <c r="B15" s="29" t="s">
        <v>1550</v>
      </c>
      <c r="C15" s="29" t="s">
        <v>1555</v>
      </c>
      <c r="D15" s="29">
        <v>40126036</v>
      </c>
      <c r="E15" s="29">
        <v>100</v>
      </c>
      <c r="F15" s="7">
        <v>128</v>
      </c>
      <c r="G15" s="7">
        <v>24</v>
      </c>
      <c r="H15" s="53" t="s">
        <v>66</v>
      </c>
      <c r="I15" s="7" t="s">
        <v>209</v>
      </c>
      <c r="J15" s="7" t="s">
        <v>130</v>
      </c>
      <c r="K15" s="11">
        <v>0.7944444444444444</v>
      </c>
      <c r="L15" s="11">
        <v>0.81597222222222221</v>
      </c>
      <c r="M15" s="7" t="s">
        <v>109</v>
      </c>
      <c r="N15" s="29" t="s">
        <v>1553</v>
      </c>
      <c r="O15" s="29" t="s">
        <v>61</v>
      </c>
      <c r="P15" s="7" t="s">
        <v>131</v>
      </c>
      <c r="Q15" s="7" t="s">
        <v>209</v>
      </c>
      <c r="R15" s="7" t="s">
        <v>109</v>
      </c>
      <c r="S15" s="7" t="s">
        <v>109</v>
      </c>
      <c r="T15" s="7" t="s">
        <v>109</v>
      </c>
      <c r="U15" s="7" t="s">
        <v>109</v>
      </c>
      <c r="V15" s="7" t="s">
        <v>109</v>
      </c>
      <c r="W15" s="29" t="s">
        <v>1554</v>
      </c>
    </row>
    <row r="16" spans="1:23" x14ac:dyDescent="0.3">
      <c r="A16" s="7">
        <v>15</v>
      </c>
      <c r="B16" s="29" t="s">
        <v>1550</v>
      </c>
      <c r="C16" s="29" t="s">
        <v>1556</v>
      </c>
      <c r="D16" s="29">
        <v>40126034</v>
      </c>
      <c r="E16" s="29">
        <v>110</v>
      </c>
      <c r="F16" s="7">
        <v>225</v>
      </c>
      <c r="G16" s="7">
        <v>155</v>
      </c>
      <c r="H16" s="7" t="s">
        <v>1557</v>
      </c>
      <c r="I16" s="7" t="s">
        <v>1558</v>
      </c>
      <c r="J16" s="7" t="s">
        <v>130</v>
      </c>
      <c r="K16" s="11">
        <v>0.79652777777777772</v>
      </c>
      <c r="L16" s="11">
        <v>0.8256944444444444</v>
      </c>
      <c r="M16" s="7" t="s">
        <v>109</v>
      </c>
      <c r="N16" s="29" t="s">
        <v>1553</v>
      </c>
      <c r="O16" s="29" t="s">
        <v>61</v>
      </c>
      <c r="P16" s="7" t="s">
        <v>131</v>
      </c>
      <c r="Q16" s="7" t="s">
        <v>89</v>
      </c>
      <c r="R16" s="7" t="s">
        <v>109</v>
      </c>
      <c r="S16" s="7" t="s">
        <v>109</v>
      </c>
      <c r="T16" s="7" t="s">
        <v>109</v>
      </c>
      <c r="U16" s="7" t="s">
        <v>109</v>
      </c>
      <c r="V16" s="7" t="s">
        <v>109</v>
      </c>
      <c r="W16" s="29" t="s">
        <v>1554</v>
      </c>
    </row>
    <row r="17" spans="1:23" x14ac:dyDescent="0.3">
      <c r="A17" s="7">
        <v>16</v>
      </c>
      <c r="B17" s="29" t="s">
        <v>411</v>
      </c>
      <c r="C17" s="29" t="s">
        <v>1559</v>
      </c>
      <c r="D17" s="29">
        <v>30126013</v>
      </c>
      <c r="E17" s="29">
        <v>123</v>
      </c>
      <c r="F17" s="7">
        <v>155</v>
      </c>
      <c r="G17" s="7">
        <v>120</v>
      </c>
      <c r="H17" s="7" t="s">
        <v>1560</v>
      </c>
      <c r="I17" s="7" t="s">
        <v>1561</v>
      </c>
      <c r="J17" s="7" t="s">
        <v>130</v>
      </c>
      <c r="K17" s="11">
        <v>0.85555555555555551</v>
      </c>
      <c r="L17" s="11">
        <v>0.93055555555555558</v>
      </c>
      <c r="M17" s="7" t="s">
        <v>109</v>
      </c>
      <c r="N17" s="29" t="s">
        <v>109</v>
      </c>
      <c r="O17" s="29" t="s">
        <v>61</v>
      </c>
      <c r="P17" s="7" t="s">
        <v>131</v>
      </c>
      <c r="Q17" s="7" t="s">
        <v>93</v>
      </c>
      <c r="R17" s="7" t="s">
        <v>109</v>
      </c>
      <c r="S17" s="7" t="s">
        <v>109</v>
      </c>
      <c r="T17" s="7" t="s">
        <v>109</v>
      </c>
      <c r="U17" s="7" t="s">
        <v>109</v>
      </c>
      <c r="V17" s="7" t="s">
        <v>109</v>
      </c>
      <c r="W17" s="29" t="s">
        <v>1562</v>
      </c>
    </row>
    <row r="18" spans="1:23" x14ac:dyDescent="0.3">
      <c r="A18" s="7">
        <v>17</v>
      </c>
      <c r="B18" s="29" t="s">
        <v>143</v>
      </c>
      <c r="C18" s="29" t="s">
        <v>1563</v>
      </c>
      <c r="D18" s="29">
        <v>10126038</v>
      </c>
      <c r="E18" s="29" t="s">
        <v>287</v>
      </c>
      <c r="F18" s="7" t="s">
        <v>109</v>
      </c>
      <c r="G18" s="7" t="s">
        <v>109</v>
      </c>
      <c r="H18" s="18" t="s">
        <v>85</v>
      </c>
      <c r="I18" s="7" t="s">
        <v>109</v>
      </c>
      <c r="J18" s="18" t="s">
        <v>85</v>
      </c>
      <c r="K18" s="7" t="s">
        <v>109</v>
      </c>
      <c r="L18" s="7" t="s">
        <v>109</v>
      </c>
      <c r="M18" s="7" t="s">
        <v>109</v>
      </c>
      <c r="N18" s="29" t="s">
        <v>109</v>
      </c>
      <c r="O18" s="29" t="s">
        <v>61</v>
      </c>
      <c r="P18" s="7" t="s">
        <v>109</v>
      </c>
      <c r="Q18" s="7" t="s">
        <v>109</v>
      </c>
      <c r="R18" s="7" t="s">
        <v>109</v>
      </c>
      <c r="S18" s="7" t="s">
        <v>109</v>
      </c>
      <c r="T18" s="7" t="s">
        <v>109</v>
      </c>
      <c r="U18" s="7" t="s">
        <v>109</v>
      </c>
      <c r="V18" s="7" t="s">
        <v>109</v>
      </c>
      <c r="W18" s="29" t="s">
        <v>1433</v>
      </c>
    </row>
    <row r="19" spans="1:23" x14ac:dyDescent="0.3">
      <c r="A19" s="7">
        <v>18</v>
      </c>
      <c r="B19" s="29" t="s">
        <v>143</v>
      </c>
      <c r="C19" s="29" t="s">
        <v>1564</v>
      </c>
      <c r="D19" s="29">
        <v>10126037</v>
      </c>
      <c r="E19" s="29" t="s">
        <v>287</v>
      </c>
      <c r="F19" s="7">
        <v>46</v>
      </c>
      <c r="G19" s="7">
        <v>8</v>
      </c>
      <c r="H19" s="7" t="s">
        <v>184</v>
      </c>
      <c r="I19" s="7" t="s">
        <v>90</v>
      </c>
      <c r="J19" s="7" t="s">
        <v>130</v>
      </c>
      <c r="K19" s="11">
        <v>0.96944444444444444</v>
      </c>
      <c r="L19" s="11">
        <v>3.888888888888889E-2</v>
      </c>
      <c r="M19" s="7" t="s">
        <v>109</v>
      </c>
      <c r="N19" s="29" t="s">
        <v>109</v>
      </c>
      <c r="O19" s="29" t="s">
        <v>61</v>
      </c>
      <c r="P19" s="7" t="s">
        <v>131</v>
      </c>
      <c r="Q19" s="7" t="s">
        <v>90</v>
      </c>
      <c r="R19" s="7" t="s">
        <v>109</v>
      </c>
      <c r="S19" s="7" t="s">
        <v>109</v>
      </c>
      <c r="T19" s="7" t="s">
        <v>109</v>
      </c>
      <c r="U19" s="7" t="s">
        <v>109</v>
      </c>
      <c r="V19" s="7" t="s">
        <v>109</v>
      </c>
      <c r="W19" s="29" t="s">
        <v>1433</v>
      </c>
    </row>
    <row r="20" spans="1:23" x14ac:dyDescent="0.3">
      <c r="A20" s="7">
        <v>19</v>
      </c>
      <c r="B20" s="29" t="s">
        <v>143</v>
      </c>
      <c r="C20" s="29" t="s">
        <v>1328</v>
      </c>
      <c r="D20" s="29">
        <v>10126027</v>
      </c>
      <c r="E20" s="29">
        <v>50</v>
      </c>
      <c r="F20" s="7">
        <v>101</v>
      </c>
      <c r="G20" s="7">
        <v>38</v>
      </c>
      <c r="H20" s="7" t="s">
        <v>68</v>
      </c>
      <c r="I20" s="7" t="s">
        <v>95</v>
      </c>
      <c r="J20" s="7" t="s">
        <v>130</v>
      </c>
      <c r="K20" s="11">
        <v>0.82499999999999996</v>
      </c>
      <c r="L20" s="7" t="s">
        <v>109</v>
      </c>
      <c r="M20" s="7" t="s">
        <v>109</v>
      </c>
      <c r="N20" s="29" t="s">
        <v>109</v>
      </c>
      <c r="O20" s="29" t="s">
        <v>61</v>
      </c>
      <c r="P20" s="7" t="s">
        <v>131</v>
      </c>
      <c r="Q20" s="7" t="s">
        <v>95</v>
      </c>
      <c r="R20" s="7" t="s">
        <v>62</v>
      </c>
      <c r="S20" s="7" t="s">
        <v>109</v>
      </c>
      <c r="T20" s="7" t="s">
        <v>109</v>
      </c>
      <c r="U20" s="7" t="s">
        <v>109</v>
      </c>
      <c r="V20" s="7" t="s">
        <v>109</v>
      </c>
      <c r="W20" s="29" t="s">
        <v>1329</v>
      </c>
    </row>
    <row r="21" spans="1:23" x14ac:dyDescent="0.3">
      <c r="A21" s="7">
        <v>20</v>
      </c>
      <c r="B21" s="29" t="s">
        <v>23</v>
      </c>
      <c r="C21" s="29" t="s">
        <v>1565</v>
      </c>
      <c r="D21" s="29">
        <v>50126356</v>
      </c>
      <c r="E21" s="29">
        <v>260</v>
      </c>
      <c r="F21" s="7">
        <v>188</v>
      </c>
      <c r="G21" s="7">
        <v>44</v>
      </c>
      <c r="H21" s="7" t="s">
        <v>1566</v>
      </c>
      <c r="I21" s="7" t="s">
        <v>109</v>
      </c>
      <c r="J21" s="7" t="s">
        <v>130</v>
      </c>
      <c r="K21" s="11">
        <v>0.8666666666666667</v>
      </c>
      <c r="L21" s="7" t="s">
        <v>109</v>
      </c>
      <c r="M21" s="7" t="s">
        <v>109</v>
      </c>
      <c r="N21" s="29" t="s">
        <v>1567</v>
      </c>
      <c r="O21" s="29" t="s">
        <v>61</v>
      </c>
      <c r="P21" s="7" t="s">
        <v>131</v>
      </c>
      <c r="Q21" s="7" t="s">
        <v>196</v>
      </c>
      <c r="R21" s="7" t="s">
        <v>62</v>
      </c>
      <c r="S21" s="7" t="s">
        <v>109</v>
      </c>
      <c r="T21" s="7" t="s">
        <v>109</v>
      </c>
      <c r="U21" s="7" t="s">
        <v>109</v>
      </c>
      <c r="V21" s="7" t="s">
        <v>109</v>
      </c>
      <c r="W21" s="29" t="s">
        <v>1568</v>
      </c>
    </row>
    <row r="22" spans="1:23" x14ac:dyDescent="0.3">
      <c r="A22" s="7">
        <v>21</v>
      </c>
      <c r="B22" s="29" t="s">
        <v>23</v>
      </c>
      <c r="C22" s="29" t="s">
        <v>1569</v>
      </c>
      <c r="D22" s="29">
        <v>50126355</v>
      </c>
      <c r="E22" s="29">
        <v>1030</v>
      </c>
      <c r="F22" s="7">
        <v>978</v>
      </c>
      <c r="G22" s="7">
        <v>339</v>
      </c>
      <c r="H22" s="7" t="s">
        <v>1570</v>
      </c>
      <c r="I22" s="7" t="s">
        <v>109</v>
      </c>
      <c r="J22" s="7" t="s">
        <v>130</v>
      </c>
      <c r="K22" s="11">
        <v>0.83333333333333337</v>
      </c>
      <c r="L22" s="7" t="s">
        <v>109</v>
      </c>
      <c r="M22" s="7" t="s">
        <v>109</v>
      </c>
      <c r="N22" s="29" t="s">
        <v>1571</v>
      </c>
      <c r="O22" s="29" t="s">
        <v>61</v>
      </c>
      <c r="P22" s="7" t="s">
        <v>131</v>
      </c>
      <c r="Q22" s="7" t="s">
        <v>94</v>
      </c>
      <c r="R22" s="7" t="s">
        <v>62</v>
      </c>
      <c r="S22" s="7" t="s">
        <v>109</v>
      </c>
      <c r="T22" s="7" t="s">
        <v>109</v>
      </c>
      <c r="U22" s="7" t="s">
        <v>109</v>
      </c>
      <c r="V22" s="7" t="s">
        <v>109</v>
      </c>
      <c r="W22" s="29" t="s">
        <v>1568</v>
      </c>
    </row>
    <row r="23" spans="1:23" x14ac:dyDescent="0.3">
      <c r="A23" s="7">
        <v>22</v>
      </c>
      <c r="B23" s="29" t="s">
        <v>23</v>
      </c>
      <c r="C23" s="29" t="s">
        <v>1572</v>
      </c>
      <c r="D23" s="29">
        <v>50126354</v>
      </c>
      <c r="E23" s="29">
        <v>410</v>
      </c>
      <c r="F23" s="7">
        <v>740</v>
      </c>
      <c r="G23" s="7">
        <v>314</v>
      </c>
      <c r="H23" s="7" t="s">
        <v>1585</v>
      </c>
      <c r="I23" s="7" t="s">
        <v>109</v>
      </c>
      <c r="J23" s="7" t="s">
        <v>130</v>
      </c>
      <c r="K23" s="11">
        <v>0.9819444444444444</v>
      </c>
      <c r="L23" s="7" t="s">
        <v>109</v>
      </c>
      <c r="M23" s="7" t="s">
        <v>109</v>
      </c>
      <c r="N23" s="29" t="s">
        <v>1573</v>
      </c>
      <c r="O23" s="29" t="s">
        <v>61</v>
      </c>
      <c r="P23" s="7" t="s">
        <v>131</v>
      </c>
      <c r="Q23" s="7" t="s">
        <v>241</v>
      </c>
      <c r="R23" s="7" t="s">
        <v>62</v>
      </c>
      <c r="S23" s="7" t="s">
        <v>109</v>
      </c>
      <c r="T23" s="7" t="s">
        <v>109</v>
      </c>
      <c r="U23" s="7" t="s">
        <v>109</v>
      </c>
      <c r="V23" s="7" t="s">
        <v>109</v>
      </c>
      <c r="W23" s="29" t="s">
        <v>1568</v>
      </c>
    </row>
    <row r="24" spans="1:23" x14ac:dyDescent="0.3">
      <c r="A24" s="7">
        <v>23</v>
      </c>
      <c r="B24" s="29" t="s">
        <v>23</v>
      </c>
      <c r="C24" s="29" t="s">
        <v>855</v>
      </c>
      <c r="D24" s="29">
        <v>50126229</v>
      </c>
      <c r="E24" s="29">
        <v>200</v>
      </c>
      <c r="F24" s="7">
        <v>225</v>
      </c>
      <c r="G24" s="7">
        <v>88</v>
      </c>
      <c r="H24" s="7" t="s">
        <v>1574</v>
      </c>
      <c r="I24" s="7" t="s">
        <v>109</v>
      </c>
      <c r="J24" s="7" t="s">
        <v>130</v>
      </c>
      <c r="K24" s="11">
        <v>0.83194444444444449</v>
      </c>
      <c r="L24" s="7" t="s">
        <v>109</v>
      </c>
      <c r="M24" s="7" t="s">
        <v>109</v>
      </c>
      <c r="N24" s="29" t="s">
        <v>660</v>
      </c>
      <c r="O24" s="29" t="s">
        <v>61</v>
      </c>
      <c r="P24" s="7" t="s">
        <v>131</v>
      </c>
      <c r="Q24" s="7" t="s">
        <v>64</v>
      </c>
      <c r="R24" s="7" t="s">
        <v>62</v>
      </c>
      <c r="S24" s="7" t="s">
        <v>109</v>
      </c>
      <c r="T24" s="7" t="s">
        <v>109</v>
      </c>
      <c r="U24" s="7" t="s">
        <v>109</v>
      </c>
      <c r="V24" s="7" t="s">
        <v>109</v>
      </c>
      <c r="W24" s="29" t="s">
        <v>856</v>
      </c>
    </row>
    <row r="25" spans="1:23" x14ac:dyDescent="0.3">
      <c r="A25" s="7">
        <v>24</v>
      </c>
      <c r="B25" s="29" t="s">
        <v>23</v>
      </c>
      <c r="C25" s="29" t="s">
        <v>1575</v>
      </c>
      <c r="D25" s="29">
        <v>50126351</v>
      </c>
      <c r="E25" s="29">
        <v>50</v>
      </c>
      <c r="F25" s="7">
        <v>68</v>
      </c>
      <c r="G25" s="7">
        <v>22</v>
      </c>
      <c r="H25" s="53" t="s">
        <v>84</v>
      </c>
      <c r="I25" s="7" t="s">
        <v>109</v>
      </c>
      <c r="J25" s="7" t="s">
        <v>130</v>
      </c>
      <c r="K25" s="11">
        <v>0.98750000000000004</v>
      </c>
      <c r="L25" s="7" t="s">
        <v>109</v>
      </c>
      <c r="M25" s="7" t="s">
        <v>109</v>
      </c>
      <c r="N25" s="29" t="s">
        <v>109</v>
      </c>
      <c r="O25" s="29" t="s">
        <v>61</v>
      </c>
      <c r="P25" s="7" t="s">
        <v>131</v>
      </c>
      <c r="Q25" s="7" t="s">
        <v>84</v>
      </c>
      <c r="R25" s="7" t="s">
        <v>62</v>
      </c>
      <c r="S25" s="7" t="s">
        <v>109</v>
      </c>
      <c r="T25" s="7" t="s">
        <v>109</v>
      </c>
      <c r="U25" s="7" t="s">
        <v>109</v>
      </c>
      <c r="V25" s="7" t="s">
        <v>109</v>
      </c>
      <c r="W25" s="29" t="s">
        <v>1576</v>
      </c>
    </row>
    <row r="26" spans="1:23" x14ac:dyDescent="0.3">
      <c r="A26" s="7">
        <v>25</v>
      </c>
      <c r="B26" s="29" t="s">
        <v>23</v>
      </c>
      <c r="C26" s="29" t="s">
        <v>534</v>
      </c>
      <c r="D26" s="29">
        <v>50126079</v>
      </c>
      <c r="E26" s="29">
        <v>250</v>
      </c>
      <c r="F26" s="7">
        <v>337</v>
      </c>
      <c r="G26" s="7">
        <v>270</v>
      </c>
      <c r="H26" s="7" t="s">
        <v>1577</v>
      </c>
      <c r="I26" s="7" t="s">
        <v>109</v>
      </c>
      <c r="J26" s="7" t="s">
        <v>130</v>
      </c>
      <c r="K26" s="11">
        <v>0.7680555555555556</v>
      </c>
      <c r="L26" s="7" t="s">
        <v>109</v>
      </c>
      <c r="M26" s="7" t="s">
        <v>109</v>
      </c>
      <c r="N26" s="29" t="s">
        <v>110</v>
      </c>
      <c r="O26" s="29" t="s">
        <v>61</v>
      </c>
      <c r="P26" s="7" t="s">
        <v>131</v>
      </c>
      <c r="Q26" s="7" t="s">
        <v>86</v>
      </c>
      <c r="R26" s="7" t="s">
        <v>62</v>
      </c>
      <c r="S26" s="7" t="s">
        <v>109</v>
      </c>
      <c r="T26" s="7" t="s">
        <v>109</v>
      </c>
      <c r="U26" s="7" t="s">
        <v>109</v>
      </c>
      <c r="V26" s="7" t="s">
        <v>109</v>
      </c>
      <c r="W26" s="29" t="s">
        <v>424</v>
      </c>
    </row>
    <row r="27" spans="1:23" x14ac:dyDescent="0.3">
      <c r="A27" s="7">
        <v>26</v>
      </c>
      <c r="B27" s="29" t="s">
        <v>23</v>
      </c>
      <c r="C27" s="29" t="s">
        <v>940</v>
      </c>
      <c r="D27" s="29">
        <v>50126249</v>
      </c>
      <c r="E27" s="29">
        <v>250</v>
      </c>
      <c r="F27" s="7">
        <v>570</v>
      </c>
      <c r="G27" s="7">
        <v>208</v>
      </c>
      <c r="H27" s="7" t="s">
        <v>1578</v>
      </c>
      <c r="I27" s="7" t="s">
        <v>109</v>
      </c>
      <c r="J27" s="7" t="s">
        <v>130</v>
      </c>
      <c r="K27" s="11">
        <v>0.86388888888888893</v>
      </c>
      <c r="L27" s="7" t="s">
        <v>109</v>
      </c>
      <c r="M27" s="7" t="s">
        <v>109</v>
      </c>
      <c r="N27" s="29" t="s">
        <v>110</v>
      </c>
      <c r="O27" s="29" t="s">
        <v>61</v>
      </c>
      <c r="P27" s="7" t="s">
        <v>131</v>
      </c>
      <c r="Q27" s="7" t="s">
        <v>90</v>
      </c>
      <c r="R27" s="7" t="s">
        <v>62</v>
      </c>
      <c r="S27" s="7" t="s">
        <v>109</v>
      </c>
      <c r="T27" s="7" t="s">
        <v>109</v>
      </c>
      <c r="U27" s="7" t="s">
        <v>109</v>
      </c>
      <c r="V27" s="7" t="s">
        <v>109</v>
      </c>
      <c r="W27" s="29" t="s">
        <v>424</v>
      </c>
    </row>
    <row r="28" spans="1:23" x14ac:dyDescent="0.3">
      <c r="A28" s="7">
        <v>27</v>
      </c>
      <c r="B28" s="29" t="s">
        <v>23</v>
      </c>
      <c r="C28" s="29" t="s">
        <v>1464</v>
      </c>
      <c r="D28" s="29">
        <v>50126352</v>
      </c>
      <c r="E28" s="29">
        <v>50</v>
      </c>
      <c r="F28" s="7">
        <v>109</v>
      </c>
      <c r="G28" s="7">
        <v>57</v>
      </c>
      <c r="H28" s="53" t="s">
        <v>91</v>
      </c>
      <c r="I28" s="7" t="s">
        <v>109</v>
      </c>
      <c r="J28" s="7" t="s">
        <v>130</v>
      </c>
      <c r="K28" s="11">
        <v>0.84791666666666665</v>
      </c>
      <c r="L28" s="7" t="s">
        <v>109</v>
      </c>
      <c r="M28" s="7" t="s">
        <v>109</v>
      </c>
      <c r="N28" s="29" t="s">
        <v>109</v>
      </c>
      <c r="O28" s="29" t="s">
        <v>61</v>
      </c>
      <c r="P28" s="7" t="s">
        <v>131</v>
      </c>
      <c r="Q28" s="7" t="s">
        <v>91</v>
      </c>
      <c r="R28" s="7" t="s">
        <v>62</v>
      </c>
      <c r="S28" s="7" t="s">
        <v>109</v>
      </c>
      <c r="T28" s="7" t="s">
        <v>109</v>
      </c>
      <c r="U28" s="7" t="s">
        <v>109</v>
      </c>
      <c r="V28" s="7" t="s">
        <v>109</v>
      </c>
      <c r="W28" s="29" t="s">
        <v>424</v>
      </c>
    </row>
    <row r="29" spans="1:23" x14ac:dyDescent="0.3">
      <c r="A29" s="7">
        <v>28</v>
      </c>
      <c r="B29" s="29" t="s">
        <v>23</v>
      </c>
      <c r="C29" s="29" t="s">
        <v>27</v>
      </c>
      <c r="D29" s="29">
        <v>51225107</v>
      </c>
      <c r="E29" s="29">
        <v>150</v>
      </c>
      <c r="F29" s="7">
        <v>241</v>
      </c>
      <c r="G29" s="7">
        <v>102</v>
      </c>
      <c r="H29" s="7" t="s">
        <v>933</v>
      </c>
      <c r="I29" s="7" t="s">
        <v>109</v>
      </c>
      <c r="J29" s="7" t="s">
        <v>130</v>
      </c>
      <c r="K29" s="11">
        <v>1.3888888888888888E-2</v>
      </c>
      <c r="L29" s="7" t="s">
        <v>109</v>
      </c>
      <c r="M29" s="7" t="s">
        <v>109</v>
      </c>
      <c r="N29" s="29" t="s">
        <v>109</v>
      </c>
      <c r="O29" s="29" t="s">
        <v>61</v>
      </c>
      <c r="P29" s="7" t="s">
        <v>131</v>
      </c>
      <c r="Q29" s="7" t="s">
        <v>67</v>
      </c>
      <c r="R29" s="7" t="s">
        <v>62</v>
      </c>
      <c r="S29" s="7" t="s">
        <v>109</v>
      </c>
      <c r="T29" s="7" t="s">
        <v>109</v>
      </c>
      <c r="U29" s="7" t="s">
        <v>109</v>
      </c>
      <c r="V29" s="7" t="s">
        <v>109</v>
      </c>
      <c r="W29" s="29" t="s">
        <v>112</v>
      </c>
    </row>
    <row r="30" spans="1:23" x14ac:dyDescent="0.3">
      <c r="A30" s="7">
        <v>29</v>
      </c>
      <c r="B30" s="29" t="s">
        <v>23</v>
      </c>
      <c r="C30" s="29" t="s">
        <v>749</v>
      </c>
      <c r="D30" s="29">
        <v>51225108</v>
      </c>
      <c r="E30" s="29">
        <v>100</v>
      </c>
      <c r="F30" s="7">
        <v>153</v>
      </c>
      <c r="G30" s="7">
        <v>73</v>
      </c>
      <c r="H30" s="7" t="s">
        <v>1579</v>
      </c>
      <c r="I30" s="7" t="s">
        <v>109</v>
      </c>
      <c r="J30" s="7" t="s">
        <v>130</v>
      </c>
      <c r="K30" s="11">
        <v>0.86111111111111116</v>
      </c>
      <c r="L30" s="7" t="s">
        <v>109</v>
      </c>
      <c r="M30" s="7" t="s">
        <v>109</v>
      </c>
      <c r="N30" s="29" t="s">
        <v>109</v>
      </c>
      <c r="O30" s="29" t="s">
        <v>61</v>
      </c>
      <c r="P30" s="7" t="s">
        <v>131</v>
      </c>
      <c r="Q30" s="7" t="s">
        <v>200</v>
      </c>
      <c r="R30" s="7" t="s">
        <v>62</v>
      </c>
      <c r="S30" s="7" t="s">
        <v>109</v>
      </c>
      <c r="T30" s="7" t="s">
        <v>109</v>
      </c>
      <c r="U30" s="7" t="s">
        <v>109</v>
      </c>
      <c r="V30" s="7" t="s">
        <v>109</v>
      </c>
      <c r="W30" s="29" t="s">
        <v>112</v>
      </c>
    </row>
    <row r="31" spans="1:23" x14ac:dyDescent="0.3">
      <c r="A31" s="7">
        <v>30</v>
      </c>
      <c r="B31" s="29" t="s">
        <v>23</v>
      </c>
      <c r="C31" s="29" t="s">
        <v>1038</v>
      </c>
      <c r="D31" s="29">
        <v>50126310</v>
      </c>
      <c r="E31" s="29">
        <v>75</v>
      </c>
      <c r="F31" s="7" t="s">
        <v>109</v>
      </c>
      <c r="G31" s="7" t="s">
        <v>109</v>
      </c>
      <c r="H31" s="53" t="s">
        <v>64</v>
      </c>
      <c r="I31" s="7" t="s">
        <v>109</v>
      </c>
      <c r="J31" s="18" t="s">
        <v>85</v>
      </c>
      <c r="K31" s="7" t="s">
        <v>109</v>
      </c>
      <c r="L31" s="7" t="s">
        <v>109</v>
      </c>
      <c r="M31" s="7" t="s">
        <v>109</v>
      </c>
      <c r="N31" s="29" t="s">
        <v>109</v>
      </c>
      <c r="O31" s="29" t="s">
        <v>61</v>
      </c>
      <c r="P31" s="7" t="s">
        <v>109</v>
      </c>
      <c r="Q31" s="7" t="s">
        <v>109</v>
      </c>
      <c r="R31" s="7" t="s">
        <v>62</v>
      </c>
      <c r="S31" s="7" t="s">
        <v>109</v>
      </c>
      <c r="T31" s="7" t="s">
        <v>109</v>
      </c>
      <c r="U31" s="7" t="s">
        <v>109</v>
      </c>
      <c r="V31" s="7" t="s">
        <v>109</v>
      </c>
      <c r="W31" s="29" t="s">
        <v>223</v>
      </c>
    </row>
    <row r="32" spans="1:23" x14ac:dyDescent="0.3">
      <c r="A32" s="7">
        <v>31</v>
      </c>
      <c r="B32" s="29" t="s">
        <v>23</v>
      </c>
      <c r="C32" s="29" t="s">
        <v>1371</v>
      </c>
      <c r="D32" s="29">
        <v>50126338</v>
      </c>
      <c r="E32" s="29">
        <v>50</v>
      </c>
      <c r="F32" s="7">
        <v>48</v>
      </c>
      <c r="G32" s="7">
        <v>20</v>
      </c>
      <c r="H32" s="53" t="s">
        <v>82</v>
      </c>
      <c r="I32" s="7" t="s">
        <v>109</v>
      </c>
      <c r="J32" s="7" t="s">
        <v>130</v>
      </c>
      <c r="K32" s="11">
        <v>0.92708333333333337</v>
      </c>
      <c r="L32" s="7" t="s">
        <v>109</v>
      </c>
      <c r="M32" s="7" t="s">
        <v>109</v>
      </c>
      <c r="N32" s="29" t="s">
        <v>109</v>
      </c>
      <c r="O32" s="29" t="s">
        <v>61</v>
      </c>
      <c r="P32" s="7" t="s">
        <v>131</v>
      </c>
      <c r="Q32" s="7" t="s">
        <v>82</v>
      </c>
      <c r="R32" s="7" t="s">
        <v>62</v>
      </c>
      <c r="S32" s="7" t="s">
        <v>109</v>
      </c>
      <c r="T32" s="7" t="s">
        <v>109</v>
      </c>
      <c r="U32" s="7" t="s">
        <v>109</v>
      </c>
      <c r="V32" s="7" t="s">
        <v>109</v>
      </c>
      <c r="W32" s="29" t="s">
        <v>1365</v>
      </c>
    </row>
    <row r="33" spans="1:23" x14ac:dyDescent="0.3">
      <c r="A33" s="7">
        <v>32</v>
      </c>
      <c r="B33" s="29" t="s">
        <v>23</v>
      </c>
      <c r="C33" s="29" t="s">
        <v>1369</v>
      </c>
      <c r="D33" s="29">
        <v>50126339</v>
      </c>
      <c r="E33" s="29">
        <v>125</v>
      </c>
      <c r="F33" s="7">
        <v>80</v>
      </c>
      <c r="G33" s="7">
        <v>34</v>
      </c>
      <c r="H33" s="7" t="s">
        <v>1580</v>
      </c>
      <c r="I33" s="7" t="s">
        <v>109</v>
      </c>
      <c r="J33" s="7" t="s">
        <v>130</v>
      </c>
      <c r="K33" s="11">
        <v>0.92986111111111114</v>
      </c>
      <c r="L33" s="7" t="s">
        <v>109</v>
      </c>
      <c r="M33" s="7" t="s">
        <v>109</v>
      </c>
      <c r="N33" s="29" t="s">
        <v>109</v>
      </c>
      <c r="O33" s="29" t="s">
        <v>61</v>
      </c>
      <c r="P33" s="7" t="s">
        <v>131</v>
      </c>
      <c r="Q33" s="7" t="s">
        <v>274</v>
      </c>
      <c r="R33" s="7" t="s">
        <v>62</v>
      </c>
      <c r="S33" s="7" t="s">
        <v>109</v>
      </c>
      <c r="T33" s="7" t="s">
        <v>109</v>
      </c>
      <c r="U33" s="7" t="s">
        <v>109</v>
      </c>
      <c r="V33" s="7" t="s">
        <v>109</v>
      </c>
      <c r="W33" s="29" t="s">
        <v>1365</v>
      </c>
    </row>
    <row r="34" spans="1:23" x14ac:dyDescent="0.3">
      <c r="A34" s="7">
        <v>33</v>
      </c>
      <c r="B34" s="29" t="s">
        <v>23</v>
      </c>
      <c r="C34" s="29" t="s">
        <v>1364</v>
      </c>
      <c r="D34" s="29">
        <v>50126341</v>
      </c>
      <c r="E34" s="29">
        <v>50</v>
      </c>
      <c r="F34" s="7">
        <v>19</v>
      </c>
      <c r="G34" s="7">
        <v>4</v>
      </c>
      <c r="H34" s="53" t="s">
        <v>71</v>
      </c>
      <c r="I34" s="7" t="s">
        <v>109</v>
      </c>
      <c r="J34" s="7" t="s">
        <v>130</v>
      </c>
      <c r="K34" s="11">
        <v>1.3888888888888889E-3</v>
      </c>
      <c r="L34" s="7" t="s">
        <v>109</v>
      </c>
      <c r="M34" s="7" t="s">
        <v>109</v>
      </c>
      <c r="N34" s="29" t="s">
        <v>109</v>
      </c>
      <c r="O34" s="29" t="s">
        <v>61</v>
      </c>
      <c r="P34" s="7" t="s">
        <v>131</v>
      </c>
      <c r="Q34" s="7" t="s">
        <v>71</v>
      </c>
      <c r="R34" s="7" t="s">
        <v>62</v>
      </c>
      <c r="S34" s="7" t="s">
        <v>109</v>
      </c>
      <c r="T34" s="7" t="s">
        <v>109</v>
      </c>
      <c r="U34" s="7" t="s">
        <v>109</v>
      </c>
      <c r="V34" s="7" t="s">
        <v>109</v>
      </c>
      <c r="W34" s="29" t="s">
        <v>1365</v>
      </c>
    </row>
    <row r="35" spans="1:23" x14ac:dyDescent="0.3">
      <c r="A35" s="7">
        <v>34</v>
      </c>
      <c r="B35" s="29" t="s">
        <v>23</v>
      </c>
      <c r="C35" s="29" t="s">
        <v>1370</v>
      </c>
      <c r="D35" s="29">
        <v>50126342</v>
      </c>
      <c r="E35" s="29">
        <v>50</v>
      </c>
      <c r="F35" s="7">
        <v>47</v>
      </c>
      <c r="G35" s="7">
        <v>6</v>
      </c>
      <c r="H35" s="53" t="s">
        <v>214</v>
      </c>
      <c r="I35" s="7" t="s">
        <v>109</v>
      </c>
      <c r="J35" s="7" t="s">
        <v>130</v>
      </c>
      <c r="K35" s="11">
        <v>0.89097222222222228</v>
      </c>
      <c r="L35" s="7" t="s">
        <v>109</v>
      </c>
      <c r="M35" s="7" t="s">
        <v>109</v>
      </c>
      <c r="N35" s="29" t="s">
        <v>109</v>
      </c>
      <c r="O35" s="29" t="s">
        <v>61</v>
      </c>
      <c r="P35" s="7" t="s">
        <v>131</v>
      </c>
      <c r="Q35" s="7" t="s">
        <v>214</v>
      </c>
      <c r="R35" s="7" t="s">
        <v>62</v>
      </c>
      <c r="S35" s="7" t="s">
        <v>109</v>
      </c>
      <c r="T35" s="7" t="s">
        <v>109</v>
      </c>
      <c r="U35" s="7" t="s">
        <v>109</v>
      </c>
      <c r="V35" s="7" t="s">
        <v>109</v>
      </c>
      <c r="W35" s="29" t="s">
        <v>1365</v>
      </c>
    </row>
    <row r="36" spans="1:23" x14ac:dyDescent="0.3">
      <c r="A36" s="7">
        <v>35</v>
      </c>
      <c r="B36" s="29" t="s">
        <v>23</v>
      </c>
      <c r="C36" s="29" t="s">
        <v>1366</v>
      </c>
      <c r="D36" s="29">
        <v>50126343</v>
      </c>
      <c r="E36" s="29">
        <v>1500</v>
      </c>
      <c r="F36" s="7">
        <v>4408</v>
      </c>
      <c r="G36" s="7">
        <v>1444</v>
      </c>
      <c r="H36" s="86" t="s">
        <v>1581</v>
      </c>
      <c r="I36" s="7" t="s">
        <v>109</v>
      </c>
      <c r="J36" s="7" t="s">
        <v>130</v>
      </c>
      <c r="K36" s="11">
        <v>0.83263888888888893</v>
      </c>
      <c r="L36" s="7" t="s">
        <v>109</v>
      </c>
      <c r="M36" s="7" t="s">
        <v>109</v>
      </c>
      <c r="N36" s="29" t="s">
        <v>1582</v>
      </c>
      <c r="O36" s="29" t="s">
        <v>61</v>
      </c>
      <c r="P36" s="7" t="s">
        <v>131</v>
      </c>
      <c r="Q36" s="7" t="s">
        <v>1591</v>
      </c>
      <c r="R36" s="7" t="s">
        <v>62</v>
      </c>
      <c r="S36" s="7" t="s">
        <v>109</v>
      </c>
      <c r="T36" s="7" t="s">
        <v>109</v>
      </c>
      <c r="U36" s="7" t="s">
        <v>109</v>
      </c>
      <c r="V36" s="7" t="s">
        <v>109</v>
      </c>
      <c r="W36" s="29" t="s">
        <v>1365</v>
      </c>
    </row>
    <row r="37" spans="1:23" x14ac:dyDescent="0.3">
      <c r="A37" s="7">
        <v>36</v>
      </c>
      <c r="B37" s="29" t="s">
        <v>23</v>
      </c>
      <c r="C37" s="29" t="s">
        <v>1054</v>
      </c>
      <c r="D37" s="29">
        <v>50126315</v>
      </c>
      <c r="E37" s="29">
        <v>300</v>
      </c>
      <c r="F37" s="7">
        <v>570</v>
      </c>
      <c r="G37" s="7">
        <v>149</v>
      </c>
      <c r="H37" s="7" t="s">
        <v>1583</v>
      </c>
      <c r="I37" s="7" t="s">
        <v>1584</v>
      </c>
      <c r="J37" s="7" t="s">
        <v>130</v>
      </c>
      <c r="K37" s="11">
        <v>0.93541666666666667</v>
      </c>
      <c r="L37" s="11">
        <v>0.96875</v>
      </c>
      <c r="M37" s="7" t="s">
        <v>109</v>
      </c>
      <c r="N37" s="29" t="s">
        <v>109</v>
      </c>
      <c r="O37" s="29" t="s">
        <v>61</v>
      </c>
      <c r="P37" s="7" t="s">
        <v>131</v>
      </c>
      <c r="Q37" s="7" t="s">
        <v>90</v>
      </c>
      <c r="R37" s="7" t="s">
        <v>62</v>
      </c>
      <c r="S37" s="7" t="s">
        <v>109</v>
      </c>
      <c r="T37" s="7" t="s">
        <v>109</v>
      </c>
      <c r="U37" s="7" t="s">
        <v>109</v>
      </c>
      <c r="V37" s="7" t="s">
        <v>109</v>
      </c>
      <c r="W37" s="29" t="s">
        <v>480</v>
      </c>
    </row>
    <row r="38" spans="1:23" x14ac:dyDescent="0.3">
      <c r="A38" s="7">
        <v>37</v>
      </c>
      <c r="B38" s="29" t="s">
        <v>23</v>
      </c>
      <c r="C38" s="29" t="s">
        <v>39</v>
      </c>
      <c r="D38" s="29">
        <v>51225109</v>
      </c>
      <c r="E38" s="29">
        <v>15</v>
      </c>
      <c r="F38" s="7">
        <v>4</v>
      </c>
      <c r="G38" s="7">
        <v>2</v>
      </c>
      <c r="H38" s="53" t="s">
        <v>66</v>
      </c>
      <c r="I38" s="7" t="s">
        <v>109</v>
      </c>
      <c r="J38" s="7" t="s">
        <v>130</v>
      </c>
      <c r="K38" s="11">
        <v>0.71944444444444444</v>
      </c>
      <c r="L38" s="7" t="s">
        <v>109</v>
      </c>
      <c r="M38" s="7" t="s">
        <v>109</v>
      </c>
      <c r="N38" s="29" t="s">
        <v>109</v>
      </c>
      <c r="O38" s="29" t="s">
        <v>61</v>
      </c>
      <c r="P38" s="7" t="s">
        <v>131</v>
      </c>
      <c r="Q38" s="7" t="s">
        <v>66</v>
      </c>
      <c r="R38" s="7" t="s">
        <v>62</v>
      </c>
      <c r="S38" s="7" t="s">
        <v>109</v>
      </c>
      <c r="T38" s="7" t="s">
        <v>109</v>
      </c>
      <c r="U38" s="7" t="s">
        <v>109</v>
      </c>
      <c r="V38" s="7" t="s">
        <v>109</v>
      </c>
      <c r="W38" s="29" t="s">
        <v>112</v>
      </c>
    </row>
    <row r="39" spans="1:23" x14ac:dyDescent="0.3">
      <c r="A39" s="7">
        <v>38</v>
      </c>
      <c r="B39" s="29" t="s">
        <v>23</v>
      </c>
      <c r="C39" s="29" t="s">
        <v>1368</v>
      </c>
      <c r="D39" s="29">
        <v>50126340</v>
      </c>
      <c r="E39" s="29">
        <v>5</v>
      </c>
      <c r="F39" s="7">
        <v>4</v>
      </c>
      <c r="G39" s="7">
        <v>0</v>
      </c>
      <c r="H39" s="53" t="s">
        <v>241</v>
      </c>
      <c r="I39" s="7" t="s">
        <v>109</v>
      </c>
      <c r="J39" s="7" t="s">
        <v>130</v>
      </c>
      <c r="K39" s="11">
        <v>0.99236111111111114</v>
      </c>
      <c r="L39" s="7" t="s">
        <v>109</v>
      </c>
      <c r="M39" s="7" t="s">
        <v>109</v>
      </c>
      <c r="N39" s="29" t="s">
        <v>109</v>
      </c>
      <c r="O39" s="29" t="s">
        <v>61</v>
      </c>
      <c r="P39" s="7" t="s">
        <v>131</v>
      </c>
      <c r="Q39" s="7" t="s">
        <v>241</v>
      </c>
      <c r="R39" s="7" t="s">
        <v>62</v>
      </c>
      <c r="S39" s="7" t="s">
        <v>109</v>
      </c>
      <c r="T39" s="7" t="s">
        <v>109</v>
      </c>
      <c r="U39" s="7" t="s">
        <v>109</v>
      </c>
      <c r="V39" s="7" t="s">
        <v>109</v>
      </c>
      <c r="W39" s="29" t="s">
        <v>1365</v>
      </c>
    </row>
    <row r="40" spans="1:23" x14ac:dyDescent="0.3">
      <c r="A40" s="7">
        <v>39</v>
      </c>
      <c r="B40" s="29" t="s">
        <v>23</v>
      </c>
      <c r="C40" s="29" t="s">
        <v>1034</v>
      </c>
      <c r="D40" s="29">
        <v>50126293</v>
      </c>
      <c r="E40" s="29">
        <v>50</v>
      </c>
      <c r="F40" s="7">
        <v>56</v>
      </c>
      <c r="G40" s="7">
        <v>22</v>
      </c>
      <c r="H40" s="53" t="s">
        <v>196</v>
      </c>
      <c r="I40" s="7" t="s">
        <v>109</v>
      </c>
      <c r="J40" s="7" t="s">
        <v>130</v>
      </c>
      <c r="K40" s="11">
        <v>0.77500000000000002</v>
      </c>
      <c r="L40" s="7" t="s">
        <v>109</v>
      </c>
      <c r="M40" s="7" t="s">
        <v>109</v>
      </c>
      <c r="N40" s="29" t="s">
        <v>109</v>
      </c>
      <c r="O40" s="29" t="s">
        <v>61</v>
      </c>
      <c r="P40" s="7" t="s">
        <v>131</v>
      </c>
      <c r="Q40" s="7" t="s">
        <v>196</v>
      </c>
      <c r="R40" s="7" t="s">
        <v>62</v>
      </c>
      <c r="S40" s="7" t="s">
        <v>109</v>
      </c>
      <c r="T40" s="7" t="s">
        <v>109</v>
      </c>
      <c r="U40" s="7" t="s">
        <v>109</v>
      </c>
      <c r="V40" s="7" t="s">
        <v>109</v>
      </c>
      <c r="W40" s="29" t="s">
        <v>223</v>
      </c>
    </row>
    <row r="41" spans="1:23" x14ac:dyDescent="0.3">
      <c r="A41" s="7">
        <v>40</v>
      </c>
      <c r="B41" s="29" t="s">
        <v>23</v>
      </c>
      <c r="C41" s="29" t="s">
        <v>1587</v>
      </c>
      <c r="D41" s="29">
        <v>50126071</v>
      </c>
      <c r="E41" s="7">
        <v>61</v>
      </c>
      <c r="F41" s="7">
        <v>44</v>
      </c>
      <c r="G41" s="7">
        <v>4</v>
      </c>
      <c r="H41" s="7" t="s">
        <v>200</v>
      </c>
      <c r="I41" s="7" t="s">
        <v>109</v>
      </c>
      <c r="J41" s="7" t="s">
        <v>130</v>
      </c>
      <c r="K41" s="11">
        <v>0.88472222222222219</v>
      </c>
      <c r="L41" s="7" t="s">
        <v>109</v>
      </c>
      <c r="M41" s="7" t="s">
        <v>109</v>
      </c>
      <c r="N41" s="7" t="s">
        <v>109</v>
      </c>
      <c r="O41" s="7" t="s">
        <v>145</v>
      </c>
      <c r="P41" s="7" t="s">
        <v>131</v>
      </c>
      <c r="Q41" s="7" t="s">
        <v>200</v>
      </c>
      <c r="R41" s="7" t="s">
        <v>62</v>
      </c>
      <c r="S41" s="7" t="s">
        <v>109</v>
      </c>
      <c r="T41" s="7" t="s">
        <v>109</v>
      </c>
      <c r="U41" s="7" t="s">
        <v>109</v>
      </c>
      <c r="V41" s="7" t="s">
        <v>109</v>
      </c>
      <c r="W41" s="74" t="s">
        <v>610</v>
      </c>
    </row>
    <row r="42" spans="1:23" x14ac:dyDescent="0.3">
      <c r="A42" s="7">
        <v>41</v>
      </c>
      <c r="B42" s="29" t="s">
        <v>23</v>
      </c>
      <c r="C42" s="29" t="s">
        <v>1588</v>
      </c>
      <c r="D42" s="29">
        <v>51125114</v>
      </c>
      <c r="E42" s="29">
        <v>30</v>
      </c>
      <c r="F42" s="7">
        <v>0</v>
      </c>
      <c r="G42" s="7">
        <v>0</v>
      </c>
      <c r="H42" s="7" t="s">
        <v>222</v>
      </c>
      <c r="I42" s="7" t="s">
        <v>109</v>
      </c>
      <c r="J42" s="7" t="s">
        <v>130</v>
      </c>
      <c r="K42" s="11">
        <v>0.89722222222222225</v>
      </c>
      <c r="L42" s="7" t="s">
        <v>109</v>
      </c>
      <c r="M42" s="7" t="s">
        <v>109</v>
      </c>
      <c r="N42" s="7" t="s">
        <v>109</v>
      </c>
      <c r="O42" s="7" t="s">
        <v>145</v>
      </c>
      <c r="P42" s="7" t="s">
        <v>131</v>
      </c>
      <c r="Q42" s="7" t="s">
        <v>222</v>
      </c>
      <c r="R42" s="7" t="s">
        <v>62</v>
      </c>
      <c r="S42" s="7" t="s">
        <v>109</v>
      </c>
      <c r="T42" s="7" t="s">
        <v>109</v>
      </c>
      <c r="U42" s="7" t="s">
        <v>109</v>
      </c>
      <c r="V42" s="7" t="s">
        <v>109</v>
      </c>
      <c r="W42" s="74" t="s">
        <v>270</v>
      </c>
    </row>
    <row r="43" spans="1:23" x14ac:dyDescent="0.3">
      <c r="A43" s="7">
        <v>42</v>
      </c>
      <c r="B43" s="7" t="s">
        <v>143</v>
      </c>
      <c r="C43" s="29" t="s">
        <v>1589</v>
      </c>
      <c r="D43" s="7">
        <v>10126024</v>
      </c>
      <c r="E43" s="29">
        <v>61</v>
      </c>
      <c r="F43" s="7">
        <v>30</v>
      </c>
      <c r="G43" s="7">
        <v>10</v>
      </c>
      <c r="H43" s="7" t="s">
        <v>66</v>
      </c>
      <c r="I43" s="7" t="s">
        <v>87</v>
      </c>
      <c r="J43" s="7" t="s">
        <v>130</v>
      </c>
      <c r="K43" s="11">
        <v>0.94791666666666663</v>
      </c>
      <c r="L43" s="11">
        <v>0.95972222222222225</v>
      </c>
      <c r="M43" s="7" t="s">
        <v>109</v>
      </c>
      <c r="N43" s="7" t="s">
        <v>109</v>
      </c>
      <c r="O43" s="7" t="s">
        <v>145</v>
      </c>
      <c r="P43" s="7" t="s">
        <v>131</v>
      </c>
      <c r="Q43" s="7" t="s">
        <v>87</v>
      </c>
      <c r="R43" s="7" t="s">
        <v>62</v>
      </c>
      <c r="S43" s="7" t="s">
        <v>109</v>
      </c>
      <c r="T43" s="7" t="s">
        <v>109</v>
      </c>
      <c r="U43" s="7" t="s">
        <v>109</v>
      </c>
      <c r="V43" s="7" t="s">
        <v>109</v>
      </c>
      <c r="W43" s="87" t="s">
        <v>1257</v>
      </c>
    </row>
    <row r="44" spans="1:23" x14ac:dyDescent="0.3">
      <c r="A44" s="7">
        <v>43</v>
      </c>
      <c r="B44" s="29" t="s">
        <v>143</v>
      </c>
      <c r="C44" s="29" t="s">
        <v>348</v>
      </c>
      <c r="D44" s="88">
        <v>11125084</v>
      </c>
      <c r="E44" s="29">
        <v>10</v>
      </c>
      <c r="F44" s="7">
        <v>24</v>
      </c>
      <c r="G44" s="7">
        <v>12</v>
      </c>
      <c r="H44" s="7" t="s">
        <v>91</v>
      </c>
      <c r="I44" s="7" t="s">
        <v>109</v>
      </c>
      <c r="J44" s="7" t="s">
        <v>130</v>
      </c>
      <c r="K44" s="11">
        <v>1.1805555555555555E-2</v>
      </c>
      <c r="L44" s="7" t="s">
        <v>109</v>
      </c>
      <c r="M44" s="7" t="s">
        <v>109</v>
      </c>
      <c r="N44" s="7" t="s">
        <v>109</v>
      </c>
      <c r="O44" s="7" t="s">
        <v>61</v>
      </c>
      <c r="P44" s="7" t="s">
        <v>131</v>
      </c>
      <c r="Q44" s="7" t="s">
        <v>91</v>
      </c>
      <c r="R44" s="7" t="s">
        <v>62</v>
      </c>
      <c r="S44" s="7" t="s">
        <v>109</v>
      </c>
      <c r="T44" s="7" t="s">
        <v>109</v>
      </c>
      <c r="U44" s="7" t="s">
        <v>109</v>
      </c>
      <c r="V44" s="7" t="s">
        <v>109</v>
      </c>
      <c r="W44" s="7" t="s">
        <v>349</v>
      </c>
    </row>
    <row r="45" spans="1:23" x14ac:dyDescent="0.3">
      <c r="A45" s="7">
        <v>44</v>
      </c>
      <c r="B45" s="7" t="s">
        <v>414</v>
      </c>
      <c r="C45" s="29" t="s">
        <v>1590</v>
      </c>
      <c r="D45" s="29">
        <v>40126031</v>
      </c>
      <c r="E45" s="29">
        <v>56</v>
      </c>
      <c r="F45" s="7">
        <v>56</v>
      </c>
      <c r="G45" s="7">
        <v>50</v>
      </c>
      <c r="H45" s="7" t="s">
        <v>86</v>
      </c>
      <c r="I45" s="7" t="s">
        <v>109</v>
      </c>
      <c r="J45" s="7" t="s">
        <v>130</v>
      </c>
      <c r="K45" s="11">
        <v>2.4305555555555556E-2</v>
      </c>
      <c r="L45" s="7" t="s">
        <v>109</v>
      </c>
      <c r="M45" s="7" t="s">
        <v>109</v>
      </c>
      <c r="N45" s="7" t="s">
        <v>1592</v>
      </c>
      <c r="O45" s="7" t="s">
        <v>145</v>
      </c>
      <c r="P45" s="7" t="s">
        <v>131</v>
      </c>
      <c r="Q45" s="7" t="s">
        <v>86</v>
      </c>
      <c r="R45" s="7" t="s">
        <v>62</v>
      </c>
      <c r="S45" s="7" t="s">
        <v>109</v>
      </c>
      <c r="T45" s="7" t="s">
        <v>109</v>
      </c>
      <c r="U45" s="7" t="s">
        <v>109</v>
      </c>
      <c r="V45" s="7" t="s">
        <v>109</v>
      </c>
      <c r="W45" s="74" t="s">
        <v>1466</v>
      </c>
    </row>
    <row r="46" spans="1:23" x14ac:dyDescent="0.3">
      <c r="A46" s="7">
        <v>45</v>
      </c>
      <c r="B46" s="7" t="s">
        <v>143</v>
      </c>
      <c r="C46" s="7" t="s">
        <v>1253</v>
      </c>
      <c r="D46" s="7">
        <v>10126025</v>
      </c>
      <c r="E46" s="7">
        <v>65</v>
      </c>
      <c r="F46" s="7" t="s">
        <v>109</v>
      </c>
      <c r="G46" s="7" t="s">
        <v>109</v>
      </c>
      <c r="H46" s="7" t="s">
        <v>109</v>
      </c>
      <c r="I46" s="7" t="s">
        <v>109</v>
      </c>
      <c r="J46" s="7" t="s">
        <v>109</v>
      </c>
      <c r="K46" s="7" t="s">
        <v>109</v>
      </c>
      <c r="L46" s="7" t="s">
        <v>109</v>
      </c>
      <c r="M46" s="7" t="s">
        <v>109</v>
      </c>
      <c r="N46" s="7" t="s">
        <v>109</v>
      </c>
      <c r="O46" s="7" t="s">
        <v>145</v>
      </c>
      <c r="P46" s="7" t="s">
        <v>109</v>
      </c>
      <c r="Q46" s="7" t="s">
        <v>109</v>
      </c>
      <c r="R46" s="7" t="s">
        <v>62</v>
      </c>
      <c r="S46" s="7" t="s">
        <v>109</v>
      </c>
      <c r="T46" s="7" t="s">
        <v>109</v>
      </c>
      <c r="U46" s="7" t="s">
        <v>109</v>
      </c>
      <c r="V46" s="7" t="s">
        <v>109</v>
      </c>
      <c r="W46" s="7" t="s">
        <v>109</v>
      </c>
    </row>
  </sheetData>
  <conditionalFormatting sqref="D1">
    <cfRule type="duplicateValues" dxfId="94" priority="1"/>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BA18F-0A72-49D9-954C-C3F7B381FE71}">
  <sheetPr codeName="Sheet20"/>
  <dimension ref="A1:W42"/>
  <sheetViews>
    <sheetView workbookViewId="0">
      <pane ySplit="1" topLeftCell="A2" activePane="bottomLeft" state="frozen"/>
      <selection pane="bottomLeft"/>
    </sheetView>
  </sheetViews>
  <sheetFormatPr defaultRowHeight="14.4" x14ac:dyDescent="0.3"/>
  <cols>
    <col min="2" max="2" width="10.44140625" bestFit="1" customWidth="1"/>
    <col min="3" max="3" width="44.44140625" customWidth="1"/>
    <col min="4" max="4" width="20.5546875" customWidth="1"/>
  </cols>
  <sheetData>
    <row r="1" spans="1:23" x14ac:dyDescent="0.3">
      <c r="A1" s="22" t="s">
        <v>0</v>
      </c>
      <c r="B1" s="22" t="s">
        <v>1</v>
      </c>
      <c r="C1" s="22" t="s">
        <v>2</v>
      </c>
      <c r="D1" s="22" t="s">
        <v>3</v>
      </c>
      <c r="E1" s="22" t="s">
        <v>4</v>
      </c>
      <c r="F1" s="22" t="s">
        <v>5</v>
      </c>
      <c r="G1" s="22" t="s">
        <v>6</v>
      </c>
      <c r="H1" s="22" t="s">
        <v>7</v>
      </c>
      <c r="I1" s="22" t="s">
        <v>8</v>
      </c>
      <c r="J1" s="22" t="s">
        <v>9</v>
      </c>
      <c r="K1" s="23" t="s">
        <v>10</v>
      </c>
      <c r="L1" s="23" t="s">
        <v>11</v>
      </c>
      <c r="M1" s="24" t="s">
        <v>12</v>
      </c>
      <c r="N1" s="25" t="s">
        <v>13</v>
      </c>
      <c r="O1" s="22" t="s">
        <v>14</v>
      </c>
      <c r="P1" s="22" t="s">
        <v>15</v>
      </c>
      <c r="Q1" s="22" t="s">
        <v>16</v>
      </c>
      <c r="R1" s="22" t="s">
        <v>17</v>
      </c>
      <c r="S1" s="22" t="s">
        <v>18</v>
      </c>
      <c r="T1" s="22" t="s">
        <v>19</v>
      </c>
      <c r="U1" s="22" t="s">
        <v>20</v>
      </c>
      <c r="V1" s="22" t="s">
        <v>21</v>
      </c>
      <c r="W1" s="26" t="s">
        <v>22</v>
      </c>
    </row>
    <row r="2" spans="1:23" x14ac:dyDescent="0.3">
      <c r="A2" s="7">
        <v>1</v>
      </c>
      <c r="B2" s="29" t="s">
        <v>23</v>
      </c>
      <c r="C2" s="29" t="s">
        <v>1572</v>
      </c>
      <c r="D2" s="29">
        <v>50126354</v>
      </c>
      <c r="E2" s="29">
        <v>12</v>
      </c>
      <c r="F2" s="29">
        <v>46</v>
      </c>
      <c r="G2" s="29">
        <v>19</v>
      </c>
      <c r="H2" s="7" t="s">
        <v>153</v>
      </c>
      <c r="I2" s="29" t="s">
        <v>109</v>
      </c>
      <c r="J2" s="29" t="s">
        <v>130</v>
      </c>
      <c r="K2" s="29" t="s">
        <v>109</v>
      </c>
      <c r="L2" s="30">
        <v>0.85486111111111107</v>
      </c>
      <c r="M2" s="29" t="s">
        <v>109</v>
      </c>
      <c r="N2" s="29" t="s">
        <v>1593</v>
      </c>
      <c r="O2" s="29" t="s">
        <v>61</v>
      </c>
      <c r="P2" s="47" t="s">
        <v>131</v>
      </c>
      <c r="Q2" s="47" t="s">
        <v>153</v>
      </c>
      <c r="R2" s="7" t="s">
        <v>62</v>
      </c>
      <c r="S2" s="47" t="s">
        <v>109</v>
      </c>
      <c r="T2" s="47" t="s">
        <v>109</v>
      </c>
      <c r="U2" s="47" t="s">
        <v>109</v>
      </c>
      <c r="V2" s="47" t="s">
        <v>109</v>
      </c>
      <c r="W2" s="47" t="s">
        <v>1568</v>
      </c>
    </row>
    <row r="3" spans="1:23" x14ac:dyDescent="0.3">
      <c r="A3" s="7">
        <v>2</v>
      </c>
      <c r="B3" s="29" t="s">
        <v>23</v>
      </c>
      <c r="C3" s="29" t="s">
        <v>869</v>
      </c>
      <c r="D3" s="29">
        <v>50126215</v>
      </c>
      <c r="E3" s="29">
        <v>50</v>
      </c>
      <c r="F3" s="29">
        <v>214</v>
      </c>
      <c r="G3" s="29">
        <v>14</v>
      </c>
      <c r="H3" s="7" t="s">
        <v>200</v>
      </c>
      <c r="I3" s="29" t="s">
        <v>109</v>
      </c>
      <c r="J3" s="29" t="s">
        <v>130</v>
      </c>
      <c r="K3" s="29" t="s">
        <v>109</v>
      </c>
      <c r="L3" s="30">
        <v>1.8055555555555554E-2</v>
      </c>
      <c r="M3" s="29" t="s">
        <v>109</v>
      </c>
      <c r="N3" s="29" t="s">
        <v>109</v>
      </c>
      <c r="O3" s="29" t="s">
        <v>868</v>
      </c>
      <c r="P3" s="47" t="s">
        <v>131</v>
      </c>
      <c r="Q3" s="47" t="s">
        <v>200</v>
      </c>
      <c r="R3" s="7" t="s">
        <v>62</v>
      </c>
      <c r="S3" s="47" t="s">
        <v>109</v>
      </c>
      <c r="T3" s="47" t="s">
        <v>109</v>
      </c>
      <c r="U3" s="47" t="s">
        <v>109</v>
      </c>
      <c r="V3" s="47" t="s">
        <v>109</v>
      </c>
      <c r="W3" s="47" t="s">
        <v>870</v>
      </c>
    </row>
    <row r="4" spans="1:23" x14ac:dyDescent="0.3">
      <c r="A4" s="7">
        <v>3</v>
      </c>
      <c r="B4" s="29" t="s">
        <v>23</v>
      </c>
      <c r="C4" s="29" t="s">
        <v>280</v>
      </c>
      <c r="D4" s="29">
        <v>51125192</v>
      </c>
      <c r="E4" s="29">
        <v>10</v>
      </c>
      <c r="F4" s="29">
        <v>20</v>
      </c>
      <c r="G4" s="29">
        <v>8</v>
      </c>
      <c r="H4" s="7" t="s">
        <v>241</v>
      </c>
      <c r="I4" s="29" t="s">
        <v>109</v>
      </c>
      <c r="J4" s="29" t="s">
        <v>130</v>
      </c>
      <c r="K4" s="29" t="s">
        <v>109</v>
      </c>
      <c r="L4" s="30">
        <v>0.66249999999999998</v>
      </c>
      <c r="M4" s="29" t="s">
        <v>109</v>
      </c>
      <c r="N4" s="29" t="s">
        <v>109</v>
      </c>
      <c r="O4" s="29" t="s">
        <v>868</v>
      </c>
      <c r="P4" s="47" t="s">
        <v>131</v>
      </c>
      <c r="Q4" s="47" t="s">
        <v>241</v>
      </c>
      <c r="R4" s="7" t="s">
        <v>62</v>
      </c>
      <c r="S4" s="47" t="s">
        <v>109</v>
      </c>
      <c r="T4" s="47" t="s">
        <v>109</v>
      </c>
      <c r="U4" s="47" t="s">
        <v>109</v>
      </c>
      <c r="V4" s="47" t="s">
        <v>109</v>
      </c>
      <c r="W4" s="47" t="s">
        <v>278</v>
      </c>
    </row>
    <row r="5" spans="1:23" x14ac:dyDescent="0.3">
      <c r="A5" s="7">
        <v>4</v>
      </c>
      <c r="B5" s="29" t="s">
        <v>23</v>
      </c>
      <c r="C5" s="29" t="s">
        <v>1588</v>
      </c>
      <c r="D5" s="29">
        <v>51125114</v>
      </c>
      <c r="E5" s="29">
        <v>4</v>
      </c>
      <c r="F5" s="29">
        <v>0</v>
      </c>
      <c r="G5" s="29">
        <v>0</v>
      </c>
      <c r="H5" s="7" t="s">
        <v>214</v>
      </c>
      <c r="I5" s="29" t="s">
        <v>109</v>
      </c>
      <c r="J5" s="29" t="s">
        <v>130</v>
      </c>
      <c r="K5" s="29" t="s">
        <v>109</v>
      </c>
      <c r="L5" s="30">
        <v>0.67152777777777772</v>
      </c>
      <c r="M5" s="29" t="s">
        <v>109</v>
      </c>
      <c r="N5" s="29" t="s">
        <v>109</v>
      </c>
      <c r="O5" s="29" t="s">
        <v>868</v>
      </c>
      <c r="P5" s="47" t="s">
        <v>131</v>
      </c>
      <c r="Q5" s="47" t="s">
        <v>214</v>
      </c>
      <c r="R5" s="7" t="s">
        <v>62</v>
      </c>
      <c r="S5" s="47" t="s">
        <v>109</v>
      </c>
      <c r="T5" s="47" t="s">
        <v>109</v>
      </c>
      <c r="U5" s="47" t="s">
        <v>109</v>
      </c>
      <c r="V5" s="47" t="s">
        <v>109</v>
      </c>
      <c r="W5" s="47" t="s">
        <v>270</v>
      </c>
    </row>
    <row r="6" spans="1:23" x14ac:dyDescent="0.3">
      <c r="A6" s="7">
        <v>5</v>
      </c>
      <c r="B6" s="29" t="s">
        <v>23</v>
      </c>
      <c r="C6" s="29" t="s">
        <v>583</v>
      </c>
      <c r="D6" s="29">
        <v>51125122</v>
      </c>
      <c r="E6" s="29">
        <v>13</v>
      </c>
      <c r="F6" s="29">
        <v>30</v>
      </c>
      <c r="G6" s="29">
        <v>4</v>
      </c>
      <c r="H6" s="7" t="s">
        <v>222</v>
      </c>
      <c r="I6" s="29" t="s">
        <v>109</v>
      </c>
      <c r="J6" s="29" t="s">
        <v>130</v>
      </c>
      <c r="K6" s="29" t="s">
        <v>109</v>
      </c>
      <c r="L6" s="30">
        <v>0.77083333333333337</v>
      </c>
      <c r="M6" s="29" t="s">
        <v>109</v>
      </c>
      <c r="N6" s="29" t="s">
        <v>109</v>
      </c>
      <c r="O6" s="29" t="s">
        <v>868</v>
      </c>
      <c r="P6" s="47" t="s">
        <v>131</v>
      </c>
      <c r="Q6" s="47" t="s">
        <v>222</v>
      </c>
      <c r="R6" s="7" t="s">
        <v>62</v>
      </c>
      <c r="S6" s="47" t="s">
        <v>109</v>
      </c>
      <c r="T6" s="47" t="s">
        <v>109</v>
      </c>
      <c r="U6" s="47" t="s">
        <v>109</v>
      </c>
      <c r="V6" s="47" t="s">
        <v>109</v>
      </c>
      <c r="W6" s="47" t="s">
        <v>270</v>
      </c>
    </row>
    <row r="7" spans="1:23" x14ac:dyDescent="0.3">
      <c r="A7" s="7">
        <v>6</v>
      </c>
      <c r="B7" s="29" t="s">
        <v>23</v>
      </c>
      <c r="C7" s="29" t="s">
        <v>272</v>
      </c>
      <c r="D7" s="29">
        <v>51125118</v>
      </c>
      <c r="E7" s="29">
        <v>4</v>
      </c>
      <c r="F7" s="29">
        <v>9</v>
      </c>
      <c r="G7" s="29">
        <v>3</v>
      </c>
      <c r="H7" s="7" t="s">
        <v>72</v>
      </c>
      <c r="I7" s="29" t="s">
        <v>109</v>
      </c>
      <c r="J7" s="29" t="s">
        <v>130</v>
      </c>
      <c r="K7" s="29" t="s">
        <v>109</v>
      </c>
      <c r="L7" s="30">
        <v>0.64513888888888893</v>
      </c>
      <c r="M7" s="29" t="s">
        <v>109</v>
      </c>
      <c r="N7" s="29" t="s">
        <v>109</v>
      </c>
      <c r="O7" s="29" t="s">
        <v>868</v>
      </c>
      <c r="P7" s="47" t="s">
        <v>131</v>
      </c>
      <c r="Q7" s="47" t="s">
        <v>72</v>
      </c>
      <c r="R7" s="7" t="s">
        <v>62</v>
      </c>
      <c r="S7" s="47" t="s">
        <v>109</v>
      </c>
      <c r="T7" s="47" t="s">
        <v>109</v>
      </c>
      <c r="U7" s="47" t="s">
        <v>109</v>
      </c>
      <c r="V7" s="47" t="s">
        <v>109</v>
      </c>
      <c r="W7" s="47" t="s">
        <v>270</v>
      </c>
    </row>
    <row r="8" spans="1:23" x14ac:dyDescent="0.3">
      <c r="A8" s="7">
        <v>7</v>
      </c>
      <c r="B8" s="29" t="s">
        <v>23</v>
      </c>
      <c r="C8" s="29" t="s">
        <v>1022</v>
      </c>
      <c r="D8" s="29">
        <v>51225088</v>
      </c>
      <c r="E8" s="29">
        <v>200</v>
      </c>
      <c r="F8" s="29" t="s">
        <v>109</v>
      </c>
      <c r="G8" s="29" t="s">
        <v>109</v>
      </c>
      <c r="H8" s="7" t="s">
        <v>1594</v>
      </c>
      <c r="I8" s="29" t="s">
        <v>109</v>
      </c>
      <c r="J8" s="29" t="s">
        <v>85</v>
      </c>
      <c r="K8" s="29" t="s">
        <v>109</v>
      </c>
      <c r="L8" s="29" t="s">
        <v>109</v>
      </c>
      <c r="M8" s="29" t="s">
        <v>109</v>
      </c>
      <c r="N8" s="29" t="s">
        <v>1510</v>
      </c>
      <c r="O8" s="29" t="s">
        <v>61</v>
      </c>
      <c r="P8" s="47" t="s">
        <v>109</v>
      </c>
      <c r="Q8" s="47" t="s">
        <v>109</v>
      </c>
      <c r="R8" s="7" t="s">
        <v>62</v>
      </c>
      <c r="S8" s="47" t="s">
        <v>109</v>
      </c>
      <c r="T8" s="47" t="s">
        <v>109</v>
      </c>
      <c r="U8" s="47" t="s">
        <v>109</v>
      </c>
      <c r="V8" s="47" t="s">
        <v>109</v>
      </c>
      <c r="W8" s="47" t="s">
        <v>1024</v>
      </c>
    </row>
    <row r="9" spans="1:23" x14ac:dyDescent="0.3">
      <c r="A9" s="7">
        <v>8</v>
      </c>
      <c r="B9" s="29" t="s">
        <v>143</v>
      </c>
      <c r="C9" s="29" t="s">
        <v>1595</v>
      </c>
      <c r="D9" s="29">
        <v>10126039</v>
      </c>
      <c r="E9" s="29">
        <v>100</v>
      </c>
      <c r="F9" s="29">
        <v>200</v>
      </c>
      <c r="G9" s="29">
        <v>64</v>
      </c>
      <c r="H9" s="7" t="s">
        <v>69</v>
      </c>
      <c r="I9" s="29" t="s">
        <v>94</v>
      </c>
      <c r="J9" s="29" t="s">
        <v>130</v>
      </c>
      <c r="K9" s="30">
        <v>0.70902777777777781</v>
      </c>
      <c r="L9" s="30">
        <v>0.85624999999999996</v>
      </c>
      <c r="M9" s="29" t="s">
        <v>109</v>
      </c>
      <c r="N9" s="29" t="s">
        <v>109</v>
      </c>
      <c r="O9" s="29" t="s">
        <v>61</v>
      </c>
      <c r="P9" s="47" t="s">
        <v>131</v>
      </c>
      <c r="Q9" s="47" t="s">
        <v>94</v>
      </c>
      <c r="R9" s="7" t="s">
        <v>62</v>
      </c>
      <c r="S9" s="47" t="s">
        <v>109</v>
      </c>
      <c r="T9" s="47" t="s">
        <v>109</v>
      </c>
      <c r="U9" s="47" t="s">
        <v>109</v>
      </c>
      <c r="V9" s="47" t="s">
        <v>109</v>
      </c>
      <c r="W9" s="47" t="s">
        <v>1596</v>
      </c>
    </row>
    <row r="10" spans="1:23" x14ac:dyDescent="0.3">
      <c r="A10" s="7">
        <v>9</v>
      </c>
      <c r="B10" s="29" t="s">
        <v>143</v>
      </c>
      <c r="C10" s="29" t="s">
        <v>1563</v>
      </c>
      <c r="D10" s="29">
        <v>10126038</v>
      </c>
      <c r="E10" s="29">
        <v>50</v>
      </c>
      <c r="F10" s="29">
        <v>107</v>
      </c>
      <c r="G10" s="29">
        <v>14</v>
      </c>
      <c r="H10" s="7" t="s">
        <v>229</v>
      </c>
      <c r="I10" s="29" t="s">
        <v>86</v>
      </c>
      <c r="J10" s="29" t="s">
        <v>130</v>
      </c>
      <c r="K10" s="30">
        <v>0.97986111111111107</v>
      </c>
      <c r="L10" s="30">
        <v>1.7361111111111112E-2</v>
      </c>
      <c r="M10" s="29" t="s">
        <v>109</v>
      </c>
      <c r="N10" s="29" t="s">
        <v>1597</v>
      </c>
      <c r="O10" s="29" t="s">
        <v>1630</v>
      </c>
      <c r="P10" s="47" t="s">
        <v>131</v>
      </c>
      <c r="Q10" s="47" t="s">
        <v>86</v>
      </c>
      <c r="R10" s="7" t="s">
        <v>62</v>
      </c>
      <c r="S10" s="47" t="s">
        <v>109</v>
      </c>
      <c r="T10" s="47" t="s">
        <v>109</v>
      </c>
      <c r="U10" s="47" t="s">
        <v>109</v>
      </c>
      <c r="V10" s="47" t="s">
        <v>109</v>
      </c>
      <c r="W10" s="47" t="s">
        <v>1433</v>
      </c>
    </row>
    <row r="11" spans="1:23" x14ac:dyDescent="0.3">
      <c r="A11" s="7">
        <v>10</v>
      </c>
      <c r="B11" s="29" t="s">
        <v>143</v>
      </c>
      <c r="C11" s="29" t="s">
        <v>1598</v>
      </c>
      <c r="D11" s="29">
        <v>10126044</v>
      </c>
      <c r="E11" s="29">
        <v>100</v>
      </c>
      <c r="F11" s="29">
        <v>111</v>
      </c>
      <c r="G11" s="29">
        <v>99</v>
      </c>
      <c r="H11" s="7" t="s">
        <v>214</v>
      </c>
      <c r="I11" s="29" t="s">
        <v>209</v>
      </c>
      <c r="J11" s="29" t="s">
        <v>130</v>
      </c>
      <c r="K11" s="30">
        <v>0.8208333333333333</v>
      </c>
      <c r="L11" s="30">
        <v>0.84236111111111112</v>
      </c>
      <c r="M11" s="29" t="s">
        <v>109</v>
      </c>
      <c r="N11" s="29" t="s">
        <v>109</v>
      </c>
      <c r="O11" s="29" t="s">
        <v>61</v>
      </c>
      <c r="P11" s="47" t="s">
        <v>131</v>
      </c>
      <c r="Q11" s="47" t="s">
        <v>209</v>
      </c>
      <c r="R11" s="7" t="s">
        <v>62</v>
      </c>
      <c r="S11" s="47" t="s">
        <v>109</v>
      </c>
      <c r="T11" s="47" t="s">
        <v>109</v>
      </c>
      <c r="U11" s="47" t="s">
        <v>109</v>
      </c>
      <c r="V11" s="47" t="s">
        <v>109</v>
      </c>
      <c r="W11" s="47" t="s">
        <v>480</v>
      </c>
    </row>
    <row r="12" spans="1:23" x14ac:dyDescent="0.3">
      <c r="A12" s="7">
        <v>11</v>
      </c>
      <c r="B12" s="29" t="s">
        <v>143</v>
      </c>
      <c r="C12" s="29" t="s">
        <v>1599</v>
      </c>
      <c r="D12" s="29">
        <v>10126043</v>
      </c>
      <c r="E12" s="29">
        <v>100</v>
      </c>
      <c r="F12" s="29">
        <v>126</v>
      </c>
      <c r="G12" s="29">
        <v>95</v>
      </c>
      <c r="H12" s="7" t="s">
        <v>72</v>
      </c>
      <c r="I12" s="29" t="s">
        <v>89</v>
      </c>
      <c r="J12" s="29" t="s">
        <v>130</v>
      </c>
      <c r="K12" s="30">
        <v>0.81458333333333333</v>
      </c>
      <c r="L12" s="30">
        <v>0.85416666666666663</v>
      </c>
      <c r="M12" s="29" t="s">
        <v>109</v>
      </c>
      <c r="N12" s="29" t="s">
        <v>109</v>
      </c>
      <c r="O12" s="29" t="s">
        <v>61</v>
      </c>
      <c r="P12" s="47" t="s">
        <v>131</v>
      </c>
      <c r="Q12" s="47" t="s">
        <v>89</v>
      </c>
      <c r="R12" s="7" t="s">
        <v>62</v>
      </c>
      <c r="S12" s="47" t="s">
        <v>109</v>
      </c>
      <c r="T12" s="47" t="s">
        <v>109</v>
      </c>
      <c r="U12" s="47" t="s">
        <v>109</v>
      </c>
      <c r="V12" s="47" t="s">
        <v>109</v>
      </c>
      <c r="W12" s="47" t="s">
        <v>480</v>
      </c>
    </row>
    <row r="13" spans="1:23" x14ac:dyDescent="0.3">
      <c r="A13" s="7">
        <v>12</v>
      </c>
      <c r="B13" s="29" t="s">
        <v>143</v>
      </c>
      <c r="C13" s="29" t="s">
        <v>1600</v>
      </c>
      <c r="D13" s="29">
        <v>10126040</v>
      </c>
      <c r="E13" s="29">
        <v>75</v>
      </c>
      <c r="F13" s="29">
        <v>94</v>
      </c>
      <c r="G13" s="29">
        <v>74</v>
      </c>
      <c r="H13" s="7" t="s">
        <v>70</v>
      </c>
      <c r="I13" s="29" t="s">
        <v>179</v>
      </c>
      <c r="J13" s="29" t="s">
        <v>130</v>
      </c>
      <c r="K13" s="30">
        <v>0.92013888888888884</v>
      </c>
      <c r="L13" s="30">
        <v>0.92638888888888893</v>
      </c>
      <c r="M13" s="29" t="s">
        <v>109</v>
      </c>
      <c r="N13" s="29" t="s">
        <v>109</v>
      </c>
      <c r="O13" s="29" t="s">
        <v>61</v>
      </c>
      <c r="P13" s="47" t="s">
        <v>131</v>
      </c>
      <c r="Q13" s="47" t="s">
        <v>179</v>
      </c>
      <c r="R13" s="7" t="s">
        <v>62</v>
      </c>
      <c r="S13" s="47" t="s">
        <v>109</v>
      </c>
      <c r="T13" s="47" t="s">
        <v>109</v>
      </c>
      <c r="U13" s="47" t="s">
        <v>109</v>
      </c>
      <c r="V13" s="47" t="s">
        <v>109</v>
      </c>
      <c r="W13" s="47" t="s">
        <v>1601</v>
      </c>
    </row>
    <row r="14" spans="1:23" x14ac:dyDescent="0.3">
      <c r="A14" s="7">
        <v>13</v>
      </c>
      <c r="B14" s="29" t="s">
        <v>143</v>
      </c>
      <c r="C14" s="29" t="s">
        <v>1253</v>
      </c>
      <c r="D14" s="29">
        <v>10126025</v>
      </c>
      <c r="E14" s="29">
        <v>80</v>
      </c>
      <c r="F14" s="29">
        <v>89</v>
      </c>
      <c r="G14" s="29">
        <v>19</v>
      </c>
      <c r="H14" s="7" t="s">
        <v>82</v>
      </c>
      <c r="I14" s="29" t="s">
        <v>95</v>
      </c>
      <c r="J14" s="29" t="s">
        <v>130</v>
      </c>
      <c r="K14" s="30">
        <v>0.81527777777777777</v>
      </c>
      <c r="L14" s="30">
        <v>0.83472222222222225</v>
      </c>
      <c r="M14" s="29" t="s">
        <v>109</v>
      </c>
      <c r="N14" s="29" t="s">
        <v>1597</v>
      </c>
      <c r="O14" s="29" t="s">
        <v>61</v>
      </c>
      <c r="P14" s="47" t="s">
        <v>131</v>
      </c>
      <c r="Q14" s="47" t="s">
        <v>787</v>
      </c>
      <c r="R14" s="7" t="s">
        <v>62</v>
      </c>
      <c r="S14" s="47" t="s">
        <v>109</v>
      </c>
      <c r="T14" s="47" t="s">
        <v>109</v>
      </c>
      <c r="U14" s="47" t="s">
        <v>109</v>
      </c>
      <c r="V14" s="47" t="s">
        <v>109</v>
      </c>
      <c r="W14" s="47" t="s">
        <v>398</v>
      </c>
    </row>
    <row r="15" spans="1:23" x14ac:dyDescent="0.3">
      <c r="A15" s="7">
        <v>14</v>
      </c>
      <c r="B15" s="29" t="s">
        <v>143</v>
      </c>
      <c r="C15" s="29" t="s">
        <v>1602</v>
      </c>
      <c r="D15" s="29">
        <v>10126045</v>
      </c>
      <c r="E15" s="29">
        <v>150</v>
      </c>
      <c r="F15" s="29">
        <v>223</v>
      </c>
      <c r="G15" s="29">
        <v>161</v>
      </c>
      <c r="H15" s="7" t="s">
        <v>1057</v>
      </c>
      <c r="I15" s="29" t="s">
        <v>99</v>
      </c>
      <c r="J15" s="29" t="s">
        <v>130</v>
      </c>
      <c r="K15" s="30">
        <v>0.83263888888888893</v>
      </c>
      <c r="L15" s="30">
        <v>0.86319444444444449</v>
      </c>
      <c r="M15" s="29" t="s">
        <v>109</v>
      </c>
      <c r="N15" s="29" t="s">
        <v>109</v>
      </c>
      <c r="O15" s="29" t="s">
        <v>61</v>
      </c>
      <c r="P15" s="47" t="s">
        <v>131</v>
      </c>
      <c r="Q15" s="47" t="s">
        <v>91</v>
      </c>
      <c r="R15" s="7" t="s">
        <v>62</v>
      </c>
      <c r="S15" s="47" t="s">
        <v>109</v>
      </c>
      <c r="T15" s="47" t="s">
        <v>109</v>
      </c>
      <c r="U15" s="47" t="s">
        <v>109</v>
      </c>
      <c r="V15" s="47" t="s">
        <v>109</v>
      </c>
      <c r="W15" s="47" t="s">
        <v>1603</v>
      </c>
    </row>
    <row r="16" spans="1:23" x14ac:dyDescent="0.3">
      <c r="A16" s="7">
        <v>15</v>
      </c>
      <c r="B16" s="29" t="s">
        <v>143</v>
      </c>
      <c r="C16" s="29" t="s">
        <v>1604</v>
      </c>
      <c r="D16" s="29">
        <v>10126042</v>
      </c>
      <c r="E16" s="29">
        <v>35</v>
      </c>
      <c r="F16" s="29">
        <v>46</v>
      </c>
      <c r="G16" s="29">
        <v>40</v>
      </c>
      <c r="H16" s="7" t="s">
        <v>71</v>
      </c>
      <c r="I16" s="29" t="s">
        <v>87</v>
      </c>
      <c r="J16" s="29" t="s">
        <v>130</v>
      </c>
      <c r="K16" s="30">
        <v>0.85833333333333328</v>
      </c>
      <c r="L16" s="30">
        <v>0.94444444444444442</v>
      </c>
      <c r="M16" s="29" t="s">
        <v>109</v>
      </c>
      <c r="N16" s="29" t="s">
        <v>109</v>
      </c>
      <c r="O16" s="29" t="s">
        <v>61</v>
      </c>
      <c r="P16" s="47" t="s">
        <v>131</v>
      </c>
      <c r="Q16" s="47" t="s">
        <v>603</v>
      </c>
      <c r="R16" s="7" t="s">
        <v>62</v>
      </c>
      <c r="S16" s="47" t="s">
        <v>109</v>
      </c>
      <c r="T16" s="47" t="s">
        <v>109</v>
      </c>
      <c r="U16" s="47" t="s">
        <v>109</v>
      </c>
      <c r="V16" s="47" t="s">
        <v>109</v>
      </c>
      <c r="W16" s="47" t="s">
        <v>398</v>
      </c>
    </row>
    <row r="17" spans="1:23" x14ac:dyDescent="0.3">
      <c r="A17" s="7">
        <v>16</v>
      </c>
      <c r="B17" s="29" t="s">
        <v>143</v>
      </c>
      <c r="C17" s="29" t="s">
        <v>779</v>
      </c>
      <c r="D17" s="29">
        <v>10126010</v>
      </c>
      <c r="E17" s="29">
        <v>150</v>
      </c>
      <c r="F17" s="29">
        <v>275</v>
      </c>
      <c r="G17" s="29">
        <v>96</v>
      </c>
      <c r="H17" s="7" t="s">
        <v>1605</v>
      </c>
      <c r="I17" s="29" t="s">
        <v>230</v>
      </c>
      <c r="J17" s="29" t="s">
        <v>130</v>
      </c>
      <c r="K17" s="30">
        <v>3.4027777777777775E-2</v>
      </c>
      <c r="L17" s="30">
        <v>4.2361111111111113E-2</v>
      </c>
      <c r="M17" s="29" t="s">
        <v>109</v>
      </c>
      <c r="N17" s="29" t="s">
        <v>109</v>
      </c>
      <c r="O17" s="29" t="s">
        <v>61</v>
      </c>
      <c r="P17" s="47" t="s">
        <v>131</v>
      </c>
      <c r="Q17" s="47" t="s">
        <v>86</v>
      </c>
      <c r="R17" s="7" t="s">
        <v>62</v>
      </c>
      <c r="S17" s="47" t="s">
        <v>109</v>
      </c>
      <c r="T17" s="47" t="s">
        <v>109</v>
      </c>
      <c r="U17" s="47" t="s">
        <v>109</v>
      </c>
      <c r="V17" s="47" t="s">
        <v>109</v>
      </c>
      <c r="W17" s="47" t="s">
        <v>780</v>
      </c>
    </row>
    <row r="18" spans="1:23" x14ac:dyDescent="0.3">
      <c r="A18" s="7">
        <v>17</v>
      </c>
      <c r="B18" s="29" t="s">
        <v>143</v>
      </c>
      <c r="C18" s="29" t="s">
        <v>1564</v>
      </c>
      <c r="D18" s="29">
        <v>10126037</v>
      </c>
      <c r="E18" s="29">
        <v>50</v>
      </c>
      <c r="F18" s="29">
        <v>81</v>
      </c>
      <c r="G18" s="29">
        <v>19</v>
      </c>
      <c r="H18" s="7" t="s">
        <v>64</v>
      </c>
      <c r="I18" s="29" t="s">
        <v>154</v>
      </c>
      <c r="J18" s="29" t="s">
        <v>130</v>
      </c>
      <c r="K18" s="30">
        <v>0.84513888888888888</v>
      </c>
      <c r="L18" s="30">
        <v>0.85972222222222228</v>
      </c>
      <c r="M18" s="29" t="s">
        <v>109</v>
      </c>
      <c r="N18" s="29" t="s">
        <v>1597</v>
      </c>
      <c r="O18" s="29" t="s">
        <v>61</v>
      </c>
      <c r="P18" s="47" t="s">
        <v>131</v>
      </c>
      <c r="Q18" s="47" t="s">
        <v>154</v>
      </c>
      <c r="R18" s="7" t="s">
        <v>62</v>
      </c>
      <c r="S18" s="47" t="s">
        <v>109</v>
      </c>
      <c r="T18" s="47" t="s">
        <v>109</v>
      </c>
      <c r="U18" s="47" t="s">
        <v>109</v>
      </c>
      <c r="V18" s="47" t="s">
        <v>109</v>
      </c>
      <c r="W18" s="47" t="s">
        <v>1433</v>
      </c>
    </row>
    <row r="19" spans="1:23" x14ac:dyDescent="0.3">
      <c r="A19" s="7">
        <v>18</v>
      </c>
      <c r="B19" s="29" t="s">
        <v>143</v>
      </c>
      <c r="C19" s="29" t="s">
        <v>1255</v>
      </c>
      <c r="D19" s="29">
        <v>10126024</v>
      </c>
      <c r="E19" s="29">
        <v>150</v>
      </c>
      <c r="F19" s="29">
        <v>188</v>
      </c>
      <c r="G19" s="29">
        <v>57</v>
      </c>
      <c r="H19" s="7" t="s">
        <v>73</v>
      </c>
      <c r="I19" s="29" t="s">
        <v>1606</v>
      </c>
      <c r="J19" s="29" t="s">
        <v>130</v>
      </c>
      <c r="K19" s="30">
        <v>0.83611111111111114</v>
      </c>
      <c r="L19" s="30">
        <v>0.85138888888888886</v>
      </c>
      <c r="M19" s="29" t="s">
        <v>109</v>
      </c>
      <c r="N19" s="29" t="s">
        <v>1597</v>
      </c>
      <c r="O19" s="29" t="s">
        <v>61</v>
      </c>
      <c r="P19" s="47" t="s">
        <v>131</v>
      </c>
      <c r="Q19" s="47" t="s">
        <v>93</v>
      </c>
      <c r="R19" s="7" t="s">
        <v>62</v>
      </c>
      <c r="S19" s="47" t="s">
        <v>109</v>
      </c>
      <c r="T19" s="47" t="s">
        <v>109</v>
      </c>
      <c r="U19" s="47" t="s">
        <v>109</v>
      </c>
      <c r="V19" s="47" t="s">
        <v>109</v>
      </c>
      <c r="W19" s="47" t="s">
        <v>1257</v>
      </c>
    </row>
    <row r="20" spans="1:23" x14ac:dyDescent="0.3">
      <c r="A20" s="7">
        <v>19</v>
      </c>
      <c r="B20" s="29" t="s">
        <v>411</v>
      </c>
      <c r="C20" s="29" t="s">
        <v>1357</v>
      </c>
      <c r="D20" s="29">
        <v>30126010</v>
      </c>
      <c r="E20" s="29">
        <v>197</v>
      </c>
      <c r="F20" s="29">
        <v>295</v>
      </c>
      <c r="G20" s="29">
        <v>62</v>
      </c>
      <c r="H20" s="7" t="s">
        <v>1051</v>
      </c>
      <c r="I20" s="29" t="s">
        <v>1156</v>
      </c>
      <c r="J20" s="29" t="s">
        <v>130</v>
      </c>
      <c r="K20" s="30">
        <v>0.89583333333333337</v>
      </c>
      <c r="L20" s="30">
        <v>0.92500000000000004</v>
      </c>
      <c r="M20" s="29" t="s">
        <v>109</v>
      </c>
      <c r="N20" s="29" t="s">
        <v>109</v>
      </c>
      <c r="O20" s="29" t="s">
        <v>61</v>
      </c>
      <c r="P20" s="47" t="s">
        <v>131</v>
      </c>
      <c r="Q20" s="47" t="s">
        <v>89</v>
      </c>
      <c r="R20" s="7" t="s">
        <v>62</v>
      </c>
      <c r="S20" s="47" t="s">
        <v>109</v>
      </c>
      <c r="T20" s="47" t="s">
        <v>109</v>
      </c>
      <c r="U20" s="47" t="s">
        <v>109</v>
      </c>
      <c r="V20" s="47" t="s">
        <v>109</v>
      </c>
      <c r="W20" s="47" t="s">
        <v>1359</v>
      </c>
    </row>
    <row r="21" spans="1:23" x14ac:dyDescent="0.3">
      <c r="A21" s="7">
        <v>20</v>
      </c>
      <c r="B21" s="29" t="s">
        <v>411</v>
      </c>
      <c r="C21" s="29" t="s">
        <v>1360</v>
      </c>
      <c r="D21" s="29">
        <v>30126011</v>
      </c>
      <c r="E21" s="29">
        <v>174</v>
      </c>
      <c r="F21" s="29">
        <v>384</v>
      </c>
      <c r="G21" s="29">
        <v>84</v>
      </c>
      <c r="H21" s="7" t="s">
        <v>1052</v>
      </c>
      <c r="I21" s="29" t="s">
        <v>179</v>
      </c>
      <c r="J21" s="29" t="s">
        <v>130</v>
      </c>
      <c r="K21" s="30">
        <v>0.92777777777777781</v>
      </c>
      <c r="L21" s="30">
        <v>3.2638888888888891E-2</v>
      </c>
      <c r="M21" s="29" t="s">
        <v>109</v>
      </c>
      <c r="N21" s="29" t="s">
        <v>109</v>
      </c>
      <c r="O21" s="29" t="s">
        <v>61</v>
      </c>
      <c r="P21" s="47" t="s">
        <v>131</v>
      </c>
      <c r="Q21" s="47" t="s">
        <v>179</v>
      </c>
      <c r="R21" s="7" t="s">
        <v>62</v>
      </c>
      <c r="S21" s="47" t="s">
        <v>109</v>
      </c>
      <c r="T21" s="47" t="s">
        <v>109</v>
      </c>
      <c r="U21" s="47" t="s">
        <v>109</v>
      </c>
      <c r="V21" s="47" t="s">
        <v>109</v>
      </c>
      <c r="W21" s="47" t="s">
        <v>1359</v>
      </c>
    </row>
    <row r="22" spans="1:23" x14ac:dyDescent="0.3">
      <c r="A22" s="7">
        <v>21</v>
      </c>
      <c r="B22" s="29" t="s">
        <v>411</v>
      </c>
      <c r="C22" s="29" t="s">
        <v>1361</v>
      </c>
      <c r="D22" s="29">
        <v>30126012</v>
      </c>
      <c r="E22" s="29">
        <v>176</v>
      </c>
      <c r="F22" s="29">
        <v>157</v>
      </c>
      <c r="G22" s="29">
        <v>21</v>
      </c>
      <c r="H22" s="7" t="s">
        <v>1607</v>
      </c>
      <c r="I22" s="29" t="s">
        <v>97</v>
      </c>
      <c r="J22" s="29" t="s">
        <v>130</v>
      </c>
      <c r="K22" s="30">
        <v>0.81527777777777777</v>
      </c>
      <c r="L22" s="30">
        <v>0.90138888888888891</v>
      </c>
      <c r="M22" s="29" t="s">
        <v>109</v>
      </c>
      <c r="N22" s="29" t="s">
        <v>109</v>
      </c>
      <c r="O22" s="29" t="s">
        <v>61</v>
      </c>
      <c r="P22" s="47" t="s">
        <v>131</v>
      </c>
      <c r="Q22" s="47" t="s">
        <v>89</v>
      </c>
      <c r="R22" s="7" t="s">
        <v>62</v>
      </c>
      <c r="S22" s="47" t="s">
        <v>109</v>
      </c>
      <c r="T22" s="47" t="s">
        <v>109</v>
      </c>
      <c r="U22" s="47" t="s">
        <v>109</v>
      </c>
      <c r="V22" s="47" t="s">
        <v>109</v>
      </c>
      <c r="W22" s="47" t="s">
        <v>1359</v>
      </c>
    </row>
    <row r="23" spans="1:23" x14ac:dyDescent="0.3">
      <c r="A23" s="7">
        <v>22</v>
      </c>
      <c r="B23" s="29" t="s">
        <v>411</v>
      </c>
      <c r="C23" s="29" t="s">
        <v>674</v>
      </c>
      <c r="D23" s="29">
        <v>30126002</v>
      </c>
      <c r="E23" s="29">
        <v>155</v>
      </c>
      <c r="F23" s="29">
        <v>252</v>
      </c>
      <c r="G23" s="29">
        <v>118</v>
      </c>
      <c r="H23" s="7" t="s">
        <v>1627</v>
      </c>
      <c r="I23" s="29" t="s">
        <v>1626</v>
      </c>
      <c r="J23" s="29" t="s">
        <v>130</v>
      </c>
      <c r="K23" s="30">
        <v>0.81944444444444442</v>
      </c>
      <c r="L23" s="30">
        <v>0.83888888888888891</v>
      </c>
      <c r="M23" s="29" t="s">
        <v>109</v>
      </c>
      <c r="N23" s="29" t="s">
        <v>109</v>
      </c>
      <c r="O23" s="29" t="s">
        <v>61</v>
      </c>
      <c r="P23" s="47" t="s">
        <v>131</v>
      </c>
      <c r="Q23" s="47" t="s">
        <v>154</v>
      </c>
      <c r="R23" s="7" t="s">
        <v>62</v>
      </c>
      <c r="S23" s="47" t="s">
        <v>109</v>
      </c>
      <c r="T23" s="47" t="s">
        <v>109</v>
      </c>
      <c r="U23" s="47" t="s">
        <v>109</v>
      </c>
      <c r="V23" s="47" t="s">
        <v>109</v>
      </c>
      <c r="W23" s="47" t="s">
        <v>675</v>
      </c>
    </row>
    <row r="24" spans="1:23" x14ac:dyDescent="0.3">
      <c r="A24" s="7">
        <v>23</v>
      </c>
      <c r="B24" s="29" t="s">
        <v>135</v>
      </c>
      <c r="C24" s="29" t="s">
        <v>1608</v>
      </c>
      <c r="D24" s="29">
        <v>20126002</v>
      </c>
      <c r="E24" s="29">
        <v>29</v>
      </c>
      <c r="F24" s="29">
        <v>2</v>
      </c>
      <c r="G24" s="29">
        <v>0</v>
      </c>
      <c r="H24" s="7" t="s">
        <v>274</v>
      </c>
      <c r="I24" s="29" t="s">
        <v>91</v>
      </c>
      <c r="J24" s="29" t="s">
        <v>130</v>
      </c>
      <c r="K24" s="30">
        <v>0.65555555555555556</v>
      </c>
      <c r="L24" s="30">
        <v>0.77777777777777779</v>
      </c>
      <c r="M24" s="29" t="s">
        <v>109</v>
      </c>
      <c r="N24" s="29" t="s">
        <v>109</v>
      </c>
      <c r="O24" s="29" t="s">
        <v>61</v>
      </c>
      <c r="P24" s="47" t="s">
        <v>131</v>
      </c>
      <c r="Q24" s="47" t="s">
        <v>91</v>
      </c>
      <c r="R24" s="7" t="s">
        <v>62</v>
      </c>
      <c r="S24" s="47" t="s">
        <v>109</v>
      </c>
      <c r="T24" s="47" t="s">
        <v>109</v>
      </c>
      <c r="U24" s="47" t="s">
        <v>109</v>
      </c>
      <c r="V24" s="47" t="s">
        <v>109</v>
      </c>
      <c r="W24" s="47" t="s">
        <v>112</v>
      </c>
    </row>
    <row r="25" spans="1:23" x14ac:dyDescent="0.3">
      <c r="A25" s="7">
        <v>24</v>
      </c>
      <c r="B25" s="29" t="s">
        <v>411</v>
      </c>
      <c r="C25" s="29" t="s">
        <v>1609</v>
      </c>
      <c r="D25" s="29">
        <v>30126014</v>
      </c>
      <c r="E25" s="29">
        <v>70</v>
      </c>
      <c r="F25" s="29">
        <v>76</v>
      </c>
      <c r="G25" s="29">
        <v>32</v>
      </c>
      <c r="H25" s="7" t="s">
        <v>184</v>
      </c>
      <c r="I25" s="29" t="s">
        <v>94</v>
      </c>
      <c r="J25" s="29" t="s">
        <v>130</v>
      </c>
      <c r="K25" s="30">
        <v>0.84444444444444444</v>
      </c>
      <c r="L25" s="30">
        <v>0.92569444444444449</v>
      </c>
      <c r="M25" s="29" t="s">
        <v>109</v>
      </c>
      <c r="N25" s="29" t="s">
        <v>109</v>
      </c>
      <c r="O25" s="29" t="s">
        <v>61</v>
      </c>
      <c r="P25" s="47" t="s">
        <v>131</v>
      </c>
      <c r="Q25" s="47" t="s">
        <v>94</v>
      </c>
      <c r="R25" s="7" t="s">
        <v>62</v>
      </c>
      <c r="S25" s="47" t="s">
        <v>109</v>
      </c>
      <c r="T25" s="47" t="s">
        <v>109</v>
      </c>
      <c r="U25" s="47" t="s">
        <v>109</v>
      </c>
      <c r="V25" s="47" t="s">
        <v>109</v>
      </c>
      <c r="W25" s="47" t="s">
        <v>1562</v>
      </c>
    </row>
    <row r="26" spans="1:23" x14ac:dyDescent="0.3">
      <c r="A26" s="7">
        <v>25</v>
      </c>
      <c r="B26" s="29" t="s">
        <v>411</v>
      </c>
      <c r="C26" s="29" t="s">
        <v>1610</v>
      </c>
      <c r="D26" s="29">
        <v>30126015</v>
      </c>
      <c r="E26" s="29">
        <v>50</v>
      </c>
      <c r="F26" s="29" t="s">
        <v>109</v>
      </c>
      <c r="G26" s="29" t="s">
        <v>109</v>
      </c>
      <c r="H26" s="7" t="s">
        <v>84</v>
      </c>
      <c r="I26" s="29" t="s">
        <v>179</v>
      </c>
      <c r="J26" s="29" t="s">
        <v>109</v>
      </c>
      <c r="K26" s="30">
        <v>1.9444444444444445E-2</v>
      </c>
      <c r="L26" s="29" t="s">
        <v>109</v>
      </c>
      <c r="M26" s="29" t="s">
        <v>109</v>
      </c>
      <c r="N26" s="29" t="s">
        <v>109</v>
      </c>
      <c r="O26" s="29" t="s">
        <v>61</v>
      </c>
      <c r="P26" s="47" t="s">
        <v>109</v>
      </c>
      <c r="Q26" s="47" t="s">
        <v>109</v>
      </c>
      <c r="R26" s="7" t="s">
        <v>62</v>
      </c>
      <c r="S26" s="47" t="s">
        <v>109</v>
      </c>
      <c r="T26" s="47" t="s">
        <v>109</v>
      </c>
      <c r="U26" s="47" t="s">
        <v>109</v>
      </c>
      <c r="V26" s="47" t="s">
        <v>109</v>
      </c>
      <c r="W26" s="47" t="s">
        <v>1562</v>
      </c>
    </row>
    <row r="27" spans="1:23" x14ac:dyDescent="0.3">
      <c r="A27" s="7">
        <v>26</v>
      </c>
      <c r="B27" s="29" t="s">
        <v>411</v>
      </c>
      <c r="C27" s="29" t="s">
        <v>1611</v>
      </c>
      <c r="D27" s="29">
        <v>30126016</v>
      </c>
      <c r="E27" s="29">
        <v>110</v>
      </c>
      <c r="F27" s="29">
        <v>151</v>
      </c>
      <c r="G27" s="29">
        <v>107</v>
      </c>
      <c r="H27" s="7" t="s">
        <v>274</v>
      </c>
      <c r="I27" s="29" t="s">
        <v>87</v>
      </c>
      <c r="J27" s="29" t="s">
        <v>130</v>
      </c>
      <c r="K27" s="30">
        <v>0.9770833333333333</v>
      </c>
      <c r="L27" s="30">
        <v>3.472222222222222E-3</v>
      </c>
      <c r="M27" s="29" t="s">
        <v>109</v>
      </c>
      <c r="N27" s="29" t="s">
        <v>109</v>
      </c>
      <c r="O27" s="29" t="s">
        <v>61</v>
      </c>
      <c r="P27" s="47" t="s">
        <v>131</v>
      </c>
      <c r="Q27" s="47" t="s">
        <v>87</v>
      </c>
      <c r="R27" s="7" t="s">
        <v>62</v>
      </c>
      <c r="S27" s="47" t="s">
        <v>109</v>
      </c>
      <c r="T27" s="47" t="s">
        <v>109</v>
      </c>
      <c r="U27" s="47" t="s">
        <v>109</v>
      </c>
      <c r="V27" s="47" t="s">
        <v>109</v>
      </c>
      <c r="W27" s="47" t="s">
        <v>1562</v>
      </c>
    </row>
    <row r="28" spans="1:23" x14ac:dyDescent="0.3">
      <c r="A28" s="7">
        <v>27</v>
      </c>
      <c r="B28" s="29" t="s">
        <v>411</v>
      </c>
      <c r="C28" s="29" t="s">
        <v>1612</v>
      </c>
      <c r="D28" s="29">
        <v>30126017</v>
      </c>
      <c r="E28" s="29">
        <v>110</v>
      </c>
      <c r="F28" s="29">
        <v>190</v>
      </c>
      <c r="G28" s="29">
        <v>100</v>
      </c>
      <c r="H28" s="7" t="s">
        <v>196</v>
      </c>
      <c r="I28" s="29" t="s">
        <v>91</v>
      </c>
      <c r="J28" s="29" t="s">
        <v>130</v>
      </c>
      <c r="K28" s="30">
        <v>0.9194444444444444</v>
      </c>
      <c r="L28" s="30">
        <v>0.97152777777777777</v>
      </c>
      <c r="M28" s="29" t="s">
        <v>109</v>
      </c>
      <c r="N28" s="29" t="s">
        <v>109</v>
      </c>
      <c r="O28" s="29" t="s">
        <v>61</v>
      </c>
      <c r="P28" s="47" t="s">
        <v>131</v>
      </c>
      <c r="Q28" s="47" t="s">
        <v>91</v>
      </c>
      <c r="R28" s="7" t="s">
        <v>62</v>
      </c>
      <c r="S28" s="47" t="s">
        <v>109</v>
      </c>
      <c r="T28" s="47" t="s">
        <v>109</v>
      </c>
      <c r="U28" s="47" t="s">
        <v>109</v>
      </c>
      <c r="V28" s="47" t="s">
        <v>109</v>
      </c>
      <c r="W28" s="47" t="s">
        <v>1562</v>
      </c>
    </row>
    <row r="29" spans="1:23" x14ac:dyDescent="0.3">
      <c r="A29" s="7">
        <v>28</v>
      </c>
      <c r="B29" s="29" t="s">
        <v>411</v>
      </c>
      <c r="C29" s="29" t="s">
        <v>1613</v>
      </c>
      <c r="D29" s="29">
        <v>30126018</v>
      </c>
      <c r="E29" s="29">
        <v>100</v>
      </c>
      <c r="F29" s="29">
        <v>132</v>
      </c>
      <c r="G29" s="29">
        <v>79</v>
      </c>
      <c r="H29" s="7" t="s">
        <v>241</v>
      </c>
      <c r="I29" s="29" t="s">
        <v>93</v>
      </c>
      <c r="J29" s="29" t="s">
        <v>130</v>
      </c>
      <c r="K29" s="30">
        <v>4.8611111111111112E-3</v>
      </c>
      <c r="L29" s="30">
        <v>2.013888888888889E-2</v>
      </c>
      <c r="M29" s="29" t="s">
        <v>109</v>
      </c>
      <c r="N29" s="29" t="s">
        <v>109</v>
      </c>
      <c r="O29" s="29" t="s">
        <v>61</v>
      </c>
      <c r="P29" s="47" t="s">
        <v>131</v>
      </c>
      <c r="Q29" s="47" t="s">
        <v>93</v>
      </c>
      <c r="R29" s="7" t="s">
        <v>62</v>
      </c>
      <c r="S29" s="47" t="s">
        <v>109</v>
      </c>
      <c r="T29" s="47" t="s">
        <v>109</v>
      </c>
      <c r="U29" s="47" t="s">
        <v>109</v>
      </c>
      <c r="V29" s="47" t="s">
        <v>109</v>
      </c>
      <c r="W29" s="47" t="s">
        <v>1562</v>
      </c>
    </row>
    <row r="30" spans="1:23" x14ac:dyDescent="0.3">
      <c r="A30" s="7">
        <v>29</v>
      </c>
      <c r="B30" s="29" t="s">
        <v>411</v>
      </c>
      <c r="C30" s="29" t="s">
        <v>1614</v>
      </c>
      <c r="D30" s="29">
        <v>30126019</v>
      </c>
      <c r="E30" s="29">
        <v>150</v>
      </c>
      <c r="F30" s="29">
        <v>244</v>
      </c>
      <c r="G30" s="29">
        <v>132</v>
      </c>
      <c r="H30" s="7" t="s">
        <v>1333</v>
      </c>
      <c r="I30" s="29" t="s">
        <v>294</v>
      </c>
      <c r="J30" s="29" t="s">
        <v>130</v>
      </c>
      <c r="K30" s="30">
        <v>0.83750000000000002</v>
      </c>
      <c r="L30" s="30">
        <v>0.85763888888888884</v>
      </c>
      <c r="M30" s="29" t="s">
        <v>109</v>
      </c>
      <c r="N30" s="29" t="s">
        <v>109</v>
      </c>
      <c r="O30" s="29" t="s">
        <v>61</v>
      </c>
      <c r="P30" s="47" t="s">
        <v>131</v>
      </c>
      <c r="Q30" s="47" t="s">
        <v>209</v>
      </c>
      <c r="R30" s="7" t="s">
        <v>62</v>
      </c>
      <c r="S30" s="47" t="s">
        <v>109</v>
      </c>
      <c r="T30" s="47" t="s">
        <v>109</v>
      </c>
      <c r="U30" s="47" t="s">
        <v>109</v>
      </c>
      <c r="V30" s="47" t="s">
        <v>109</v>
      </c>
      <c r="W30" s="47" t="s">
        <v>1562</v>
      </c>
    </row>
    <row r="31" spans="1:23" x14ac:dyDescent="0.3">
      <c r="A31" s="7">
        <v>30</v>
      </c>
      <c r="B31" s="29" t="s">
        <v>23</v>
      </c>
      <c r="C31" s="29" t="s">
        <v>534</v>
      </c>
      <c r="D31" s="29">
        <v>50126079</v>
      </c>
      <c r="E31" s="29">
        <v>300</v>
      </c>
      <c r="F31" s="29">
        <v>350</v>
      </c>
      <c r="G31" s="29">
        <v>316</v>
      </c>
      <c r="H31" s="7" t="s">
        <v>1615</v>
      </c>
      <c r="I31" s="29" t="s">
        <v>109</v>
      </c>
      <c r="J31" s="29" t="s">
        <v>130</v>
      </c>
      <c r="K31" s="29" t="s">
        <v>109</v>
      </c>
      <c r="L31" s="30">
        <v>0.97291666666666665</v>
      </c>
      <c r="M31" s="29" t="s">
        <v>109</v>
      </c>
      <c r="N31" s="29" t="s">
        <v>110</v>
      </c>
      <c r="O31" s="29" t="s">
        <v>61</v>
      </c>
      <c r="P31" s="47" t="s">
        <v>131</v>
      </c>
      <c r="Q31" s="47" t="s">
        <v>68</v>
      </c>
      <c r="R31" s="7" t="s">
        <v>62</v>
      </c>
      <c r="S31" s="47" t="s">
        <v>109</v>
      </c>
      <c r="T31" s="47" t="s">
        <v>109</v>
      </c>
      <c r="U31" s="47" t="s">
        <v>109</v>
      </c>
      <c r="V31" s="47" t="s">
        <v>109</v>
      </c>
      <c r="W31" s="47" t="s">
        <v>424</v>
      </c>
    </row>
    <row r="32" spans="1:23" x14ac:dyDescent="0.3">
      <c r="A32" s="7">
        <v>31</v>
      </c>
      <c r="B32" s="29" t="s">
        <v>23</v>
      </c>
      <c r="C32" s="29" t="s">
        <v>940</v>
      </c>
      <c r="D32" s="29">
        <v>50126249</v>
      </c>
      <c r="E32" s="29">
        <v>100</v>
      </c>
      <c r="F32" s="29">
        <v>160</v>
      </c>
      <c r="G32" s="29">
        <v>93</v>
      </c>
      <c r="H32" s="7" t="s">
        <v>153</v>
      </c>
      <c r="I32" s="29" t="s">
        <v>109</v>
      </c>
      <c r="J32" s="29" t="s">
        <v>130</v>
      </c>
      <c r="K32" s="29" t="s">
        <v>109</v>
      </c>
      <c r="L32" s="30">
        <v>0.84722222222222221</v>
      </c>
      <c r="M32" s="29" t="s">
        <v>109</v>
      </c>
      <c r="N32" s="29" t="s">
        <v>110</v>
      </c>
      <c r="O32" s="29" t="s">
        <v>61</v>
      </c>
      <c r="P32" s="47" t="s">
        <v>131</v>
      </c>
      <c r="Q32" s="47" t="s">
        <v>153</v>
      </c>
      <c r="R32" s="7" t="s">
        <v>62</v>
      </c>
      <c r="S32" s="47" t="s">
        <v>109</v>
      </c>
      <c r="T32" s="47" t="s">
        <v>109</v>
      </c>
      <c r="U32" s="47" t="s">
        <v>109</v>
      </c>
      <c r="V32" s="47" t="s">
        <v>109</v>
      </c>
      <c r="W32" s="47" t="s">
        <v>424</v>
      </c>
    </row>
    <row r="33" spans="1:23" x14ac:dyDescent="0.3">
      <c r="A33" s="7">
        <v>32</v>
      </c>
      <c r="B33" s="29" t="s">
        <v>23</v>
      </c>
      <c r="C33" s="29" t="s">
        <v>1616</v>
      </c>
      <c r="D33" s="29">
        <v>50126365</v>
      </c>
      <c r="E33" s="29">
        <v>100</v>
      </c>
      <c r="F33" s="29">
        <v>113</v>
      </c>
      <c r="G33" s="29">
        <v>102</v>
      </c>
      <c r="H33" s="7" t="s">
        <v>222</v>
      </c>
      <c r="I33" s="29" t="s">
        <v>109</v>
      </c>
      <c r="J33" s="29" t="s">
        <v>130</v>
      </c>
      <c r="K33" s="29" t="s">
        <v>109</v>
      </c>
      <c r="L33" s="30">
        <v>0.69027777777777777</v>
      </c>
      <c r="M33" s="29" t="s">
        <v>109</v>
      </c>
      <c r="N33" s="29" t="s">
        <v>110</v>
      </c>
      <c r="O33" s="29" t="s">
        <v>61</v>
      </c>
      <c r="P33" s="47" t="s">
        <v>131</v>
      </c>
      <c r="Q33" s="47" t="s">
        <v>222</v>
      </c>
      <c r="R33" s="7" t="s">
        <v>62</v>
      </c>
      <c r="S33" s="47" t="s">
        <v>109</v>
      </c>
      <c r="T33" s="47" t="s">
        <v>109</v>
      </c>
      <c r="U33" s="47" t="s">
        <v>109</v>
      </c>
      <c r="V33" s="47" t="s">
        <v>109</v>
      </c>
      <c r="W33" s="47" t="s">
        <v>424</v>
      </c>
    </row>
    <row r="34" spans="1:23" x14ac:dyDescent="0.3">
      <c r="A34" s="7">
        <v>33</v>
      </c>
      <c r="B34" s="29" t="s">
        <v>23</v>
      </c>
      <c r="C34" s="29" t="s">
        <v>1617</v>
      </c>
      <c r="D34" s="29">
        <v>50126390</v>
      </c>
      <c r="E34" s="29">
        <v>120</v>
      </c>
      <c r="F34" s="29">
        <v>224</v>
      </c>
      <c r="G34" s="29">
        <v>136</v>
      </c>
      <c r="H34" s="7" t="s">
        <v>1007</v>
      </c>
      <c r="I34" s="29" t="s">
        <v>109</v>
      </c>
      <c r="J34" s="29" t="s">
        <v>130</v>
      </c>
      <c r="K34" s="29" t="s">
        <v>109</v>
      </c>
      <c r="L34" s="30">
        <v>0.80208333333333337</v>
      </c>
      <c r="M34" s="29" t="s">
        <v>109</v>
      </c>
      <c r="N34" s="29" t="s">
        <v>109</v>
      </c>
      <c r="O34" s="29" t="s">
        <v>61</v>
      </c>
      <c r="P34" s="47" t="s">
        <v>131</v>
      </c>
      <c r="Q34" s="47" t="s">
        <v>274</v>
      </c>
      <c r="R34" s="7" t="s">
        <v>62</v>
      </c>
      <c r="S34" s="47" t="s">
        <v>109</v>
      </c>
      <c r="T34" s="47" t="s">
        <v>109</v>
      </c>
      <c r="U34" s="47" t="s">
        <v>109</v>
      </c>
      <c r="V34" s="47" t="s">
        <v>109</v>
      </c>
      <c r="W34" s="47" t="s">
        <v>424</v>
      </c>
    </row>
    <row r="35" spans="1:23" x14ac:dyDescent="0.3">
      <c r="A35" s="7">
        <v>34</v>
      </c>
      <c r="B35" s="29" t="s">
        <v>23</v>
      </c>
      <c r="C35" s="29" t="s">
        <v>1618</v>
      </c>
      <c r="D35" s="29">
        <v>50126391</v>
      </c>
      <c r="E35" s="29">
        <v>150</v>
      </c>
      <c r="F35" s="29">
        <v>286</v>
      </c>
      <c r="G35" s="29">
        <v>76</v>
      </c>
      <c r="H35" s="7" t="s">
        <v>574</v>
      </c>
      <c r="I35" s="29" t="s">
        <v>109</v>
      </c>
      <c r="J35" s="29" t="s">
        <v>130</v>
      </c>
      <c r="K35" s="29" t="s">
        <v>109</v>
      </c>
      <c r="L35" s="30">
        <v>0.71250000000000002</v>
      </c>
      <c r="M35" s="29" t="s">
        <v>109</v>
      </c>
      <c r="N35" s="29" t="s">
        <v>109</v>
      </c>
      <c r="O35" s="29" t="s">
        <v>61</v>
      </c>
      <c r="P35" s="47" t="s">
        <v>131</v>
      </c>
      <c r="Q35" s="47" t="s">
        <v>84</v>
      </c>
      <c r="R35" s="7" t="s">
        <v>62</v>
      </c>
      <c r="S35" s="47" t="s">
        <v>109</v>
      </c>
      <c r="T35" s="47" t="s">
        <v>109</v>
      </c>
      <c r="U35" s="47" t="s">
        <v>109</v>
      </c>
      <c r="V35" s="47" t="s">
        <v>109</v>
      </c>
      <c r="W35" s="47" t="s">
        <v>424</v>
      </c>
    </row>
    <row r="36" spans="1:23" x14ac:dyDescent="0.3">
      <c r="A36" s="7">
        <v>35</v>
      </c>
      <c r="B36" s="29" t="s">
        <v>23</v>
      </c>
      <c r="C36" s="29" t="s">
        <v>1366</v>
      </c>
      <c r="D36" s="29">
        <v>50126343</v>
      </c>
      <c r="E36" s="29">
        <v>1600</v>
      </c>
      <c r="F36" s="29">
        <v>4580</v>
      </c>
      <c r="G36" s="29">
        <v>1826</v>
      </c>
      <c r="H36" s="7" t="s">
        <v>1619</v>
      </c>
      <c r="I36" s="29" t="s">
        <v>109</v>
      </c>
      <c r="J36" s="29" t="s">
        <v>130</v>
      </c>
      <c r="K36" s="29" t="s">
        <v>109</v>
      </c>
      <c r="L36" s="30">
        <v>0.81319444444444444</v>
      </c>
      <c r="M36" s="29" t="s">
        <v>109</v>
      </c>
      <c r="N36" s="29" t="s">
        <v>1620</v>
      </c>
      <c r="O36" s="29" t="s">
        <v>61</v>
      </c>
      <c r="P36" s="47" t="s">
        <v>131</v>
      </c>
      <c r="Q36" s="47" t="s">
        <v>84</v>
      </c>
      <c r="R36" s="7" t="s">
        <v>62</v>
      </c>
      <c r="S36" s="47" t="s">
        <v>109</v>
      </c>
      <c r="T36" s="47" t="s">
        <v>109</v>
      </c>
      <c r="U36" s="47" t="s">
        <v>109</v>
      </c>
      <c r="V36" s="47" t="s">
        <v>109</v>
      </c>
      <c r="W36" s="47" t="s">
        <v>1365</v>
      </c>
    </row>
    <row r="37" spans="1:23" x14ac:dyDescent="0.3">
      <c r="A37" s="7">
        <v>36</v>
      </c>
      <c r="B37" s="29" t="s">
        <v>23</v>
      </c>
      <c r="C37" s="29" t="s">
        <v>1038</v>
      </c>
      <c r="D37" s="29">
        <v>50126310</v>
      </c>
      <c r="E37" s="29">
        <v>30</v>
      </c>
      <c r="F37" s="29">
        <v>35</v>
      </c>
      <c r="G37" s="29">
        <v>18</v>
      </c>
      <c r="H37" s="7" t="s">
        <v>196</v>
      </c>
      <c r="I37" s="29" t="s">
        <v>109</v>
      </c>
      <c r="J37" s="29" t="s">
        <v>130</v>
      </c>
      <c r="K37" s="29" t="s">
        <v>109</v>
      </c>
      <c r="L37" s="30">
        <v>0.66180555555555554</v>
      </c>
      <c r="M37" s="29" t="s">
        <v>109</v>
      </c>
      <c r="N37" s="29" t="s">
        <v>1621</v>
      </c>
      <c r="O37" s="29" t="s">
        <v>61</v>
      </c>
      <c r="P37" s="47" t="s">
        <v>131</v>
      </c>
      <c r="Q37" s="47" t="s">
        <v>196</v>
      </c>
      <c r="R37" s="7" t="s">
        <v>62</v>
      </c>
      <c r="S37" s="47" t="s">
        <v>109</v>
      </c>
      <c r="T37" s="47" t="s">
        <v>109</v>
      </c>
      <c r="U37" s="47" t="s">
        <v>109</v>
      </c>
      <c r="V37" s="47" t="s">
        <v>109</v>
      </c>
      <c r="W37" s="47" t="s">
        <v>223</v>
      </c>
    </row>
    <row r="38" spans="1:23" x14ac:dyDescent="0.3">
      <c r="A38" s="7">
        <v>37</v>
      </c>
      <c r="B38" s="29" t="s">
        <v>23</v>
      </c>
      <c r="C38" s="29" t="s">
        <v>1622</v>
      </c>
      <c r="D38" s="29">
        <v>50126357</v>
      </c>
      <c r="E38" s="29">
        <v>500</v>
      </c>
      <c r="F38" s="29">
        <v>819</v>
      </c>
      <c r="G38" s="29">
        <v>490</v>
      </c>
      <c r="H38" s="7" t="s">
        <v>1623</v>
      </c>
      <c r="I38" s="29" t="s">
        <v>109</v>
      </c>
      <c r="J38" s="29" t="s">
        <v>130</v>
      </c>
      <c r="K38" s="29" t="s">
        <v>109</v>
      </c>
      <c r="L38" s="30">
        <v>0.98750000000000004</v>
      </c>
      <c r="M38" s="29" t="s">
        <v>109</v>
      </c>
      <c r="N38" s="29" t="s">
        <v>110</v>
      </c>
      <c r="O38" s="29" t="s">
        <v>61</v>
      </c>
      <c r="P38" s="47" t="s">
        <v>131</v>
      </c>
      <c r="Q38" s="47" t="s">
        <v>70</v>
      </c>
      <c r="R38" s="7" t="s">
        <v>62</v>
      </c>
      <c r="S38" s="47" t="s">
        <v>109</v>
      </c>
      <c r="T38" s="47" t="s">
        <v>109</v>
      </c>
      <c r="U38" s="47" t="s">
        <v>109</v>
      </c>
      <c r="V38" s="47" t="s">
        <v>109</v>
      </c>
      <c r="W38" s="47" t="s">
        <v>351</v>
      </c>
    </row>
    <row r="39" spans="1:23" x14ac:dyDescent="0.3">
      <c r="A39" s="7">
        <v>38</v>
      </c>
      <c r="B39" s="29" t="s">
        <v>23</v>
      </c>
      <c r="C39" s="29" t="s">
        <v>1624</v>
      </c>
      <c r="D39" s="29">
        <v>50126358</v>
      </c>
      <c r="E39" s="29">
        <v>150</v>
      </c>
      <c r="F39" s="29">
        <v>155</v>
      </c>
      <c r="G39" s="29">
        <v>36</v>
      </c>
      <c r="H39" s="7" t="s">
        <v>1625</v>
      </c>
      <c r="I39" s="29" t="s">
        <v>109</v>
      </c>
      <c r="J39" s="29" t="s">
        <v>130</v>
      </c>
      <c r="K39" s="29" t="s">
        <v>109</v>
      </c>
      <c r="L39" s="30">
        <v>0.66597222222222219</v>
      </c>
      <c r="M39" s="29" t="s">
        <v>109</v>
      </c>
      <c r="N39" s="29" t="s">
        <v>110</v>
      </c>
      <c r="O39" s="29" t="s">
        <v>61</v>
      </c>
      <c r="P39" s="47" t="s">
        <v>131</v>
      </c>
      <c r="Q39" s="47" t="s">
        <v>184</v>
      </c>
      <c r="R39" s="7" t="s">
        <v>62</v>
      </c>
      <c r="S39" s="47" t="s">
        <v>109</v>
      </c>
      <c r="T39" s="47" t="s">
        <v>109</v>
      </c>
      <c r="U39" s="47" t="s">
        <v>109</v>
      </c>
      <c r="V39" s="47" t="s">
        <v>109</v>
      </c>
      <c r="W39" s="47" t="s">
        <v>351</v>
      </c>
    </row>
    <row r="40" spans="1:23" x14ac:dyDescent="0.3">
      <c r="A40" s="7">
        <v>39</v>
      </c>
      <c r="B40" s="29" t="s">
        <v>26</v>
      </c>
      <c r="C40" s="29" t="s">
        <v>1323</v>
      </c>
      <c r="D40" s="29">
        <v>40126022</v>
      </c>
      <c r="E40" s="29">
        <v>475</v>
      </c>
      <c r="F40" s="29" t="s">
        <v>109</v>
      </c>
      <c r="G40" s="29" t="s">
        <v>109</v>
      </c>
      <c r="H40" s="7" t="s">
        <v>1628</v>
      </c>
      <c r="I40" s="29" t="s">
        <v>1631</v>
      </c>
      <c r="J40" s="29" t="s">
        <v>109</v>
      </c>
      <c r="K40" s="30">
        <v>4.1666666666666664E-2</v>
      </c>
      <c r="L40" s="29" t="s">
        <v>109</v>
      </c>
      <c r="M40" s="29" t="s">
        <v>109</v>
      </c>
      <c r="N40" s="29" t="s">
        <v>110</v>
      </c>
      <c r="O40" s="29" t="s">
        <v>145</v>
      </c>
      <c r="P40" s="47" t="s">
        <v>109</v>
      </c>
      <c r="Q40" s="47" t="s">
        <v>109</v>
      </c>
      <c r="R40" s="7" t="s">
        <v>62</v>
      </c>
      <c r="S40" s="47" t="s">
        <v>109</v>
      </c>
      <c r="T40" s="47" t="s">
        <v>109</v>
      </c>
      <c r="U40" s="47" t="s">
        <v>109</v>
      </c>
      <c r="V40" s="47" t="s">
        <v>109</v>
      </c>
      <c r="W40" s="47" t="s">
        <v>351</v>
      </c>
    </row>
    <row r="41" spans="1:23" x14ac:dyDescent="0.3">
      <c r="A41" s="7">
        <v>40</v>
      </c>
      <c r="B41" s="29" t="s">
        <v>26</v>
      </c>
      <c r="C41" s="29" t="s">
        <v>676</v>
      </c>
      <c r="D41" s="29">
        <v>30126003</v>
      </c>
      <c r="E41" s="29">
        <v>50</v>
      </c>
      <c r="F41" s="29">
        <v>25</v>
      </c>
      <c r="G41" s="29">
        <v>6</v>
      </c>
      <c r="H41" s="7" t="s">
        <v>71</v>
      </c>
      <c r="I41" s="29" t="s">
        <v>603</v>
      </c>
      <c r="J41" s="29" t="s">
        <v>130</v>
      </c>
      <c r="K41" s="30">
        <v>0.99513888888888891</v>
      </c>
      <c r="L41" s="30">
        <v>4.8611111111111112E-3</v>
      </c>
      <c r="M41" s="29" t="s">
        <v>109</v>
      </c>
      <c r="N41" s="29" t="s">
        <v>110</v>
      </c>
      <c r="O41" s="29" t="s">
        <v>61</v>
      </c>
      <c r="P41" s="47" t="s">
        <v>131</v>
      </c>
      <c r="Q41" s="47" t="s">
        <v>603</v>
      </c>
      <c r="R41" s="7" t="s">
        <v>62</v>
      </c>
      <c r="S41" s="47" t="s">
        <v>109</v>
      </c>
      <c r="T41" s="47" t="s">
        <v>109</v>
      </c>
      <c r="U41" s="47" t="s">
        <v>109</v>
      </c>
      <c r="V41" s="47" t="s">
        <v>109</v>
      </c>
      <c r="W41" s="47" t="s">
        <v>351</v>
      </c>
    </row>
    <row r="42" spans="1:23" x14ac:dyDescent="0.3">
      <c r="A42" s="7">
        <v>41</v>
      </c>
      <c r="B42" s="29" t="s">
        <v>26</v>
      </c>
      <c r="C42" s="29" t="s">
        <v>1629</v>
      </c>
      <c r="D42" s="29">
        <v>10126024</v>
      </c>
      <c r="E42" s="29">
        <v>49</v>
      </c>
      <c r="F42" s="29" t="s">
        <v>109</v>
      </c>
      <c r="G42" s="29" t="s">
        <v>109</v>
      </c>
      <c r="H42" s="7" t="s">
        <v>154</v>
      </c>
      <c r="I42" s="29" t="s">
        <v>109</v>
      </c>
      <c r="J42" s="29" t="s">
        <v>109</v>
      </c>
      <c r="K42" s="29" t="s">
        <v>109</v>
      </c>
      <c r="L42" s="29" t="s">
        <v>109</v>
      </c>
      <c r="M42" s="29" t="s">
        <v>109</v>
      </c>
      <c r="N42" s="29" t="s">
        <v>110</v>
      </c>
      <c r="O42" s="29" t="s">
        <v>145</v>
      </c>
      <c r="P42" s="47" t="s">
        <v>109</v>
      </c>
      <c r="Q42" s="47" t="s">
        <v>109</v>
      </c>
      <c r="R42" s="7" t="s">
        <v>62</v>
      </c>
      <c r="S42" s="47" t="s">
        <v>109</v>
      </c>
      <c r="T42" s="47" t="s">
        <v>109</v>
      </c>
      <c r="U42" s="47" t="s">
        <v>109</v>
      </c>
      <c r="V42" s="47" t="s">
        <v>109</v>
      </c>
      <c r="W42" s="47" t="s">
        <v>351</v>
      </c>
    </row>
  </sheetData>
  <conditionalFormatting sqref="D1">
    <cfRule type="duplicateValues" dxfId="93" priority="1"/>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3966C-3545-41BA-B5D4-F45804BAB2B1}">
  <sheetPr codeName="Sheet21"/>
  <dimension ref="A1:W69"/>
  <sheetViews>
    <sheetView workbookViewId="0">
      <pane ySplit="1" topLeftCell="A2" activePane="bottomLeft" state="frozen"/>
      <selection pane="bottomLeft" activeCell="C2" sqref="C2"/>
    </sheetView>
  </sheetViews>
  <sheetFormatPr defaultColWidth="11" defaultRowHeight="14.4" x14ac:dyDescent="0.3"/>
  <sheetData>
    <row r="1" spans="1:23" x14ac:dyDescent="0.3">
      <c r="A1" s="22" t="s">
        <v>1632</v>
      </c>
      <c r="B1" s="22" t="s">
        <v>1</v>
      </c>
      <c r="C1" s="22" t="s">
        <v>2</v>
      </c>
      <c r="D1" s="22" t="s">
        <v>3</v>
      </c>
      <c r="E1" s="22" t="s">
        <v>4</v>
      </c>
      <c r="F1" s="22" t="s">
        <v>5</v>
      </c>
      <c r="G1" s="22" t="s">
        <v>6</v>
      </c>
      <c r="H1" s="22" t="s">
        <v>7</v>
      </c>
      <c r="I1" s="22" t="s">
        <v>8</v>
      </c>
      <c r="J1" s="22" t="s">
        <v>9</v>
      </c>
      <c r="K1" s="23" t="s">
        <v>10</v>
      </c>
      <c r="L1" s="23" t="s">
        <v>11</v>
      </c>
      <c r="M1" s="24" t="s">
        <v>12</v>
      </c>
      <c r="N1" s="25" t="s">
        <v>13</v>
      </c>
      <c r="O1" s="22" t="s">
        <v>14</v>
      </c>
      <c r="P1" s="22" t="s">
        <v>15</v>
      </c>
      <c r="Q1" s="22" t="s">
        <v>16</v>
      </c>
      <c r="R1" s="22" t="s">
        <v>17</v>
      </c>
      <c r="S1" s="22" t="s">
        <v>18</v>
      </c>
      <c r="T1" s="22" t="s">
        <v>19</v>
      </c>
      <c r="U1" s="22" t="s">
        <v>20</v>
      </c>
      <c r="V1" s="22" t="s">
        <v>21</v>
      </c>
      <c r="W1" s="26" t="s">
        <v>22</v>
      </c>
    </row>
    <row r="2" spans="1:23" x14ac:dyDescent="0.3">
      <c r="A2" s="7">
        <v>1</v>
      </c>
      <c r="B2" s="29" t="s">
        <v>23</v>
      </c>
      <c r="C2" s="29" t="s">
        <v>1633</v>
      </c>
      <c r="D2" s="29">
        <v>51025358</v>
      </c>
      <c r="E2" s="38">
        <v>100</v>
      </c>
      <c r="F2" s="7">
        <v>124</v>
      </c>
      <c r="G2" s="7">
        <v>49</v>
      </c>
      <c r="H2" s="77" t="s">
        <v>184</v>
      </c>
      <c r="I2" s="7" t="s">
        <v>109</v>
      </c>
      <c r="J2" s="7" t="s">
        <v>130</v>
      </c>
      <c r="K2" s="7" t="s">
        <v>109</v>
      </c>
      <c r="L2" s="11">
        <v>0.99583333333333324</v>
      </c>
      <c r="M2" s="7" t="s">
        <v>109</v>
      </c>
      <c r="N2" s="33" t="s">
        <v>1634</v>
      </c>
      <c r="O2" s="7" t="s">
        <v>61</v>
      </c>
      <c r="P2" s="7" t="s">
        <v>131</v>
      </c>
      <c r="Q2" s="7" t="s">
        <v>184</v>
      </c>
      <c r="R2" s="7" t="s">
        <v>62</v>
      </c>
      <c r="S2" s="7" t="s">
        <v>109</v>
      </c>
      <c r="T2" s="7" t="s">
        <v>109</v>
      </c>
      <c r="U2" s="7" t="s">
        <v>109</v>
      </c>
      <c r="V2" s="7" t="s">
        <v>109</v>
      </c>
      <c r="W2" s="29" t="s">
        <v>1635</v>
      </c>
    </row>
    <row r="3" spans="1:23" x14ac:dyDescent="0.3">
      <c r="A3" s="7">
        <v>2</v>
      </c>
      <c r="B3" s="29" t="s">
        <v>23</v>
      </c>
      <c r="C3" s="29" t="s">
        <v>1636</v>
      </c>
      <c r="D3" s="29">
        <v>50126359</v>
      </c>
      <c r="E3" s="29">
        <v>280</v>
      </c>
      <c r="F3" s="7">
        <v>539</v>
      </c>
      <c r="G3" s="7">
        <v>272</v>
      </c>
      <c r="H3" s="52" t="s">
        <v>1637</v>
      </c>
      <c r="I3" s="7" t="s">
        <v>109</v>
      </c>
      <c r="J3" s="7" t="s">
        <v>130</v>
      </c>
      <c r="K3" s="7" t="s">
        <v>109</v>
      </c>
      <c r="L3" s="11">
        <v>0.9291666666666667</v>
      </c>
      <c r="M3" s="7" t="s">
        <v>109</v>
      </c>
      <c r="N3" s="33" t="s">
        <v>1638</v>
      </c>
      <c r="O3" s="7" t="s">
        <v>61</v>
      </c>
      <c r="P3" s="7" t="s">
        <v>131</v>
      </c>
      <c r="Q3" s="7" t="s">
        <v>89</v>
      </c>
      <c r="R3" s="7" t="s">
        <v>62</v>
      </c>
      <c r="S3" s="7" t="s">
        <v>109</v>
      </c>
      <c r="T3" s="7" t="s">
        <v>109</v>
      </c>
      <c r="U3" s="7" t="s">
        <v>109</v>
      </c>
      <c r="V3" s="7" t="s">
        <v>109</v>
      </c>
      <c r="W3" s="29" t="s">
        <v>1568</v>
      </c>
    </row>
    <row r="4" spans="1:23" x14ac:dyDescent="0.3">
      <c r="A4" s="7">
        <v>3</v>
      </c>
      <c r="B4" s="89" t="s">
        <v>170</v>
      </c>
      <c r="C4" s="89" t="s">
        <v>1355</v>
      </c>
      <c r="D4" s="89">
        <v>40126027</v>
      </c>
      <c r="E4" s="89">
        <v>136</v>
      </c>
      <c r="F4" s="7">
        <v>154</v>
      </c>
      <c r="G4" s="7">
        <v>133</v>
      </c>
      <c r="H4" s="52" t="s">
        <v>386</v>
      </c>
      <c r="I4" s="7" t="s">
        <v>97</v>
      </c>
      <c r="J4" s="7" t="s">
        <v>130</v>
      </c>
      <c r="K4" s="11">
        <v>0.94166666666666676</v>
      </c>
      <c r="L4" s="11">
        <v>0.9770833333333333</v>
      </c>
      <c r="M4" s="7" t="s">
        <v>109</v>
      </c>
      <c r="N4" s="7" t="s">
        <v>109</v>
      </c>
      <c r="O4" s="7" t="s">
        <v>61</v>
      </c>
      <c r="P4" s="7" t="s">
        <v>131</v>
      </c>
      <c r="Q4" s="7" t="s">
        <v>89</v>
      </c>
      <c r="R4" s="7" t="s">
        <v>62</v>
      </c>
      <c r="S4" s="7" t="s">
        <v>109</v>
      </c>
      <c r="T4" s="7" t="s">
        <v>109</v>
      </c>
      <c r="U4" s="7" t="s">
        <v>109</v>
      </c>
      <c r="V4" s="7" t="s">
        <v>109</v>
      </c>
      <c r="W4" s="89" t="s">
        <v>1356</v>
      </c>
    </row>
    <row r="5" spans="1:23" x14ac:dyDescent="0.3">
      <c r="A5" s="7">
        <v>4</v>
      </c>
      <c r="B5" s="89" t="s">
        <v>411</v>
      </c>
      <c r="C5" s="89" t="s">
        <v>1357</v>
      </c>
      <c r="D5" s="89">
        <v>30126010</v>
      </c>
      <c r="E5" s="89">
        <v>95</v>
      </c>
      <c r="F5" s="7">
        <v>86</v>
      </c>
      <c r="G5" s="7">
        <v>31</v>
      </c>
      <c r="H5" s="53" t="s">
        <v>82</v>
      </c>
      <c r="I5" s="77" t="s">
        <v>89</v>
      </c>
      <c r="J5" s="7" t="s">
        <v>130</v>
      </c>
      <c r="K5" s="11">
        <v>0.9868055555555556</v>
      </c>
      <c r="L5" s="11">
        <v>2.2222222222222223E-2</v>
      </c>
      <c r="M5" s="7" t="s">
        <v>109</v>
      </c>
      <c r="N5" s="7" t="s">
        <v>109</v>
      </c>
      <c r="O5" s="7" t="s">
        <v>61</v>
      </c>
      <c r="P5" s="7" t="s">
        <v>131</v>
      </c>
      <c r="Q5" s="7" t="s">
        <v>89</v>
      </c>
      <c r="R5" s="7" t="s">
        <v>62</v>
      </c>
      <c r="S5" s="7" t="s">
        <v>109</v>
      </c>
      <c r="T5" s="7" t="s">
        <v>109</v>
      </c>
      <c r="U5" s="7" t="s">
        <v>109</v>
      </c>
      <c r="V5" s="7" t="s">
        <v>109</v>
      </c>
      <c r="W5" s="89" t="s">
        <v>1359</v>
      </c>
    </row>
    <row r="6" spans="1:23" x14ac:dyDescent="0.3">
      <c r="A6" s="7">
        <v>5</v>
      </c>
      <c r="B6" s="89" t="s">
        <v>411</v>
      </c>
      <c r="C6" s="89" t="s">
        <v>1360</v>
      </c>
      <c r="D6" s="89">
        <v>30126011</v>
      </c>
      <c r="E6" s="89">
        <v>153</v>
      </c>
      <c r="F6" s="7">
        <v>70</v>
      </c>
      <c r="G6" s="7">
        <v>10</v>
      </c>
      <c r="H6" s="52" t="s">
        <v>1007</v>
      </c>
      <c r="I6" s="7" t="s">
        <v>99</v>
      </c>
      <c r="J6" s="7" t="s">
        <v>130</v>
      </c>
      <c r="K6" s="11">
        <v>0.90763888888888899</v>
      </c>
      <c r="L6" s="11">
        <v>0.94027777777777777</v>
      </c>
      <c r="M6" s="7" t="s">
        <v>109</v>
      </c>
      <c r="N6" s="7" t="s">
        <v>109</v>
      </c>
      <c r="O6" s="7" t="s">
        <v>61</v>
      </c>
      <c r="P6" s="7" t="s">
        <v>131</v>
      </c>
      <c r="Q6" s="7" t="s">
        <v>209</v>
      </c>
      <c r="R6" s="7" t="s">
        <v>62</v>
      </c>
      <c r="S6" s="7" t="s">
        <v>109</v>
      </c>
      <c r="T6" s="7" t="s">
        <v>109</v>
      </c>
      <c r="U6" s="7" t="s">
        <v>109</v>
      </c>
      <c r="V6" s="7" t="s">
        <v>109</v>
      </c>
      <c r="W6" s="89" t="s">
        <v>1359</v>
      </c>
    </row>
    <row r="7" spans="1:23" x14ac:dyDescent="0.3">
      <c r="A7" s="7">
        <v>6</v>
      </c>
      <c r="B7" s="89" t="s">
        <v>411</v>
      </c>
      <c r="C7" s="89" t="s">
        <v>674</v>
      </c>
      <c r="D7" s="89">
        <v>30126002</v>
      </c>
      <c r="E7" s="89">
        <v>122</v>
      </c>
      <c r="F7" s="7">
        <v>253</v>
      </c>
      <c r="G7" s="7">
        <v>118</v>
      </c>
      <c r="H7" s="52" t="s">
        <v>1007</v>
      </c>
      <c r="I7" s="7" t="s">
        <v>97</v>
      </c>
      <c r="J7" s="7" t="s">
        <v>130</v>
      </c>
      <c r="K7" s="11">
        <v>0.72916666666666663</v>
      </c>
      <c r="L7" s="11">
        <v>0.91111111111111109</v>
      </c>
      <c r="M7" s="7" t="s">
        <v>109</v>
      </c>
      <c r="N7" s="7" t="s">
        <v>109</v>
      </c>
      <c r="O7" s="7" t="s">
        <v>61</v>
      </c>
      <c r="P7" s="7" t="s">
        <v>131</v>
      </c>
      <c r="Q7" s="7" t="s">
        <v>91</v>
      </c>
      <c r="R7" s="7" t="s">
        <v>62</v>
      </c>
      <c r="S7" s="7" t="s">
        <v>109</v>
      </c>
      <c r="T7" s="7" t="s">
        <v>109</v>
      </c>
      <c r="U7" s="7" t="s">
        <v>109</v>
      </c>
      <c r="V7" s="7" t="s">
        <v>109</v>
      </c>
      <c r="W7" s="89" t="s">
        <v>675</v>
      </c>
    </row>
    <row r="8" spans="1:23" x14ac:dyDescent="0.3">
      <c r="A8" s="7">
        <v>7</v>
      </c>
      <c r="B8" s="89" t="s">
        <v>411</v>
      </c>
      <c r="C8" s="89" t="s">
        <v>1199</v>
      </c>
      <c r="D8" s="89">
        <v>30126005</v>
      </c>
      <c r="E8" s="89">
        <v>50</v>
      </c>
      <c r="F8" s="7">
        <v>84</v>
      </c>
      <c r="G8" s="7">
        <v>57</v>
      </c>
      <c r="H8" s="77" t="s">
        <v>200</v>
      </c>
      <c r="I8" s="77" t="s">
        <v>91</v>
      </c>
      <c r="J8" s="7" t="s">
        <v>130</v>
      </c>
      <c r="K8" s="11">
        <v>0.68333333333333324</v>
      </c>
      <c r="L8" s="11">
        <v>0.72777777777777775</v>
      </c>
      <c r="M8" s="7" t="s">
        <v>109</v>
      </c>
      <c r="N8" s="7" t="s">
        <v>109</v>
      </c>
      <c r="O8" s="7" t="s">
        <v>61</v>
      </c>
      <c r="P8" s="7" t="s">
        <v>131</v>
      </c>
      <c r="Q8" s="7" t="s">
        <v>91</v>
      </c>
      <c r="R8" s="7" t="s">
        <v>62</v>
      </c>
      <c r="S8" s="7" t="s">
        <v>109</v>
      </c>
      <c r="T8" s="7" t="s">
        <v>109</v>
      </c>
      <c r="U8" s="7" t="s">
        <v>109</v>
      </c>
      <c r="V8" s="7" t="s">
        <v>109</v>
      </c>
      <c r="W8" s="89" t="s">
        <v>675</v>
      </c>
    </row>
    <row r="9" spans="1:23" x14ac:dyDescent="0.3">
      <c r="A9" s="7">
        <v>8</v>
      </c>
      <c r="B9" s="89" t="s">
        <v>411</v>
      </c>
      <c r="C9" s="89" t="s">
        <v>1200</v>
      </c>
      <c r="D9" s="89">
        <v>30126008</v>
      </c>
      <c r="E9" s="89">
        <v>55</v>
      </c>
      <c r="F9" s="7">
        <v>86</v>
      </c>
      <c r="G9" s="7">
        <v>56</v>
      </c>
      <c r="H9" s="53" t="s">
        <v>68</v>
      </c>
      <c r="I9" s="53" t="s">
        <v>86</v>
      </c>
      <c r="J9" s="7" t="s">
        <v>130</v>
      </c>
      <c r="K9" s="11">
        <v>0.92152777777777783</v>
      </c>
      <c r="L9" s="11">
        <v>0.9784722222222223</v>
      </c>
      <c r="M9" s="7" t="s">
        <v>109</v>
      </c>
      <c r="N9" s="7" t="s">
        <v>109</v>
      </c>
      <c r="O9" s="7" t="s">
        <v>61</v>
      </c>
      <c r="P9" s="7" t="s">
        <v>131</v>
      </c>
      <c r="Q9" s="7" t="s">
        <v>86</v>
      </c>
      <c r="R9" s="7" t="s">
        <v>62</v>
      </c>
      <c r="S9" s="7" t="s">
        <v>109</v>
      </c>
      <c r="T9" s="7" t="s">
        <v>109</v>
      </c>
      <c r="U9" s="7" t="s">
        <v>109</v>
      </c>
      <c r="V9" s="7" t="s">
        <v>109</v>
      </c>
      <c r="W9" s="89" t="s">
        <v>675</v>
      </c>
    </row>
    <row r="10" spans="1:23" x14ac:dyDescent="0.3">
      <c r="A10" s="7">
        <v>9</v>
      </c>
      <c r="B10" s="89" t="s">
        <v>1550</v>
      </c>
      <c r="C10" s="89" t="s">
        <v>1551</v>
      </c>
      <c r="D10" s="89">
        <v>40126035</v>
      </c>
      <c r="E10" s="89">
        <v>75</v>
      </c>
      <c r="F10" s="7">
        <v>130</v>
      </c>
      <c r="G10" s="7">
        <v>60</v>
      </c>
      <c r="H10" s="53" t="s">
        <v>71</v>
      </c>
      <c r="I10" s="77" t="s">
        <v>87</v>
      </c>
      <c r="J10" s="7" t="s">
        <v>130</v>
      </c>
      <c r="K10" s="11">
        <v>0.8520833333333333</v>
      </c>
      <c r="L10" s="11">
        <v>0.87708333333333333</v>
      </c>
      <c r="M10" s="7" t="s">
        <v>109</v>
      </c>
      <c r="N10" s="33" t="s">
        <v>1639</v>
      </c>
      <c r="O10" s="7" t="s">
        <v>61</v>
      </c>
      <c r="P10" s="7" t="s">
        <v>131</v>
      </c>
      <c r="Q10" s="7" t="s">
        <v>87</v>
      </c>
      <c r="R10" s="7" t="s">
        <v>1640</v>
      </c>
      <c r="S10" s="7" t="s">
        <v>109</v>
      </c>
      <c r="T10" s="7" t="s">
        <v>109</v>
      </c>
      <c r="U10" s="7" t="s">
        <v>109</v>
      </c>
      <c r="V10" s="7" t="s">
        <v>109</v>
      </c>
      <c r="W10" s="89" t="s">
        <v>1554</v>
      </c>
    </row>
    <row r="11" spans="1:23" x14ac:dyDescent="0.3">
      <c r="A11" s="7">
        <v>10</v>
      </c>
      <c r="B11" s="89" t="s">
        <v>1550</v>
      </c>
      <c r="C11" s="89" t="s">
        <v>1556</v>
      </c>
      <c r="D11" s="89">
        <v>40126034</v>
      </c>
      <c r="E11" s="89">
        <v>75</v>
      </c>
      <c r="F11" s="7">
        <v>265</v>
      </c>
      <c r="G11" s="7">
        <v>52</v>
      </c>
      <c r="H11" s="77" t="s">
        <v>64</v>
      </c>
      <c r="I11" s="53" t="s">
        <v>86</v>
      </c>
      <c r="J11" s="7" t="s">
        <v>130</v>
      </c>
      <c r="K11" s="11">
        <v>0.99375000000000002</v>
      </c>
      <c r="L11" s="46">
        <v>5.2777777777777778E-2</v>
      </c>
      <c r="M11" s="7" t="s">
        <v>109</v>
      </c>
      <c r="N11" s="33" t="s">
        <v>1639</v>
      </c>
      <c r="O11" s="7" t="s">
        <v>61</v>
      </c>
      <c r="P11" s="7" t="s">
        <v>131</v>
      </c>
      <c r="Q11" s="7" t="s">
        <v>86</v>
      </c>
      <c r="R11" s="7" t="s">
        <v>1640</v>
      </c>
      <c r="S11" s="7" t="s">
        <v>109</v>
      </c>
      <c r="T11" s="7" t="s">
        <v>109</v>
      </c>
      <c r="U11" s="7" t="s">
        <v>109</v>
      </c>
      <c r="V11" s="7" t="s">
        <v>109</v>
      </c>
      <c r="W11" s="89" t="s">
        <v>1554</v>
      </c>
    </row>
    <row r="12" spans="1:23" x14ac:dyDescent="0.3">
      <c r="A12" s="7">
        <v>11</v>
      </c>
      <c r="B12" s="29" t="s">
        <v>23</v>
      </c>
      <c r="C12" s="29" t="s">
        <v>1616</v>
      </c>
      <c r="D12" s="29">
        <v>50126365</v>
      </c>
      <c r="E12" s="29">
        <v>100</v>
      </c>
      <c r="F12" s="7" t="s">
        <v>109</v>
      </c>
      <c r="G12" s="7" t="s">
        <v>109</v>
      </c>
      <c r="H12" s="77" t="s">
        <v>84</v>
      </c>
      <c r="I12" s="7" t="s">
        <v>109</v>
      </c>
      <c r="J12" s="7" t="s">
        <v>109</v>
      </c>
      <c r="K12" s="7" t="s">
        <v>109</v>
      </c>
      <c r="L12" s="7" t="s">
        <v>109</v>
      </c>
      <c r="M12" s="7" t="s">
        <v>109</v>
      </c>
      <c r="N12" s="7" t="s">
        <v>109</v>
      </c>
      <c r="O12" s="7" t="s">
        <v>61</v>
      </c>
      <c r="P12" s="7" t="s">
        <v>109</v>
      </c>
      <c r="Q12" s="7" t="s">
        <v>109</v>
      </c>
      <c r="R12" s="7" t="s">
        <v>62</v>
      </c>
      <c r="S12" s="7" t="s">
        <v>109</v>
      </c>
      <c r="T12" s="7" t="s">
        <v>109</v>
      </c>
      <c r="U12" s="7" t="s">
        <v>109</v>
      </c>
      <c r="V12" s="7" t="s">
        <v>109</v>
      </c>
      <c r="W12" s="29" t="s">
        <v>424</v>
      </c>
    </row>
    <row r="13" spans="1:23" x14ac:dyDescent="0.3">
      <c r="A13" s="7">
        <v>12</v>
      </c>
      <c r="B13" s="29" t="s">
        <v>23</v>
      </c>
      <c r="C13" s="29" t="s">
        <v>1641</v>
      </c>
      <c r="D13" s="29">
        <v>50126366</v>
      </c>
      <c r="E13" s="29">
        <v>60</v>
      </c>
      <c r="F13" s="7">
        <v>24</v>
      </c>
      <c r="G13" s="7">
        <v>1</v>
      </c>
      <c r="H13" s="53" t="s">
        <v>82</v>
      </c>
      <c r="I13" s="7" t="s">
        <v>109</v>
      </c>
      <c r="J13" s="7" t="s">
        <v>130</v>
      </c>
      <c r="K13" s="7" t="s">
        <v>109</v>
      </c>
      <c r="L13" s="11">
        <v>0.93611111111111101</v>
      </c>
      <c r="M13" s="7" t="s">
        <v>109</v>
      </c>
      <c r="N13" s="7" t="s">
        <v>109</v>
      </c>
      <c r="O13" s="7" t="s">
        <v>61</v>
      </c>
      <c r="P13" s="7" t="s">
        <v>131</v>
      </c>
      <c r="Q13" s="7" t="s">
        <v>82</v>
      </c>
      <c r="R13" s="7" t="s">
        <v>62</v>
      </c>
      <c r="S13" s="7" t="s">
        <v>109</v>
      </c>
      <c r="T13" s="7" t="s">
        <v>109</v>
      </c>
      <c r="U13" s="7" t="s">
        <v>109</v>
      </c>
      <c r="V13" s="7" t="s">
        <v>109</v>
      </c>
      <c r="W13" s="29" t="s">
        <v>424</v>
      </c>
    </row>
    <row r="14" spans="1:23" x14ac:dyDescent="0.3">
      <c r="A14" s="7">
        <v>13</v>
      </c>
      <c r="B14" s="29" t="s">
        <v>23</v>
      </c>
      <c r="C14" s="29" t="s">
        <v>1642</v>
      </c>
      <c r="D14" s="29">
        <v>50126372</v>
      </c>
      <c r="E14" s="29">
        <v>120</v>
      </c>
      <c r="F14" s="7">
        <v>186</v>
      </c>
      <c r="G14" s="7">
        <v>123</v>
      </c>
      <c r="H14" s="77" t="s">
        <v>69</v>
      </c>
      <c r="I14" s="7" t="s">
        <v>109</v>
      </c>
      <c r="J14" s="7" t="s">
        <v>130</v>
      </c>
      <c r="K14" s="7" t="s">
        <v>109</v>
      </c>
      <c r="L14" s="11">
        <v>0.79861111111111116</v>
      </c>
      <c r="M14" s="7" t="s">
        <v>109</v>
      </c>
      <c r="N14" s="7" t="s">
        <v>109</v>
      </c>
      <c r="O14" s="7" t="s">
        <v>61</v>
      </c>
      <c r="P14" s="7" t="s">
        <v>131</v>
      </c>
      <c r="Q14" s="7" t="s">
        <v>69</v>
      </c>
      <c r="R14" s="7" t="s">
        <v>62</v>
      </c>
      <c r="S14" s="7" t="s">
        <v>109</v>
      </c>
      <c r="T14" s="7" t="s">
        <v>109</v>
      </c>
      <c r="U14" s="7" t="s">
        <v>109</v>
      </c>
      <c r="V14" s="7" t="s">
        <v>109</v>
      </c>
      <c r="W14" s="29" t="s">
        <v>424</v>
      </c>
    </row>
    <row r="15" spans="1:23" x14ac:dyDescent="0.3">
      <c r="A15" s="7">
        <v>14</v>
      </c>
      <c r="B15" s="29" t="s">
        <v>23</v>
      </c>
      <c r="C15" s="29" t="s">
        <v>1643</v>
      </c>
      <c r="D15" s="29">
        <v>50126371</v>
      </c>
      <c r="E15" s="29">
        <v>120</v>
      </c>
      <c r="F15" s="7">
        <v>187</v>
      </c>
      <c r="G15" s="7">
        <v>113</v>
      </c>
      <c r="H15" s="77" t="s">
        <v>70</v>
      </c>
      <c r="I15" s="7" t="s">
        <v>109</v>
      </c>
      <c r="J15" s="7" t="s">
        <v>130</v>
      </c>
      <c r="K15" s="7" t="s">
        <v>109</v>
      </c>
      <c r="L15" s="11">
        <v>4.8611111111111112E-3</v>
      </c>
      <c r="M15" s="7" t="s">
        <v>109</v>
      </c>
      <c r="N15" s="7" t="s">
        <v>109</v>
      </c>
      <c r="O15" s="7" t="s">
        <v>61</v>
      </c>
      <c r="P15" s="7" t="s">
        <v>131</v>
      </c>
      <c r="Q15" s="7" t="s">
        <v>70</v>
      </c>
      <c r="R15" s="7" t="s">
        <v>62</v>
      </c>
      <c r="S15" s="7" t="s">
        <v>109</v>
      </c>
      <c r="T15" s="7" t="s">
        <v>109</v>
      </c>
      <c r="U15" s="7" t="s">
        <v>109</v>
      </c>
      <c r="V15" s="7" t="s">
        <v>109</v>
      </c>
      <c r="W15" s="29" t="s">
        <v>424</v>
      </c>
    </row>
    <row r="16" spans="1:23" x14ac:dyDescent="0.3">
      <c r="A16" s="7">
        <v>15</v>
      </c>
      <c r="B16" s="29" t="s">
        <v>23</v>
      </c>
      <c r="C16" s="29" t="s">
        <v>1644</v>
      </c>
      <c r="D16" s="29">
        <v>50126370</v>
      </c>
      <c r="E16" s="29">
        <v>130</v>
      </c>
      <c r="F16" s="7">
        <v>230</v>
      </c>
      <c r="G16" s="7">
        <v>137</v>
      </c>
      <c r="H16" s="52" t="s">
        <v>1057</v>
      </c>
      <c r="I16" s="7" t="s">
        <v>109</v>
      </c>
      <c r="J16" s="7" t="s">
        <v>130</v>
      </c>
      <c r="K16" s="7" t="s">
        <v>109</v>
      </c>
      <c r="L16" s="11">
        <v>0.91388888888888886</v>
      </c>
      <c r="M16" s="7" t="s">
        <v>109</v>
      </c>
      <c r="N16" s="7" t="s">
        <v>109</v>
      </c>
      <c r="O16" s="7" t="s">
        <v>61</v>
      </c>
      <c r="P16" s="7" t="s">
        <v>131</v>
      </c>
      <c r="Q16" s="7" t="s">
        <v>200</v>
      </c>
      <c r="R16" s="7" t="s">
        <v>62</v>
      </c>
      <c r="S16" s="7" t="s">
        <v>109</v>
      </c>
      <c r="T16" s="7" t="s">
        <v>109</v>
      </c>
      <c r="U16" s="7" t="s">
        <v>109</v>
      </c>
      <c r="V16" s="7" t="s">
        <v>109</v>
      </c>
      <c r="W16" s="29" t="s">
        <v>424</v>
      </c>
    </row>
    <row r="17" spans="1:23" x14ac:dyDescent="0.3">
      <c r="A17" s="7">
        <v>16</v>
      </c>
      <c r="B17" s="29" t="s">
        <v>23</v>
      </c>
      <c r="C17" s="29" t="s">
        <v>1645</v>
      </c>
      <c r="D17" s="29">
        <v>50126369</v>
      </c>
      <c r="E17" s="29">
        <v>130</v>
      </c>
      <c r="F17" s="7">
        <v>197</v>
      </c>
      <c r="G17" s="7">
        <v>135</v>
      </c>
      <c r="H17" s="52" t="s">
        <v>73</v>
      </c>
      <c r="I17" s="7" t="s">
        <v>109</v>
      </c>
      <c r="J17" s="7" t="s">
        <v>130</v>
      </c>
      <c r="K17" s="7" t="s">
        <v>109</v>
      </c>
      <c r="L17" s="11">
        <v>0.80694444444444446</v>
      </c>
      <c r="M17" s="7" t="s">
        <v>109</v>
      </c>
      <c r="N17" s="7" t="s">
        <v>109</v>
      </c>
      <c r="O17" s="7" t="s">
        <v>61</v>
      </c>
      <c r="P17" s="7" t="s">
        <v>131</v>
      </c>
      <c r="Q17" s="7" t="s">
        <v>68</v>
      </c>
      <c r="R17" s="7" t="s">
        <v>62</v>
      </c>
      <c r="S17" s="7" t="s">
        <v>109</v>
      </c>
      <c r="T17" s="7" t="s">
        <v>109</v>
      </c>
      <c r="U17" s="7" t="s">
        <v>109</v>
      </c>
      <c r="V17" s="7" t="s">
        <v>109</v>
      </c>
      <c r="W17" s="29" t="s">
        <v>424</v>
      </c>
    </row>
    <row r="18" spans="1:23" x14ac:dyDescent="0.3">
      <c r="A18" s="7">
        <v>17</v>
      </c>
      <c r="B18" s="29" t="s">
        <v>23</v>
      </c>
      <c r="C18" s="29" t="s">
        <v>1646</v>
      </c>
      <c r="D18" s="29">
        <v>50126368</v>
      </c>
      <c r="E18" s="29">
        <v>120</v>
      </c>
      <c r="F18" s="7">
        <v>157</v>
      </c>
      <c r="G18" s="7">
        <v>120</v>
      </c>
      <c r="H18" s="77" t="s">
        <v>241</v>
      </c>
      <c r="I18" s="7" t="s">
        <v>109</v>
      </c>
      <c r="J18" s="7" t="s">
        <v>130</v>
      </c>
      <c r="K18" s="46">
        <v>4.5138888888888888E-2</v>
      </c>
      <c r="L18" s="7" t="s">
        <v>109</v>
      </c>
      <c r="M18" s="7" t="s">
        <v>109</v>
      </c>
      <c r="N18" s="7" t="s">
        <v>109</v>
      </c>
      <c r="O18" s="7" t="s">
        <v>61</v>
      </c>
      <c r="P18" s="7" t="s">
        <v>131</v>
      </c>
      <c r="Q18" s="7" t="s">
        <v>241</v>
      </c>
      <c r="R18" s="7" t="s">
        <v>62</v>
      </c>
      <c r="S18" s="7" t="s">
        <v>109</v>
      </c>
      <c r="T18" s="7" t="s">
        <v>109</v>
      </c>
      <c r="U18" s="7" t="s">
        <v>109</v>
      </c>
      <c r="V18" s="7" t="s">
        <v>109</v>
      </c>
      <c r="W18" s="29" t="s">
        <v>424</v>
      </c>
    </row>
    <row r="19" spans="1:23" x14ac:dyDescent="0.3">
      <c r="A19" s="7">
        <v>18</v>
      </c>
      <c r="B19" s="29" t="s">
        <v>23</v>
      </c>
      <c r="C19" s="29" t="s">
        <v>1647</v>
      </c>
      <c r="D19" s="29">
        <v>50126373</v>
      </c>
      <c r="E19" s="29">
        <v>65</v>
      </c>
      <c r="F19" s="7">
        <v>103</v>
      </c>
      <c r="G19" s="7">
        <v>66</v>
      </c>
      <c r="H19" s="53" t="s">
        <v>72</v>
      </c>
      <c r="I19" s="7" t="s">
        <v>109</v>
      </c>
      <c r="J19" s="7" t="s">
        <v>130</v>
      </c>
      <c r="K19" s="7" t="s">
        <v>109</v>
      </c>
      <c r="L19" s="11">
        <v>0.90277777777777779</v>
      </c>
      <c r="M19" s="7" t="s">
        <v>109</v>
      </c>
      <c r="N19" s="7" t="s">
        <v>109</v>
      </c>
      <c r="O19" s="7" t="s">
        <v>61</v>
      </c>
      <c r="P19" s="7" t="s">
        <v>131</v>
      </c>
      <c r="Q19" s="7" t="s">
        <v>72</v>
      </c>
      <c r="R19" s="7" t="s">
        <v>62</v>
      </c>
      <c r="S19" s="7" t="s">
        <v>109</v>
      </c>
      <c r="T19" s="7" t="s">
        <v>109</v>
      </c>
      <c r="U19" s="7" t="s">
        <v>109</v>
      </c>
      <c r="V19" s="7" t="s">
        <v>109</v>
      </c>
      <c r="W19" s="29" t="s">
        <v>424</v>
      </c>
    </row>
    <row r="20" spans="1:23" x14ac:dyDescent="0.3">
      <c r="A20" s="7">
        <v>19</v>
      </c>
      <c r="B20" s="29" t="s">
        <v>23</v>
      </c>
      <c r="C20" s="29" t="s">
        <v>1648</v>
      </c>
      <c r="D20" s="29">
        <v>50126383</v>
      </c>
      <c r="E20" s="29">
        <v>65</v>
      </c>
      <c r="F20" s="7">
        <v>145</v>
      </c>
      <c r="G20" s="7">
        <v>68</v>
      </c>
      <c r="H20" s="77" t="s">
        <v>184</v>
      </c>
      <c r="I20" s="7" t="s">
        <v>109</v>
      </c>
      <c r="J20" s="7" t="s">
        <v>130</v>
      </c>
      <c r="K20" s="7" t="s">
        <v>109</v>
      </c>
      <c r="L20" s="11">
        <v>0.94861111111111107</v>
      </c>
      <c r="M20" s="7" t="s">
        <v>109</v>
      </c>
      <c r="N20" s="7" t="s">
        <v>109</v>
      </c>
      <c r="O20" s="7" t="s">
        <v>61</v>
      </c>
      <c r="P20" s="7" t="s">
        <v>131</v>
      </c>
      <c r="Q20" s="7" t="s">
        <v>184</v>
      </c>
      <c r="R20" s="7" t="s">
        <v>62</v>
      </c>
      <c r="S20" s="7" t="s">
        <v>109</v>
      </c>
      <c r="T20" s="7" t="s">
        <v>109</v>
      </c>
      <c r="U20" s="7" t="s">
        <v>109</v>
      </c>
      <c r="V20" s="7" t="s">
        <v>109</v>
      </c>
      <c r="W20" s="29" t="s">
        <v>424</v>
      </c>
    </row>
    <row r="21" spans="1:23" x14ac:dyDescent="0.3">
      <c r="A21" s="7">
        <v>20</v>
      </c>
      <c r="B21" s="29" t="s">
        <v>23</v>
      </c>
      <c r="C21" s="29" t="s">
        <v>1649</v>
      </c>
      <c r="D21" s="29">
        <v>50126384</v>
      </c>
      <c r="E21" s="29">
        <v>50</v>
      </c>
      <c r="F21" s="7">
        <v>73</v>
      </c>
      <c r="G21" s="7">
        <v>54</v>
      </c>
      <c r="H21" s="53" t="s">
        <v>196</v>
      </c>
      <c r="I21" s="7" t="s">
        <v>109</v>
      </c>
      <c r="J21" s="7" t="s">
        <v>130</v>
      </c>
      <c r="K21" s="7" t="s">
        <v>109</v>
      </c>
      <c r="L21" s="11">
        <v>0.67361111111111116</v>
      </c>
      <c r="M21" s="7" t="s">
        <v>109</v>
      </c>
      <c r="N21" s="7" t="s">
        <v>109</v>
      </c>
      <c r="O21" s="7" t="s">
        <v>61</v>
      </c>
      <c r="P21" s="7" t="s">
        <v>131</v>
      </c>
      <c r="Q21" s="7" t="s">
        <v>196</v>
      </c>
      <c r="R21" s="7" t="s">
        <v>62</v>
      </c>
      <c r="S21" s="7" t="s">
        <v>109</v>
      </c>
      <c r="T21" s="7" t="s">
        <v>109</v>
      </c>
      <c r="U21" s="7" t="s">
        <v>109</v>
      </c>
      <c r="V21" s="7" t="s">
        <v>109</v>
      </c>
      <c r="W21" s="29" t="s">
        <v>424</v>
      </c>
    </row>
    <row r="22" spans="1:23" x14ac:dyDescent="0.3">
      <c r="A22" s="7">
        <v>21</v>
      </c>
      <c r="B22" s="29" t="s">
        <v>23</v>
      </c>
      <c r="C22" s="29" t="s">
        <v>1650</v>
      </c>
      <c r="D22" s="29">
        <v>50126374</v>
      </c>
      <c r="E22" s="29">
        <v>65</v>
      </c>
      <c r="F22" s="7" t="s">
        <v>109</v>
      </c>
      <c r="G22" s="7" t="s">
        <v>109</v>
      </c>
      <c r="H22" s="77" t="s">
        <v>84</v>
      </c>
      <c r="I22" s="7" t="s">
        <v>109</v>
      </c>
      <c r="J22" s="7" t="s">
        <v>109</v>
      </c>
      <c r="K22" s="7" t="s">
        <v>109</v>
      </c>
      <c r="L22" s="7" t="s">
        <v>109</v>
      </c>
      <c r="M22" s="7" t="s">
        <v>109</v>
      </c>
      <c r="N22" s="7" t="s">
        <v>109</v>
      </c>
      <c r="O22" s="7" t="s">
        <v>61</v>
      </c>
      <c r="P22" s="7" t="s">
        <v>109</v>
      </c>
      <c r="Q22" s="7" t="s">
        <v>109</v>
      </c>
      <c r="R22" s="7" t="s">
        <v>62</v>
      </c>
      <c r="S22" s="7" t="s">
        <v>109</v>
      </c>
      <c r="T22" s="7" t="s">
        <v>109</v>
      </c>
      <c r="U22" s="7" t="s">
        <v>109</v>
      </c>
      <c r="V22" s="7" t="s">
        <v>109</v>
      </c>
      <c r="W22" s="29" t="s">
        <v>424</v>
      </c>
    </row>
    <row r="23" spans="1:23" x14ac:dyDescent="0.3">
      <c r="A23" s="7">
        <v>22</v>
      </c>
      <c r="B23" s="29" t="s">
        <v>23</v>
      </c>
      <c r="C23" s="29" t="s">
        <v>1651</v>
      </c>
      <c r="D23" s="29">
        <v>50126375</v>
      </c>
      <c r="E23" s="29">
        <v>50</v>
      </c>
      <c r="F23" s="7">
        <v>134</v>
      </c>
      <c r="G23" s="7">
        <v>65</v>
      </c>
      <c r="H23" s="53" t="s">
        <v>274</v>
      </c>
      <c r="I23" s="7" t="s">
        <v>109</v>
      </c>
      <c r="J23" s="7" t="s">
        <v>130</v>
      </c>
      <c r="K23" s="7" t="s">
        <v>109</v>
      </c>
      <c r="L23" s="11">
        <v>0.68888888888888899</v>
      </c>
      <c r="M23" s="7" t="s">
        <v>109</v>
      </c>
      <c r="N23" s="7" t="s">
        <v>109</v>
      </c>
      <c r="O23" s="7" t="s">
        <v>61</v>
      </c>
      <c r="P23" s="7" t="s">
        <v>131</v>
      </c>
      <c r="Q23" s="7" t="s">
        <v>274</v>
      </c>
      <c r="R23" s="7" t="s">
        <v>62</v>
      </c>
      <c r="S23" s="7" t="s">
        <v>109</v>
      </c>
      <c r="T23" s="7" t="s">
        <v>109</v>
      </c>
      <c r="U23" s="7" t="s">
        <v>109</v>
      </c>
      <c r="V23" s="7" t="s">
        <v>109</v>
      </c>
      <c r="W23" s="29" t="s">
        <v>424</v>
      </c>
    </row>
    <row r="24" spans="1:23" x14ac:dyDescent="0.3">
      <c r="A24" s="7">
        <v>23</v>
      </c>
      <c r="B24" s="29" t="s">
        <v>23</v>
      </c>
      <c r="C24" s="29" t="s">
        <v>1652</v>
      </c>
      <c r="D24" s="29">
        <v>50126376</v>
      </c>
      <c r="E24" s="29">
        <v>65</v>
      </c>
      <c r="F24" s="7">
        <v>98</v>
      </c>
      <c r="G24" s="7">
        <v>67</v>
      </c>
      <c r="H24" s="77" t="s">
        <v>69</v>
      </c>
      <c r="I24" s="7" t="s">
        <v>109</v>
      </c>
      <c r="J24" s="7" t="s">
        <v>130</v>
      </c>
      <c r="K24" s="7" t="s">
        <v>109</v>
      </c>
      <c r="L24" s="11">
        <v>0.82708333333333339</v>
      </c>
      <c r="M24" s="7" t="s">
        <v>109</v>
      </c>
      <c r="N24" s="7" t="s">
        <v>109</v>
      </c>
      <c r="O24" s="7" t="s">
        <v>61</v>
      </c>
      <c r="P24" s="7" t="s">
        <v>131</v>
      </c>
      <c r="Q24" s="7" t="s">
        <v>69</v>
      </c>
      <c r="R24" s="7" t="s">
        <v>62</v>
      </c>
      <c r="S24" s="7" t="s">
        <v>109</v>
      </c>
      <c r="T24" s="7" t="s">
        <v>109</v>
      </c>
      <c r="U24" s="7" t="s">
        <v>109</v>
      </c>
      <c r="V24" s="7" t="s">
        <v>109</v>
      </c>
      <c r="W24" s="29" t="s">
        <v>424</v>
      </c>
    </row>
    <row r="25" spans="1:23" x14ac:dyDescent="0.3">
      <c r="A25" s="7">
        <v>24</v>
      </c>
      <c r="B25" s="29" t="s">
        <v>23</v>
      </c>
      <c r="C25" s="29" t="s">
        <v>1653</v>
      </c>
      <c r="D25" s="29">
        <v>50126377</v>
      </c>
      <c r="E25" s="29">
        <v>65</v>
      </c>
      <c r="F25" s="7">
        <v>88</v>
      </c>
      <c r="G25" s="7">
        <v>60</v>
      </c>
      <c r="H25" s="77" t="s">
        <v>70</v>
      </c>
      <c r="I25" s="7" t="s">
        <v>109</v>
      </c>
      <c r="J25" s="7" t="s">
        <v>130</v>
      </c>
      <c r="K25" s="7" t="s">
        <v>109</v>
      </c>
      <c r="L25" s="11">
        <v>8.3333333333333332E-3</v>
      </c>
      <c r="M25" s="7" t="s">
        <v>109</v>
      </c>
      <c r="N25" s="7" t="s">
        <v>109</v>
      </c>
      <c r="O25" s="7" t="s">
        <v>61</v>
      </c>
      <c r="P25" s="7" t="s">
        <v>131</v>
      </c>
      <c r="Q25" s="7" t="s">
        <v>70</v>
      </c>
      <c r="R25" s="7" t="s">
        <v>62</v>
      </c>
      <c r="S25" s="7" t="s">
        <v>109</v>
      </c>
      <c r="T25" s="7" t="s">
        <v>109</v>
      </c>
      <c r="U25" s="7" t="s">
        <v>109</v>
      </c>
      <c r="V25" s="7" t="s">
        <v>109</v>
      </c>
      <c r="W25" s="29" t="s">
        <v>424</v>
      </c>
    </row>
    <row r="26" spans="1:23" x14ac:dyDescent="0.3">
      <c r="A26" s="7">
        <v>25</v>
      </c>
      <c r="B26" s="29" t="s">
        <v>23</v>
      </c>
      <c r="C26" s="29" t="s">
        <v>1654</v>
      </c>
      <c r="D26" s="29">
        <v>50126378</v>
      </c>
      <c r="E26" s="29">
        <v>65</v>
      </c>
      <c r="F26" s="7">
        <v>79</v>
      </c>
      <c r="G26" s="7">
        <v>62</v>
      </c>
      <c r="H26" s="77" t="s">
        <v>241</v>
      </c>
      <c r="I26" s="7" t="s">
        <v>109</v>
      </c>
      <c r="J26" s="7" t="s">
        <v>130</v>
      </c>
      <c r="K26" s="7" t="s">
        <v>109</v>
      </c>
      <c r="L26" s="11">
        <v>0.69791666666666663</v>
      </c>
      <c r="M26" s="7" t="s">
        <v>109</v>
      </c>
      <c r="N26" s="7" t="s">
        <v>109</v>
      </c>
      <c r="O26" s="7" t="s">
        <v>61</v>
      </c>
      <c r="P26" s="7" t="s">
        <v>131</v>
      </c>
      <c r="Q26" s="7" t="s">
        <v>241</v>
      </c>
      <c r="R26" s="7" t="s">
        <v>62</v>
      </c>
      <c r="S26" s="7" t="s">
        <v>109</v>
      </c>
      <c r="T26" s="7" t="s">
        <v>109</v>
      </c>
      <c r="U26" s="7" t="s">
        <v>109</v>
      </c>
      <c r="V26" s="7" t="s">
        <v>109</v>
      </c>
      <c r="W26" s="29" t="s">
        <v>424</v>
      </c>
    </row>
    <row r="27" spans="1:23" x14ac:dyDescent="0.3">
      <c r="A27" s="7">
        <v>26</v>
      </c>
      <c r="B27" s="29" t="s">
        <v>23</v>
      </c>
      <c r="C27" s="29" t="s">
        <v>1655</v>
      </c>
      <c r="D27" s="29">
        <v>50126387</v>
      </c>
      <c r="E27" s="29">
        <v>65</v>
      </c>
      <c r="F27" s="7">
        <v>75</v>
      </c>
      <c r="G27" s="7">
        <v>70</v>
      </c>
      <c r="H27" s="77" t="s">
        <v>153</v>
      </c>
      <c r="I27" s="7" t="s">
        <v>109</v>
      </c>
      <c r="J27" s="7" t="s">
        <v>130</v>
      </c>
      <c r="K27" s="7" t="s">
        <v>109</v>
      </c>
      <c r="L27" s="11">
        <v>0.66597222222222219</v>
      </c>
      <c r="M27" s="7" t="s">
        <v>109</v>
      </c>
      <c r="N27" s="7" t="s">
        <v>109</v>
      </c>
      <c r="O27" s="7" t="s">
        <v>61</v>
      </c>
      <c r="P27" s="7" t="s">
        <v>131</v>
      </c>
      <c r="Q27" s="7" t="s">
        <v>153</v>
      </c>
      <c r="R27" s="7" t="s">
        <v>62</v>
      </c>
      <c r="S27" s="7" t="s">
        <v>109</v>
      </c>
      <c r="T27" s="7" t="s">
        <v>109</v>
      </c>
      <c r="U27" s="7" t="s">
        <v>109</v>
      </c>
      <c r="V27" s="7" t="s">
        <v>109</v>
      </c>
      <c r="W27" s="29" t="s">
        <v>424</v>
      </c>
    </row>
    <row r="28" spans="1:23" x14ac:dyDescent="0.3">
      <c r="A28" s="7">
        <v>27</v>
      </c>
      <c r="B28" s="29" t="s">
        <v>23</v>
      </c>
      <c r="C28" s="29" t="s">
        <v>1656</v>
      </c>
      <c r="D28" s="29">
        <v>50126379</v>
      </c>
      <c r="E28" s="29">
        <v>65</v>
      </c>
      <c r="F28" s="7">
        <v>74</v>
      </c>
      <c r="G28" s="7">
        <v>63</v>
      </c>
      <c r="H28" s="77" t="s">
        <v>222</v>
      </c>
      <c r="I28" s="7" t="s">
        <v>109</v>
      </c>
      <c r="J28" s="7" t="s">
        <v>130</v>
      </c>
      <c r="K28" s="7" t="s">
        <v>109</v>
      </c>
      <c r="L28" s="11">
        <v>0.67638888888888893</v>
      </c>
      <c r="M28" s="7" t="s">
        <v>109</v>
      </c>
      <c r="N28" s="7" t="s">
        <v>109</v>
      </c>
      <c r="O28" s="7" t="s">
        <v>61</v>
      </c>
      <c r="P28" s="7" t="s">
        <v>131</v>
      </c>
      <c r="Q28" s="7" t="s">
        <v>222</v>
      </c>
      <c r="R28" s="7" t="s">
        <v>62</v>
      </c>
      <c r="S28" s="7" t="s">
        <v>109</v>
      </c>
      <c r="T28" s="7" t="s">
        <v>109</v>
      </c>
      <c r="U28" s="7" t="s">
        <v>109</v>
      </c>
      <c r="V28" s="7" t="s">
        <v>109</v>
      </c>
      <c r="W28" s="29" t="s">
        <v>424</v>
      </c>
    </row>
    <row r="29" spans="1:23" x14ac:dyDescent="0.3">
      <c r="A29" s="7">
        <v>28</v>
      </c>
      <c r="B29" s="29" t="s">
        <v>23</v>
      </c>
      <c r="C29" s="29" t="s">
        <v>1657</v>
      </c>
      <c r="D29" s="29">
        <v>50126380</v>
      </c>
      <c r="E29" s="29">
        <v>65</v>
      </c>
      <c r="F29" s="7">
        <v>74</v>
      </c>
      <c r="G29" s="7">
        <v>64</v>
      </c>
      <c r="H29" s="53" t="s">
        <v>66</v>
      </c>
      <c r="I29" s="7" t="s">
        <v>109</v>
      </c>
      <c r="J29" s="7" t="s">
        <v>130</v>
      </c>
      <c r="K29" s="7" t="s">
        <v>109</v>
      </c>
      <c r="L29" s="11">
        <v>0.71250000000000002</v>
      </c>
      <c r="M29" s="7" t="s">
        <v>109</v>
      </c>
      <c r="N29" s="7" t="s">
        <v>109</v>
      </c>
      <c r="O29" s="7" t="s">
        <v>61</v>
      </c>
      <c r="P29" s="7" t="s">
        <v>131</v>
      </c>
      <c r="Q29" s="7" t="s">
        <v>109</v>
      </c>
      <c r="R29" s="7" t="s">
        <v>62</v>
      </c>
      <c r="S29" s="7" t="s">
        <v>109</v>
      </c>
      <c r="T29" s="7" t="s">
        <v>109</v>
      </c>
      <c r="U29" s="7" t="s">
        <v>109</v>
      </c>
      <c r="V29" s="7" t="s">
        <v>109</v>
      </c>
      <c r="W29" s="29" t="s">
        <v>424</v>
      </c>
    </row>
    <row r="30" spans="1:23" x14ac:dyDescent="0.3">
      <c r="A30" s="7">
        <v>29</v>
      </c>
      <c r="B30" s="29" t="s">
        <v>23</v>
      </c>
      <c r="C30" s="29" t="s">
        <v>1658</v>
      </c>
      <c r="D30" s="29">
        <v>50126381</v>
      </c>
      <c r="E30" s="29">
        <v>50</v>
      </c>
      <c r="F30" s="7">
        <v>77</v>
      </c>
      <c r="G30" s="7">
        <v>50</v>
      </c>
      <c r="H30" s="53" t="s">
        <v>71</v>
      </c>
      <c r="I30" s="7" t="s">
        <v>109</v>
      </c>
      <c r="J30" s="7" t="s">
        <v>130</v>
      </c>
      <c r="K30" s="7" t="s">
        <v>109</v>
      </c>
      <c r="L30" s="11">
        <v>0.77500000000000002</v>
      </c>
      <c r="M30" s="7" t="s">
        <v>109</v>
      </c>
      <c r="N30" s="7" t="s">
        <v>109</v>
      </c>
      <c r="O30" s="7" t="s">
        <v>61</v>
      </c>
      <c r="P30" s="7" t="s">
        <v>131</v>
      </c>
      <c r="Q30" s="7" t="s">
        <v>71</v>
      </c>
      <c r="R30" s="7" t="s">
        <v>62</v>
      </c>
      <c r="S30" s="7" t="s">
        <v>109</v>
      </c>
      <c r="T30" s="7" t="s">
        <v>109</v>
      </c>
      <c r="U30" s="7" t="s">
        <v>109</v>
      </c>
      <c r="V30" s="7" t="s">
        <v>109</v>
      </c>
      <c r="W30" s="29" t="s">
        <v>424</v>
      </c>
    </row>
    <row r="31" spans="1:23" x14ac:dyDescent="0.3">
      <c r="A31" s="7">
        <v>30</v>
      </c>
      <c r="B31" s="29" t="s">
        <v>23</v>
      </c>
      <c r="C31" s="29" t="s">
        <v>1659</v>
      </c>
      <c r="D31" s="29">
        <v>50126382</v>
      </c>
      <c r="E31" s="29">
        <v>50</v>
      </c>
      <c r="F31" s="7">
        <v>61</v>
      </c>
      <c r="G31" s="7">
        <v>51</v>
      </c>
      <c r="H31" s="77" t="s">
        <v>64</v>
      </c>
      <c r="I31" s="7" t="s">
        <v>109</v>
      </c>
      <c r="J31" s="7" t="s">
        <v>130</v>
      </c>
      <c r="K31" s="7" t="s">
        <v>109</v>
      </c>
      <c r="L31" s="11">
        <v>0.79305555555555562</v>
      </c>
      <c r="M31" s="7" t="s">
        <v>109</v>
      </c>
      <c r="N31" s="7" t="s">
        <v>109</v>
      </c>
      <c r="O31" s="7" t="s">
        <v>61</v>
      </c>
      <c r="P31" s="7" t="s">
        <v>131</v>
      </c>
      <c r="Q31" s="7" t="s">
        <v>364</v>
      </c>
      <c r="R31" s="7" t="s">
        <v>62</v>
      </c>
      <c r="S31" s="7" t="s">
        <v>109</v>
      </c>
      <c r="T31" s="7" t="s">
        <v>109</v>
      </c>
      <c r="U31" s="7" t="s">
        <v>109</v>
      </c>
      <c r="V31" s="7" t="s">
        <v>109</v>
      </c>
      <c r="W31" s="29" t="s">
        <v>424</v>
      </c>
    </row>
    <row r="32" spans="1:23" x14ac:dyDescent="0.3">
      <c r="A32" s="7">
        <v>31</v>
      </c>
      <c r="B32" s="29" t="s">
        <v>23</v>
      </c>
      <c r="C32" s="29" t="s">
        <v>1660</v>
      </c>
      <c r="D32" s="29">
        <v>50126386</v>
      </c>
      <c r="E32" s="29">
        <v>65</v>
      </c>
      <c r="F32" s="7">
        <v>137</v>
      </c>
      <c r="G32" s="7">
        <v>70</v>
      </c>
      <c r="H32" s="77" t="s">
        <v>214</v>
      </c>
      <c r="I32" s="7" t="s">
        <v>109</v>
      </c>
      <c r="J32" s="7" t="s">
        <v>130</v>
      </c>
      <c r="K32" s="7" t="s">
        <v>109</v>
      </c>
      <c r="L32" s="11">
        <v>0.6958333333333333</v>
      </c>
      <c r="M32" s="7" t="s">
        <v>109</v>
      </c>
      <c r="N32" s="7" t="s">
        <v>109</v>
      </c>
      <c r="O32" s="7" t="s">
        <v>61</v>
      </c>
      <c r="P32" s="7" t="s">
        <v>131</v>
      </c>
      <c r="Q32" s="7" t="s">
        <v>214</v>
      </c>
      <c r="R32" s="7" t="s">
        <v>62</v>
      </c>
      <c r="S32" s="7" t="s">
        <v>109</v>
      </c>
      <c r="T32" s="7" t="s">
        <v>109</v>
      </c>
      <c r="U32" s="7" t="s">
        <v>109</v>
      </c>
      <c r="V32" s="7" t="s">
        <v>109</v>
      </c>
      <c r="W32" s="29" t="s">
        <v>424</v>
      </c>
    </row>
    <row r="33" spans="1:23" x14ac:dyDescent="0.3">
      <c r="A33" s="7">
        <v>32</v>
      </c>
      <c r="B33" s="29" t="s">
        <v>23</v>
      </c>
      <c r="C33" s="29" t="s">
        <v>1661</v>
      </c>
      <c r="D33" s="29">
        <v>50126385</v>
      </c>
      <c r="E33" s="29">
        <v>65</v>
      </c>
      <c r="F33" s="7">
        <v>122</v>
      </c>
      <c r="G33" s="7">
        <v>73</v>
      </c>
      <c r="H33" s="77" t="s">
        <v>200</v>
      </c>
      <c r="I33" s="7" t="s">
        <v>109</v>
      </c>
      <c r="J33" s="7" t="s">
        <v>130</v>
      </c>
      <c r="K33" s="7" t="s">
        <v>109</v>
      </c>
      <c r="L33" s="11">
        <v>0.99861111111111101</v>
      </c>
      <c r="M33" s="7" t="s">
        <v>109</v>
      </c>
      <c r="N33" s="7" t="s">
        <v>109</v>
      </c>
      <c r="O33" s="7" t="s">
        <v>61</v>
      </c>
      <c r="P33" s="7" t="s">
        <v>131</v>
      </c>
      <c r="Q33" s="7" t="s">
        <v>200</v>
      </c>
      <c r="R33" s="7" t="s">
        <v>62</v>
      </c>
      <c r="S33" s="7" t="s">
        <v>109</v>
      </c>
      <c r="T33" s="7" t="s">
        <v>109</v>
      </c>
      <c r="U33" s="7" t="s">
        <v>109</v>
      </c>
      <c r="V33" s="7" t="s">
        <v>109</v>
      </c>
      <c r="W33" s="29" t="s">
        <v>424</v>
      </c>
    </row>
    <row r="34" spans="1:23" x14ac:dyDescent="0.3">
      <c r="A34" s="7">
        <v>33</v>
      </c>
      <c r="B34" s="29" t="s">
        <v>23</v>
      </c>
      <c r="C34" s="29" t="s">
        <v>1662</v>
      </c>
      <c r="D34" s="29">
        <v>50126388</v>
      </c>
      <c r="E34" s="29">
        <v>65</v>
      </c>
      <c r="F34" s="7">
        <v>78</v>
      </c>
      <c r="G34" s="7">
        <v>98</v>
      </c>
      <c r="H34" s="53" t="s">
        <v>196</v>
      </c>
      <c r="I34" s="7" t="s">
        <v>109</v>
      </c>
      <c r="J34" s="7" t="s">
        <v>130</v>
      </c>
      <c r="K34" s="7" t="s">
        <v>109</v>
      </c>
      <c r="L34" s="11">
        <v>0.7006944444444444</v>
      </c>
      <c r="M34" s="7" t="s">
        <v>109</v>
      </c>
      <c r="N34" s="7" t="s">
        <v>109</v>
      </c>
      <c r="O34" s="7" t="s">
        <v>61</v>
      </c>
      <c r="P34" s="7" t="s">
        <v>131</v>
      </c>
      <c r="Q34" s="7" t="s">
        <v>196</v>
      </c>
      <c r="R34" s="7" t="s">
        <v>62</v>
      </c>
      <c r="S34" s="7" t="s">
        <v>109</v>
      </c>
      <c r="T34" s="7" t="s">
        <v>109</v>
      </c>
      <c r="U34" s="7" t="s">
        <v>109</v>
      </c>
      <c r="V34" s="7" t="s">
        <v>109</v>
      </c>
      <c r="W34" s="29" t="s">
        <v>424</v>
      </c>
    </row>
    <row r="35" spans="1:23" x14ac:dyDescent="0.3">
      <c r="A35" s="7">
        <v>34</v>
      </c>
      <c r="B35" s="29" t="s">
        <v>23</v>
      </c>
      <c r="C35" s="29" t="s">
        <v>1663</v>
      </c>
      <c r="D35" s="29">
        <v>50126389</v>
      </c>
      <c r="E35" s="29">
        <v>65</v>
      </c>
      <c r="F35" s="7">
        <v>92</v>
      </c>
      <c r="G35" s="7">
        <v>70</v>
      </c>
      <c r="H35" s="53" t="s">
        <v>274</v>
      </c>
      <c r="I35" s="7" t="s">
        <v>109</v>
      </c>
      <c r="J35" s="7" t="s">
        <v>130</v>
      </c>
      <c r="K35" s="7" t="s">
        <v>109</v>
      </c>
      <c r="L35" s="11">
        <v>0.9819444444444444</v>
      </c>
      <c r="M35" s="7" t="s">
        <v>109</v>
      </c>
      <c r="N35" s="7" t="s">
        <v>109</v>
      </c>
      <c r="O35" s="7" t="s">
        <v>61</v>
      </c>
      <c r="P35" s="7" t="s">
        <v>131</v>
      </c>
      <c r="Q35" s="7" t="s">
        <v>274</v>
      </c>
      <c r="R35" s="7" t="s">
        <v>62</v>
      </c>
      <c r="S35" s="7" t="s">
        <v>109</v>
      </c>
      <c r="T35" s="7" t="s">
        <v>109</v>
      </c>
      <c r="U35" s="7" t="s">
        <v>109</v>
      </c>
      <c r="V35" s="7" t="s">
        <v>109</v>
      </c>
      <c r="W35" s="29" t="s">
        <v>424</v>
      </c>
    </row>
    <row r="36" spans="1:23" x14ac:dyDescent="0.3">
      <c r="A36" s="7">
        <v>35</v>
      </c>
      <c r="B36" s="29" t="s">
        <v>23</v>
      </c>
      <c r="C36" s="29" t="s">
        <v>1664</v>
      </c>
      <c r="D36" s="29">
        <v>50126367</v>
      </c>
      <c r="E36" s="29">
        <v>180</v>
      </c>
      <c r="F36" s="7">
        <v>360</v>
      </c>
      <c r="G36" s="7">
        <v>163</v>
      </c>
      <c r="H36" s="52" t="s">
        <v>386</v>
      </c>
      <c r="I36" s="7" t="s">
        <v>109</v>
      </c>
      <c r="J36" s="7" t="s">
        <v>130</v>
      </c>
      <c r="K36" s="7" t="s">
        <v>109</v>
      </c>
      <c r="L36" s="11">
        <v>0.98819444444444438</v>
      </c>
      <c r="M36" s="7" t="s">
        <v>109</v>
      </c>
      <c r="N36" s="7" t="s">
        <v>109</v>
      </c>
      <c r="O36" s="7" t="s">
        <v>61</v>
      </c>
      <c r="P36" s="7" t="s">
        <v>131</v>
      </c>
      <c r="Q36" s="7" t="s">
        <v>72</v>
      </c>
      <c r="R36" s="7" t="s">
        <v>62</v>
      </c>
      <c r="S36" s="7" t="s">
        <v>109</v>
      </c>
      <c r="T36" s="7" t="s">
        <v>109</v>
      </c>
      <c r="U36" s="7" t="s">
        <v>109</v>
      </c>
      <c r="V36" s="7" t="s">
        <v>109</v>
      </c>
      <c r="W36" s="29" t="s">
        <v>424</v>
      </c>
    </row>
    <row r="37" spans="1:23" x14ac:dyDescent="0.3">
      <c r="A37" s="7">
        <v>36</v>
      </c>
      <c r="B37" s="29" t="s">
        <v>143</v>
      </c>
      <c r="C37" s="29" t="s">
        <v>1264</v>
      </c>
      <c r="D37" s="29">
        <v>11125008</v>
      </c>
      <c r="E37" s="29">
        <v>10</v>
      </c>
      <c r="F37" s="7">
        <v>19</v>
      </c>
      <c r="G37" s="7">
        <v>13</v>
      </c>
      <c r="H37" s="77" t="s">
        <v>222</v>
      </c>
      <c r="I37" s="77" t="s">
        <v>88</v>
      </c>
      <c r="J37" s="7" t="s">
        <v>130</v>
      </c>
      <c r="K37" s="11">
        <v>0.69444444444444453</v>
      </c>
      <c r="L37" s="11">
        <v>0.81388888888888899</v>
      </c>
      <c r="M37" s="7" t="s">
        <v>109</v>
      </c>
      <c r="N37" s="7" t="s">
        <v>109</v>
      </c>
      <c r="O37" s="7" t="s">
        <v>61</v>
      </c>
      <c r="P37" s="7" t="s">
        <v>131</v>
      </c>
      <c r="Q37" s="7" t="s">
        <v>88</v>
      </c>
      <c r="R37" s="7" t="s">
        <v>62</v>
      </c>
      <c r="S37" s="7" t="s">
        <v>109</v>
      </c>
      <c r="T37" s="7" t="s">
        <v>109</v>
      </c>
      <c r="U37" s="7" t="s">
        <v>109</v>
      </c>
      <c r="V37" s="7" t="s">
        <v>109</v>
      </c>
      <c r="W37" s="29" t="s">
        <v>1665</v>
      </c>
    </row>
    <row r="38" spans="1:23" x14ac:dyDescent="0.3">
      <c r="A38" s="7">
        <v>37</v>
      </c>
      <c r="B38" s="29" t="s">
        <v>143</v>
      </c>
      <c r="C38" s="29" t="s">
        <v>1563</v>
      </c>
      <c r="D38" s="29">
        <v>10126038</v>
      </c>
      <c r="E38" s="29" t="s">
        <v>287</v>
      </c>
      <c r="F38" s="7">
        <v>96</v>
      </c>
      <c r="G38" s="7">
        <v>24</v>
      </c>
      <c r="H38" s="77" t="s">
        <v>1666</v>
      </c>
      <c r="I38" s="7" t="s">
        <v>109</v>
      </c>
      <c r="J38" s="7" t="s">
        <v>130</v>
      </c>
      <c r="K38" s="7" t="s">
        <v>109</v>
      </c>
      <c r="L38" s="11">
        <v>0.96805555555555556</v>
      </c>
      <c r="M38" s="7" t="s">
        <v>109</v>
      </c>
      <c r="N38" s="7" t="s">
        <v>109</v>
      </c>
      <c r="O38" s="7" t="s">
        <v>61</v>
      </c>
      <c r="P38" s="7" t="s">
        <v>131</v>
      </c>
      <c r="Q38" s="7" t="s">
        <v>91</v>
      </c>
      <c r="R38" s="7" t="s">
        <v>62</v>
      </c>
      <c r="S38" s="7" t="s">
        <v>109</v>
      </c>
      <c r="T38" s="7" t="s">
        <v>109</v>
      </c>
      <c r="U38" s="7" t="s">
        <v>109</v>
      </c>
      <c r="V38" s="7" t="s">
        <v>109</v>
      </c>
      <c r="W38" s="29" t="s">
        <v>1433</v>
      </c>
    </row>
    <row r="39" spans="1:23" x14ac:dyDescent="0.3">
      <c r="A39" s="7">
        <v>38</v>
      </c>
      <c r="B39" s="29" t="s">
        <v>143</v>
      </c>
      <c r="C39" s="29" t="s">
        <v>1598</v>
      </c>
      <c r="D39" s="29">
        <v>10126044</v>
      </c>
      <c r="E39" s="29">
        <v>150</v>
      </c>
      <c r="F39" s="7">
        <v>254</v>
      </c>
      <c r="G39" s="7">
        <v>151</v>
      </c>
      <c r="H39" s="52" t="s">
        <v>1052</v>
      </c>
      <c r="I39" s="7" t="s">
        <v>297</v>
      </c>
      <c r="J39" s="7" t="s">
        <v>130</v>
      </c>
      <c r="K39" s="11">
        <v>0.96458333333333324</v>
      </c>
      <c r="L39" s="11">
        <v>4.1666666666666666E-3</v>
      </c>
      <c r="M39" s="7" t="s">
        <v>109</v>
      </c>
      <c r="N39" s="7" t="s">
        <v>109</v>
      </c>
      <c r="O39" s="7" t="s">
        <v>61</v>
      </c>
      <c r="P39" s="7" t="s">
        <v>131</v>
      </c>
      <c r="Q39" s="7" t="s">
        <v>90</v>
      </c>
      <c r="R39" s="7" t="s">
        <v>62</v>
      </c>
      <c r="S39" s="7" t="s">
        <v>109</v>
      </c>
      <c r="T39" s="7" t="s">
        <v>109</v>
      </c>
      <c r="U39" s="7" t="s">
        <v>109</v>
      </c>
      <c r="V39" s="7" t="s">
        <v>109</v>
      </c>
      <c r="W39" s="29" t="s">
        <v>480</v>
      </c>
    </row>
    <row r="40" spans="1:23" x14ac:dyDescent="0.3">
      <c r="A40" s="7">
        <v>39</v>
      </c>
      <c r="B40" s="29" t="s">
        <v>143</v>
      </c>
      <c r="C40" s="29" t="s">
        <v>1667</v>
      </c>
      <c r="D40" s="29">
        <v>10126048</v>
      </c>
      <c r="E40" s="29">
        <v>120</v>
      </c>
      <c r="F40" s="7">
        <v>77</v>
      </c>
      <c r="G40" s="7">
        <v>20</v>
      </c>
      <c r="H40" s="52" t="s">
        <v>186</v>
      </c>
      <c r="I40" s="7" t="s">
        <v>294</v>
      </c>
      <c r="J40" s="7" t="s">
        <v>130</v>
      </c>
      <c r="K40" s="11">
        <v>0.81666666666666676</v>
      </c>
      <c r="L40" s="11">
        <v>0.85069444444444453</v>
      </c>
      <c r="M40" s="7" t="s">
        <v>109</v>
      </c>
      <c r="N40" s="7" t="s">
        <v>109</v>
      </c>
      <c r="O40" s="7" t="s">
        <v>61</v>
      </c>
      <c r="P40" s="7" t="s">
        <v>131</v>
      </c>
      <c r="Q40" s="7" t="s">
        <v>88</v>
      </c>
      <c r="R40" s="7" t="s">
        <v>62</v>
      </c>
      <c r="S40" s="7" t="s">
        <v>109</v>
      </c>
      <c r="T40" s="7" t="s">
        <v>109</v>
      </c>
      <c r="U40" s="7" t="s">
        <v>109</v>
      </c>
      <c r="V40" s="7" t="s">
        <v>109</v>
      </c>
      <c r="W40" s="29" t="s">
        <v>402</v>
      </c>
    </row>
    <row r="41" spans="1:23" x14ac:dyDescent="0.3">
      <c r="A41" s="7">
        <v>40</v>
      </c>
      <c r="B41" s="29" t="s">
        <v>143</v>
      </c>
      <c r="C41" s="29" t="s">
        <v>1668</v>
      </c>
      <c r="D41" s="29">
        <v>10126047</v>
      </c>
      <c r="E41" s="29">
        <v>35</v>
      </c>
      <c r="F41" s="7">
        <v>42</v>
      </c>
      <c r="G41" s="7">
        <v>22</v>
      </c>
      <c r="H41" s="77" t="s">
        <v>214</v>
      </c>
      <c r="I41" s="53" t="s">
        <v>209</v>
      </c>
      <c r="J41" s="7" t="s">
        <v>130</v>
      </c>
      <c r="K41" s="11">
        <v>0.98958333333333337</v>
      </c>
      <c r="L41" s="11">
        <v>1.3888888888888888E-2</v>
      </c>
      <c r="M41" s="7" t="s">
        <v>109</v>
      </c>
      <c r="N41" s="7" t="s">
        <v>109</v>
      </c>
      <c r="O41" s="7" t="s">
        <v>61</v>
      </c>
      <c r="P41" s="7" t="s">
        <v>131</v>
      </c>
      <c r="Q41" s="7" t="s">
        <v>209</v>
      </c>
      <c r="R41" s="7" t="s">
        <v>62</v>
      </c>
      <c r="S41" s="7" t="s">
        <v>109</v>
      </c>
      <c r="T41" s="7" t="s">
        <v>109</v>
      </c>
      <c r="U41" s="7" t="s">
        <v>109</v>
      </c>
      <c r="V41" s="7" t="s">
        <v>109</v>
      </c>
      <c r="W41" s="29" t="s">
        <v>1669</v>
      </c>
    </row>
    <row r="42" spans="1:23" x14ac:dyDescent="0.3">
      <c r="A42" s="7">
        <v>41</v>
      </c>
      <c r="B42" s="29" t="s">
        <v>143</v>
      </c>
      <c r="C42" s="29" t="s">
        <v>1670</v>
      </c>
      <c r="D42" s="29">
        <v>10126041</v>
      </c>
      <c r="E42" s="29">
        <v>165</v>
      </c>
      <c r="F42" s="7">
        <v>339</v>
      </c>
      <c r="G42" s="7">
        <v>131</v>
      </c>
      <c r="H42" s="52" t="s">
        <v>1671</v>
      </c>
      <c r="I42" s="7" t="s">
        <v>99</v>
      </c>
      <c r="J42" s="7" t="s">
        <v>130</v>
      </c>
      <c r="K42" s="11">
        <v>0.76180555555555562</v>
      </c>
      <c r="L42" s="11">
        <v>0.93125000000000002</v>
      </c>
      <c r="M42" s="7" t="s">
        <v>109</v>
      </c>
      <c r="N42" s="7" t="s">
        <v>109</v>
      </c>
      <c r="O42" s="7" t="s">
        <v>61</v>
      </c>
      <c r="P42" s="7" t="s">
        <v>131</v>
      </c>
      <c r="Q42" s="7" t="s">
        <v>89</v>
      </c>
      <c r="R42" s="7" t="s">
        <v>109</v>
      </c>
      <c r="S42" s="7" t="s">
        <v>109</v>
      </c>
      <c r="T42" s="7" t="s">
        <v>109</v>
      </c>
      <c r="U42" s="7" t="s">
        <v>109</v>
      </c>
      <c r="V42" s="7" t="s">
        <v>109</v>
      </c>
      <c r="W42" s="29" t="s">
        <v>398</v>
      </c>
    </row>
    <row r="43" spans="1:23" x14ac:dyDescent="0.3">
      <c r="A43" s="7">
        <v>42</v>
      </c>
      <c r="B43" s="29" t="s">
        <v>143</v>
      </c>
      <c r="C43" s="29" t="s">
        <v>1672</v>
      </c>
      <c r="D43" s="29">
        <v>10126046</v>
      </c>
      <c r="E43" s="29">
        <v>250</v>
      </c>
      <c r="F43" s="7">
        <v>117</v>
      </c>
      <c r="G43" s="7">
        <v>38</v>
      </c>
      <c r="H43" s="52" t="s">
        <v>1673</v>
      </c>
      <c r="I43" s="7" t="s">
        <v>1674</v>
      </c>
      <c r="J43" s="7" t="s">
        <v>130</v>
      </c>
      <c r="K43" s="11">
        <v>0.86805555555555547</v>
      </c>
      <c r="L43" s="11">
        <v>0.9243055555555556</v>
      </c>
      <c r="M43" s="7" t="s">
        <v>109</v>
      </c>
      <c r="N43" s="7" t="s">
        <v>109</v>
      </c>
      <c r="O43" s="7" t="s">
        <v>61</v>
      </c>
      <c r="P43" s="7" t="s">
        <v>131</v>
      </c>
      <c r="Q43" s="7" t="s">
        <v>91</v>
      </c>
      <c r="R43" s="7" t="s">
        <v>62</v>
      </c>
      <c r="S43" s="7" t="s">
        <v>109</v>
      </c>
      <c r="T43" s="7" t="s">
        <v>109</v>
      </c>
      <c r="U43" s="7" t="s">
        <v>109</v>
      </c>
      <c r="V43" s="7" t="s">
        <v>109</v>
      </c>
      <c r="W43" s="29" t="s">
        <v>1596</v>
      </c>
    </row>
    <row r="44" spans="1:23" x14ac:dyDescent="0.3">
      <c r="A44" s="7">
        <v>43</v>
      </c>
      <c r="B44" s="29" t="s">
        <v>143</v>
      </c>
      <c r="C44" s="29" t="s">
        <v>779</v>
      </c>
      <c r="D44" s="29">
        <v>10126010</v>
      </c>
      <c r="E44" s="29">
        <v>150</v>
      </c>
      <c r="F44" s="7">
        <v>299</v>
      </c>
      <c r="G44" s="7">
        <v>85</v>
      </c>
      <c r="H44" s="52" t="s">
        <v>232</v>
      </c>
      <c r="I44" s="7" t="s">
        <v>157</v>
      </c>
      <c r="J44" s="7" t="s">
        <v>130</v>
      </c>
      <c r="K44" s="11">
        <v>0.87916666666666676</v>
      </c>
      <c r="L44" s="11">
        <v>0.90555555555555556</v>
      </c>
      <c r="M44" s="7" t="s">
        <v>109</v>
      </c>
      <c r="N44" s="7" t="s">
        <v>109</v>
      </c>
      <c r="O44" s="7" t="s">
        <v>61</v>
      </c>
      <c r="P44" s="7" t="s">
        <v>131</v>
      </c>
      <c r="Q44" s="7" t="s">
        <v>154</v>
      </c>
      <c r="R44" s="7" t="s">
        <v>62</v>
      </c>
      <c r="S44" s="7" t="s">
        <v>109</v>
      </c>
      <c r="T44" s="7" t="s">
        <v>109</v>
      </c>
      <c r="U44" s="7" t="s">
        <v>109</v>
      </c>
      <c r="V44" s="7" t="s">
        <v>109</v>
      </c>
      <c r="W44" s="29" t="s">
        <v>780</v>
      </c>
    </row>
    <row r="45" spans="1:23" x14ac:dyDescent="0.3">
      <c r="A45" s="7">
        <v>44</v>
      </c>
      <c r="B45" s="29" t="s">
        <v>24</v>
      </c>
      <c r="C45" s="29" t="s">
        <v>49</v>
      </c>
      <c r="D45" s="29">
        <v>61225008</v>
      </c>
      <c r="E45" s="29">
        <v>288</v>
      </c>
      <c r="F45" s="7">
        <v>501</v>
      </c>
      <c r="G45" s="7">
        <v>122</v>
      </c>
      <c r="H45" s="52" t="s">
        <v>1675</v>
      </c>
      <c r="I45" s="7" t="s">
        <v>680</v>
      </c>
      <c r="J45" s="7" t="s">
        <v>130</v>
      </c>
      <c r="K45" s="11">
        <v>3.2638888888888891E-2</v>
      </c>
      <c r="L45" s="46">
        <v>4.6527777777777779E-2</v>
      </c>
      <c r="M45" s="7" t="s">
        <v>109</v>
      </c>
      <c r="N45" s="7" t="s">
        <v>109</v>
      </c>
      <c r="O45" s="7" t="s">
        <v>61</v>
      </c>
      <c r="P45" s="7" t="s">
        <v>131</v>
      </c>
      <c r="Q45" s="7" t="s">
        <v>93</v>
      </c>
      <c r="R45" s="7" t="s">
        <v>63</v>
      </c>
      <c r="S45" s="7" t="s">
        <v>109</v>
      </c>
      <c r="T45" s="7" t="s">
        <v>109</v>
      </c>
      <c r="U45" s="7" t="s">
        <v>109</v>
      </c>
      <c r="V45" s="7" t="s">
        <v>109</v>
      </c>
      <c r="W45" s="29" t="s">
        <v>120</v>
      </c>
    </row>
    <row r="46" spans="1:23" x14ac:dyDescent="0.3">
      <c r="A46" s="7">
        <v>45</v>
      </c>
      <c r="B46" s="29" t="s">
        <v>25</v>
      </c>
      <c r="C46" s="29" t="s">
        <v>1537</v>
      </c>
      <c r="D46" s="29">
        <v>40126033</v>
      </c>
      <c r="E46" s="29">
        <v>189</v>
      </c>
      <c r="F46" s="7">
        <v>392</v>
      </c>
      <c r="G46" s="7">
        <v>103</v>
      </c>
      <c r="H46" s="52" t="s">
        <v>1051</v>
      </c>
      <c r="I46" s="7" t="s">
        <v>297</v>
      </c>
      <c r="J46" s="7" t="s">
        <v>130</v>
      </c>
      <c r="K46" s="11">
        <v>0.94791666666666663</v>
      </c>
      <c r="L46" s="11">
        <v>0.99305555555555547</v>
      </c>
      <c r="M46" s="7" t="s">
        <v>109</v>
      </c>
      <c r="N46" s="7" t="s">
        <v>109</v>
      </c>
      <c r="O46" s="7" t="s">
        <v>61</v>
      </c>
      <c r="P46" s="7" t="s">
        <v>131</v>
      </c>
      <c r="Q46" s="7" t="s">
        <v>94</v>
      </c>
      <c r="R46" s="7" t="s">
        <v>62</v>
      </c>
      <c r="S46" s="7" t="s">
        <v>109</v>
      </c>
      <c r="T46" s="7" t="s">
        <v>109</v>
      </c>
      <c r="U46" s="7" t="s">
        <v>109</v>
      </c>
      <c r="V46" s="7" t="s">
        <v>109</v>
      </c>
      <c r="W46" s="29" t="s">
        <v>1539</v>
      </c>
    </row>
    <row r="47" spans="1:23" x14ac:dyDescent="0.3">
      <c r="A47" s="7">
        <v>46</v>
      </c>
      <c r="B47" s="29" t="s">
        <v>25</v>
      </c>
      <c r="C47" s="29" t="s">
        <v>1676</v>
      </c>
      <c r="D47" s="29">
        <v>40126029</v>
      </c>
      <c r="E47" s="29">
        <v>98</v>
      </c>
      <c r="F47" s="7">
        <v>101</v>
      </c>
      <c r="G47" s="7">
        <v>34</v>
      </c>
      <c r="H47" s="53" t="s">
        <v>72</v>
      </c>
      <c r="I47" s="77" t="s">
        <v>95</v>
      </c>
      <c r="J47" s="7" t="s">
        <v>130</v>
      </c>
      <c r="K47" s="11">
        <v>0.68472222222222223</v>
      </c>
      <c r="L47" s="11">
        <v>0.80486111111111114</v>
      </c>
      <c r="M47" s="7" t="s">
        <v>109</v>
      </c>
      <c r="N47" s="7" t="s">
        <v>109</v>
      </c>
      <c r="O47" s="7" t="s">
        <v>61</v>
      </c>
      <c r="P47" s="7" t="s">
        <v>131</v>
      </c>
      <c r="Q47" s="7" t="s">
        <v>95</v>
      </c>
      <c r="R47" s="7" t="s">
        <v>62</v>
      </c>
      <c r="S47" s="7" t="s">
        <v>109</v>
      </c>
      <c r="T47" s="7" t="s">
        <v>109</v>
      </c>
      <c r="U47" s="7" t="s">
        <v>109</v>
      </c>
      <c r="V47" s="7" t="s">
        <v>109</v>
      </c>
      <c r="W47" s="29" t="s">
        <v>1677</v>
      </c>
    </row>
    <row r="48" spans="1:23" x14ac:dyDescent="0.3">
      <c r="A48" s="7">
        <v>47</v>
      </c>
      <c r="B48" s="29" t="s">
        <v>26</v>
      </c>
      <c r="C48" s="29" t="s">
        <v>1388</v>
      </c>
      <c r="D48" s="29">
        <v>40126024</v>
      </c>
      <c r="E48" s="29">
        <v>354</v>
      </c>
      <c r="F48" s="7">
        <v>739</v>
      </c>
      <c r="G48" s="7">
        <v>149</v>
      </c>
      <c r="H48" s="28" t="s">
        <v>1009</v>
      </c>
      <c r="I48" s="7" t="s">
        <v>1678</v>
      </c>
      <c r="J48" s="7" t="s">
        <v>130</v>
      </c>
      <c r="K48" s="11">
        <v>0.91875000000000007</v>
      </c>
      <c r="L48" s="11">
        <v>0.96250000000000002</v>
      </c>
      <c r="M48" s="7" t="s">
        <v>109</v>
      </c>
      <c r="N48" s="7" t="s">
        <v>109</v>
      </c>
      <c r="O48" s="7" t="s">
        <v>61</v>
      </c>
      <c r="P48" s="7" t="s">
        <v>131</v>
      </c>
      <c r="Q48" s="7" t="s">
        <v>94</v>
      </c>
      <c r="R48" s="7" t="s">
        <v>62</v>
      </c>
      <c r="S48" s="7" t="s">
        <v>109</v>
      </c>
      <c r="T48" s="7" t="s">
        <v>109</v>
      </c>
      <c r="U48" s="7" t="s">
        <v>109</v>
      </c>
      <c r="V48" s="7" t="s">
        <v>109</v>
      </c>
      <c r="W48" s="29" t="s">
        <v>121</v>
      </c>
    </row>
    <row r="49" spans="1:23" x14ac:dyDescent="0.3">
      <c r="A49" s="7">
        <v>48</v>
      </c>
      <c r="B49" s="29" t="s">
        <v>26</v>
      </c>
      <c r="C49" s="29" t="s">
        <v>768</v>
      </c>
      <c r="D49" s="29">
        <v>40126005</v>
      </c>
      <c r="E49" s="29">
        <v>34</v>
      </c>
      <c r="F49" s="7">
        <v>64</v>
      </c>
      <c r="G49" s="7">
        <v>4</v>
      </c>
      <c r="H49" s="53" t="s">
        <v>66</v>
      </c>
      <c r="I49" s="53" t="s">
        <v>209</v>
      </c>
      <c r="J49" s="7" t="s">
        <v>130</v>
      </c>
      <c r="K49" s="11">
        <v>0.6777777777777777</v>
      </c>
      <c r="L49" s="11">
        <v>0.68402777777777779</v>
      </c>
      <c r="M49" s="7" t="s">
        <v>109</v>
      </c>
      <c r="N49" s="7" t="s">
        <v>109</v>
      </c>
      <c r="O49" s="7" t="s">
        <v>61</v>
      </c>
      <c r="P49" s="7" t="s">
        <v>131</v>
      </c>
      <c r="Q49" s="7" t="s">
        <v>209</v>
      </c>
      <c r="R49" s="7" t="s">
        <v>63</v>
      </c>
      <c r="S49" s="7" t="s">
        <v>109</v>
      </c>
      <c r="T49" s="7" t="s">
        <v>109</v>
      </c>
      <c r="U49" s="7" t="s">
        <v>109</v>
      </c>
      <c r="V49" s="7" t="s">
        <v>109</v>
      </c>
      <c r="W49" s="29" t="s">
        <v>767</v>
      </c>
    </row>
    <row r="50" spans="1:23" x14ac:dyDescent="0.3">
      <c r="A50" s="7">
        <v>49</v>
      </c>
      <c r="B50" s="29" t="s">
        <v>26</v>
      </c>
      <c r="C50" s="29" t="s">
        <v>769</v>
      </c>
      <c r="D50" s="29">
        <v>40126006</v>
      </c>
      <c r="E50" s="29">
        <v>173</v>
      </c>
      <c r="F50" s="7">
        <v>322</v>
      </c>
      <c r="G50" s="7">
        <v>35</v>
      </c>
      <c r="H50" s="52" t="s">
        <v>73</v>
      </c>
      <c r="I50" s="7" t="s">
        <v>384</v>
      </c>
      <c r="J50" s="7" t="s">
        <v>130</v>
      </c>
      <c r="K50" s="11">
        <v>0.93055555555555547</v>
      </c>
      <c r="L50" s="11">
        <v>0.95624999999999993</v>
      </c>
      <c r="M50" s="7" t="s">
        <v>109</v>
      </c>
      <c r="N50" s="7" t="s">
        <v>109</v>
      </c>
      <c r="O50" s="7" t="s">
        <v>61</v>
      </c>
      <c r="P50" s="7" t="s">
        <v>131</v>
      </c>
      <c r="Q50" s="7" t="s">
        <v>86</v>
      </c>
      <c r="R50" s="7" t="s">
        <v>63</v>
      </c>
      <c r="S50" s="7" t="s">
        <v>109</v>
      </c>
      <c r="T50" s="7" t="s">
        <v>109</v>
      </c>
      <c r="U50" s="7" t="s">
        <v>109</v>
      </c>
      <c r="V50" s="7" t="s">
        <v>109</v>
      </c>
      <c r="W50" s="29" t="s">
        <v>767</v>
      </c>
    </row>
    <row r="51" spans="1:23" x14ac:dyDescent="0.3">
      <c r="A51" s="7">
        <v>50</v>
      </c>
      <c r="B51" s="29" t="s">
        <v>26</v>
      </c>
      <c r="C51" s="29" t="s">
        <v>770</v>
      </c>
      <c r="D51" s="29">
        <v>40126003</v>
      </c>
      <c r="E51" s="29">
        <v>308</v>
      </c>
      <c r="F51" s="7">
        <v>588</v>
      </c>
      <c r="G51" s="7">
        <v>248</v>
      </c>
      <c r="H51" s="28" t="s">
        <v>1679</v>
      </c>
      <c r="I51" s="7" t="s">
        <v>1680</v>
      </c>
      <c r="J51" s="7" t="s">
        <v>130</v>
      </c>
      <c r="K51" s="11">
        <v>0.98472222222222217</v>
      </c>
      <c r="L51" s="11">
        <v>6.2499999999999995E-3</v>
      </c>
      <c r="M51" s="7" t="s">
        <v>109</v>
      </c>
      <c r="N51" s="7" t="s">
        <v>109</v>
      </c>
      <c r="O51" s="7" t="s">
        <v>61</v>
      </c>
      <c r="P51" s="7" t="s">
        <v>131</v>
      </c>
      <c r="Q51" s="7" t="s">
        <v>87</v>
      </c>
      <c r="R51" s="7" t="s">
        <v>63</v>
      </c>
      <c r="S51" s="7" t="s">
        <v>109</v>
      </c>
      <c r="T51" s="7" t="s">
        <v>109</v>
      </c>
      <c r="U51" s="7" t="s">
        <v>109</v>
      </c>
      <c r="V51" s="7" t="s">
        <v>109</v>
      </c>
      <c r="W51" s="29" t="s">
        <v>767</v>
      </c>
    </row>
    <row r="52" spans="1:23" x14ac:dyDescent="0.3">
      <c r="A52" s="7">
        <v>51</v>
      </c>
      <c r="B52" s="29" t="s">
        <v>26</v>
      </c>
      <c r="C52" s="29" t="s">
        <v>773</v>
      </c>
      <c r="D52" s="29">
        <v>40126002</v>
      </c>
      <c r="E52" s="29">
        <v>266</v>
      </c>
      <c r="F52" s="7">
        <v>435</v>
      </c>
      <c r="G52" s="7">
        <v>238</v>
      </c>
      <c r="H52" s="52" t="s">
        <v>1681</v>
      </c>
      <c r="I52" s="7" t="s">
        <v>1682</v>
      </c>
      <c r="J52" s="7" t="s">
        <v>130</v>
      </c>
      <c r="K52" s="11">
        <v>0.97430555555555554</v>
      </c>
      <c r="L52" s="11">
        <v>1.2499999999999999E-2</v>
      </c>
      <c r="M52" s="7" t="s">
        <v>109</v>
      </c>
      <c r="N52" s="7" t="s">
        <v>109</v>
      </c>
      <c r="O52" s="7" t="s">
        <v>61</v>
      </c>
      <c r="P52" s="7" t="s">
        <v>131</v>
      </c>
      <c r="Q52" s="7" t="s">
        <v>86</v>
      </c>
      <c r="R52" s="7" t="s">
        <v>63</v>
      </c>
      <c r="S52" s="7" t="s">
        <v>109</v>
      </c>
      <c r="T52" s="7" t="s">
        <v>109</v>
      </c>
      <c r="U52" s="7" t="s">
        <v>109</v>
      </c>
      <c r="V52" s="7" t="s">
        <v>109</v>
      </c>
      <c r="W52" s="29" t="s">
        <v>767</v>
      </c>
    </row>
    <row r="53" spans="1:23" x14ac:dyDescent="0.3">
      <c r="A53" s="7">
        <v>52</v>
      </c>
      <c r="B53" s="29" t="s">
        <v>26</v>
      </c>
      <c r="C53" s="29" t="s">
        <v>774</v>
      </c>
      <c r="D53" s="29">
        <v>40126001</v>
      </c>
      <c r="E53" s="29">
        <v>243</v>
      </c>
      <c r="F53" s="7">
        <v>485</v>
      </c>
      <c r="G53" s="7">
        <v>87</v>
      </c>
      <c r="H53" s="52" t="s">
        <v>1683</v>
      </c>
      <c r="I53" s="7" t="s">
        <v>1684</v>
      </c>
      <c r="J53" s="7" t="s">
        <v>130</v>
      </c>
      <c r="K53" s="11">
        <v>0.85486111111111107</v>
      </c>
      <c r="L53" s="11">
        <v>0.94652777777777775</v>
      </c>
      <c r="M53" s="7" t="s">
        <v>109</v>
      </c>
      <c r="N53" s="7" t="s">
        <v>109</v>
      </c>
      <c r="O53" s="7" t="s">
        <v>61</v>
      </c>
      <c r="P53" s="7" t="s">
        <v>131</v>
      </c>
      <c r="Q53" s="7" t="s">
        <v>86</v>
      </c>
      <c r="R53" s="7" t="s">
        <v>63</v>
      </c>
      <c r="S53" s="7" t="s">
        <v>109</v>
      </c>
      <c r="T53" s="7" t="s">
        <v>109</v>
      </c>
      <c r="U53" s="7" t="s">
        <v>109</v>
      </c>
      <c r="V53" s="7" t="s">
        <v>109</v>
      </c>
      <c r="W53" s="29" t="s">
        <v>767</v>
      </c>
    </row>
    <row r="54" spans="1:23" x14ac:dyDescent="0.3">
      <c r="A54" s="7">
        <v>53</v>
      </c>
      <c r="B54" s="29" t="s">
        <v>26</v>
      </c>
      <c r="C54" s="29" t="s">
        <v>1394</v>
      </c>
      <c r="D54" s="29">
        <v>40126021</v>
      </c>
      <c r="E54" s="29">
        <v>147</v>
      </c>
      <c r="F54" s="7">
        <v>221</v>
      </c>
      <c r="G54" s="7">
        <v>153</v>
      </c>
      <c r="H54" s="52" t="s">
        <v>1051</v>
      </c>
      <c r="I54" s="7" t="s">
        <v>297</v>
      </c>
      <c r="J54" s="7" t="s">
        <v>130</v>
      </c>
      <c r="K54" s="11">
        <v>0.70416666666666661</v>
      </c>
      <c r="L54" s="11">
        <v>0.7729166666666667</v>
      </c>
      <c r="M54" s="7" t="s">
        <v>109</v>
      </c>
      <c r="N54" s="7" t="s">
        <v>109</v>
      </c>
      <c r="O54" s="7" t="s">
        <v>61</v>
      </c>
      <c r="P54" s="7" t="s">
        <v>131</v>
      </c>
      <c r="Q54" s="7" t="s">
        <v>90</v>
      </c>
      <c r="R54" s="7" t="s">
        <v>62</v>
      </c>
      <c r="S54" s="7" t="s">
        <v>109</v>
      </c>
      <c r="T54" s="7" t="s">
        <v>109</v>
      </c>
      <c r="U54" s="7" t="s">
        <v>109</v>
      </c>
      <c r="V54" s="7" t="s">
        <v>109</v>
      </c>
      <c r="W54" s="29" t="s">
        <v>1397</v>
      </c>
    </row>
    <row r="55" spans="1:23" x14ac:dyDescent="0.3">
      <c r="A55" s="7">
        <v>54</v>
      </c>
      <c r="B55" s="29" t="s">
        <v>23</v>
      </c>
      <c r="C55" s="29" t="s">
        <v>749</v>
      </c>
      <c r="D55" s="29">
        <v>51225108</v>
      </c>
      <c r="E55" s="29">
        <v>150</v>
      </c>
      <c r="F55" s="7">
        <v>82</v>
      </c>
      <c r="G55" s="7">
        <v>29</v>
      </c>
      <c r="H55" s="52" t="s">
        <v>186</v>
      </c>
      <c r="I55" s="7" t="s">
        <v>109</v>
      </c>
      <c r="J55" s="7" t="s">
        <v>130</v>
      </c>
      <c r="K55" s="7" t="s">
        <v>109</v>
      </c>
      <c r="L55" s="11">
        <v>0.8222222222222223</v>
      </c>
      <c r="M55" s="7" t="s">
        <v>109</v>
      </c>
      <c r="N55" s="33" t="s">
        <v>1685</v>
      </c>
      <c r="O55" s="7" t="s">
        <v>61</v>
      </c>
      <c r="P55" s="7" t="s">
        <v>131</v>
      </c>
      <c r="Q55" s="7" t="s">
        <v>66</v>
      </c>
      <c r="R55" s="7" t="s">
        <v>62</v>
      </c>
      <c r="S55" s="7" t="s">
        <v>109</v>
      </c>
      <c r="T55" s="7" t="s">
        <v>109</v>
      </c>
      <c r="U55" s="7" t="s">
        <v>109</v>
      </c>
      <c r="V55" s="7" t="s">
        <v>109</v>
      </c>
      <c r="W55" s="29" t="s">
        <v>112</v>
      </c>
    </row>
    <row r="56" spans="1:23" x14ac:dyDescent="0.3">
      <c r="A56" s="18">
        <v>55</v>
      </c>
      <c r="B56" s="39" t="s">
        <v>23</v>
      </c>
      <c r="C56" s="39" t="s">
        <v>1366</v>
      </c>
      <c r="D56" s="39">
        <v>50126343</v>
      </c>
      <c r="E56" s="39">
        <v>2500</v>
      </c>
      <c r="F56" s="18">
        <v>5216</v>
      </c>
      <c r="G56" s="18">
        <v>1294</v>
      </c>
      <c r="H56" s="78" t="s">
        <v>1686</v>
      </c>
      <c r="I56" s="18" t="s">
        <v>109</v>
      </c>
      <c r="J56" s="18" t="s">
        <v>130</v>
      </c>
      <c r="K56" s="18" t="s">
        <v>109</v>
      </c>
      <c r="L56" s="79">
        <v>0.9506944444444444</v>
      </c>
      <c r="M56" s="18" t="s">
        <v>109</v>
      </c>
      <c r="N56" s="9" t="s">
        <v>1687</v>
      </c>
      <c r="O56" s="7" t="s">
        <v>61</v>
      </c>
      <c r="P56" s="18" t="s">
        <v>131</v>
      </c>
      <c r="Q56" s="18" t="s">
        <v>94</v>
      </c>
      <c r="R56" s="7" t="s">
        <v>62</v>
      </c>
      <c r="S56" s="18" t="s">
        <v>109</v>
      </c>
      <c r="T56" s="18" t="s">
        <v>109</v>
      </c>
      <c r="U56" s="18" t="s">
        <v>109</v>
      </c>
      <c r="V56" s="18" t="s">
        <v>109</v>
      </c>
      <c r="W56" s="39" t="s">
        <v>1365</v>
      </c>
    </row>
    <row r="57" spans="1:23" x14ac:dyDescent="0.3">
      <c r="A57" s="7">
        <v>56</v>
      </c>
      <c r="B57" s="29" t="s">
        <v>23</v>
      </c>
      <c r="C57" s="29" t="s">
        <v>1622</v>
      </c>
      <c r="D57" s="29">
        <v>50126357</v>
      </c>
      <c r="E57" s="29">
        <v>150</v>
      </c>
      <c r="F57" s="7">
        <v>284</v>
      </c>
      <c r="G57" s="7">
        <v>144</v>
      </c>
      <c r="H57" s="52" t="s">
        <v>1688</v>
      </c>
      <c r="I57" s="7" t="s">
        <v>109</v>
      </c>
      <c r="J57" s="7" t="s">
        <v>130</v>
      </c>
      <c r="K57" s="7" t="s">
        <v>109</v>
      </c>
      <c r="L57" s="11">
        <v>0.81874999999999998</v>
      </c>
      <c r="M57" s="7" t="s">
        <v>109</v>
      </c>
      <c r="N57" s="7" t="s">
        <v>109</v>
      </c>
      <c r="O57" s="7" t="s">
        <v>61</v>
      </c>
      <c r="P57" s="7" t="s">
        <v>131</v>
      </c>
      <c r="Q57" s="7" t="s">
        <v>222</v>
      </c>
      <c r="R57" s="7" t="s">
        <v>62</v>
      </c>
      <c r="S57" s="7" t="s">
        <v>109</v>
      </c>
      <c r="T57" s="7" t="s">
        <v>109</v>
      </c>
      <c r="U57" s="7" t="s">
        <v>109</v>
      </c>
      <c r="V57" s="7" t="s">
        <v>109</v>
      </c>
      <c r="W57" s="29" t="s">
        <v>351</v>
      </c>
    </row>
    <row r="58" spans="1:23" x14ac:dyDescent="0.3">
      <c r="A58" s="7">
        <v>57</v>
      </c>
      <c r="B58" s="29" t="s">
        <v>23</v>
      </c>
      <c r="C58" s="29" t="s">
        <v>1569</v>
      </c>
      <c r="D58" s="29">
        <v>50126355</v>
      </c>
      <c r="E58" s="29">
        <v>630</v>
      </c>
      <c r="F58" s="7">
        <v>618</v>
      </c>
      <c r="G58" s="7">
        <v>295</v>
      </c>
      <c r="H58" s="28" t="s">
        <v>1689</v>
      </c>
      <c r="I58" s="7" t="s">
        <v>109</v>
      </c>
      <c r="J58" s="7" t="s">
        <v>130</v>
      </c>
      <c r="K58" s="7" t="s">
        <v>109</v>
      </c>
      <c r="L58" s="11">
        <v>0.93958333333333333</v>
      </c>
      <c r="M58" s="7" t="s">
        <v>109</v>
      </c>
      <c r="N58" s="33" t="s">
        <v>1690</v>
      </c>
      <c r="O58" s="7" t="s">
        <v>61</v>
      </c>
      <c r="P58" s="7" t="s">
        <v>131</v>
      </c>
      <c r="Q58" s="7" t="s">
        <v>153</v>
      </c>
      <c r="R58" s="7" t="s">
        <v>62</v>
      </c>
      <c r="S58" s="7" t="s">
        <v>109</v>
      </c>
      <c r="T58" s="7" t="s">
        <v>109</v>
      </c>
      <c r="U58" s="7" t="s">
        <v>109</v>
      </c>
      <c r="V58" s="7" t="s">
        <v>109</v>
      </c>
      <c r="W58" s="29" t="s">
        <v>1568</v>
      </c>
    </row>
    <row r="59" spans="1:23" x14ac:dyDescent="0.3">
      <c r="A59" s="7">
        <v>58</v>
      </c>
      <c r="B59" s="29" t="s">
        <v>23</v>
      </c>
      <c r="C59" s="29" t="s">
        <v>1691</v>
      </c>
      <c r="D59" s="29">
        <v>50126364</v>
      </c>
      <c r="E59" s="29">
        <v>90</v>
      </c>
      <c r="F59" s="7">
        <v>155</v>
      </c>
      <c r="G59" s="7">
        <v>90</v>
      </c>
      <c r="H59" s="53" t="s">
        <v>68</v>
      </c>
      <c r="I59" s="7" t="s">
        <v>109</v>
      </c>
      <c r="J59" s="7" t="s">
        <v>130</v>
      </c>
      <c r="K59" s="7" t="s">
        <v>109</v>
      </c>
      <c r="L59" s="11">
        <v>1.3888888888888889E-3</v>
      </c>
      <c r="M59" s="7" t="s">
        <v>109</v>
      </c>
      <c r="N59" s="33" t="s">
        <v>1692</v>
      </c>
      <c r="O59" s="7" t="s">
        <v>61</v>
      </c>
      <c r="P59" s="7" t="s">
        <v>131</v>
      </c>
      <c r="Q59" s="7" t="s">
        <v>68</v>
      </c>
      <c r="R59" s="7" t="s">
        <v>62</v>
      </c>
      <c r="S59" s="7" t="s">
        <v>109</v>
      </c>
      <c r="T59" s="7" t="s">
        <v>109</v>
      </c>
      <c r="U59" s="7" t="s">
        <v>109</v>
      </c>
      <c r="V59" s="7" t="s">
        <v>109</v>
      </c>
      <c r="W59" s="29" t="s">
        <v>1568</v>
      </c>
    </row>
    <row r="60" spans="1:23" x14ac:dyDescent="0.3">
      <c r="A60" s="7">
        <v>59</v>
      </c>
      <c r="B60" s="29" t="s">
        <v>23</v>
      </c>
      <c r="C60" s="29" t="s">
        <v>1693</v>
      </c>
      <c r="D60" s="29">
        <v>50126363</v>
      </c>
      <c r="E60" s="29">
        <v>529</v>
      </c>
      <c r="F60" s="7">
        <v>320</v>
      </c>
      <c r="G60" s="7">
        <v>138</v>
      </c>
      <c r="H60" s="28" t="s">
        <v>1694</v>
      </c>
      <c r="I60" s="7" t="s">
        <v>109</v>
      </c>
      <c r="J60" s="7" t="s">
        <v>130</v>
      </c>
      <c r="K60" s="7" t="s">
        <v>109</v>
      </c>
      <c r="L60" s="11">
        <v>0.79999999999999993</v>
      </c>
      <c r="M60" s="7" t="s">
        <v>109</v>
      </c>
      <c r="N60" s="33" t="s">
        <v>1695</v>
      </c>
      <c r="O60" s="7" t="s">
        <v>61</v>
      </c>
      <c r="P60" s="7" t="s">
        <v>131</v>
      </c>
      <c r="Q60" s="7" t="s">
        <v>84</v>
      </c>
      <c r="R60" s="7" t="s">
        <v>62</v>
      </c>
      <c r="S60" s="7" t="s">
        <v>109</v>
      </c>
      <c r="T60" s="7" t="s">
        <v>109</v>
      </c>
      <c r="U60" s="7" t="s">
        <v>109</v>
      </c>
      <c r="V60" s="7" t="s">
        <v>109</v>
      </c>
      <c r="W60" s="29" t="s">
        <v>1568</v>
      </c>
    </row>
    <row r="61" spans="1:23" x14ac:dyDescent="0.3">
      <c r="A61" s="7">
        <v>60</v>
      </c>
      <c r="B61" s="29" t="s">
        <v>23</v>
      </c>
      <c r="C61" s="29" t="s">
        <v>1696</v>
      </c>
      <c r="D61" s="29">
        <v>50126362</v>
      </c>
      <c r="E61" s="29">
        <v>283</v>
      </c>
      <c r="F61" s="7">
        <v>461</v>
      </c>
      <c r="G61" s="7">
        <v>278</v>
      </c>
      <c r="H61" s="52" t="s">
        <v>1697</v>
      </c>
      <c r="I61" s="7" t="s">
        <v>109</v>
      </c>
      <c r="J61" s="7" t="s">
        <v>130</v>
      </c>
      <c r="K61" s="7" t="s">
        <v>109</v>
      </c>
      <c r="L61" s="11">
        <v>2.2916666666666669E-2</v>
      </c>
      <c r="M61" s="7" t="s">
        <v>109</v>
      </c>
      <c r="N61" s="33" t="s">
        <v>1698</v>
      </c>
      <c r="O61" s="7" t="s">
        <v>61</v>
      </c>
      <c r="P61" s="7" t="s">
        <v>131</v>
      </c>
      <c r="Q61" s="7" t="s">
        <v>84</v>
      </c>
      <c r="R61" s="7" t="s">
        <v>62</v>
      </c>
      <c r="S61" s="7" t="s">
        <v>109</v>
      </c>
      <c r="T61" s="7" t="s">
        <v>109</v>
      </c>
      <c r="U61" s="7" t="s">
        <v>109</v>
      </c>
      <c r="V61" s="7" t="s">
        <v>109</v>
      </c>
      <c r="W61" s="29" t="s">
        <v>1568</v>
      </c>
    </row>
    <row r="62" spans="1:23" x14ac:dyDescent="0.3">
      <c r="A62" s="7">
        <v>61</v>
      </c>
      <c r="B62" s="29" t="s">
        <v>23</v>
      </c>
      <c r="C62" s="29" t="s">
        <v>1699</v>
      </c>
      <c r="D62" s="29">
        <v>50126361</v>
      </c>
      <c r="E62" s="29">
        <v>120</v>
      </c>
      <c r="F62" s="7">
        <v>117</v>
      </c>
      <c r="G62" s="7">
        <v>36</v>
      </c>
      <c r="H62" s="52" t="s">
        <v>1700</v>
      </c>
      <c r="I62" s="7" t="s">
        <v>109</v>
      </c>
      <c r="J62" s="7" t="s">
        <v>130</v>
      </c>
      <c r="K62" s="7" t="s">
        <v>109</v>
      </c>
      <c r="L62" s="11">
        <v>0.81527777777777777</v>
      </c>
      <c r="M62" s="7" t="s">
        <v>109</v>
      </c>
      <c r="N62" s="33" t="s">
        <v>1701</v>
      </c>
      <c r="O62" s="7" t="s">
        <v>61</v>
      </c>
      <c r="P62" s="7" t="s">
        <v>131</v>
      </c>
      <c r="Q62" s="7" t="s">
        <v>109</v>
      </c>
      <c r="R62" s="7" t="s">
        <v>62</v>
      </c>
      <c r="S62" s="7" t="s">
        <v>109</v>
      </c>
      <c r="T62" s="7" t="s">
        <v>109</v>
      </c>
      <c r="U62" s="7" t="s">
        <v>109</v>
      </c>
      <c r="V62" s="7" t="s">
        <v>109</v>
      </c>
      <c r="W62" s="29" t="s">
        <v>1568</v>
      </c>
    </row>
    <row r="63" spans="1:23" x14ac:dyDescent="0.3">
      <c r="A63" s="7">
        <v>62</v>
      </c>
      <c r="B63" s="29" t="s">
        <v>23</v>
      </c>
      <c r="C63" s="29" t="s">
        <v>1702</v>
      </c>
      <c r="D63" s="29">
        <v>50126360</v>
      </c>
      <c r="E63" s="29">
        <v>495</v>
      </c>
      <c r="F63" s="7">
        <v>895</v>
      </c>
      <c r="G63" s="7">
        <v>513</v>
      </c>
      <c r="H63" s="28" t="s">
        <v>1703</v>
      </c>
      <c r="I63" s="7" t="s">
        <v>109</v>
      </c>
      <c r="J63" s="7" t="s">
        <v>130</v>
      </c>
      <c r="K63" s="46">
        <v>3.0555555555555555E-2</v>
      </c>
      <c r="L63" s="7" t="s">
        <v>109</v>
      </c>
      <c r="M63" s="7" t="s">
        <v>109</v>
      </c>
      <c r="N63" s="33" t="s">
        <v>1704</v>
      </c>
      <c r="O63" s="7" t="s">
        <v>61</v>
      </c>
      <c r="P63" s="7" t="s">
        <v>131</v>
      </c>
      <c r="Q63" s="7" t="s">
        <v>196</v>
      </c>
      <c r="R63" s="7" t="s">
        <v>62</v>
      </c>
      <c r="S63" s="7" t="s">
        <v>109</v>
      </c>
      <c r="T63" s="7" t="s">
        <v>109</v>
      </c>
      <c r="U63" s="7" t="s">
        <v>109</v>
      </c>
      <c r="V63" s="7" t="s">
        <v>109</v>
      </c>
      <c r="W63" s="29" t="s">
        <v>1568</v>
      </c>
    </row>
    <row r="64" spans="1:23" x14ac:dyDescent="0.3">
      <c r="A64" s="7">
        <v>63</v>
      </c>
      <c r="B64" s="29" t="s">
        <v>143</v>
      </c>
      <c r="C64" s="29" t="s">
        <v>1255</v>
      </c>
      <c r="D64" s="29">
        <v>10126024</v>
      </c>
      <c r="E64" s="29">
        <v>25</v>
      </c>
      <c r="F64" s="7">
        <v>43</v>
      </c>
      <c r="G64" s="7">
        <v>15</v>
      </c>
      <c r="H64" s="28" t="s">
        <v>89</v>
      </c>
      <c r="I64" s="7" t="s">
        <v>109</v>
      </c>
      <c r="J64" s="7" t="s">
        <v>130</v>
      </c>
      <c r="K64" s="7" t="s">
        <v>109</v>
      </c>
      <c r="L64" s="11">
        <v>9.0277777777777787E-3</v>
      </c>
      <c r="M64" s="7" t="s">
        <v>109</v>
      </c>
      <c r="N64" s="7" t="s">
        <v>109</v>
      </c>
      <c r="O64" s="7" t="s">
        <v>1634</v>
      </c>
      <c r="P64" s="7" t="s">
        <v>131</v>
      </c>
      <c r="Q64" s="7" t="s">
        <v>89</v>
      </c>
      <c r="R64" s="7" t="s">
        <v>62</v>
      </c>
      <c r="S64" s="7" t="s">
        <v>109</v>
      </c>
      <c r="T64" s="7" t="s">
        <v>109</v>
      </c>
      <c r="U64" s="7" t="s">
        <v>109</v>
      </c>
      <c r="V64" s="7" t="s">
        <v>109</v>
      </c>
      <c r="W64" s="29" t="s">
        <v>1257</v>
      </c>
    </row>
    <row r="65" spans="1:23" x14ac:dyDescent="0.3">
      <c r="A65" s="7">
        <v>64</v>
      </c>
      <c r="B65" s="29" t="s">
        <v>143</v>
      </c>
      <c r="C65" s="29" t="s">
        <v>183</v>
      </c>
      <c r="D65" s="29">
        <v>11225027</v>
      </c>
      <c r="E65" s="29">
        <v>103</v>
      </c>
      <c r="F65" s="7">
        <v>103</v>
      </c>
      <c r="G65" s="7">
        <v>86</v>
      </c>
      <c r="H65" s="28" t="s">
        <v>94</v>
      </c>
      <c r="I65" s="7" t="s">
        <v>109</v>
      </c>
      <c r="J65" s="7" t="s">
        <v>130</v>
      </c>
      <c r="K65" s="7" t="s">
        <v>109</v>
      </c>
      <c r="L65" s="11">
        <v>3.2638888888888891E-2</v>
      </c>
      <c r="M65" s="7" t="s">
        <v>109</v>
      </c>
      <c r="N65" s="7" t="s">
        <v>109</v>
      </c>
      <c r="O65" s="7" t="s">
        <v>1634</v>
      </c>
      <c r="P65" s="7" t="s">
        <v>131</v>
      </c>
      <c r="Q65" s="7" t="s">
        <v>94</v>
      </c>
      <c r="R65" s="7" t="s">
        <v>62</v>
      </c>
      <c r="S65" s="7" t="s">
        <v>109</v>
      </c>
      <c r="T65" s="7" t="s">
        <v>109</v>
      </c>
      <c r="U65" s="7" t="s">
        <v>109</v>
      </c>
      <c r="V65" s="7" t="s">
        <v>109</v>
      </c>
      <c r="W65" s="29" t="s">
        <v>121</v>
      </c>
    </row>
    <row r="66" spans="1:23" x14ac:dyDescent="0.3">
      <c r="A66" s="7">
        <v>65</v>
      </c>
      <c r="B66" s="29" t="s">
        <v>23</v>
      </c>
      <c r="C66" s="29" t="s">
        <v>583</v>
      </c>
      <c r="D66" s="29">
        <v>51125122</v>
      </c>
      <c r="E66" s="29">
        <v>42</v>
      </c>
      <c r="F66" s="7">
        <v>42</v>
      </c>
      <c r="G66" s="7">
        <v>23</v>
      </c>
      <c r="H66" s="28" t="s">
        <v>88</v>
      </c>
      <c r="I66" s="7" t="s">
        <v>109</v>
      </c>
      <c r="J66" s="7" t="s">
        <v>130</v>
      </c>
      <c r="K66" s="7" t="s">
        <v>109</v>
      </c>
      <c r="L66" s="11">
        <v>0.98541666666666661</v>
      </c>
      <c r="M66" s="7" t="s">
        <v>109</v>
      </c>
      <c r="N66" s="7" t="s">
        <v>109</v>
      </c>
      <c r="O66" s="7" t="s">
        <v>1634</v>
      </c>
      <c r="P66" s="7" t="s">
        <v>131</v>
      </c>
      <c r="Q66" s="7" t="s">
        <v>88</v>
      </c>
      <c r="R66" s="7" t="s">
        <v>62</v>
      </c>
      <c r="S66" s="7" t="s">
        <v>109</v>
      </c>
      <c r="T66" s="7" t="s">
        <v>109</v>
      </c>
      <c r="U66" s="7" t="s">
        <v>109</v>
      </c>
      <c r="V66" s="7" t="s">
        <v>109</v>
      </c>
      <c r="W66" s="29" t="s">
        <v>270</v>
      </c>
    </row>
    <row r="67" spans="1:23" x14ac:dyDescent="0.3">
      <c r="A67" s="7">
        <v>66</v>
      </c>
      <c r="B67" s="29" t="s">
        <v>23</v>
      </c>
      <c r="C67" s="29" t="s">
        <v>1633</v>
      </c>
      <c r="D67" s="29">
        <v>51025358</v>
      </c>
      <c r="E67" s="29">
        <v>203</v>
      </c>
      <c r="F67" s="7">
        <v>152</v>
      </c>
      <c r="G67" s="7">
        <v>57</v>
      </c>
      <c r="H67" s="28" t="s">
        <v>1705</v>
      </c>
      <c r="I67" s="7" t="s">
        <v>109</v>
      </c>
      <c r="J67" s="7" t="s">
        <v>130</v>
      </c>
      <c r="K67" s="7" t="s">
        <v>109</v>
      </c>
      <c r="L67" s="11">
        <v>0.97291666666666676</v>
      </c>
      <c r="M67" s="7" t="s">
        <v>109</v>
      </c>
      <c r="N67" s="7" t="s">
        <v>109</v>
      </c>
      <c r="O67" s="7" t="s">
        <v>1634</v>
      </c>
      <c r="P67" s="7" t="s">
        <v>131</v>
      </c>
      <c r="Q67" s="7" t="s">
        <v>154</v>
      </c>
      <c r="R67" s="7" t="s">
        <v>62</v>
      </c>
      <c r="S67" s="7" t="s">
        <v>109</v>
      </c>
      <c r="T67" s="7" t="s">
        <v>109</v>
      </c>
      <c r="U67" s="7" t="s">
        <v>109</v>
      </c>
      <c r="V67" s="7" t="s">
        <v>109</v>
      </c>
      <c r="W67" s="29" t="s">
        <v>1635</v>
      </c>
    </row>
    <row r="68" spans="1:23" x14ac:dyDescent="0.3">
      <c r="A68" s="7">
        <v>67</v>
      </c>
      <c r="B68" s="7" t="s">
        <v>109</v>
      </c>
      <c r="C68" s="29" t="s">
        <v>1022</v>
      </c>
      <c r="D68" s="29">
        <v>51225088</v>
      </c>
      <c r="E68" s="29">
        <v>37</v>
      </c>
      <c r="F68" s="7">
        <v>37</v>
      </c>
      <c r="G68" s="7">
        <v>16</v>
      </c>
      <c r="H68" s="7" t="s">
        <v>603</v>
      </c>
      <c r="I68" s="7" t="s">
        <v>109</v>
      </c>
      <c r="J68" s="7" t="s">
        <v>130</v>
      </c>
      <c r="K68" s="7" t="s">
        <v>109</v>
      </c>
      <c r="L68" s="7" t="s">
        <v>109</v>
      </c>
      <c r="M68" s="7" t="s">
        <v>109</v>
      </c>
      <c r="N68" s="7" t="s">
        <v>109</v>
      </c>
      <c r="O68" s="7" t="s">
        <v>1634</v>
      </c>
      <c r="P68" s="7" t="s">
        <v>131</v>
      </c>
      <c r="Q68" s="7" t="s">
        <v>603</v>
      </c>
      <c r="R68" s="7" t="s">
        <v>62</v>
      </c>
      <c r="S68" s="7" t="s">
        <v>109</v>
      </c>
      <c r="T68" s="7" t="s">
        <v>109</v>
      </c>
      <c r="U68" s="7" t="s">
        <v>109</v>
      </c>
      <c r="V68" s="7" t="s">
        <v>109</v>
      </c>
      <c r="W68" s="7" t="s">
        <v>1024</v>
      </c>
    </row>
    <row r="69" spans="1:23" s="31" customFormat="1" x14ac:dyDescent="0.3">
      <c r="A69" s="7">
        <v>68</v>
      </c>
      <c r="B69" s="7" t="s">
        <v>109</v>
      </c>
      <c r="C69" s="29" t="s">
        <v>1025</v>
      </c>
      <c r="D69" s="29">
        <v>51225087</v>
      </c>
      <c r="E69" s="29">
        <v>50</v>
      </c>
      <c r="F69" s="7" t="s">
        <v>109</v>
      </c>
      <c r="G69" s="7" t="s">
        <v>109</v>
      </c>
      <c r="H69" s="7" t="s">
        <v>1706</v>
      </c>
      <c r="I69" s="7" t="s">
        <v>109</v>
      </c>
      <c r="J69" s="7" t="s">
        <v>109</v>
      </c>
      <c r="K69" s="7" t="s">
        <v>109</v>
      </c>
      <c r="L69" s="7" t="s">
        <v>109</v>
      </c>
      <c r="M69" s="7" t="s">
        <v>109</v>
      </c>
      <c r="N69" s="7" t="s">
        <v>109</v>
      </c>
      <c r="O69" s="7" t="s">
        <v>109</v>
      </c>
      <c r="P69" s="7" t="s">
        <v>109</v>
      </c>
      <c r="Q69" s="7" t="s">
        <v>109</v>
      </c>
      <c r="R69" s="7" t="s">
        <v>109</v>
      </c>
      <c r="S69" s="7" t="s">
        <v>109</v>
      </c>
      <c r="T69" s="7" t="s">
        <v>109</v>
      </c>
      <c r="U69" s="7" t="s">
        <v>109</v>
      </c>
      <c r="V69" s="7" t="s">
        <v>109</v>
      </c>
      <c r="W69" s="7" t="s">
        <v>109</v>
      </c>
    </row>
  </sheetData>
  <conditionalFormatting sqref="D1">
    <cfRule type="duplicateValues" dxfId="92" priority="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1EEB7-5080-4BF0-B233-C371BC4E5937}">
  <sheetPr codeName="Sheet22"/>
  <dimension ref="A1:V103"/>
  <sheetViews>
    <sheetView topLeftCell="G1" workbookViewId="0">
      <pane ySplit="1" topLeftCell="A2" activePane="bottomLeft" state="frozen"/>
      <selection pane="bottomLeft" activeCell="I17" sqref="I17"/>
    </sheetView>
  </sheetViews>
  <sheetFormatPr defaultRowHeight="14.4" x14ac:dyDescent="0.3"/>
  <cols>
    <col min="1" max="1" width="5.33203125" bestFit="1" customWidth="1"/>
    <col min="2" max="2" width="8.6640625" bestFit="1" customWidth="1"/>
    <col min="3" max="3" width="14.5546875" bestFit="1" customWidth="1"/>
    <col min="4" max="4" width="10.44140625" bestFit="1" customWidth="1"/>
    <col min="5" max="5" width="13.88671875" bestFit="1" customWidth="1"/>
    <col min="6" max="6" width="15.109375" bestFit="1" customWidth="1"/>
    <col min="7" max="7" width="8.5546875" bestFit="1" customWidth="1"/>
    <col min="8" max="8" width="7.33203125" bestFit="1" customWidth="1"/>
    <col min="9" max="9" width="15.88671875" bestFit="1" customWidth="1"/>
    <col min="10" max="10" width="6.21875" bestFit="1" customWidth="1"/>
    <col min="11" max="12" width="15.88671875" bestFit="1" customWidth="1"/>
    <col min="13" max="13" width="3.88671875" bestFit="1" customWidth="1"/>
    <col min="14" max="14" width="8.21875" bestFit="1" customWidth="1"/>
    <col min="15" max="15" width="6.77734375" bestFit="1" customWidth="1"/>
    <col min="16" max="16" width="14.33203125" bestFit="1" customWidth="1"/>
    <col min="17" max="17" width="11.77734375" bestFit="1" customWidth="1"/>
    <col min="18" max="18" width="14.33203125" bestFit="1" customWidth="1"/>
    <col min="19" max="19" width="15.88671875" bestFit="1" customWidth="1"/>
    <col min="20" max="20" width="5.77734375" bestFit="1" customWidth="1"/>
    <col min="21" max="21" width="37.44140625" bestFit="1" customWidth="1"/>
    <col min="22" max="22" width="10.109375" bestFit="1" customWidth="1"/>
  </cols>
  <sheetData>
    <row r="1" spans="1:22" x14ac:dyDescent="0.3">
      <c r="A1" s="22" t="s">
        <v>1707</v>
      </c>
      <c r="B1" s="22" t="s">
        <v>1</v>
      </c>
      <c r="C1" s="22" t="s">
        <v>2</v>
      </c>
      <c r="D1" s="22" t="s">
        <v>3</v>
      </c>
      <c r="E1" s="22" t="s">
        <v>4</v>
      </c>
      <c r="F1" s="22" t="s">
        <v>5</v>
      </c>
      <c r="G1" s="22" t="s">
        <v>6</v>
      </c>
      <c r="H1" s="22" t="s">
        <v>7</v>
      </c>
      <c r="I1" s="22" t="s">
        <v>8</v>
      </c>
      <c r="J1" s="22" t="s">
        <v>9</v>
      </c>
      <c r="K1" s="23" t="s">
        <v>10</v>
      </c>
      <c r="L1" s="23" t="s">
        <v>11</v>
      </c>
      <c r="M1" s="24" t="s">
        <v>12</v>
      </c>
      <c r="N1" s="25" t="s">
        <v>13</v>
      </c>
      <c r="O1" s="22" t="s">
        <v>14</v>
      </c>
      <c r="P1" s="22" t="s">
        <v>15</v>
      </c>
      <c r="Q1" s="22" t="s">
        <v>16</v>
      </c>
      <c r="R1" s="22" t="s">
        <v>17</v>
      </c>
      <c r="S1" s="22" t="s">
        <v>18</v>
      </c>
      <c r="T1" s="22" t="s">
        <v>19</v>
      </c>
      <c r="U1" s="22" t="s">
        <v>20</v>
      </c>
      <c r="V1" s="22" t="s">
        <v>21</v>
      </c>
    </row>
    <row r="2" spans="1:22" x14ac:dyDescent="0.3">
      <c r="A2" s="7">
        <v>1</v>
      </c>
      <c r="B2" s="7" t="s">
        <v>23</v>
      </c>
      <c r="C2" s="7" t="s">
        <v>1618</v>
      </c>
      <c r="D2" s="7">
        <v>50126391</v>
      </c>
      <c r="E2" s="7">
        <v>130</v>
      </c>
      <c r="F2" s="7" t="s">
        <v>109</v>
      </c>
      <c r="G2" s="7" t="s">
        <v>109</v>
      </c>
      <c r="H2" s="7" t="s">
        <v>191</v>
      </c>
      <c r="I2" s="7" t="s">
        <v>109</v>
      </c>
      <c r="J2" s="7" t="s">
        <v>85</v>
      </c>
      <c r="K2" s="7" t="s">
        <v>109</v>
      </c>
      <c r="L2" s="7" t="s">
        <v>109</v>
      </c>
      <c r="M2" s="7" t="s">
        <v>109</v>
      </c>
      <c r="N2" s="7" t="s">
        <v>110</v>
      </c>
      <c r="O2" s="7" t="s">
        <v>61</v>
      </c>
      <c r="P2" s="7" t="s">
        <v>109</v>
      </c>
      <c r="Q2" s="7" t="s">
        <v>109</v>
      </c>
      <c r="R2" s="7" t="s">
        <v>62</v>
      </c>
      <c r="S2" s="7" t="s">
        <v>109</v>
      </c>
      <c r="T2" s="7" t="s">
        <v>424</v>
      </c>
      <c r="U2" s="7" t="s">
        <v>109</v>
      </c>
      <c r="V2" s="7" t="s">
        <v>109</v>
      </c>
    </row>
    <row r="3" spans="1:22" x14ac:dyDescent="0.3">
      <c r="A3" s="7">
        <v>2</v>
      </c>
      <c r="B3" s="7" t="s">
        <v>23</v>
      </c>
      <c r="C3" s="7" t="s">
        <v>517</v>
      </c>
      <c r="D3" s="7">
        <v>50126049</v>
      </c>
      <c r="E3" s="7">
        <v>100</v>
      </c>
      <c r="F3" s="7">
        <v>218</v>
      </c>
      <c r="G3" s="7">
        <v>39</v>
      </c>
      <c r="H3" s="7" t="s">
        <v>1708</v>
      </c>
      <c r="I3" s="7" t="s">
        <v>109</v>
      </c>
      <c r="J3" s="7" t="s">
        <v>130</v>
      </c>
      <c r="K3" s="46">
        <v>1.8055555555555554E-2</v>
      </c>
      <c r="L3" s="7" t="s">
        <v>109</v>
      </c>
      <c r="M3" s="7" t="s">
        <v>109</v>
      </c>
      <c r="N3" s="7" t="s">
        <v>110</v>
      </c>
      <c r="O3" s="7" t="s">
        <v>61</v>
      </c>
      <c r="P3" s="7" t="s">
        <v>131</v>
      </c>
      <c r="Q3" s="7" t="s">
        <v>90</v>
      </c>
      <c r="R3" s="7" t="s">
        <v>62</v>
      </c>
      <c r="S3" s="7" t="s">
        <v>109</v>
      </c>
      <c r="T3" s="7" t="s">
        <v>424</v>
      </c>
      <c r="U3" s="7" t="s">
        <v>109</v>
      </c>
      <c r="V3" s="7" t="s">
        <v>109</v>
      </c>
    </row>
    <row r="4" spans="1:22" x14ac:dyDescent="0.3">
      <c r="A4" s="7">
        <v>3</v>
      </c>
      <c r="B4" s="7" t="s">
        <v>23</v>
      </c>
      <c r="C4" s="7" t="s">
        <v>428</v>
      </c>
      <c r="D4" s="7">
        <v>50126024</v>
      </c>
      <c r="E4" s="7">
        <v>350</v>
      </c>
      <c r="F4" s="7">
        <v>732</v>
      </c>
      <c r="G4" s="7">
        <v>237</v>
      </c>
      <c r="H4" s="7" t="s">
        <v>1709</v>
      </c>
      <c r="I4" s="7" t="s">
        <v>109</v>
      </c>
      <c r="J4" s="7" t="s">
        <v>130</v>
      </c>
      <c r="K4" s="46">
        <v>0.8041666666666667</v>
      </c>
      <c r="L4" s="7" t="s">
        <v>109</v>
      </c>
      <c r="M4" s="7" t="s">
        <v>109</v>
      </c>
      <c r="N4" s="7" t="s">
        <v>110</v>
      </c>
      <c r="O4" s="7" t="s">
        <v>61</v>
      </c>
      <c r="P4" s="7" t="s">
        <v>131</v>
      </c>
      <c r="Q4" s="7" t="s">
        <v>95</v>
      </c>
      <c r="R4" s="7" t="s">
        <v>62</v>
      </c>
      <c r="S4" s="7" t="s">
        <v>109</v>
      </c>
      <c r="T4" s="7" t="s">
        <v>424</v>
      </c>
      <c r="U4" s="7" t="s">
        <v>109</v>
      </c>
      <c r="V4" s="7" t="s">
        <v>109</v>
      </c>
    </row>
    <row r="5" spans="1:22" x14ac:dyDescent="0.3">
      <c r="A5" s="7">
        <v>4</v>
      </c>
      <c r="B5" s="7" t="s">
        <v>23</v>
      </c>
      <c r="C5" s="7" t="s">
        <v>1125</v>
      </c>
      <c r="D5" s="7">
        <v>50126320</v>
      </c>
      <c r="E5" s="7">
        <v>180</v>
      </c>
      <c r="F5" s="7">
        <v>251</v>
      </c>
      <c r="G5" s="7">
        <v>181</v>
      </c>
      <c r="H5" s="7" t="s">
        <v>1710</v>
      </c>
      <c r="I5" s="7" t="s">
        <v>109</v>
      </c>
      <c r="J5" s="7" t="s">
        <v>130</v>
      </c>
      <c r="K5" s="46">
        <v>0.72083333333333333</v>
      </c>
      <c r="L5" s="7" t="s">
        <v>109</v>
      </c>
      <c r="M5" s="7" t="s">
        <v>109</v>
      </c>
      <c r="N5" s="7" t="s">
        <v>110</v>
      </c>
      <c r="O5" s="7" t="s">
        <v>61</v>
      </c>
      <c r="P5" s="7" t="s">
        <v>131</v>
      </c>
      <c r="Q5" s="7" t="s">
        <v>66</v>
      </c>
      <c r="R5" s="7" t="s">
        <v>62</v>
      </c>
      <c r="S5" s="7" t="s">
        <v>109</v>
      </c>
      <c r="T5" s="7" t="s">
        <v>424</v>
      </c>
      <c r="U5" s="7" t="s">
        <v>109</v>
      </c>
      <c r="V5" s="7" t="s">
        <v>109</v>
      </c>
    </row>
    <row r="6" spans="1:22" x14ac:dyDescent="0.3">
      <c r="A6" s="7">
        <v>5</v>
      </c>
      <c r="B6" s="7" t="s">
        <v>23</v>
      </c>
      <c r="C6" s="7" t="s">
        <v>939</v>
      </c>
      <c r="D6" s="7">
        <v>50126270</v>
      </c>
      <c r="E6" s="7">
        <v>350</v>
      </c>
      <c r="F6" s="7">
        <v>85</v>
      </c>
      <c r="G6" s="7">
        <v>52</v>
      </c>
      <c r="H6" s="7" t="s">
        <v>1772</v>
      </c>
      <c r="I6" s="7" t="s">
        <v>109</v>
      </c>
      <c r="J6" s="7" t="s">
        <v>130</v>
      </c>
      <c r="K6" s="46">
        <v>0.84930555555555554</v>
      </c>
      <c r="L6" s="7" t="s">
        <v>109</v>
      </c>
      <c r="M6" s="7" t="s">
        <v>109</v>
      </c>
      <c r="N6" s="7" t="s">
        <v>110</v>
      </c>
      <c r="O6" s="7" t="s">
        <v>61</v>
      </c>
      <c r="P6" s="7" t="s">
        <v>131</v>
      </c>
      <c r="Q6" s="7" t="s">
        <v>90</v>
      </c>
      <c r="R6" s="7" t="s">
        <v>62</v>
      </c>
      <c r="S6" s="7" t="s">
        <v>109</v>
      </c>
      <c r="T6" s="7" t="s">
        <v>424</v>
      </c>
      <c r="U6" s="7" t="s">
        <v>109</v>
      </c>
      <c r="V6" s="7" t="s">
        <v>109</v>
      </c>
    </row>
    <row r="7" spans="1:22" x14ac:dyDescent="0.3">
      <c r="A7" s="7">
        <v>6</v>
      </c>
      <c r="B7" s="7" t="s">
        <v>23</v>
      </c>
      <c r="C7" s="7" t="s">
        <v>1123</v>
      </c>
      <c r="D7" s="7">
        <v>50126211</v>
      </c>
      <c r="E7" s="7">
        <v>220</v>
      </c>
      <c r="F7" s="7">
        <v>441</v>
      </c>
      <c r="G7" s="7">
        <v>212</v>
      </c>
      <c r="H7" s="7" t="s">
        <v>1711</v>
      </c>
      <c r="I7" s="7" t="s">
        <v>109</v>
      </c>
      <c r="J7" s="7" t="s">
        <v>130</v>
      </c>
      <c r="K7" s="46">
        <v>0.95763888888888893</v>
      </c>
      <c r="L7" s="7" t="s">
        <v>109</v>
      </c>
      <c r="M7" s="7" t="s">
        <v>109</v>
      </c>
      <c r="N7" s="7" t="s">
        <v>110</v>
      </c>
      <c r="O7" s="7" t="s">
        <v>61</v>
      </c>
      <c r="P7" s="7" t="s">
        <v>131</v>
      </c>
      <c r="Q7" s="7" t="s">
        <v>67</v>
      </c>
      <c r="R7" s="7" t="s">
        <v>62</v>
      </c>
      <c r="S7" s="7" t="s">
        <v>109</v>
      </c>
      <c r="T7" s="7" t="s">
        <v>424</v>
      </c>
      <c r="U7" s="7" t="s">
        <v>109</v>
      </c>
      <c r="V7" s="7" t="s">
        <v>109</v>
      </c>
    </row>
    <row r="8" spans="1:22" x14ac:dyDescent="0.3">
      <c r="A8" s="7">
        <v>7</v>
      </c>
      <c r="B8" s="7" t="s">
        <v>23</v>
      </c>
      <c r="C8" s="7" t="s">
        <v>946</v>
      </c>
      <c r="D8" s="7">
        <v>50126236</v>
      </c>
      <c r="E8" s="7">
        <v>135</v>
      </c>
      <c r="F8" s="7">
        <v>121</v>
      </c>
      <c r="G8" s="7">
        <v>73</v>
      </c>
      <c r="H8" s="7" t="s">
        <v>1768</v>
      </c>
      <c r="I8" s="7" t="s">
        <v>109</v>
      </c>
      <c r="J8" s="7" t="s">
        <v>130</v>
      </c>
      <c r="K8" s="46">
        <v>0.75972222222222219</v>
      </c>
      <c r="L8" s="7" t="s">
        <v>109</v>
      </c>
      <c r="M8" s="7" t="s">
        <v>109</v>
      </c>
      <c r="N8" s="7" t="s">
        <v>110</v>
      </c>
      <c r="O8" s="7" t="s">
        <v>61</v>
      </c>
      <c r="P8" s="7" t="s">
        <v>131</v>
      </c>
      <c r="Q8" s="7" t="s">
        <v>89</v>
      </c>
      <c r="R8" s="7" t="s">
        <v>62</v>
      </c>
      <c r="S8" s="7" t="s">
        <v>109</v>
      </c>
      <c r="T8" s="7" t="s">
        <v>424</v>
      </c>
      <c r="U8" s="7" t="s">
        <v>109</v>
      </c>
      <c r="V8" s="7" t="s">
        <v>109</v>
      </c>
    </row>
    <row r="9" spans="1:22" x14ac:dyDescent="0.3">
      <c r="A9" s="7">
        <v>8</v>
      </c>
      <c r="B9" s="7" t="s">
        <v>23</v>
      </c>
      <c r="C9" s="7" t="s">
        <v>1648</v>
      </c>
      <c r="D9" s="7">
        <v>50126383</v>
      </c>
      <c r="E9" s="7">
        <v>75</v>
      </c>
      <c r="F9" s="7">
        <v>161</v>
      </c>
      <c r="G9" s="7">
        <v>66</v>
      </c>
      <c r="H9" s="7" t="s">
        <v>72</v>
      </c>
      <c r="I9" s="7" t="s">
        <v>109</v>
      </c>
      <c r="J9" s="7" t="s">
        <v>130</v>
      </c>
      <c r="K9" s="46">
        <v>0.98888888888888893</v>
      </c>
      <c r="L9" s="7" t="s">
        <v>109</v>
      </c>
      <c r="M9" s="7" t="s">
        <v>109</v>
      </c>
      <c r="N9" s="7" t="s">
        <v>110</v>
      </c>
      <c r="O9" s="7" t="s">
        <v>61</v>
      </c>
      <c r="P9" s="7" t="s">
        <v>131</v>
      </c>
      <c r="Q9" s="7" t="s">
        <v>72</v>
      </c>
      <c r="R9" s="7" t="s">
        <v>62</v>
      </c>
      <c r="S9" s="7" t="s">
        <v>109</v>
      </c>
      <c r="T9" s="7" t="s">
        <v>424</v>
      </c>
      <c r="U9" s="7" t="s">
        <v>109</v>
      </c>
      <c r="V9" s="7" t="s">
        <v>109</v>
      </c>
    </row>
    <row r="10" spans="1:22" x14ac:dyDescent="0.3">
      <c r="A10" s="7">
        <v>9</v>
      </c>
      <c r="B10" s="7" t="s">
        <v>23</v>
      </c>
      <c r="C10" s="7" t="s">
        <v>1650</v>
      </c>
      <c r="D10" s="7">
        <v>50126374</v>
      </c>
      <c r="E10" s="7">
        <v>75</v>
      </c>
      <c r="F10" s="7">
        <v>150</v>
      </c>
      <c r="G10" s="7">
        <v>61</v>
      </c>
      <c r="H10" s="7" t="s">
        <v>69</v>
      </c>
      <c r="I10" s="7" t="s">
        <v>109</v>
      </c>
      <c r="J10" s="7" t="s">
        <v>130</v>
      </c>
      <c r="K10" s="46">
        <v>0.68402777777777779</v>
      </c>
      <c r="L10" s="7" t="s">
        <v>109</v>
      </c>
      <c r="M10" s="7" t="s">
        <v>109</v>
      </c>
      <c r="N10" s="7" t="s">
        <v>110</v>
      </c>
      <c r="O10" s="7" t="s">
        <v>61</v>
      </c>
      <c r="P10" s="7" t="s">
        <v>131</v>
      </c>
      <c r="Q10" s="7" t="s">
        <v>69</v>
      </c>
      <c r="R10" s="7" t="s">
        <v>62</v>
      </c>
      <c r="S10" s="7" t="s">
        <v>109</v>
      </c>
      <c r="T10" s="7" t="s">
        <v>424</v>
      </c>
      <c r="U10" s="7" t="s">
        <v>109</v>
      </c>
      <c r="V10" s="7" t="s">
        <v>109</v>
      </c>
    </row>
    <row r="11" spans="1:22" x14ac:dyDescent="0.3">
      <c r="A11" s="7">
        <v>10</v>
      </c>
      <c r="B11" s="7" t="s">
        <v>23</v>
      </c>
      <c r="C11" s="7" t="s">
        <v>1664</v>
      </c>
      <c r="D11" s="7">
        <v>50126367</v>
      </c>
      <c r="E11" s="7">
        <v>350</v>
      </c>
      <c r="F11" s="7">
        <v>679</v>
      </c>
      <c r="G11" s="7">
        <v>228</v>
      </c>
      <c r="H11" s="7" t="s">
        <v>1712</v>
      </c>
      <c r="I11" s="7" t="s">
        <v>109</v>
      </c>
      <c r="J11" s="7" t="s">
        <v>130</v>
      </c>
      <c r="K11" s="46">
        <v>0.72847222222222219</v>
      </c>
      <c r="L11" s="7" t="s">
        <v>109</v>
      </c>
      <c r="M11" s="7" t="s">
        <v>109</v>
      </c>
      <c r="N11" s="7" t="s">
        <v>110</v>
      </c>
      <c r="O11" s="7" t="s">
        <v>61</v>
      </c>
      <c r="P11" s="7" t="s">
        <v>131</v>
      </c>
      <c r="Q11" s="7" t="s">
        <v>87</v>
      </c>
      <c r="R11" s="7" t="s">
        <v>62</v>
      </c>
      <c r="S11" s="7" t="s">
        <v>109</v>
      </c>
      <c r="T11" s="7" t="s">
        <v>424</v>
      </c>
      <c r="U11" s="7" t="s">
        <v>109</v>
      </c>
      <c r="V11" s="7" t="s">
        <v>109</v>
      </c>
    </row>
    <row r="12" spans="1:22" x14ac:dyDescent="0.3">
      <c r="A12" s="7">
        <v>11</v>
      </c>
      <c r="B12" s="7" t="s">
        <v>23</v>
      </c>
      <c r="C12" s="7" t="s">
        <v>1641</v>
      </c>
      <c r="D12" s="7">
        <v>50126366</v>
      </c>
      <c r="E12" s="7">
        <v>100</v>
      </c>
      <c r="F12" s="7" t="s">
        <v>109</v>
      </c>
      <c r="G12" s="7" t="s">
        <v>109</v>
      </c>
      <c r="H12" s="7" t="s">
        <v>1713</v>
      </c>
      <c r="I12" s="7" t="s">
        <v>109</v>
      </c>
      <c r="J12" s="7" t="s">
        <v>85</v>
      </c>
      <c r="K12" s="7" t="s">
        <v>109</v>
      </c>
      <c r="L12" s="7" t="s">
        <v>109</v>
      </c>
      <c r="M12" s="7" t="s">
        <v>109</v>
      </c>
      <c r="N12" s="7" t="s">
        <v>110</v>
      </c>
      <c r="O12" s="7" t="s">
        <v>61</v>
      </c>
      <c r="P12" s="7" t="s">
        <v>109</v>
      </c>
      <c r="Q12" s="7" t="s">
        <v>109</v>
      </c>
      <c r="R12" s="7" t="s">
        <v>62</v>
      </c>
      <c r="S12" s="7" t="s">
        <v>109</v>
      </c>
      <c r="T12" s="7" t="s">
        <v>424</v>
      </c>
      <c r="U12" s="7" t="s">
        <v>109</v>
      </c>
      <c r="V12" s="7" t="s">
        <v>109</v>
      </c>
    </row>
    <row r="13" spans="1:22" x14ac:dyDescent="0.3">
      <c r="A13" s="7">
        <v>12</v>
      </c>
      <c r="B13" s="7" t="s">
        <v>23</v>
      </c>
      <c r="C13" s="7" t="s">
        <v>1617</v>
      </c>
      <c r="D13" s="7">
        <v>50126390</v>
      </c>
      <c r="E13" s="7">
        <v>120</v>
      </c>
      <c r="F13" s="7">
        <v>296</v>
      </c>
      <c r="G13" s="7">
        <v>49</v>
      </c>
      <c r="H13" s="7" t="s">
        <v>73</v>
      </c>
      <c r="I13" s="7" t="s">
        <v>109</v>
      </c>
      <c r="J13" s="7" t="s">
        <v>130</v>
      </c>
      <c r="K13" s="46">
        <v>0.69791666666666663</v>
      </c>
      <c r="L13" s="7" t="s">
        <v>109</v>
      </c>
      <c r="M13" s="7" t="s">
        <v>109</v>
      </c>
      <c r="N13" s="7" t="s">
        <v>110</v>
      </c>
      <c r="O13" s="7" t="s">
        <v>61</v>
      </c>
      <c r="P13" s="7" t="s">
        <v>131</v>
      </c>
      <c r="Q13" s="7" t="s">
        <v>64</v>
      </c>
      <c r="R13" s="7" t="s">
        <v>62</v>
      </c>
      <c r="S13" s="7" t="s">
        <v>109</v>
      </c>
      <c r="T13" s="7" t="s">
        <v>424</v>
      </c>
      <c r="U13" s="7" t="s">
        <v>109</v>
      </c>
      <c r="V13" s="7" t="s">
        <v>109</v>
      </c>
    </row>
    <row r="14" spans="1:22" x14ac:dyDescent="0.3">
      <c r="A14" s="7">
        <v>13</v>
      </c>
      <c r="B14" s="7" t="s">
        <v>23</v>
      </c>
      <c r="C14" s="7" t="s">
        <v>840</v>
      </c>
      <c r="D14" s="7">
        <v>50126075</v>
      </c>
      <c r="E14" s="7">
        <v>100</v>
      </c>
      <c r="F14" s="7">
        <v>213</v>
      </c>
      <c r="G14" s="7">
        <v>80</v>
      </c>
      <c r="H14" s="7" t="s">
        <v>1714</v>
      </c>
      <c r="I14" s="7" t="s">
        <v>109</v>
      </c>
      <c r="J14" s="7" t="s">
        <v>130</v>
      </c>
      <c r="K14" s="46">
        <v>0.90138888888888891</v>
      </c>
      <c r="L14" s="7" t="s">
        <v>109</v>
      </c>
      <c r="M14" s="7" t="s">
        <v>109</v>
      </c>
      <c r="N14" s="7" t="s">
        <v>110</v>
      </c>
      <c r="O14" s="7" t="s">
        <v>61</v>
      </c>
      <c r="P14" s="7" t="s">
        <v>131</v>
      </c>
      <c r="Q14" s="7" t="s">
        <v>67</v>
      </c>
      <c r="R14" s="7" t="s">
        <v>62</v>
      </c>
      <c r="S14" s="7" t="s">
        <v>109</v>
      </c>
      <c r="T14" s="7" t="s">
        <v>424</v>
      </c>
      <c r="U14" s="7" t="s">
        <v>109</v>
      </c>
      <c r="V14" s="7" t="s">
        <v>109</v>
      </c>
    </row>
    <row r="15" spans="1:22" x14ac:dyDescent="0.3">
      <c r="A15" s="7">
        <v>14</v>
      </c>
      <c r="B15" s="7" t="s">
        <v>23</v>
      </c>
      <c r="C15" s="7" t="s">
        <v>846</v>
      </c>
      <c r="D15" s="7">
        <v>50126172</v>
      </c>
      <c r="E15" s="7">
        <v>135</v>
      </c>
      <c r="F15" s="7">
        <v>296</v>
      </c>
      <c r="G15" s="7">
        <v>145</v>
      </c>
      <c r="H15" s="7" t="s">
        <v>1247</v>
      </c>
      <c r="I15" s="7" t="s">
        <v>109</v>
      </c>
      <c r="J15" s="7" t="s">
        <v>130</v>
      </c>
      <c r="K15" s="46">
        <v>0.85972222222222228</v>
      </c>
      <c r="L15" s="7" t="s">
        <v>109</v>
      </c>
      <c r="M15" s="7" t="s">
        <v>109</v>
      </c>
      <c r="N15" s="7" t="s">
        <v>110</v>
      </c>
      <c r="O15" s="7" t="s">
        <v>61</v>
      </c>
      <c r="P15" s="7" t="s">
        <v>131</v>
      </c>
      <c r="Q15" s="7" t="s">
        <v>214</v>
      </c>
      <c r="R15" s="7" t="s">
        <v>62</v>
      </c>
      <c r="S15" s="7" t="s">
        <v>109</v>
      </c>
      <c r="T15" s="7" t="s">
        <v>424</v>
      </c>
      <c r="U15" s="7" t="s">
        <v>109</v>
      </c>
      <c r="V15" s="7" t="s">
        <v>109</v>
      </c>
    </row>
    <row r="16" spans="1:22" x14ac:dyDescent="0.3">
      <c r="A16" s="7">
        <v>15</v>
      </c>
      <c r="B16" s="7" t="s">
        <v>23</v>
      </c>
      <c r="C16" s="7" t="s">
        <v>849</v>
      </c>
      <c r="D16" s="7">
        <v>50126213</v>
      </c>
      <c r="E16" s="7">
        <v>250</v>
      </c>
      <c r="F16" s="7">
        <v>343</v>
      </c>
      <c r="G16" s="7">
        <v>260</v>
      </c>
      <c r="H16" s="7" t="s">
        <v>1715</v>
      </c>
      <c r="I16" s="7" t="s">
        <v>109</v>
      </c>
      <c r="J16" s="7" t="s">
        <v>130</v>
      </c>
      <c r="K16" s="46">
        <v>0.76875000000000004</v>
      </c>
      <c r="L16" s="7" t="s">
        <v>109</v>
      </c>
      <c r="M16" s="7" t="s">
        <v>109</v>
      </c>
      <c r="N16" s="7" t="s">
        <v>110</v>
      </c>
      <c r="O16" s="7" t="s">
        <v>61</v>
      </c>
      <c r="P16" s="7" t="s">
        <v>131</v>
      </c>
      <c r="Q16" s="7" t="s">
        <v>87</v>
      </c>
      <c r="R16" s="7" t="s">
        <v>62</v>
      </c>
      <c r="S16" s="7" t="s">
        <v>109</v>
      </c>
      <c r="T16" s="7" t="s">
        <v>424</v>
      </c>
      <c r="U16" s="7" t="s">
        <v>109</v>
      </c>
      <c r="V16" s="7" t="s">
        <v>109</v>
      </c>
    </row>
    <row r="17" spans="1:22" x14ac:dyDescent="0.3">
      <c r="A17" s="7">
        <v>16</v>
      </c>
      <c r="B17" s="7" t="s">
        <v>23</v>
      </c>
      <c r="C17" s="7" t="s">
        <v>1716</v>
      </c>
      <c r="D17" s="7">
        <v>50126402</v>
      </c>
      <c r="E17" s="7">
        <v>200</v>
      </c>
      <c r="F17" s="7">
        <v>244</v>
      </c>
      <c r="G17" s="7">
        <v>221</v>
      </c>
      <c r="H17" s="7" t="s">
        <v>1717</v>
      </c>
      <c r="I17" s="7" t="s">
        <v>109</v>
      </c>
      <c r="J17" s="7" t="s">
        <v>130</v>
      </c>
      <c r="K17" s="46">
        <v>0.70625000000000004</v>
      </c>
      <c r="L17" s="7" t="s">
        <v>109</v>
      </c>
      <c r="M17" s="7" t="s">
        <v>109</v>
      </c>
      <c r="N17" s="7" t="s">
        <v>110</v>
      </c>
      <c r="O17" s="7" t="s">
        <v>61</v>
      </c>
      <c r="P17" s="7" t="s">
        <v>131</v>
      </c>
      <c r="Q17" s="7" t="s">
        <v>69</v>
      </c>
      <c r="R17" s="7" t="s">
        <v>62</v>
      </c>
      <c r="S17" s="7" t="s">
        <v>109</v>
      </c>
      <c r="T17" s="7" t="s">
        <v>424</v>
      </c>
      <c r="U17" s="7" t="s">
        <v>109</v>
      </c>
      <c r="V17" s="7" t="s">
        <v>109</v>
      </c>
    </row>
    <row r="18" spans="1:22" x14ac:dyDescent="0.3">
      <c r="A18" s="7">
        <v>17</v>
      </c>
      <c r="B18" s="7" t="s">
        <v>23</v>
      </c>
      <c r="C18" s="7" t="s">
        <v>1718</v>
      </c>
      <c r="D18" s="7">
        <v>50126401</v>
      </c>
      <c r="E18" s="7">
        <v>80</v>
      </c>
      <c r="F18" s="7">
        <v>90</v>
      </c>
      <c r="G18" s="7">
        <v>86</v>
      </c>
      <c r="H18" s="7" t="s">
        <v>214</v>
      </c>
      <c r="I18" s="7" t="s">
        <v>109</v>
      </c>
      <c r="J18" s="7" t="s">
        <v>130</v>
      </c>
      <c r="K18" s="46">
        <v>0.69861111111111107</v>
      </c>
      <c r="L18" s="7" t="s">
        <v>109</v>
      </c>
      <c r="M18" s="7" t="s">
        <v>109</v>
      </c>
      <c r="N18" s="7" t="s">
        <v>110</v>
      </c>
      <c r="O18" s="7" t="s">
        <v>61</v>
      </c>
      <c r="P18" s="7" t="s">
        <v>131</v>
      </c>
      <c r="Q18" s="7" t="s">
        <v>214</v>
      </c>
      <c r="R18" s="7" t="s">
        <v>62</v>
      </c>
      <c r="S18" s="7" t="s">
        <v>109</v>
      </c>
      <c r="T18" s="7" t="s">
        <v>424</v>
      </c>
      <c r="U18" s="7" t="s">
        <v>109</v>
      </c>
      <c r="V18" s="7" t="s">
        <v>109</v>
      </c>
    </row>
    <row r="19" spans="1:22" x14ac:dyDescent="0.3">
      <c r="A19" s="7">
        <v>18</v>
      </c>
      <c r="B19" s="7" t="s">
        <v>23</v>
      </c>
      <c r="C19" s="7" t="s">
        <v>511</v>
      </c>
      <c r="D19" s="7">
        <v>50126044</v>
      </c>
      <c r="E19" s="7">
        <v>85</v>
      </c>
      <c r="F19" s="7">
        <v>107</v>
      </c>
      <c r="G19" s="7">
        <v>85</v>
      </c>
      <c r="H19" s="7" t="s">
        <v>71</v>
      </c>
      <c r="I19" s="7" t="s">
        <v>109</v>
      </c>
      <c r="J19" s="7" t="s">
        <v>130</v>
      </c>
      <c r="K19" s="46">
        <v>0.70277777777777772</v>
      </c>
      <c r="L19" s="7" t="s">
        <v>109</v>
      </c>
      <c r="M19" s="7" t="s">
        <v>109</v>
      </c>
      <c r="N19" s="7" t="s">
        <v>109</v>
      </c>
      <c r="O19" s="7" t="s">
        <v>61</v>
      </c>
      <c r="P19" s="7" t="s">
        <v>131</v>
      </c>
      <c r="Q19" s="7" t="s">
        <v>71</v>
      </c>
      <c r="R19" s="7" t="s">
        <v>62</v>
      </c>
      <c r="S19" s="7" t="s">
        <v>109</v>
      </c>
      <c r="T19" s="7" t="s">
        <v>424</v>
      </c>
      <c r="U19" s="7" t="s">
        <v>109</v>
      </c>
      <c r="V19" s="7" t="s">
        <v>109</v>
      </c>
    </row>
    <row r="20" spans="1:22" x14ac:dyDescent="0.3">
      <c r="A20" s="7">
        <v>19</v>
      </c>
      <c r="B20" s="7" t="s">
        <v>23</v>
      </c>
      <c r="C20" s="7" t="s">
        <v>513</v>
      </c>
      <c r="D20" s="7">
        <v>50126045</v>
      </c>
      <c r="E20" s="7">
        <v>65</v>
      </c>
      <c r="F20" s="7">
        <v>106</v>
      </c>
      <c r="G20" s="7">
        <v>63</v>
      </c>
      <c r="H20" s="7" t="s">
        <v>66</v>
      </c>
      <c r="I20" s="7" t="s">
        <v>109</v>
      </c>
      <c r="J20" s="7" t="s">
        <v>130</v>
      </c>
      <c r="K20" s="46">
        <v>0.68263888888888891</v>
      </c>
      <c r="L20" s="7" t="s">
        <v>109</v>
      </c>
      <c r="M20" s="7" t="s">
        <v>109</v>
      </c>
      <c r="N20" s="7" t="s">
        <v>109</v>
      </c>
      <c r="O20" s="7" t="s">
        <v>61</v>
      </c>
      <c r="P20" s="7" t="s">
        <v>131</v>
      </c>
      <c r="Q20" s="7" t="s">
        <v>66</v>
      </c>
      <c r="R20" s="7" t="s">
        <v>62</v>
      </c>
      <c r="S20" s="7" t="s">
        <v>109</v>
      </c>
      <c r="T20" s="7" t="s">
        <v>424</v>
      </c>
      <c r="U20" s="7" t="s">
        <v>109</v>
      </c>
      <c r="V20" s="7" t="s">
        <v>109</v>
      </c>
    </row>
    <row r="21" spans="1:22" x14ac:dyDescent="0.3">
      <c r="A21" s="7">
        <v>20</v>
      </c>
      <c r="B21" s="7" t="s">
        <v>23</v>
      </c>
      <c r="C21" s="7" t="s">
        <v>515</v>
      </c>
      <c r="D21" s="7">
        <v>50126047</v>
      </c>
      <c r="E21" s="7">
        <v>65</v>
      </c>
      <c r="F21" s="7">
        <v>100</v>
      </c>
      <c r="G21" s="7">
        <v>66</v>
      </c>
      <c r="H21" s="7" t="s">
        <v>69</v>
      </c>
      <c r="I21" s="7" t="s">
        <v>109</v>
      </c>
      <c r="J21" s="7" t="s">
        <v>130</v>
      </c>
      <c r="K21" s="46">
        <v>0.80138888888888893</v>
      </c>
      <c r="L21" s="7" t="s">
        <v>109</v>
      </c>
      <c r="M21" s="7" t="s">
        <v>109</v>
      </c>
      <c r="N21" s="7" t="s">
        <v>109</v>
      </c>
      <c r="O21" s="7" t="s">
        <v>61</v>
      </c>
      <c r="P21" s="7" t="s">
        <v>131</v>
      </c>
      <c r="Q21" s="7" t="s">
        <v>69</v>
      </c>
      <c r="R21" s="7" t="s">
        <v>62</v>
      </c>
      <c r="S21" s="7" t="s">
        <v>109</v>
      </c>
      <c r="T21" s="7" t="s">
        <v>424</v>
      </c>
      <c r="U21" s="7" t="s">
        <v>109</v>
      </c>
      <c r="V21" s="7" t="s">
        <v>109</v>
      </c>
    </row>
    <row r="22" spans="1:22" x14ac:dyDescent="0.3">
      <c r="A22" s="7">
        <v>21</v>
      </c>
      <c r="B22" s="7" t="s">
        <v>23</v>
      </c>
      <c r="C22" s="7" t="s">
        <v>516</v>
      </c>
      <c r="D22" s="7">
        <v>50126048</v>
      </c>
      <c r="E22" s="7">
        <v>50</v>
      </c>
      <c r="F22" s="7">
        <v>77</v>
      </c>
      <c r="G22" s="7">
        <v>54</v>
      </c>
      <c r="H22" s="7" t="s">
        <v>65</v>
      </c>
      <c r="I22" s="7" t="s">
        <v>109</v>
      </c>
      <c r="J22" s="7" t="s">
        <v>130</v>
      </c>
      <c r="K22" s="46">
        <v>0.71875</v>
      </c>
      <c r="L22" s="7" t="s">
        <v>109</v>
      </c>
      <c r="M22" s="7" t="s">
        <v>109</v>
      </c>
      <c r="N22" s="7" t="s">
        <v>109</v>
      </c>
      <c r="O22" s="7" t="s">
        <v>61</v>
      </c>
      <c r="P22" s="7" t="s">
        <v>131</v>
      </c>
      <c r="Q22" s="7" t="s">
        <v>65</v>
      </c>
      <c r="R22" s="7" t="s">
        <v>62</v>
      </c>
      <c r="S22" s="7" t="s">
        <v>109</v>
      </c>
      <c r="T22" s="7" t="s">
        <v>424</v>
      </c>
      <c r="U22" s="7" t="s">
        <v>109</v>
      </c>
      <c r="V22" s="7" t="s">
        <v>109</v>
      </c>
    </row>
    <row r="23" spans="1:22" x14ac:dyDescent="0.3">
      <c r="A23" s="7">
        <v>22</v>
      </c>
      <c r="B23" s="7" t="s">
        <v>23</v>
      </c>
      <c r="C23" s="7" t="s">
        <v>788</v>
      </c>
      <c r="D23" s="7">
        <v>50126178</v>
      </c>
      <c r="E23" s="7">
        <v>85</v>
      </c>
      <c r="F23" s="7">
        <v>135</v>
      </c>
      <c r="G23" s="7">
        <v>101</v>
      </c>
      <c r="H23" s="7" t="s">
        <v>520</v>
      </c>
      <c r="I23" s="7" t="s">
        <v>109</v>
      </c>
      <c r="J23" s="7" t="s">
        <v>130</v>
      </c>
      <c r="K23" s="46">
        <v>0.9243055555555556</v>
      </c>
      <c r="L23" s="7" t="s">
        <v>109</v>
      </c>
      <c r="M23" s="7" t="s">
        <v>109</v>
      </c>
      <c r="N23" s="7" t="s">
        <v>109</v>
      </c>
      <c r="O23" s="7" t="s">
        <v>61</v>
      </c>
      <c r="P23" s="7" t="s">
        <v>131</v>
      </c>
      <c r="Q23" s="7" t="s">
        <v>520</v>
      </c>
      <c r="R23" s="7" t="s">
        <v>62</v>
      </c>
      <c r="S23" s="7" t="s">
        <v>109</v>
      </c>
      <c r="T23" s="7" t="s">
        <v>424</v>
      </c>
      <c r="U23" s="7" t="s">
        <v>109</v>
      </c>
      <c r="V23" s="7" t="s">
        <v>109</v>
      </c>
    </row>
    <row r="24" spans="1:22" x14ac:dyDescent="0.3">
      <c r="A24" s="7">
        <v>23</v>
      </c>
      <c r="B24" s="7" t="s">
        <v>23</v>
      </c>
      <c r="C24" s="7" t="s">
        <v>802</v>
      </c>
      <c r="D24" s="7">
        <v>50126187</v>
      </c>
      <c r="E24" s="7">
        <v>65</v>
      </c>
      <c r="F24" s="7">
        <v>84</v>
      </c>
      <c r="G24" s="7">
        <v>66</v>
      </c>
      <c r="H24" s="7" t="s">
        <v>64</v>
      </c>
      <c r="I24" s="7" t="s">
        <v>109</v>
      </c>
      <c r="J24" s="7" t="s">
        <v>130</v>
      </c>
      <c r="K24" s="46">
        <v>0.94513888888888886</v>
      </c>
      <c r="L24" s="7" t="s">
        <v>109</v>
      </c>
      <c r="M24" s="7" t="s">
        <v>109</v>
      </c>
      <c r="N24" s="7" t="s">
        <v>109</v>
      </c>
      <c r="O24" s="7" t="s">
        <v>61</v>
      </c>
      <c r="P24" s="7" t="s">
        <v>131</v>
      </c>
      <c r="Q24" s="7" t="s">
        <v>64</v>
      </c>
      <c r="R24" s="7" t="s">
        <v>62</v>
      </c>
      <c r="S24" s="7" t="s">
        <v>109</v>
      </c>
      <c r="T24" s="7" t="s">
        <v>424</v>
      </c>
      <c r="U24" s="7" t="s">
        <v>109</v>
      </c>
      <c r="V24" s="7" t="s">
        <v>109</v>
      </c>
    </row>
    <row r="25" spans="1:22" x14ac:dyDescent="0.3">
      <c r="A25" s="7">
        <v>24</v>
      </c>
      <c r="B25" s="7" t="s">
        <v>23</v>
      </c>
      <c r="C25" s="7" t="s">
        <v>803</v>
      </c>
      <c r="D25" s="7">
        <v>50126188</v>
      </c>
      <c r="E25" s="7">
        <v>20</v>
      </c>
      <c r="F25" s="7">
        <v>26</v>
      </c>
      <c r="G25" s="7">
        <v>12</v>
      </c>
      <c r="H25" s="7" t="s">
        <v>196</v>
      </c>
      <c r="I25" s="7" t="s">
        <v>109</v>
      </c>
      <c r="J25" s="7" t="s">
        <v>130</v>
      </c>
      <c r="K25" s="46">
        <v>0.65833333333333333</v>
      </c>
      <c r="L25" s="7" t="s">
        <v>109</v>
      </c>
      <c r="M25" s="7" t="s">
        <v>109</v>
      </c>
      <c r="N25" s="7" t="s">
        <v>109</v>
      </c>
      <c r="O25" s="7" t="s">
        <v>61</v>
      </c>
      <c r="P25" s="7" t="s">
        <v>131</v>
      </c>
      <c r="Q25" s="7" t="s">
        <v>196</v>
      </c>
      <c r="R25" s="7" t="s">
        <v>62</v>
      </c>
      <c r="S25" s="7" t="s">
        <v>109</v>
      </c>
      <c r="T25" s="7" t="s">
        <v>424</v>
      </c>
      <c r="U25" s="7" t="s">
        <v>109</v>
      </c>
      <c r="V25" s="7" t="s">
        <v>109</v>
      </c>
    </row>
    <row r="26" spans="1:22" x14ac:dyDescent="0.3">
      <c r="A26" s="7">
        <v>25</v>
      </c>
      <c r="B26" s="7" t="s">
        <v>23</v>
      </c>
      <c r="C26" s="7" t="s">
        <v>721</v>
      </c>
      <c r="D26" s="7">
        <v>50126076</v>
      </c>
      <c r="E26" s="7">
        <v>65</v>
      </c>
      <c r="F26" s="7">
        <v>95</v>
      </c>
      <c r="G26" s="7">
        <v>69</v>
      </c>
      <c r="H26" s="7" t="s">
        <v>67</v>
      </c>
      <c r="I26" s="7" t="s">
        <v>109</v>
      </c>
      <c r="J26" s="7" t="s">
        <v>130</v>
      </c>
      <c r="K26" s="46">
        <v>0.70833333333333337</v>
      </c>
      <c r="L26" s="7" t="s">
        <v>109</v>
      </c>
      <c r="M26" s="7" t="s">
        <v>109</v>
      </c>
      <c r="N26" s="7" t="s">
        <v>109</v>
      </c>
      <c r="O26" s="7" t="s">
        <v>61</v>
      </c>
      <c r="P26" s="7" t="s">
        <v>131</v>
      </c>
      <c r="Q26" s="7" t="s">
        <v>67</v>
      </c>
      <c r="R26" s="7" t="s">
        <v>62</v>
      </c>
      <c r="S26" s="7" t="s">
        <v>109</v>
      </c>
      <c r="T26" s="7" t="s">
        <v>424</v>
      </c>
      <c r="U26" s="7" t="s">
        <v>109</v>
      </c>
      <c r="V26" s="7" t="s">
        <v>109</v>
      </c>
    </row>
    <row r="27" spans="1:22" x14ac:dyDescent="0.3">
      <c r="A27" s="7">
        <v>26</v>
      </c>
      <c r="B27" s="7" t="s">
        <v>23</v>
      </c>
      <c r="C27" s="7" t="s">
        <v>948</v>
      </c>
      <c r="D27" s="7">
        <v>50126231</v>
      </c>
      <c r="E27" s="7">
        <v>85</v>
      </c>
      <c r="F27" s="7">
        <v>85</v>
      </c>
      <c r="G27" s="7">
        <v>49</v>
      </c>
      <c r="H27" s="7" t="s">
        <v>1719</v>
      </c>
      <c r="I27" s="7" t="s">
        <v>109</v>
      </c>
      <c r="J27" s="7" t="s">
        <v>130</v>
      </c>
      <c r="K27" s="46">
        <v>0.88541666666666663</v>
      </c>
      <c r="L27" s="7" t="s">
        <v>109</v>
      </c>
      <c r="M27" s="7" t="s">
        <v>109</v>
      </c>
      <c r="N27" s="7" t="s">
        <v>109</v>
      </c>
      <c r="O27" s="7" t="s">
        <v>61</v>
      </c>
      <c r="P27" s="7" t="s">
        <v>131</v>
      </c>
      <c r="Q27" s="7" t="s">
        <v>94</v>
      </c>
      <c r="R27" s="7" t="s">
        <v>62</v>
      </c>
      <c r="S27" s="7" t="s">
        <v>109</v>
      </c>
      <c r="T27" s="7" t="s">
        <v>424</v>
      </c>
      <c r="U27" s="7" t="s">
        <v>109</v>
      </c>
      <c r="V27" s="7" t="s">
        <v>109</v>
      </c>
    </row>
    <row r="28" spans="1:22" x14ac:dyDescent="0.3">
      <c r="A28" s="7">
        <v>27</v>
      </c>
      <c r="B28" s="7" t="s">
        <v>23</v>
      </c>
      <c r="C28" s="7" t="s">
        <v>949</v>
      </c>
      <c r="D28" s="7">
        <v>50126238</v>
      </c>
      <c r="E28" s="7">
        <v>65</v>
      </c>
      <c r="F28" s="7">
        <v>102</v>
      </c>
      <c r="G28" s="7">
        <v>26</v>
      </c>
      <c r="H28" s="7" t="s">
        <v>520</v>
      </c>
      <c r="I28" s="7" t="s">
        <v>109</v>
      </c>
      <c r="J28" s="7" t="s">
        <v>130</v>
      </c>
      <c r="K28" s="46">
        <v>0.94861111111111107</v>
      </c>
      <c r="L28" s="7" t="s">
        <v>109</v>
      </c>
      <c r="M28" s="7" t="s">
        <v>109</v>
      </c>
      <c r="N28" s="7" t="s">
        <v>109</v>
      </c>
      <c r="O28" s="7" t="s">
        <v>61</v>
      </c>
      <c r="P28" s="7" t="s">
        <v>131</v>
      </c>
      <c r="Q28" s="7" t="s">
        <v>520</v>
      </c>
      <c r="R28" s="7" t="s">
        <v>62</v>
      </c>
      <c r="S28" s="7" t="s">
        <v>109</v>
      </c>
      <c r="T28" s="7" t="s">
        <v>424</v>
      </c>
      <c r="U28" s="7" t="s">
        <v>109</v>
      </c>
      <c r="V28" s="7" t="s">
        <v>109</v>
      </c>
    </row>
    <row r="29" spans="1:22" x14ac:dyDescent="0.3">
      <c r="A29" s="7">
        <v>28</v>
      </c>
      <c r="B29" s="7" t="s">
        <v>23</v>
      </c>
      <c r="C29" s="7" t="s">
        <v>1649</v>
      </c>
      <c r="D29" s="7">
        <v>50126384</v>
      </c>
      <c r="E29" s="7">
        <v>50</v>
      </c>
      <c r="F29" s="7">
        <v>87</v>
      </c>
      <c r="G29" s="7">
        <v>50</v>
      </c>
      <c r="H29" s="7" t="s">
        <v>68</v>
      </c>
      <c r="I29" s="7" t="s">
        <v>109</v>
      </c>
      <c r="J29" s="7" t="s">
        <v>130</v>
      </c>
      <c r="K29" s="46">
        <v>0.71597222222222223</v>
      </c>
      <c r="L29" s="7" t="s">
        <v>109</v>
      </c>
      <c r="M29" s="7" t="s">
        <v>109</v>
      </c>
      <c r="N29" s="7" t="s">
        <v>109</v>
      </c>
      <c r="O29" s="7" t="s">
        <v>61</v>
      </c>
      <c r="P29" s="7" t="s">
        <v>131</v>
      </c>
      <c r="Q29" s="7" t="s">
        <v>68</v>
      </c>
      <c r="R29" s="7" t="s">
        <v>62</v>
      </c>
      <c r="S29" s="7" t="s">
        <v>109</v>
      </c>
      <c r="T29" s="7" t="s">
        <v>424</v>
      </c>
      <c r="U29" s="7" t="s">
        <v>109</v>
      </c>
      <c r="V29" s="7" t="s">
        <v>109</v>
      </c>
    </row>
    <row r="30" spans="1:22" x14ac:dyDescent="0.3">
      <c r="A30" s="7">
        <v>29</v>
      </c>
      <c r="B30" s="7" t="s">
        <v>23</v>
      </c>
      <c r="C30" s="7" t="s">
        <v>1653</v>
      </c>
      <c r="D30" s="7">
        <v>50126377</v>
      </c>
      <c r="E30" s="7">
        <v>65</v>
      </c>
      <c r="F30" s="7">
        <v>115</v>
      </c>
      <c r="G30" s="7">
        <v>78</v>
      </c>
      <c r="H30" s="7" t="s">
        <v>196</v>
      </c>
      <c r="I30" s="7" t="s">
        <v>109</v>
      </c>
      <c r="J30" s="7" t="s">
        <v>130</v>
      </c>
      <c r="K30" s="46">
        <v>0.75</v>
      </c>
      <c r="L30" s="7" t="s">
        <v>109</v>
      </c>
      <c r="M30" s="7" t="s">
        <v>109</v>
      </c>
      <c r="N30" s="7" t="s">
        <v>109</v>
      </c>
      <c r="O30" s="7" t="s">
        <v>61</v>
      </c>
      <c r="P30" s="7" t="s">
        <v>131</v>
      </c>
      <c r="Q30" s="7" t="s">
        <v>196</v>
      </c>
      <c r="R30" s="7" t="s">
        <v>62</v>
      </c>
      <c r="S30" s="7" t="s">
        <v>109</v>
      </c>
      <c r="T30" s="7" t="s">
        <v>424</v>
      </c>
      <c r="U30" s="7" t="s">
        <v>109</v>
      </c>
      <c r="V30" s="7" t="s">
        <v>109</v>
      </c>
    </row>
    <row r="31" spans="1:22" x14ac:dyDescent="0.3">
      <c r="A31" s="7">
        <v>30</v>
      </c>
      <c r="B31" s="7" t="s">
        <v>23</v>
      </c>
      <c r="C31" s="7" t="s">
        <v>1658</v>
      </c>
      <c r="D31" s="7">
        <v>50126381</v>
      </c>
      <c r="E31" s="7">
        <v>50</v>
      </c>
      <c r="F31" s="7">
        <v>90</v>
      </c>
      <c r="G31" s="7">
        <v>24</v>
      </c>
      <c r="H31" s="7" t="s">
        <v>84</v>
      </c>
      <c r="I31" s="7" t="s">
        <v>109</v>
      </c>
      <c r="J31" s="7" t="s">
        <v>130</v>
      </c>
      <c r="K31" s="46">
        <v>4.5138888888888888E-2</v>
      </c>
      <c r="L31" s="7" t="s">
        <v>109</v>
      </c>
      <c r="M31" s="7" t="s">
        <v>109</v>
      </c>
      <c r="N31" s="7" t="s">
        <v>109</v>
      </c>
      <c r="O31" s="7" t="s">
        <v>61</v>
      </c>
      <c r="P31" s="7" t="s">
        <v>131</v>
      </c>
      <c r="Q31" s="7" t="s">
        <v>84</v>
      </c>
      <c r="R31" s="7" t="s">
        <v>62</v>
      </c>
      <c r="S31" s="7" t="s">
        <v>109</v>
      </c>
      <c r="T31" s="7" t="s">
        <v>424</v>
      </c>
      <c r="U31" s="7" t="s">
        <v>109</v>
      </c>
      <c r="V31" s="7" t="s">
        <v>109</v>
      </c>
    </row>
    <row r="32" spans="1:22" x14ac:dyDescent="0.3">
      <c r="A32" s="7">
        <v>31</v>
      </c>
      <c r="B32" s="7" t="s">
        <v>23</v>
      </c>
      <c r="C32" s="7" t="s">
        <v>1660</v>
      </c>
      <c r="D32" s="7">
        <v>50126386</v>
      </c>
      <c r="E32" s="7">
        <v>50</v>
      </c>
      <c r="F32" s="7">
        <v>89</v>
      </c>
      <c r="G32" s="7">
        <v>53</v>
      </c>
      <c r="H32" s="7" t="s">
        <v>241</v>
      </c>
      <c r="I32" s="7" t="s">
        <v>109</v>
      </c>
      <c r="J32" s="7" t="s">
        <v>130</v>
      </c>
      <c r="K32" s="46">
        <v>0.9770833333333333</v>
      </c>
      <c r="L32" s="7" t="s">
        <v>109</v>
      </c>
      <c r="M32" s="7" t="s">
        <v>109</v>
      </c>
      <c r="N32" s="7" t="s">
        <v>109</v>
      </c>
      <c r="O32" s="7" t="s">
        <v>61</v>
      </c>
      <c r="P32" s="7" t="s">
        <v>131</v>
      </c>
      <c r="Q32" s="7" t="s">
        <v>241</v>
      </c>
      <c r="R32" s="7" t="s">
        <v>62</v>
      </c>
      <c r="S32" s="7" t="s">
        <v>109</v>
      </c>
      <c r="T32" s="7" t="s">
        <v>424</v>
      </c>
      <c r="U32" s="7" t="s">
        <v>109</v>
      </c>
      <c r="V32" s="7" t="s">
        <v>109</v>
      </c>
    </row>
    <row r="33" spans="1:22" x14ac:dyDescent="0.3">
      <c r="A33" s="7">
        <v>32</v>
      </c>
      <c r="B33" s="7" t="s">
        <v>23</v>
      </c>
      <c r="C33" s="7" t="s">
        <v>942</v>
      </c>
      <c r="D33" s="7">
        <v>50126233</v>
      </c>
      <c r="E33" s="7">
        <v>50</v>
      </c>
      <c r="F33" s="7">
        <v>98</v>
      </c>
      <c r="G33" s="7">
        <v>53</v>
      </c>
      <c r="H33" s="7" t="s">
        <v>82</v>
      </c>
      <c r="I33" s="7" t="s">
        <v>109</v>
      </c>
      <c r="J33" s="7" t="s">
        <v>130</v>
      </c>
      <c r="K33" s="46">
        <v>0.7</v>
      </c>
      <c r="L33" s="7" t="s">
        <v>109</v>
      </c>
      <c r="M33" s="7" t="s">
        <v>109</v>
      </c>
      <c r="N33" s="7" t="s">
        <v>109</v>
      </c>
      <c r="O33" s="7" t="s">
        <v>61</v>
      </c>
      <c r="P33" s="7" t="s">
        <v>131</v>
      </c>
      <c r="Q33" s="7" t="s">
        <v>82</v>
      </c>
      <c r="R33" s="7" t="s">
        <v>62</v>
      </c>
      <c r="S33" s="7" t="s">
        <v>109</v>
      </c>
      <c r="T33" s="7" t="s">
        <v>424</v>
      </c>
      <c r="U33" s="7" t="s">
        <v>109</v>
      </c>
      <c r="V33" s="7" t="s">
        <v>109</v>
      </c>
    </row>
    <row r="34" spans="1:22" x14ac:dyDescent="0.3">
      <c r="A34" s="7">
        <v>33</v>
      </c>
      <c r="B34" s="7" t="s">
        <v>23</v>
      </c>
      <c r="C34" s="7" t="s">
        <v>944</v>
      </c>
      <c r="D34" s="7">
        <v>50126235</v>
      </c>
      <c r="E34" s="7">
        <v>65</v>
      </c>
      <c r="F34" s="7">
        <v>103</v>
      </c>
      <c r="G34" s="7">
        <v>65</v>
      </c>
      <c r="H34" s="7" t="s">
        <v>222</v>
      </c>
      <c r="I34" s="7" t="s">
        <v>109</v>
      </c>
      <c r="J34" s="7" t="s">
        <v>130</v>
      </c>
      <c r="K34" s="46">
        <v>0.76111111111111107</v>
      </c>
      <c r="L34" s="7" t="s">
        <v>109</v>
      </c>
      <c r="M34" s="7" t="s">
        <v>109</v>
      </c>
      <c r="N34" s="7" t="s">
        <v>109</v>
      </c>
      <c r="O34" s="7" t="s">
        <v>61</v>
      </c>
      <c r="P34" s="7" t="s">
        <v>131</v>
      </c>
      <c r="Q34" s="7" t="s">
        <v>222</v>
      </c>
      <c r="R34" s="7" t="s">
        <v>62</v>
      </c>
      <c r="S34" s="7" t="s">
        <v>109</v>
      </c>
      <c r="T34" s="7" t="s">
        <v>424</v>
      </c>
      <c r="U34" s="7" t="s">
        <v>109</v>
      </c>
      <c r="V34" s="7" t="s">
        <v>109</v>
      </c>
    </row>
    <row r="35" spans="1:22" x14ac:dyDescent="0.3">
      <c r="A35" s="7">
        <v>34</v>
      </c>
      <c r="B35" s="7" t="s">
        <v>23</v>
      </c>
      <c r="C35" s="7" t="s">
        <v>945</v>
      </c>
      <c r="D35" s="7">
        <v>50126230</v>
      </c>
      <c r="E35" s="7">
        <v>70</v>
      </c>
      <c r="F35" s="7">
        <v>106</v>
      </c>
      <c r="G35" s="7">
        <v>42</v>
      </c>
      <c r="H35" s="7" t="s">
        <v>71</v>
      </c>
      <c r="I35" s="7" t="s">
        <v>109</v>
      </c>
      <c r="J35" s="7" t="s">
        <v>130</v>
      </c>
      <c r="K35" s="46">
        <v>0.96458333333333335</v>
      </c>
      <c r="L35" s="7" t="s">
        <v>109</v>
      </c>
      <c r="M35" s="7" t="s">
        <v>109</v>
      </c>
      <c r="N35" s="7" t="s">
        <v>109</v>
      </c>
      <c r="O35" s="7" t="s">
        <v>61</v>
      </c>
      <c r="P35" s="7" t="s">
        <v>131</v>
      </c>
      <c r="Q35" s="7" t="s">
        <v>71</v>
      </c>
      <c r="R35" s="7" t="s">
        <v>62</v>
      </c>
      <c r="S35" s="7" t="s">
        <v>109</v>
      </c>
      <c r="T35" s="7" t="s">
        <v>424</v>
      </c>
      <c r="U35" s="7" t="s">
        <v>109</v>
      </c>
      <c r="V35" s="7" t="s">
        <v>109</v>
      </c>
    </row>
    <row r="36" spans="1:22" x14ac:dyDescent="0.3">
      <c r="A36" s="7">
        <v>35</v>
      </c>
      <c r="B36" s="7" t="s">
        <v>292</v>
      </c>
      <c r="C36" s="7" t="s">
        <v>1720</v>
      </c>
      <c r="D36" s="7">
        <v>40126037</v>
      </c>
      <c r="E36" s="7">
        <v>236</v>
      </c>
      <c r="F36" s="7">
        <v>311</v>
      </c>
      <c r="G36" s="7">
        <v>243</v>
      </c>
      <c r="H36" s="7" t="s">
        <v>1721</v>
      </c>
      <c r="I36" s="7" t="s">
        <v>1722</v>
      </c>
      <c r="J36" s="7" t="s">
        <v>130</v>
      </c>
      <c r="K36" s="46">
        <v>1.1805555555555555E-2</v>
      </c>
      <c r="L36" s="46">
        <v>3.3333333333333333E-2</v>
      </c>
      <c r="M36" s="7" t="s">
        <v>109</v>
      </c>
      <c r="N36" s="7" t="s">
        <v>109</v>
      </c>
      <c r="O36" s="7" t="s">
        <v>61</v>
      </c>
      <c r="P36" s="7" t="s">
        <v>131</v>
      </c>
      <c r="Q36" s="7" t="s">
        <v>87</v>
      </c>
      <c r="R36" s="7" t="s">
        <v>63</v>
      </c>
      <c r="S36" s="7" t="s">
        <v>109</v>
      </c>
      <c r="T36" s="7" t="s">
        <v>117</v>
      </c>
      <c r="U36" s="7" t="s">
        <v>109</v>
      </c>
      <c r="V36" s="7" t="s">
        <v>109</v>
      </c>
    </row>
    <row r="37" spans="1:22" x14ac:dyDescent="0.3">
      <c r="A37" s="7">
        <v>36</v>
      </c>
      <c r="B37" s="7" t="s">
        <v>26</v>
      </c>
      <c r="C37" s="7" t="s">
        <v>1389</v>
      </c>
      <c r="D37" s="7">
        <v>40126028</v>
      </c>
      <c r="E37" s="7">
        <v>376</v>
      </c>
      <c r="F37" s="7">
        <v>712</v>
      </c>
      <c r="G37" s="7">
        <v>321</v>
      </c>
      <c r="H37" s="7" t="s">
        <v>1766</v>
      </c>
      <c r="I37" s="7" t="s">
        <v>764</v>
      </c>
      <c r="J37" s="7" t="s">
        <v>130</v>
      </c>
      <c r="K37" s="46">
        <v>0.92638888888888893</v>
      </c>
      <c r="L37" s="46">
        <v>3.125E-2</v>
      </c>
      <c r="M37" s="7" t="s">
        <v>109</v>
      </c>
      <c r="N37" s="7" t="s">
        <v>109</v>
      </c>
      <c r="O37" s="7" t="s">
        <v>61</v>
      </c>
      <c r="P37" s="7" t="s">
        <v>131</v>
      </c>
      <c r="Q37" s="7" t="s">
        <v>94</v>
      </c>
      <c r="R37" s="7" t="s">
        <v>62</v>
      </c>
      <c r="S37" s="7" t="s">
        <v>109</v>
      </c>
      <c r="T37" s="7" t="s">
        <v>121</v>
      </c>
      <c r="U37" s="7" t="s">
        <v>109</v>
      </c>
      <c r="V37" s="7" t="s">
        <v>109</v>
      </c>
    </row>
    <row r="38" spans="1:22" x14ac:dyDescent="0.3">
      <c r="A38" s="7">
        <v>37</v>
      </c>
      <c r="B38" s="7" t="s">
        <v>26</v>
      </c>
      <c r="C38" s="7" t="s">
        <v>1391</v>
      </c>
      <c r="D38" s="7">
        <v>40126023</v>
      </c>
      <c r="E38" s="7">
        <v>221</v>
      </c>
      <c r="F38" s="7">
        <v>411</v>
      </c>
      <c r="G38" s="7">
        <v>199</v>
      </c>
      <c r="H38" s="7" t="s">
        <v>339</v>
      </c>
      <c r="I38" s="7" t="s">
        <v>1684</v>
      </c>
      <c r="J38" s="7" t="s">
        <v>130</v>
      </c>
      <c r="K38" s="46">
        <v>0.93263888888888891</v>
      </c>
      <c r="L38" s="46">
        <v>0.97499999999999998</v>
      </c>
      <c r="M38" s="7" t="s">
        <v>109</v>
      </c>
      <c r="N38" s="7" t="s">
        <v>109</v>
      </c>
      <c r="O38" s="7" t="s">
        <v>61</v>
      </c>
      <c r="P38" s="7" t="s">
        <v>131</v>
      </c>
      <c r="Q38" s="7" t="s">
        <v>154</v>
      </c>
      <c r="R38" s="7" t="s">
        <v>62</v>
      </c>
      <c r="S38" s="7" t="s">
        <v>109</v>
      </c>
      <c r="T38" s="7" t="s">
        <v>121</v>
      </c>
      <c r="U38" s="7" t="s">
        <v>109</v>
      </c>
      <c r="V38" s="7" t="s">
        <v>109</v>
      </c>
    </row>
    <row r="39" spans="1:22" x14ac:dyDescent="0.3">
      <c r="A39" s="7">
        <v>38</v>
      </c>
      <c r="B39" s="7" t="s">
        <v>23</v>
      </c>
      <c r="C39" s="7" t="s">
        <v>1366</v>
      </c>
      <c r="D39" s="7">
        <v>50126343</v>
      </c>
      <c r="E39" s="7">
        <v>1500</v>
      </c>
      <c r="F39" s="7">
        <f>3286+1062</f>
        <v>4348</v>
      </c>
      <c r="G39" s="7">
        <f>941+206</f>
        <v>1147</v>
      </c>
      <c r="H39" s="7" t="s">
        <v>1723</v>
      </c>
      <c r="I39" s="7" t="s">
        <v>109</v>
      </c>
      <c r="J39" s="7" t="s">
        <v>130</v>
      </c>
      <c r="K39" s="46">
        <v>4.3749999999999997E-2</v>
      </c>
      <c r="L39" s="7" t="s">
        <v>109</v>
      </c>
      <c r="M39" s="7" t="s">
        <v>109</v>
      </c>
      <c r="N39" s="7" t="s">
        <v>1724</v>
      </c>
      <c r="O39" s="7" t="s">
        <v>61</v>
      </c>
      <c r="P39" s="7" t="s">
        <v>131</v>
      </c>
      <c r="Q39" s="7" t="s">
        <v>222</v>
      </c>
      <c r="R39" s="7" t="s">
        <v>62</v>
      </c>
      <c r="S39" s="7" t="s">
        <v>109</v>
      </c>
      <c r="T39" s="7" t="s">
        <v>1365</v>
      </c>
      <c r="U39" s="7" t="s">
        <v>109</v>
      </c>
      <c r="V39" s="7" t="s">
        <v>109</v>
      </c>
    </row>
    <row r="40" spans="1:22" x14ac:dyDescent="0.3">
      <c r="A40" s="7">
        <v>39</v>
      </c>
      <c r="B40" s="7" t="s">
        <v>23</v>
      </c>
      <c r="C40" s="7" t="s">
        <v>977</v>
      </c>
      <c r="D40" s="7">
        <v>50126274</v>
      </c>
      <c r="E40" s="7">
        <v>200</v>
      </c>
      <c r="F40" s="7">
        <v>360</v>
      </c>
      <c r="G40" s="7">
        <v>78</v>
      </c>
      <c r="H40" s="7" t="s">
        <v>1767</v>
      </c>
      <c r="I40" s="7" t="s">
        <v>109</v>
      </c>
      <c r="J40" s="7" t="s">
        <v>130</v>
      </c>
      <c r="K40" s="46">
        <v>3.1944444444444442E-2</v>
      </c>
      <c r="L40" s="7" t="s">
        <v>109</v>
      </c>
      <c r="M40" s="7" t="s">
        <v>109</v>
      </c>
      <c r="N40" s="7" t="s">
        <v>109</v>
      </c>
      <c r="O40" s="7" t="s">
        <v>61</v>
      </c>
      <c r="P40" s="7" t="s">
        <v>131</v>
      </c>
      <c r="Q40" s="7" t="s">
        <v>68</v>
      </c>
      <c r="R40" s="7" t="s">
        <v>62</v>
      </c>
      <c r="S40" s="7" t="s">
        <v>109</v>
      </c>
      <c r="T40" s="7" t="s">
        <v>334</v>
      </c>
      <c r="U40" s="7" t="s">
        <v>109</v>
      </c>
      <c r="V40" s="7" t="s">
        <v>109</v>
      </c>
    </row>
    <row r="41" spans="1:22" x14ac:dyDescent="0.3">
      <c r="A41" s="7">
        <v>40</v>
      </c>
      <c r="B41" s="7" t="s">
        <v>23</v>
      </c>
      <c r="C41" s="7" t="s">
        <v>978</v>
      </c>
      <c r="D41" s="7">
        <v>50126276</v>
      </c>
      <c r="E41" s="7">
        <v>250</v>
      </c>
      <c r="F41" s="7">
        <v>375</v>
      </c>
      <c r="G41" s="7">
        <v>232</v>
      </c>
      <c r="H41" s="7" t="s">
        <v>1725</v>
      </c>
      <c r="I41" s="7" t="s">
        <v>109</v>
      </c>
      <c r="J41" s="7" t="s">
        <v>130</v>
      </c>
      <c r="K41" s="46">
        <v>3.4027777777777775E-2</v>
      </c>
      <c r="L41" s="7" t="s">
        <v>109</v>
      </c>
      <c r="M41" s="7" t="s">
        <v>109</v>
      </c>
      <c r="N41" s="7" t="s">
        <v>109</v>
      </c>
      <c r="O41" s="7" t="s">
        <v>61</v>
      </c>
      <c r="P41" s="7" t="s">
        <v>131</v>
      </c>
      <c r="Q41" s="7" t="s">
        <v>196</v>
      </c>
      <c r="R41" s="7" t="s">
        <v>62</v>
      </c>
      <c r="S41" s="7" t="s">
        <v>109</v>
      </c>
      <c r="T41" s="7" t="s">
        <v>334</v>
      </c>
      <c r="U41" s="7" t="s">
        <v>109</v>
      </c>
      <c r="V41" s="7" t="s">
        <v>109</v>
      </c>
    </row>
    <row r="42" spans="1:22" x14ac:dyDescent="0.3">
      <c r="A42" s="7">
        <v>41</v>
      </c>
      <c r="B42" s="7" t="s">
        <v>23</v>
      </c>
      <c r="C42" s="7" t="s">
        <v>980</v>
      </c>
      <c r="D42" s="7">
        <v>50126278</v>
      </c>
      <c r="E42" s="7">
        <v>300</v>
      </c>
      <c r="F42" s="7">
        <v>481</v>
      </c>
      <c r="G42" s="7">
        <v>262</v>
      </c>
      <c r="H42" s="7" t="s">
        <v>1726</v>
      </c>
      <c r="I42" s="7" t="s">
        <v>109</v>
      </c>
      <c r="J42" s="7" t="s">
        <v>130</v>
      </c>
      <c r="K42" s="46">
        <v>2.2222222222222223E-2</v>
      </c>
      <c r="L42" s="7" t="s">
        <v>109</v>
      </c>
      <c r="M42" s="7" t="s">
        <v>109</v>
      </c>
      <c r="N42" s="7" t="s">
        <v>109</v>
      </c>
      <c r="O42" s="7" t="s">
        <v>61</v>
      </c>
      <c r="P42" s="7" t="s">
        <v>131</v>
      </c>
      <c r="Q42" s="7" t="s">
        <v>66</v>
      </c>
      <c r="R42" s="7" t="s">
        <v>62</v>
      </c>
      <c r="S42" s="7" t="s">
        <v>109</v>
      </c>
      <c r="T42" s="7" t="s">
        <v>334</v>
      </c>
      <c r="U42" s="7" t="s">
        <v>109</v>
      </c>
      <c r="V42" s="7" t="s">
        <v>109</v>
      </c>
    </row>
    <row r="43" spans="1:22" x14ac:dyDescent="0.3">
      <c r="A43" s="7">
        <v>42</v>
      </c>
      <c r="B43" s="7" t="s">
        <v>23</v>
      </c>
      <c r="C43" s="7" t="s">
        <v>981</v>
      </c>
      <c r="D43" s="7">
        <v>50126275</v>
      </c>
      <c r="E43" s="7">
        <v>150</v>
      </c>
      <c r="F43" s="7">
        <v>290</v>
      </c>
      <c r="G43" s="7">
        <v>128</v>
      </c>
      <c r="H43" s="7" t="s">
        <v>1727</v>
      </c>
      <c r="I43" s="7" t="s">
        <v>109</v>
      </c>
      <c r="J43" s="7" t="s">
        <v>130</v>
      </c>
      <c r="K43" s="46">
        <v>0.8930555555555556</v>
      </c>
      <c r="L43" s="7" t="s">
        <v>109</v>
      </c>
      <c r="M43" s="7" t="s">
        <v>109</v>
      </c>
      <c r="N43" s="7" t="s">
        <v>109</v>
      </c>
      <c r="O43" s="7" t="s">
        <v>61</v>
      </c>
      <c r="P43" s="7" t="s">
        <v>131</v>
      </c>
      <c r="Q43" s="7" t="s">
        <v>67</v>
      </c>
      <c r="R43" s="7" t="s">
        <v>62</v>
      </c>
      <c r="S43" s="7" t="s">
        <v>109</v>
      </c>
      <c r="T43" s="7" t="s">
        <v>334</v>
      </c>
      <c r="U43" s="7" t="s">
        <v>109</v>
      </c>
      <c r="V43" s="7" t="s">
        <v>109</v>
      </c>
    </row>
    <row r="44" spans="1:22" x14ac:dyDescent="0.3">
      <c r="A44" s="7">
        <v>43</v>
      </c>
      <c r="B44" s="7" t="s">
        <v>23</v>
      </c>
      <c r="C44" s="7" t="s">
        <v>982</v>
      </c>
      <c r="D44" s="7">
        <v>50126277</v>
      </c>
      <c r="E44" s="7">
        <v>300</v>
      </c>
      <c r="F44" s="7">
        <v>607</v>
      </c>
      <c r="G44" s="7">
        <v>138</v>
      </c>
      <c r="H44" s="7" t="s">
        <v>1728</v>
      </c>
      <c r="I44" s="7" t="s">
        <v>109</v>
      </c>
      <c r="J44" s="7" t="s">
        <v>130</v>
      </c>
      <c r="K44" s="46">
        <v>4.6527777777777779E-2</v>
      </c>
      <c r="L44" s="7" t="s">
        <v>109</v>
      </c>
      <c r="M44" s="7" t="s">
        <v>109</v>
      </c>
      <c r="N44" s="7" t="s">
        <v>109</v>
      </c>
      <c r="O44" s="7" t="s">
        <v>61</v>
      </c>
      <c r="P44" s="7" t="s">
        <v>131</v>
      </c>
      <c r="Q44" s="7" t="s">
        <v>214</v>
      </c>
      <c r="R44" s="7" t="s">
        <v>62</v>
      </c>
      <c r="S44" s="7" t="s">
        <v>109</v>
      </c>
      <c r="T44" s="7" t="s">
        <v>334</v>
      </c>
      <c r="U44" s="7" t="s">
        <v>109</v>
      </c>
      <c r="V44" s="7" t="s">
        <v>109</v>
      </c>
    </row>
    <row r="45" spans="1:22" x14ac:dyDescent="0.3">
      <c r="A45" s="7">
        <v>44</v>
      </c>
      <c r="B45" s="7" t="s">
        <v>23</v>
      </c>
      <c r="C45" s="7" t="s">
        <v>984</v>
      </c>
      <c r="D45" s="7">
        <v>50126272</v>
      </c>
      <c r="E45" s="7">
        <v>100</v>
      </c>
      <c r="F45" s="7">
        <v>170</v>
      </c>
      <c r="G45" s="7">
        <v>102</v>
      </c>
      <c r="H45" s="7" t="s">
        <v>69</v>
      </c>
      <c r="I45" s="7" t="s">
        <v>109</v>
      </c>
      <c r="J45" s="7" t="s">
        <v>130</v>
      </c>
      <c r="K45" s="46">
        <v>2.9166666666666667E-2</v>
      </c>
      <c r="L45" s="7" t="s">
        <v>109</v>
      </c>
      <c r="M45" s="7" t="s">
        <v>109</v>
      </c>
      <c r="N45" s="7" t="s">
        <v>109</v>
      </c>
      <c r="O45" s="7" t="s">
        <v>61</v>
      </c>
      <c r="P45" s="7" t="s">
        <v>131</v>
      </c>
      <c r="Q45" s="7" t="s">
        <v>69</v>
      </c>
      <c r="R45" s="7" t="s">
        <v>62</v>
      </c>
      <c r="S45" s="7" t="s">
        <v>109</v>
      </c>
      <c r="T45" s="7" t="s">
        <v>334</v>
      </c>
      <c r="U45" s="7" t="s">
        <v>109</v>
      </c>
      <c r="V45" s="7" t="s">
        <v>109</v>
      </c>
    </row>
    <row r="46" spans="1:22" x14ac:dyDescent="0.3">
      <c r="A46" s="7">
        <v>45</v>
      </c>
      <c r="B46" s="7" t="s">
        <v>23</v>
      </c>
      <c r="C46" s="7" t="s">
        <v>985</v>
      </c>
      <c r="D46" s="7">
        <v>50126273</v>
      </c>
      <c r="E46" s="7">
        <v>350</v>
      </c>
      <c r="F46" s="7">
        <v>574</v>
      </c>
      <c r="G46" s="7">
        <v>336</v>
      </c>
      <c r="H46" s="7" t="s">
        <v>1770</v>
      </c>
      <c r="I46" s="7" t="s">
        <v>109</v>
      </c>
      <c r="J46" s="7" t="s">
        <v>130</v>
      </c>
      <c r="K46" s="46">
        <v>0.77777777777777779</v>
      </c>
      <c r="L46" s="7" t="s">
        <v>109</v>
      </c>
      <c r="M46" s="7" t="s">
        <v>109</v>
      </c>
      <c r="N46" s="7" t="s">
        <v>109</v>
      </c>
      <c r="O46" s="7" t="s">
        <v>61</v>
      </c>
      <c r="P46" s="7" t="s">
        <v>131</v>
      </c>
      <c r="Q46" s="7" t="s">
        <v>68</v>
      </c>
      <c r="R46" s="7" t="s">
        <v>62</v>
      </c>
      <c r="S46" s="7" t="s">
        <v>109</v>
      </c>
      <c r="T46" s="7" t="s">
        <v>334</v>
      </c>
      <c r="U46" s="7" t="s">
        <v>109</v>
      </c>
      <c r="V46" s="7" t="s">
        <v>109</v>
      </c>
    </row>
    <row r="47" spans="1:22" x14ac:dyDescent="0.3">
      <c r="A47" s="7">
        <v>46</v>
      </c>
      <c r="B47" s="7" t="s">
        <v>23</v>
      </c>
      <c r="C47" s="7" t="s">
        <v>1729</v>
      </c>
      <c r="D47" s="7">
        <v>50126400</v>
      </c>
      <c r="E47" s="7">
        <v>150</v>
      </c>
      <c r="F47" s="7">
        <v>282</v>
      </c>
      <c r="G47" s="7">
        <v>118</v>
      </c>
      <c r="H47" s="7" t="s">
        <v>1730</v>
      </c>
      <c r="I47" s="7" t="s">
        <v>109</v>
      </c>
      <c r="J47" s="7" t="s">
        <v>130</v>
      </c>
      <c r="K47" s="46">
        <v>0.96805555555555556</v>
      </c>
      <c r="L47" s="7" t="s">
        <v>109</v>
      </c>
      <c r="M47" s="7" t="s">
        <v>109</v>
      </c>
      <c r="N47" s="7" t="s">
        <v>109</v>
      </c>
      <c r="O47" s="7" t="s">
        <v>61</v>
      </c>
      <c r="P47" s="7" t="s">
        <v>131</v>
      </c>
      <c r="Q47" s="7" t="s">
        <v>1404</v>
      </c>
      <c r="R47" s="7" t="s">
        <v>62</v>
      </c>
      <c r="S47" s="7" t="s">
        <v>109</v>
      </c>
      <c r="T47" s="7" t="s">
        <v>362</v>
      </c>
      <c r="U47" s="7" t="s">
        <v>109</v>
      </c>
      <c r="V47" s="7" t="s">
        <v>109</v>
      </c>
    </row>
    <row r="48" spans="1:22" x14ac:dyDescent="0.3">
      <c r="A48" s="7">
        <v>47</v>
      </c>
      <c r="B48" s="7" t="s">
        <v>23</v>
      </c>
      <c r="C48" s="7" t="s">
        <v>686</v>
      </c>
      <c r="D48" s="7">
        <v>50126137</v>
      </c>
      <c r="E48" s="7">
        <v>150</v>
      </c>
      <c r="F48" s="7" t="s">
        <v>109</v>
      </c>
      <c r="G48" s="7" t="s">
        <v>109</v>
      </c>
      <c r="H48" s="7" t="s">
        <v>191</v>
      </c>
      <c r="I48" s="7" t="s">
        <v>109</v>
      </c>
      <c r="J48" s="7" t="s">
        <v>85</v>
      </c>
      <c r="K48" s="7" t="s">
        <v>109</v>
      </c>
      <c r="L48" s="7" t="s">
        <v>109</v>
      </c>
      <c r="M48" s="7" t="s">
        <v>109</v>
      </c>
      <c r="N48" s="7" t="s">
        <v>109</v>
      </c>
      <c r="O48" s="7" t="s">
        <v>61</v>
      </c>
      <c r="P48" s="7" t="s">
        <v>109</v>
      </c>
      <c r="Q48" s="7" t="s">
        <v>109</v>
      </c>
      <c r="R48" s="7" t="s">
        <v>62</v>
      </c>
      <c r="S48" s="7" t="s">
        <v>109</v>
      </c>
      <c r="T48" s="7" t="s">
        <v>688</v>
      </c>
      <c r="U48" s="7" t="s">
        <v>109</v>
      </c>
      <c r="V48" s="7" t="s">
        <v>109</v>
      </c>
    </row>
    <row r="49" spans="1:22" x14ac:dyDescent="0.3">
      <c r="A49" s="7">
        <v>48</v>
      </c>
      <c r="B49" s="7" t="s">
        <v>23</v>
      </c>
      <c r="C49" s="7" t="s">
        <v>1519</v>
      </c>
      <c r="D49" s="7">
        <v>50126353</v>
      </c>
      <c r="E49" s="7">
        <v>150</v>
      </c>
      <c r="F49" s="7" t="s">
        <v>109</v>
      </c>
      <c r="G49" s="7" t="s">
        <v>109</v>
      </c>
      <c r="H49" s="7" t="s">
        <v>1710</v>
      </c>
      <c r="I49" s="7" t="s">
        <v>109</v>
      </c>
      <c r="J49" s="7" t="s">
        <v>109</v>
      </c>
      <c r="K49" s="7" t="s">
        <v>109</v>
      </c>
      <c r="L49" s="7" t="s">
        <v>109</v>
      </c>
      <c r="M49" s="7" t="s">
        <v>109</v>
      </c>
      <c r="N49" s="7" t="s">
        <v>109</v>
      </c>
      <c r="O49" s="7" t="s">
        <v>61</v>
      </c>
      <c r="P49" s="7" t="s">
        <v>109</v>
      </c>
      <c r="Q49" s="7" t="s">
        <v>109</v>
      </c>
      <c r="R49" s="7" t="s">
        <v>62</v>
      </c>
      <c r="S49" s="7" t="s">
        <v>109</v>
      </c>
      <c r="T49" s="7" t="s">
        <v>1309</v>
      </c>
      <c r="U49" s="7" t="s">
        <v>109</v>
      </c>
      <c r="V49" s="7" t="s">
        <v>109</v>
      </c>
    </row>
    <row r="50" spans="1:22" x14ac:dyDescent="0.3">
      <c r="A50" s="7">
        <v>49</v>
      </c>
      <c r="B50" s="7" t="s">
        <v>143</v>
      </c>
      <c r="C50" s="7" t="s">
        <v>1667</v>
      </c>
      <c r="D50" s="7">
        <v>10126048</v>
      </c>
      <c r="E50" s="7">
        <v>50</v>
      </c>
      <c r="F50" s="7" t="s">
        <v>109</v>
      </c>
      <c r="G50" s="7" t="s">
        <v>109</v>
      </c>
      <c r="H50" s="7" t="s">
        <v>65</v>
      </c>
      <c r="I50" s="7" t="s">
        <v>88</v>
      </c>
      <c r="J50" s="7" t="s">
        <v>85</v>
      </c>
      <c r="K50" s="7" t="s">
        <v>109</v>
      </c>
      <c r="L50" s="7" t="s">
        <v>109</v>
      </c>
      <c r="M50" s="7" t="s">
        <v>109</v>
      </c>
      <c r="N50" s="7" t="s">
        <v>109</v>
      </c>
      <c r="O50" s="7" t="s">
        <v>61</v>
      </c>
      <c r="P50" s="7" t="s">
        <v>109</v>
      </c>
      <c r="Q50" s="7" t="s">
        <v>109</v>
      </c>
      <c r="R50" s="7" t="s">
        <v>62</v>
      </c>
      <c r="S50" s="7" t="s">
        <v>109</v>
      </c>
      <c r="T50" s="7" t="s">
        <v>402</v>
      </c>
      <c r="U50" s="7" t="s">
        <v>109</v>
      </c>
      <c r="V50" s="7" t="s">
        <v>109</v>
      </c>
    </row>
    <row r="51" spans="1:22" x14ac:dyDescent="0.3">
      <c r="A51" s="7">
        <v>50</v>
      </c>
      <c r="B51" s="7" t="s">
        <v>143</v>
      </c>
      <c r="C51" s="7" t="s">
        <v>1264</v>
      </c>
      <c r="D51" s="7">
        <v>11125008</v>
      </c>
      <c r="E51" s="7">
        <v>50</v>
      </c>
      <c r="F51" s="7">
        <v>90</v>
      </c>
      <c r="G51" s="7">
        <v>52</v>
      </c>
      <c r="H51" s="7" t="s">
        <v>241</v>
      </c>
      <c r="I51" s="7" t="s">
        <v>93</v>
      </c>
      <c r="J51" s="7" t="s">
        <v>130</v>
      </c>
      <c r="K51" s="46">
        <v>0.9194444444444444</v>
      </c>
      <c r="L51" s="46">
        <v>0.96527777777777779</v>
      </c>
      <c r="M51" s="7" t="s">
        <v>109</v>
      </c>
      <c r="N51" s="7" t="s">
        <v>109</v>
      </c>
      <c r="O51" s="7" t="s">
        <v>61</v>
      </c>
      <c r="P51" s="7" t="s">
        <v>131</v>
      </c>
      <c r="Q51" s="7" t="s">
        <v>93</v>
      </c>
      <c r="R51" s="7" t="s">
        <v>62</v>
      </c>
      <c r="S51" s="7" t="s">
        <v>109</v>
      </c>
      <c r="T51" s="7" t="s">
        <v>1665</v>
      </c>
      <c r="U51" s="7" t="s">
        <v>109</v>
      </c>
      <c r="V51" s="7" t="s">
        <v>109</v>
      </c>
    </row>
    <row r="52" spans="1:22" x14ac:dyDescent="0.3">
      <c r="A52" s="7">
        <v>51</v>
      </c>
      <c r="B52" s="7" t="s">
        <v>143</v>
      </c>
      <c r="C52" s="7" t="s">
        <v>1598</v>
      </c>
      <c r="D52" s="7">
        <v>10126044</v>
      </c>
      <c r="E52" s="7">
        <v>130</v>
      </c>
      <c r="F52" s="7">
        <v>220</v>
      </c>
      <c r="G52" s="7">
        <v>98</v>
      </c>
      <c r="H52" s="7" t="s">
        <v>1731</v>
      </c>
      <c r="I52" s="7" t="s">
        <v>1732</v>
      </c>
      <c r="J52" s="7" t="s">
        <v>130</v>
      </c>
      <c r="K52" s="46">
        <v>0.95486111111111116</v>
      </c>
      <c r="L52" s="46">
        <v>0.99791666666666667</v>
      </c>
      <c r="M52" s="7" t="s">
        <v>109</v>
      </c>
      <c r="N52" s="7" t="s">
        <v>109</v>
      </c>
      <c r="O52" s="7" t="s">
        <v>61</v>
      </c>
      <c r="P52" s="7" t="s">
        <v>131</v>
      </c>
      <c r="Q52" s="7" t="s">
        <v>94</v>
      </c>
      <c r="R52" s="7" t="s">
        <v>62</v>
      </c>
      <c r="S52" s="7" t="s">
        <v>109</v>
      </c>
      <c r="T52" s="7" t="s">
        <v>480</v>
      </c>
      <c r="U52" s="7" t="s">
        <v>109</v>
      </c>
      <c r="V52" s="7" t="s">
        <v>109</v>
      </c>
    </row>
    <row r="53" spans="1:22" x14ac:dyDescent="0.3">
      <c r="A53" s="7">
        <v>52</v>
      </c>
      <c r="B53" s="7" t="s">
        <v>143</v>
      </c>
      <c r="C53" s="7" t="s">
        <v>1733</v>
      </c>
      <c r="D53" s="7" t="s">
        <v>109</v>
      </c>
      <c r="E53" s="7">
        <v>60</v>
      </c>
      <c r="F53" s="7" t="s">
        <v>109</v>
      </c>
      <c r="G53" s="7" t="s">
        <v>109</v>
      </c>
      <c r="H53" s="7" t="s">
        <v>82</v>
      </c>
      <c r="I53" s="7" t="s">
        <v>95</v>
      </c>
      <c r="J53" s="7" t="s">
        <v>85</v>
      </c>
      <c r="K53" s="7" t="s">
        <v>109</v>
      </c>
      <c r="L53" s="7" t="s">
        <v>109</v>
      </c>
      <c r="M53" s="7" t="s">
        <v>109</v>
      </c>
      <c r="N53" s="7" t="s">
        <v>109</v>
      </c>
      <c r="O53" s="7" t="s">
        <v>61</v>
      </c>
      <c r="P53" s="7" t="s">
        <v>109</v>
      </c>
      <c r="Q53" s="7" t="s">
        <v>109</v>
      </c>
      <c r="R53" s="7" t="s">
        <v>109</v>
      </c>
      <c r="S53" s="7" t="s">
        <v>109</v>
      </c>
      <c r="T53" s="7" t="s">
        <v>121</v>
      </c>
      <c r="U53" s="7" t="s">
        <v>109</v>
      </c>
      <c r="V53" s="7" t="s">
        <v>109</v>
      </c>
    </row>
    <row r="54" spans="1:22" x14ac:dyDescent="0.3">
      <c r="A54" s="7">
        <v>53</v>
      </c>
      <c r="B54" s="7" t="s">
        <v>143</v>
      </c>
      <c r="C54" s="7" t="s">
        <v>1734</v>
      </c>
      <c r="D54" s="7">
        <v>10126049</v>
      </c>
      <c r="E54" s="7">
        <v>130</v>
      </c>
      <c r="F54" s="7">
        <v>49</v>
      </c>
      <c r="G54" s="7">
        <v>0</v>
      </c>
      <c r="H54" s="7" t="s">
        <v>386</v>
      </c>
      <c r="I54" s="7" t="s">
        <v>97</v>
      </c>
      <c r="J54" s="7" t="s">
        <v>130</v>
      </c>
      <c r="K54" s="46">
        <v>0.96388888888888891</v>
      </c>
      <c r="L54" s="46">
        <v>3.888888888888889E-2</v>
      </c>
      <c r="M54" s="7" t="s">
        <v>109</v>
      </c>
      <c r="N54" s="7" t="s">
        <v>109</v>
      </c>
      <c r="O54" s="7" t="s">
        <v>61</v>
      </c>
      <c r="P54" s="7" t="s">
        <v>131</v>
      </c>
      <c r="Q54" s="7" t="s">
        <v>95</v>
      </c>
      <c r="R54" s="7" t="s">
        <v>62</v>
      </c>
      <c r="S54" s="7" t="s">
        <v>109</v>
      </c>
      <c r="T54" s="7" t="s">
        <v>182</v>
      </c>
      <c r="U54" s="7" t="s">
        <v>109</v>
      </c>
      <c r="V54" s="7" t="s">
        <v>109</v>
      </c>
    </row>
    <row r="55" spans="1:22" x14ac:dyDescent="0.3">
      <c r="A55" s="7">
        <v>54</v>
      </c>
      <c r="B55" s="7" t="s">
        <v>143</v>
      </c>
      <c r="C55" s="7" t="s">
        <v>1514</v>
      </c>
      <c r="D55" s="7">
        <v>10126035</v>
      </c>
      <c r="E55" s="7">
        <v>100</v>
      </c>
      <c r="F55" s="7">
        <v>120</v>
      </c>
      <c r="G55" s="7">
        <v>24</v>
      </c>
      <c r="H55" s="7" t="s">
        <v>66</v>
      </c>
      <c r="I55" s="7" t="s">
        <v>209</v>
      </c>
      <c r="J55" s="7" t="s">
        <v>130</v>
      </c>
      <c r="K55" s="46">
        <v>0.92638888888888893</v>
      </c>
      <c r="L55" s="46">
        <v>1.6666666666666666E-2</v>
      </c>
      <c r="M55" s="7" t="s">
        <v>109</v>
      </c>
      <c r="N55" s="7" t="s">
        <v>109</v>
      </c>
      <c r="O55" s="7" t="s">
        <v>61</v>
      </c>
      <c r="P55" s="7" t="s">
        <v>131</v>
      </c>
      <c r="Q55" s="7" t="s">
        <v>605</v>
      </c>
      <c r="R55" s="7" t="s">
        <v>62</v>
      </c>
      <c r="S55" s="7" t="s">
        <v>109</v>
      </c>
      <c r="T55" s="7" t="s">
        <v>398</v>
      </c>
      <c r="U55" s="7" t="s">
        <v>109</v>
      </c>
      <c r="V55" s="7" t="s">
        <v>109</v>
      </c>
    </row>
    <row r="56" spans="1:22" x14ac:dyDescent="0.3">
      <c r="A56" s="7">
        <v>55</v>
      </c>
      <c r="B56" s="7" t="s">
        <v>143</v>
      </c>
      <c r="C56" s="7" t="s">
        <v>1188</v>
      </c>
      <c r="D56" s="7">
        <v>10126019</v>
      </c>
      <c r="E56" s="7">
        <v>75</v>
      </c>
      <c r="F56" s="7">
        <v>130</v>
      </c>
      <c r="G56" s="7">
        <v>90</v>
      </c>
      <c r="H56" s="7" t="s">
        <v>72</v>
      </c>
      <c r="I56" s="7" t="s">
        <v>95</v>
      </c>
      <c r="J56" s="7" t="s">
        <v>130</v>
      </c>
      <c r="K56" s="46">
        <v>0.91736111111111107</v>
      </c>
      <c r="L56" s="46">
        <v>0.92638888888888893</v>
      </c>
      <c r="M56" s="7" t="s">
        <v>109</v>
      </c>
      <c r="N56" s="7" t="s">
        <v>109</v>
      </c>
      <c r="O56" s="7" t="s">
        <v>61</v>
      </c>
      <c r="P56" s="7" t="s">
        <v>131</v>
      </c>
      <c r="Q56" s="7" t="s">
        <v>95</v>
      </c>
      <c r="R56" s="7" t="s">
        <v>62</v>
      </c>
      <c r="S56" s="7" t="s">
        <v>109</v>
      </c>
      <c r="T56" s="7" t="s">
        <v>1189</v>
      </c>
      <c r="U56" s="7" t="s">
        <v>109</v>
      </c>
      <c r="V56" s="7" t="s">
        <v>109</v>
      </c>
    </row>
    <row r="57" spans="1:22" x14ac:dyDescent="0.3">
      <c r="A57" s="7">
        <v>56</v>
      </c>
      <c r="B57" s="7" t="s">
        <v>23</v>
      </c>
      <c r="C57" s="7" t="s">
        <v>1735</v>
      </c>
      <c r="D57" s="7">
        <v>50126404</v>
      </c>
      <c r="E57" s="7">
        <v>75</v>
      </c>
      <c r="F57" s="7">
        <v>156</v>
      </c>
      <c r="G57" s="7">
        <v>35</v>
      </c>
      <c r="H57" s="7" t="s">
        <v>214</v>
      </c>
      <c r="I57" s="7" t="s">
        <v>109</v>
      </c>
      <c r="J57" s="7" t="s">
        <v>130</v>
      </c>
      <c r="K57" s="46">
        <v>0.90208333333333335</v>
      </c>
      <c r="L57" s="7" t="s">
        <v>109</v>
      </c>
      <c r="M57" s="7" t="s">
        <v>109</v>
      </c>
      <c r="N57" s="7" t="s">
        <v>109</v>
      </c>
      <c r="O57" s="7" t="s">
        <v>61</v>
      </c>
      <c r="P57" s="7" t="s">
        <v>131</v>
      </c>
      <c r="Q57" s="7" t="s">
        <v>214</v>
      </c>
      <c r="R57" s="7" t="s">
        <v>62</v>
      </c>
      <c r="S57" s="7" t="s">
        <v>109</v>
      </c>
      <c r="T57" s="7" t="s">
        <v>278</v>
      </c>
      <c r="U57" s="7" t="s">
        <v>109</v>
      </c>
      <c r="V57" s="7" t="s">
        <v>109</v>
      </c>
    </row>
    <row r="58" spans="1:22" x14ac:dyDescent="0.3">
      <c r="A58" s="7">
        <v>57</v>
      </c>
      <c r="B58" s="7" t="s">
        <v>23</v>
      </c>
      <c r="C58" s="7" t="s">
        <v>1736</v>
      </c>
      <c r="D58" s="7">
        <v>50126403</v>
      </c>
      <c r="E58" s="7">
        <v>75</v>
      </c>
      <c r="F58" s="7">
        <v>58</v>
      </c>
      <c r="G58" s="7">
        <v>18</v>
      </c>
      <c r="H58" s="7" t="s">
        <v>64</v>
      </c>
      <c r="I58" s="7" t="s">
        <v>109</v>
      </c>
      <c r="J58" s="7" t="s">
        <v>130</v>
      </c>
      <c r="K58" s="46">
        <v>1.3194444444444444E-2</v>
      </c>
      <c r="L58" s="7" t="s">
        <v>109</v>
      </c>
      <c r="M58" s="7" t="s">
        <v>109</v>
      </c>
      <c r="N58" s="7" t="s">
        <v>109</v>
      </c>
      <c r="O58" s="7" t="s">
        <v>61</v>
      </c>
      <c r="P58" s="7" t="s">
        <v>131</v>
      </c>
      <c r="Q58" s="7" t="s">
        <v>64</v>
      </c>
      <c r="R58" s="7" t="s">
        <v>62</v>
      </c>
      <c r="S58" s="7" t="s">
        <v>109</v>
      </c>
      <c r="T58" s="7" t="s">
        <v>278</v>
      </c>
      <c r="U58" s="7" t="s">
        <v>109</v>
      </c>
      <c r="V58" s="7" t="s">
        <v>109</v>
      </c>
    </row>
    <row r="59" spans="1:22" x14ac:dyDescent="0.3">
      <c r="A59" s="7">
        <v>58</v>
      </c>
      <c r="B59" s="7" t="s">
        <v>411</v>
      </c>
      <c r="C59" s="7" t="s">
        <v>1360</v>
      </c>
      <c r="D59" s="7">
        <v>30126011</v>
      </c>
      <c r="E59" s="7">
        <v>175</v>
      </c>
      <c r="F59" s="7">
        <v>254</v>
      </c>
      <c r="G59" s="7">
        <v>8</v>
      </c>
      <c r="H59" s="7" t="s">
        <v>1737</v>
      </c>
      <c r="I59" s="7" t="s">
        <v>294</v>
      </c>
      <c r="J59" s="7" t="s">
        <v>130</v>
      </c>
      <c r="K59" s="46">
        <v>0.87569444444444444</v>
      </c>
      <c r="L59" s="46">
        <v>0.9291666666666667</v>
      </c>
      <c r="M59" s="7" t="s">
        <v>109</v>
      </c>
      <c r="N59" s="7" t="s">
        <v>109</v>
      </c>
      <c r="O59" s="7" t="s">
        <v>61</v>
      </c>
      <c r="P59" s="7" t="s">
        <v>131</v>
      </c>
      <c r="Q59" s="7" t="s">
        <v>209</v>
      </c>
      <c r="R59" s="7" t="s">
        <v>62</v>
      </c>
      <c r="S59" s="7" t="s">
        <v>109</v>
      </c>
      <c r="T59" s="7" t="s">
        <v>1359</v>
      </c>
      <c r="U59" s="7" t="s">
        <v>109</v>
      </c>
      <c r="V59" s="7" t="s">
        <v>109</v>
      </c>
    </row>
    <row r="60" spans="1:22" x14ac:dyDescent="0.3">
      <c r="A60" s="7">
        <v>59</v>
      </c>
      <c r="B60" s="7" t="s">
        <v>411</v>
      </c>
      <c r="C60" s="7" t="s">
        <v>1611</v>
      </c>
      <c r="D60" s="7">
        <v>30126016</v>
      </c>
      <c r="E60" s="7">
        <v>127</v>
      </c>
      <c r="F60" s="7">
        <v>126</v>
      </c>
      <c r="G60" s="7">
        <v>59</v>
      </c>
      <c r="H60" s="7" t="s">
        <v>1738</v>
      </c>
      <c r="I60" s="7" t="s">
        <v>157</v>
      </c>
      <c r="J60" s="7" t="s">
        <v>130</v>
      </c>
      <c r="K60" s="46">
        <v>0.79027777777777775</v>
      </c>
      <c r="L60" s="46">
        <v>0.86736111111111114</v>
      </c>
      <c r="M60" s="7" t="s">
        <v>109</v>
      </c>
      <c r="N60" s="7" t="s">
        <v>109</v>
      </c>
      <c r="O60" s="7" t="s">
        <v>61</v>
      </c>
      <c r="P60" s="7" t="s">
        <v>131</v>
      </c>
      <c r="Q60" s="7" t="s">
        <v>93</v>
      </c>
      <c r="R60" s="7" t="s">
        <v>62</v>
      </c>
      <c r="S60" s="7" t="s">
        <v>109</v>
      </c>
      <c r="T60" s="7" t="s">
        <v>1562</v>
      </c>
      <c r="U60" s="7" t="s">
        <v>109</v>
      </c>
      <c r="V60" s="7" t="s">
        <v>109</v>
      </c>
    </row>
    <row r="61" spans="1:22" x14ac:dyDescent="0.3">
      <c r="A61" s="7">
        <v>60</v>
      </c>
      <c r="B61" s="7" t="s">
        <v>411</v>
      </c>
      <c r="C61" s="7" t="s">
        <v>1612</v>
      </c>
      <c r="D61" s="7">
        <v>30126017</v>
      </c>
      <c r="E61" s="7">
        <v>51</v>
      </c>
      <c r="F61" s="7">
        <v>51</v>
      </c>
      <c r="G61" s="7">
        <v>23</v>
      </c>
      <c r="H61" s="7" t="s">
        <v>196</v>
      </c>
      <c r="I61" s="7" t="s">
        <v>154</v>
      </c>
      <c r="J61" s="7" t="s">
        <v>130</v>
      </c>
      <c r="K61" s="46">
        <v>0.68958333333333333</v>
      </c>
      <c r="L61" s="46">
        <v>0.73472222222222228</v>
      </c>
      <c r="M61" s="7" t="s">
        <v>109</v>
      </c>
      <c r="N61" s="7" t="s">
        <v>109</v>
      </c>
      <c r="O61" s="7" t="s">
        <v>61</v>
      </c>
      <c r="P61" s="7" t="s">
        <v>131</v>
      </c>
      <c r="Q61" s="7" t="s">
        <v>154</v>
      </c>
      <c r="R61" s="7" t="s">
        <v>62</v>
      </c>
      <c r="S61" s="7" t="s">
        <v>109</v>
      </c>
      <c r="T61" s="7" t="s">
        <v>1562</v>
      </c>
      <c r="U61" s="7" t="s">
        <v>109</v>
      </c>
      <c r="V61" s="7" t="s">
        <v>109</v>
      </c>
    </row>
    <row r="62" spans="1:22" x14ac:dyDescent="0.3">
      <c r="A62" s="7">
        <v>61</v>
      </c>
      <c r="B62" s="7" t="s">
        <v>411</v>
      </c>
      <c r="C62" s="7" t="s">
        <v>1613</v>
      </c>
      <c r="D62" s="7">
        <v>30126018</v>
      </c>
      <c r="E62" s="7">
        <v>85</v>
      </c>
      <c r="F62" s="7">
        <v>80</v>
      </c>
      <c r="G62" s="7">
        <v>52</v>
      </c>
      <c r="H62" s="7" t="s">
        <v>520</v>
      </c>
      <c r="I62" s="7" t="s">
        <v>179</v>
      </c>
      <c r="J62" s="7" t="s">
        <v>130</v>
      </c>
      <c r="K62" s="46">
        <v>0.97499999999999998</v>
      </c>
      <c r="L62" s="46">
        <v>0.99305555555555558</v>
      </c>
      <c r="M62" s="7" t="s">
        <v>109</v>
      </c>
      <c r="N62" s="7" t="s">
        <v>109</v>
      </c>
      <c r="O62" s="7" t="s">
        <v>61</v>
      </c>
      <c r="P62" s="7" t="s">
        <v>131</v>
      </c>
      <c r="Q62" s="7" t="s">
        <v>90</v>
      </c>
      <c r="R62" s="7" t="s">
        <v>62</v>
      </c>
      <c r="S62" s="7" t="s">
        <v>109</v>
      </c>
      <c r="T62" s="7" t="s">
        <v>1562</v>
      </c>
      <c r="U62" s="7" t="s">
        <v>109</v>
      </c>
      <c r="V62" s="7" t="s">
        <v>109</v>
      </c>
    </row>
    <row r="63" spans="1:22" x14ac:dyDescent="0.3">
      <c r="A63" s="7">
        <v>62</v>
      </c>
      <c r="B63" s="7" t="s">
        <v>411</v>
      </c>
      <c r="C63" s="7" t="s">
        <v>1614</v>
      </c>
      <c r="D63" s="7">
        <v>30126019</v>
      </c>
      <c r="E63" s="7">
        <v>210</v>
      </c>
      <c r="F63" s="7">
        <v>303</v>
      </c>
      <c r="G63" s="7">
        <v>64</v>
      </c>
      <c r="H63" s="7" t="s">
        <v>1739</v>
      </c>
      <c r="I63" s="7" t="s">
        <v>1740</v>
      </c>
      <c r="J63" s="7" t="s">
        <v>130</v>
      </c>
      <c r="K63" s="46">
        <v>0.98611111111111116</v>
      </c>
      <c r="L63" s="46">
        <v>1.3888888888888888E-2</v>
      </c>
      <c r="M63" s="7" t="s">
        <v>109</v>
      </c>
      <c r="N63" s="7" t="s">
        <v>109</v>
      </c>
      <c r="O63" s="7" t="s">
        <v>61</v>
      </c>
      <c r="P63" s="7" t="s">
        <v>131</v>
      </c>
      <c r="Q63" s="7" t="s">
        <v>94</v>
      </c>
      <c r="R63" s="7" t="s">
        <v>62</v>
      </c>
      <c r="S63" s="7" t="s">
        <v>109</v>
      </c>
      <c r="T63" s="7" t="s">
        <v>1562</v>
      </c>
      <c r="U63" s="7" t="s">
        <v>109</v>
      </c>
      <c r="V63" s="7" t="s">
        <v>109</v>
      </c>
    </row>
    <row r="64" spans="1:22" x14ac:dyDescent="0.3">
      <c r="A64" s="7">
        <v>63</v>
      </c>
      <c r="B64" s="7" t="s">
        <v>411</v>
      </c>
      <c r="C64" s="7" t="s">
        <v>1741</v>
      </c>
      <c r="D64" s="7">
        <v>30126021</v>
      </c>
      <c r="E64" s="7">
        <v>20</v>
      </c>
      <c r="F64" s="7">
        <v>20</v>
      </c>
      <c r="G64" s="7">
        <v>4</v>
      </c>
      <c r="H64" s="7" t="s">
        <v>84</v>
      </c>
      <c r="I64" s="7" t="s">
        <v>94</v>
      </c>
      <c r="J64" s="7" t="s">
        <v>130</v>
      </c>
      <c r="K64" s="46">
        <v>0.96736111111111112</v>
      </c>
      <c r="L64" s="46">
        <v>0.98263888888888884</v>
      </c>
      <c r="M64" s="7" t="s">
        <v>109</v>
      </c>
      <c r="N64" s="7" t="s">
        <v>109</v>
      </c>
      <c r="O64" s="7" t="s">
        <v>61</v>
      </c>
      <c r="P64" s="7" t="s">
        <v>131</v>
      </c>
      <c r="Q64" s="7" t="s">
        <v>94</v>
      </c>
      <c r="R64" s="7" t="s">
        <v>62</v>
      </c>
      <c r="S64" s="7" t="s">
        <v>109</v>
      </c>
      <c r="T64" s="7" t="s">
        <v>1562</v>
      </c>
      <c r="U64" s="7" t="s">
        <v>109</v>
      </c>
      <c r="V64" s="7" t="s">
        <v>109</v>
      </c>
    </row>
    <row r="65" spans="1:22" x14ac:dyDescent="0.3">
      <c r="A65" s="7">
        <v>64</v>
      </c>
      <c r="B65" s="7" t="s">
        <v>411</v>
      </c>
      <c r="C65" s="7" t="s">
        <v>1742</v>
      </c>
      <c r="D65" s="7">
        <v>30126022</v>
      </c>
      <c r="E65" s="7">
        <v>75</v>
      </c>
      <c r="F65" s="7">
        <v>151</v>
      </c>
      <c r="G65" s="7">
        <v>46</v>
      </c>
      <c r="H65" s="7" t="s">
        <v>214</v>
      </c>
      <c r="I65" s="7" t="s">
        <v>209</v>
      </c>
      <c r="J65" s="7" t="s">
        <v>130</v>
      </c>
      <c r="K65" s="46">
        <v>0.93958333333333333</v>
      </c>
      <c r="L65" s="46">
        <v>0.96527777777777779</v>
      </c>
      <c r="M65" s="7" t="s">
        <v>109</v>
      </c>
      <c r="N65" s="7" t="s">
        <v>109</v>
      </c>
      <c r="O65" s="7" t="s">
        <v>61</v>
      </c>
      <c r="P65" s="7" t="s">
        <v>131</v>
      </c>
      <c r="Q65" s="7" t="s">
        <v>209</v>
      </c>
      <c r="R65" s="7" t="s">
        <v>62</v>
      </c>
      <c r="S65" s="7" t="s">
        <v>109</v>
      </c>
      <c r="T65" s="7" t="s">
        <v>1562</v>
      </c>
      <c r="U65" s="7" t="s">
        <v>109</v>
      </c>
      <c r="V65" s="7" t="s">
        <v>109</v>
      </c>
    </row>
    <row r="66" spans="1:22" x14ac:dyDescent="0.3">
      <c r="A66" s="7">
        <v>65</v>
      </c>
      <c r="B66" s="7" t="s">
        <v>411</v>
      </c>
      <c r="C66" s="7" t="s">
        <v>1743</v>
      </c>
      <c r="D66" s="7">
        <v>30126023</v>
      </c>
      <c r="E66" s="7">
        <v>75</v>
      </c>
      <c r="F66" s="7">
        <v>111</v>
      </c>
      <c r="G66" s="7">
        <v>73</v>
      </c>
      <c r="H66" s="7" t="s">
        <v>71</v>
      </c>
      <c r="I66" s="7" t="s">
        <v>87</v>
      </c>
      <c r="J66" s="7" t="s">
        <v>130</v>
      </c>
      <c r="K66" s="46">
        <v>0.91319444444444442</v>
      </c>
      <c r="L66" s="46">
        <v>0.97499999999999998</v>
      </c>
      <c r="M66" s="7" t="s">
        <v>109</v>
      </c>
      <c r="N66" s="7" t="s">
        <v>109</v>
      </c>
      <c r="O66" s="7" t="s">
        <v>61</v>
      </c>
      <c r="P66" s="7" t="s">
        <v>131</v>
      </c>
      <c r="Q66" s="7" t="s">
        <v>87</v>
      </c>
      <c r="R66" s="7" t="s">
        <v>62</v>
      </c>
      <c r="S66" s="7" t="s">
        <v>109</v>
      </c>
      <c r="T66" s="7" t="s">
        <v>1562</v>
      </c>
      <c r="U66" s="7" t="s">
        <v>109</v>
      </c>
      <c r="V66" s="7" t="s">
        <v>109</v>
      </c>
    </row>
    <row r="67" spans="1:22" x14ac:dyDescent="0.3">
      <c r="A67" s="7">
        <v>66</v>
      </c>
      <c r="B67" s="7" t="s">
        <v>411</v>
      </c>
      <c r="C67" s="7" t="s">
        <v>1744</v>
      </c>
      <c r="D67" s="7">
        <v>30126025</v>
      </c>
      <c r="E67" s="7">
        <v>102</v>
      </c>
      <c r="F67" s="7">
        <v>163</v>
      </c>
      <c r="G67" s="7">
        <v>59</v>
      </c>
      <c r="H67" s="7" t="s">
        <v>68</v>
      </c>
      <c r="I67" s="7" t="s">
        <v>86</v>
      </c>
      <c r="J67" s="7" t="s">
        <v>130</v>
      </c>
      <c r="K67" s="46">
        <v>0.9604166666666667</v>
      </c>
      <c r="L67" s="46">
        <v>0.97916666666666663</v>
      </c>
      <c r="M67" s="7" t="s">
        <v>109</v>
      </c>
      <c r="N67" s="7" t="s">
        <v>109</v>
      </c>
      <c r="O67" s="7" t="s">
        <v>61</v>
      </c>
      <c r="P67" s="7" t="s">
        <v>131</v>
      </c>
      <c r="Q67" s="7" t="s">
        <v>86</v>
      </c>
      <c r="R67" s="7" t="s">
        <v>62</v>
      </c>
      <c r="S67" s="7" t="s">
        <v>109</v>
      </c>
      <c r="T67" s="7" t="s">
        <v>1562</v>
      </c>
      <c r="U67" s="7" t="s">
        <v>109</v>
      </c>
      <c r="V67" s="7" t="s">
        <v>109</v>
      </c>
    </row>
    <row r="68" spans="1:22" x14ac:dyDescent="0.3">
      <c r="A68" s="7">
        <v>67</v>
      </c>
      <c r="B68" s="7" t="s">
        <v>1550</v>
      </c>
      <c r="C68" s="7" t="s">
        <v>1555</v>
      </c>
      <c r="D68" s="7">
        <v>40126036</v>
      </c>
      <c r="E68" s="7">
        <v>43</v>
      </c>
      <c r="F68" s="7">
        <v>60</v>
      </c>
      <c r="G68" s="7">
        <v>12</v>
      </c>
      <c r="H68" s="7" t="s">
        <v>520</v>
      </c>
      <c r="I68" s="7" t="s">
        <v>87</v>
      </c>
      <c r="J68" s="7" t="s">
        <v>130</v>
      </c>
      <c r="K68" s="46">
        <v>0.99097222222222225</v>
      </c>
      <c r="L68" s="46">
        <v>8.3333333333333332E-3</v>
      </c>
      <c r="M68" s="7" t="s">
        <v>109</v>
      </c>
      <c r="N68" s="7" t="s">
        <v>1745</v>
      </c>
      <c r="O68" s="7" t="s">
        <v>61</v>
      </c>
      <c r="P68" s="7" t="s">
        <v>131</v>
      </c>
      <c r="Q68" s="7" t="s">
        <v>87</v>
      </c>
      <c r="R68" s="7" t="s">
        <v>1640</v>
      </c>
      <c r="S68" s="7" t="s">
        <v>109</v>
      </c>
      <c r="T68" s="7" t="s">
        <v>1554</v>
      </c>
      <c r="U68" s="7" t="s">
        <v>109</v>
      </c>
      <c r="V68" s="7" t="s">
        <v>109</v>
      </c>
    </row>
    <row r="69" spans="1:22" x14ac:dyDescent="0.3">
      <c r="A69" s="7">
        <v>68</v>
      </c>
      <c r="B69" s="7" t="s">
        <v>1550</v>
      </c>
      <c r="C69" s="7" t="s">
        <v>1551</v>
      </c>
      <c r="D69" s="7">
        <v>40126035</v>
      </c>
      <c r="E69" s="7">
        <v>75</v>
      </c>
      <c r="F69" s="7">
        <v>103</v>
      </c>
      <c r="G69" s="7">
        <v>20</v>
      </c>
      <c r="H69" s="7" t="s">
        <v>71</v>
      </c>
      <c r="I69" s="7" t="s">
        <v>179</v>
      </c>
      <c r="J69" s="7" t="s">
        <v>130</v>
      </c>
      <c r="K69" s="46">
        <v>3.8194444444444448E-2</v>
      </c>
      <c r="L69" s="46">
        <v>4.7222222222222221E-2</v>
      </c>
      <c r="M69" s="7" t="s">
        <v>109</v>
      </c>
      <c r="N69" s="7" t="s">
        <v>1745</v>
      </c>
      <c r="O69" s="7" t="s">
        <v>61</v>
      </c>
      <c r="P69" s="7" t="s">
        <v>131</v>
      </c>
      <c r="Q69" s="7" t="s">
        <v>90</v>
      </c>
      <c r="R69" s="7" t="s">
        <v>1640</v>
      </c>
      <c r="S69" s="7" t="s">
        <v>109</v>
      </c>
      <c r="T69" s="7" t="s">
        <v>1554</v>
      </c>
      <c r="U69" s="7" t="s">
        <v>109</v>
      </c>
      <c r="V69" s="7" t="s">
        <v>109</v>
      </c>
    </row>
    <row r="70" spans="1:22" x14ac:dyDescent="0.3">
      <c r="A70" s="7">
        <v>69</v>
      </c>
      <c r="B70" s="7" t="s">
        <v>1550</v>
      </c>
      <c r="C70" s="7" t="s">
        <v>1556</v>
      </c>
      <c r="D70" s="7">
        <v>40126034</v>
      </c>
      <c r="E70" s="7">
        <v>101</v>
      </c>
      <c r="F70" s="7">
        <v>50</v>
      </c>
      <c r="G70" s="7">
        <v>26</v>
      </c>
      <c r="H70" s="7" t="s">
        <v>64</v>
      </c>
      <c r="I70" s="7" t="s">
        <v>86</v>
      </c>
      <c r="J70" s="7" t="s">
        <v>130</v>
      </c>
      <c r="K70" s="46">
        <v>0.89513888888888893</v>
      </c>
      <c r="L70" s="46">
        <v>0.93402777777777779</v>
      </c>
      <c r="M70" s="7" t="s">
        <v>109</v>
      </c>
      <c r="N70" s="7" t="s">
        <v>1745</v>
      </c>
      <c r="O70" s="7" t="s">
        <v>61</v>
      </c>
      <c r="P70" s="7" t="s">
        <v>131</v>
      </c>
      <c r="Q70" s="7" t="s">
        <v>86</v>
      </c>
      <c r="R70" s="7" t="s">
        <v>1640</v>
      </c>
      <c r="S70" s="7" t="s">
        <v>109</v>
      </c>
      <c r="T70" s="7" t="s">
        <v>1554</v>
      </c>
      <c r="U70" s="7" t="s">
        <v>109</v>
      </c>
      <c r="V70" s="7" t="s">
        <v>109</v>
      </c>
    </row>
    <row r="71" spans="1:22" x14ac:dyDescent="0.3">
      <c r="A71" s="7">
        <v>70</v>
      </c>
      <c r="B71" s="7" t="s">
        <v>23</v>
      </c>
      <c r="C71" s="7" t="s">
        <v>647</v>
      </c>
      <c r="D71" s="7">
        <v>50126033</v>
      </c>
      <c r="E71" s="7">
        <v>50</v>
      </c>
      <c r="F71" s="7">
        <v>103</v>
      </c>
      <c r="G71" s="7">
        <v>51</v>
      </c>
      <c r="H71" s="7" t="s">
        <v>68</v>
      </c>
      <c r="I71" s="7" t="s">
        <v>86</v>
      </c>
      <c r="J71" s="7" t="s">
        <v>130</v>
      </c>
      <c r="K71" s="46">
        <v>6.9444444444444441E-3</v>
      </c>
      <c r="L71" s="7" t="s">
        <v>109</v>
      </c>
      <c r="M71" s="7" t="s">
        <v>109</v>
      </c>
      <c r="N71" s="7" t="s">
        <v>109</v>
      </c>
      <c r="O71" s="7" t="s">
        <v>61</v>
      </c>
      <c r="P71" s="7" t="s">
        <v>131</v>
      </c>
      <c r="Q71" s="7" t="s">
        <v>86</v>
      </c>
      <c r="R71" s="7" t="s">
        <v>62</v>
      </c>
      <c r="S71" s="7" t="s">
        <v>109</v>
      </c>
      <c r="T71" s="7" t="s">
        <v>480</v>
      </c>
      <c r="U71" s="7" t="s">
        <v>109</v>
      </c>
      <c r="V71" s="7" t="s">
        <v>109</v>
      </c>
    </row>
    <row r="72" spans="1:22" x14ac:dyDescent="0.3">
      <c r="A72" s="7">
        <v>71</v>
      </c>
      <c r="B72" s="7" t="s">
        <v>23</v>
      </c>
      <c r="C72" s="7" t="s">
        <v>648</v>
      </c>
      <c r="D72" s="7">
        <v>50126036</v>
      </c>
      <c r="E72" s="7">
        <v>60</v>
      </c>
      <c r="F72" s="7">
        <v>114</v>
      </c>
      <c r="G72" s="7">
        <v>44</v>
      </c>
      <c r="H72" s="7" t="s">
        <v>65</v>
      </c>
      <c r="I72" s="7" t="s">
        <v>209</v>
      </c>
      <c r="J72" s="7" t="s">
        <v>130</v>
      </c>
      <c r="K72" s="46">
        <v>0.95486111111111116</v>
      </c>
      <c r="L72" s="46">
        <v>0.99791666666666667</v>
      </c>
      <c r="M72" s="7" t="s">
        <v>109</v>
      </c>
      <c r="N72" s="7" t="s">
        <v>109</v>
      </c>
      <c r="O72" s="7" t="s">
        <v>61</v>
      </c>
      <c r="P72" s="7" t="s">
        <v>131</v>
      </c>
      <c r="Q72" s="7" t="s">
        <v>209</v>
      </c>
      <c r="R72" s="7" t="s">
        <v>62</v>
      </c>
      <c r="S72" s="7" t="s">
        <v>109</v>
      </c>
      <c r="T72" s="7" t="s">
        <v>480</v>
      </c>
      <c r="U72" s="7" t="s">
        <v>109</v>
      </c>
      <c r="V72" s="7" t="s">
        <v>109</v>
      </c>
    </row>
    <row r="73" spans="1:22" x14ac:dyDescent="0.3">
      <c r="A73" s="7">
        <v>72</v>
      </c>
      <c r="B73" s="7" t="s">
        <v>23</v>
      </c>
      <c r="C73" s="7" t="s">
        <v>650</v>
      </c>
      <c r="D73" s="7">
        <v>50126035</v>
      </c>
      <c r="E73" s="7">
        <v>50</v>
      </c>
      <c r="F73" s="7" t="s">
        <v>109</v>
      </c>
      <c r="G73" s="7" t="s">
        <v>109</v>
      </c>
      <c r="H73" s="7" t="s">
        <v>71</v>
      </c>
      <c r="I73" s="7" t="s">
        <v>87</v>
      </c>
      <c r="J73" s="7" t="s">
        <v>85</v>
      </c>
      <c r="K73" s="7" t="s">
        <v>109</v>
      </c>
      <c r="L73" s="7" t="s">
        <v>109</v>
      </c>
      <c r="M73" s="7" t="s">
        <v>109</v>
      </c>
      <c r="N73" s="7" t="s">
        <v>109</v>
      </c>
      <c r="O73" s="7" t="s">
        <v>61</v>
      </c>
      <c r="P73" s="7" t="s">
        <v>109</v>
      </c>
      <c r="Q73" s="7" t="s">
        <v>109</v>
      </c>
      <c r="R73" s="7" t="s">
        <v>62</v>
      </c>
      <c r="S73" s="7" t="s">
        <v>109</v>
      </c>
      <c r="T73" s="7" t="s">
        <v>480</v>
      </c>
      <c r="U73" s="7" t="s">
        <v>109</v>
      </c>
      <c r="V73" s="7" t="s">
        <v>109</v>
      </c>
    </row>
    <row r="74" spans="1:22" x14ac:dyDescent="0.3">
      <c r="A74" s="7">
        <v>73</v>
      </c>
      <c r="B74" s="7" t="s">
        <v>23</v>
      </c>
      <c r="C74" s="7" t="s">
        <v>651</v>
      </c>
      <c r="D74" s="7">
        <v>50126034</v>
      </c>
      <c r="E74" s="7">
        <v>120</v>
      </c>
      <c r="F74" s="7" t="s">
        <v>109</v>
      </c>
      <c r="G74" s="7" t="s">
        <v>109</v>
      </c>
      <c r="H74" s="7" t="s">
        <v>386</v>
      </c>
      <c r="I74" s="7" t="s">
        <v>97</v>
      </c>
      <c r="J74" s="7" t="s">
        <v>109</v>
      </c>
      <c r="K74" s="46">
        <v>0.99722222222222223</v>
      </c>
      <c r="L74" s="11" t="s">
        <v>109</v>
      </c>
      <c r="M74" s="7" t="s">
        <v>109</v>
      </c>
      <c r="N74" s="7" t="s">
        <v>109</v>
      </c>
      <c r="O74" s="7" t="s">
        <v>61</v>
      </c>
      <c r="P74" s="7" t="s">
        <v>109</v>
      </c>
      <c r="Q74" s="7" t="s">
        <v>109</v>
      </c>
      <c r="R74" s="7" t="s">
        <v>62</v>
      </c>
      <c r="S74" s="7" t="s">
        <v>109</v>
      </c>
      <c r="T74" s="7" t="s">
        <v>480</v>
      </c>
      <c r="U74" s="7" t="s">
        <v>109</v>
      </c>
      <c r="V74" s="7" t="s">
        <v>109</v>
      </c>
    </row>
    <row r="75" spans="1:22" x14ac:dyDescent="0.3">
      <c r="A75" s="7">
        <v>74</v>
      </c>
      <c r="B75" s="7" t="s">
        <v>23</v>
      </c>
      <c r="C75" s="7" t="s">
        <v>654</v>
      </c>
      <c r="D75" s="7">
        <v>50126032</v>
      </c>
      <c r="E75" s="7">
        <v>100</v>
      </c>
      <c r="F75" s="7">
        <v>150</v>
      </c>
      <c r="G75" s="7">
        <v>9</v>
      </c>
      <c r="H75" s="7" t="s">
        <v>66</v>
      </c>
      <c r="I75" s="7" t="s">
        <v>88</v>
      </c>
      <c r="J75" s="7" t="s">
        <v>130</v>
      </c>
      <c r="K75" s="46">
        <v>0.8041666666666667</v>
      </c>
      <c r="L75" s="46">
        <v>0.89722222222222225</v>
      </c>
      <c r="M75" s="7" t="s">
        <v>109</v>
      </c>
      <c r="N75" s="7" t="s">
        <v>109</v>
      </c>
      <c r="O75" s="7" t="s">
        <v>61</v>
      </c>
      <c r="P75" s="7" t="s">
        <v>131</v>
      </c>
      <c r="Q75" s="7" t="s">
        <v>88</v>
      </c>
      <c r="R75" s="7" t="s">
        <v>62</v>
      </c>
      <c r="S75" s="7" t="s">
        <v>109</v>
      </c>
      <c r="T75" s="7" t="s">
        <v>480</v>
      </c>
      <c r="U75" s="7" t="s">
        <v>109</v>
      </c>
      <c r="V75" s="7" t="s">
        <v>109</v>
      </c>
    </row>
    <row r="76" spans="1:22" x14ac:dyDescent="0.3">
      <c r="A76" s="7">
        <v>75</v>
      </c>
      <c r="B76" s="7" t="s">
        <v>23</v>
      </c>
      <c r="C76" s="7" t="s">
        <v>656</v>
      </c>
      <c r="D76" s="7">
        <v>50126031</v>
      </c>
      <c r="E76" s="7">
        <v>120</v>
      </c>
      <c r="F76" s="7">
        <v>82</v>
      </c>
      <c r="G76" s="7">
        <v>7</v>
      </c>
      <c r="H76" s="7" t="s">
        <v>1771</v>
      </c>
      <c r="I76" s="7" t="s">
        <v>157</v>
      </c>
      <c r="J76" s="7" t="s">
        <v>130</v>
      </c>
      <c r="K76" s="46" t="s">
        <v>1773</v>
      </c>
      <c r="L76" s="46">
        <v>0.87083333333333335</v>
      </c>
      <c r="M76" s="7" t="s">
        <v>109</v>
      </c>
      <c r="N76" s="7" t="s">
        <v>109</v>
      </c>
      <c r="O76" s="7" t="s">
        <v>61</v>
      </c>
      <c r="P76" s="7" t="s">
        <v>131</v>
      </c>
      <c r="Q76" s="7" t="s">
        <v>93</v>
      </c>
      <c r="R76" s="7" t="s">
        <v>62</v>
      </c>
      <c r="S76" s="7" t="s">
        <v>109</v>
      </c>
      <c r="T76" s="7" t="s">
        <v>480</v>
      </c>
      <c r="U76" s="7" t="s">
        <v>109</v>
      </c>
      <c r="V76" s="7" t="s">
        <v>109</v>
      </c>
    </row>
    <row r="77" spans="1:22" x14ac:dyDescent="0.3">
      <c r="A77" s="7">
        <v>76</v>
      </c>
      <c r="B77" s="7" t="s">
        <v>23</v>
      </c>
      <c r="C77" s="7" t="s">
        <v>657</v>
      </c>
      <c r="D77" s="7">
        <v>50126030</v>
      </c>
      <c r="E77" s="7">
        <v>90</v>
      </c>
      <c r="F77" s="7">
        <v>137</v>
      </c>
      <c r="G77" s="7">
        <v>1</v>
      </c>
      <c r="H77" s="7" t="s">
        <v>64</v>
      </c>
      <c r="I77" s="7" t="s">
        <v>179</v>
      </c>
      <c r="J77" s="7" t="s">
        <v>130</v>
      </c>
      <c r="K77" s="46">
        <v>0.84236111111111112</v>
      </c>
      <c r="L77" s="46">
        <v>0.85347222222222219</v>
      </c>
      <c r="M77" s="7" t="s">
        <v>109</v>
      </c>
      <c r="N77" s="7" t="s">
        <v>109</v>
      </c>
      <c r="O77" s="7" t="s">
        <v>61</v>
      </c>
      <c r="P77" s="7" t="s">
        <v>131</v>
      </c>
      <c r="Q77" s="7" t="s">
        <v>90</v>
      </c>
      <c r="R77" s="7" t="s">
        <v>62</v>
      </c>
      <c r="S77" s="7" t="s">
        <v>109</v>
      </c>
      <c r="T77" s="7" t="s">
        <v>480</v>
      </c>
      <c r="U77" s="7" t="s">
        <v>109</v>
      </c>
      <c r="V77" s="7" t="s">
        <v>109</v>
      </c>
    </row>
    <row r="78" spans="1:22" x14ac:dyDescent="0.3">
      <c r="A78" s="7">
        <v>77</v>
      </c>
      <c r="B78" s="7" t="s">
        <v>23</v>
      </c>
      <c r="C78" s="7" t="s">
        <v>1746</v>
      </c>
      <c r="D78" s="7">
        <v>50126397</v>
      </c>
      <c r="E78" s="7">
        <v>80</v>
      </c>
      <c r="F78" s="7">
        <v>107</v>
      </c>
      <c r="G78" s="7">
        <v>81</v>
      </c>
      <c r="H78" s="7" t="s">
        <v>71</v>
      </c>
      <c r="I78" s="7" t="s">
        <v>109</v>
      </c>
      <c r="J78" s="7" t="s">
        <v>130</v>
      </c>
      <c r="K78" s="46">
        <v>0.74305555555555558</v>
      </c>
      <c r="L78" s="7" t="s">
        <v>109</v>
      </c>
      <c r="M78" s="7" t="s">
        <v>109</v>
      </c>
      <c r="N78" s="7" t="s">
        <v>1747</v>
      </c>
      <c r="O78" s="7" t="s">
        <v>61</v>
      </c>
      <c r="P78" s="7" t="s">
        <v>131</v>
      </c>
      <c r="Q78" s="7" t="s">
        <v>71</v>
      </c>
      <c r="R78" s="7" t="s">
        <v>62</v>
      </c>
      <c r="S78" s="7" t="s">
        <v>109</v>
      </c>
      <c r="T78" s="7" t="s">
        <v>310</v>
      </c>
      <c r="U78" s="7" t="s">
        <v>109</v>
      </c>
      <c r="V78" s="7" t="s">
        <v>109</v>
      </c>
    </row>
    <row r="79" spans="1:22" x14ac:dyDescent="0.3">
      <c r="A79" s="7">
        <v>78</v>
      </c>
      <c r="B79" s="7" t="s">
        <v>23</v>
      </c>
      <c r="C79" s="7" t="s">
        <v>1748</v>
      </c>
      <c r="D79" s="7">
        <v>50126396</v>
      </c>
      <c r="E79" s="7">
        <v>100</v>
      </c>
      <c r="F79" s="7">
        <v>170</v>
      </c>
      <c r="G79" s="7">
        <v>37</v>
      </c>
      <c r="H79" s="7" t="s">
        <v>214</v>
      </c>
      <c r="I79" s="7" t="s">
        <v>109</v>
      </c>
      <c r="J79" s="7" t="s">
        <v>130</v>
      </c>
      <c r="K79" s="46">
        <v>0.76736111111111116</v>
      </c>
      <c r="L79" s="7" t="s">
        <v>109</v>
      </c>
      <c r="M79" s="7" t="s">
        <v>109</v>
      </c>
      <c r="N79" s="7" t="s">
        <v>1747</v>
      </c>
      <c r="O79" s="7" t="s">
        <v>61</v>
      </c>
      <c r="P79" s="7" t="s">
        <v>131</v>
      </c>
      <c r="Q79" s="7" t="s">
        <v>214</v>
      </c>
      <c r="R79" s="7" t="s">
        <v>62</v>
      </c>
      <c r="S79" s="7" t="s">
        <v>109</v>
      </c>
      <c r="T79" s="7" t="s">
        <v>310</v>
      </c>
      <c r="U79" s="7" t="s">
        <v>109</v>
      </c>
      <c r="V79" s="7" t="s">
        <v>109</v>
      </c>
    </row>
    <row r="80" spans="1:22" x14ac:dyDescent="0.3">
      <c r="A80" s="7">
        <v>79</v>
      </c>
      <c r="B80" s="7" t="s">
        <v>23</v>
      </c>
      <c r="C80" s="7" t="s">
        <v>1749</v>
      </c>
      <c r="D80" s="7">
        <v>50126392</v>
      </c>
      <c r="E80" s="7">
        <v>100</v>
      </c>
      <c r="F80" s="7">
        <v>135</v>
      </c>
      <c r="G80" s="7">
        <v>103</v>
      </c>
      <c r="H80" s="7" t="s">
        <v>82</v>
      </c>
      <c r="I80" s="7" t="s">
        <v>109</v>
      </c>
      <c r="J80" s="7" t="s">
        <v>130</v>
      </c>
      <c r="K80" s="11">
        <v>5.347222222222222E-2</v>
      </c>
      <c r="L80" s="7" t="s">
        <v>109</v>
      </c>
      <c r="M80" s="7" t="s">
        <v>109</v>
      </c>
      <c r="N80" s="7" t="s">
        <v>1747</v>
      </c>
      <c r="O80" s="7" t="s">
        <v>61</v>
      </c>
      <c r="P80" s="7" t="s">
        <v>109</v>
      </c>
      <c r="Q80" s="7" t="s">
        <v>109</v>
      </c>
      <c r="R80" s="7" t="s">
        <v>62</v>
      </c>
      <c r="S80" s="7" t="s">
        <v>109</v>
      </c>
      <c r="T80" s="7" t="s">
        <v>310</v>
      </c>
      <c r="U80" s="7" t="s">
        <v>109</v>
      </c>
      <c r="V80" s="7" t="s">
        <v>109</v>
      </c>
    </row>
    <row r="81" spans="1:22" x14ac:dyDescent="0.3">
      <c r="A81" s="7">
        <v>80</v>
      </c>
      <c r="B81" s="7" t="s">
        <v>23</v>
      </c>
      <c r="C81" s="7" t="s">
        <v>1750</v>
      </c>
      <c r="D81" s="7">
        <v>50126393</v>
      </c>
      <c r="E81" s="7">
        <v>100</v>
      </c>
      <c r="F81" s="7" t="s">
        <v>109</v>
      </c>
      <c r="G81" s="7" t="s">
        <v>109</v>
      </c>
      <c r="H81" s="7" t="s">
        <v>84</v>
      </c>
      <c r="I81" s="7" t="s">
        <v>109</v>
      </c>
      <c r="J81" s="7" t="s">
        <v>109</v>
      </c>
      <c r="K81" s="7" t="s">
        <v>109</v>
      </c>
      <c r="L81" s="7" t="s">
        <v>109</v>
      </c>
      <c r="M81" s="7" t="s">
        <v>109</v>
      </c>
      <c r="N81" s="7" t="s">
        <v>1747</v>
      </c>
      <c r="O81" s="7" t="s">
        <v>61</v>
      </c>
      <c r="P81" s="7" t="s">
        <v>109</v>
      </c>
      <c r="Q81" s="7" t="s">
        <v>109</v>
      </c>
      <c r="R81" s="7" t="s">
        <v>62</v>
      </c>
      <c r="S81" s="7" t="s">
        <v>109</v>
      </c>
      <c r="T81" s="7" t="s">
        <v>310</v>
      </c>
      <c r="U81" s="7" t="s">
        <v>109</v>
      </c>
      <c r="V81" s="7" t="s">
        <v>109</v>
      </c>
    </row>
    <row r="82" spans="1:22" x14ac:dyDescent="0.3">
      <c r="A82" s="7">
        <v>81</v>
      </c>
      <c r="B82" s="7" t="s">
        <v>23</v>
      </c>
      <c r="C82" s="7" t="s">
        <v>1751</v>
      </c>
      <c r="D82" s="7">
        <v>50126399</v>
      </c>
      <c r="E82" s="7">
        <v>120</v>
      </c>
      <c r="F82" s="7">
        <v>182</v>
      </c>
      <c r="G82" s="7">
        <v>120</v>
      </c>
      <c r="H82" s="7" t="s">
        <v>1752</v>
      </c>
      <c r="I82" s="7" t="s">
        <v>109</v>
      </c>
      <c r="J82" s="7" t="s">
        <v>130</v>
      </c>
      <c r="K82" s="46">
        <v>0.81180555555555556</v>
      </c>
      <c r="L82" s="7" t="s">
        <v>109</v>
      </c>
      <c r="M82" s="7" t="s">
        <v>109</v>
      </c>
      <c r="N82" s="7" t="s">
        <v>1747</v>
      </c>
      <c r="O82" s="7" t="s">
        <v>61</v>
      </c>
      <c r="P82" s="7" t="s">
        <v>131</v>
      </c>
      <c r="Q82" s="7" t="s">
        <v>222</v>
      </c>
      <c r="R82" s="7" t="s">
        <v>62</v>
      </c>
      <c r="S82" s="7" t="s">
        <v>109</v>
      </c>
      <c r="T82" s="7" t="s">
        <v>310</v>
      </c>
      <c r="U82" s="7" t="s">
        <v>109</v>
      </c>
      <c r="V82" s="7" t="s">
        <v>109</v>
      </c>
    </row>
    <row r="83" spans="1:22" x14ac:dyDescent="0.3">
      <c r="A83" s="7">
        <v>82</v>
      </c>
      <c r="B83" s="7" t="s">
        <v>23</v>
      </c>
      <c r="C83" s="7" t="s">
        <v>1753</v>
      </c>
      <c r="D83" s="7">
        <v>50126398</v>
      </c>
      <c r="E83" s="7">
        <v>90</v>
      </c>
      <c r="F83" s="7">
        <v>207</v>
      </c>
      <c r="G83" s="7">
        <v>58</v>
      </c>
      <c r="H83" s="7" t="s">
        <v>222</v>
      </c>
      <c r="I83" s="7" t="s">
        <v>109</v>
      </c>
      <c r="J83" s="7" t="s">
        <v>130</v>
      </c>
      <c r="K83" s="46">
        <v>0.71388888888888891</v>
      </c>
      <c r="L83" s="7" t="s">
        <v>109</v>
      </c>
      <c r="M83" s="7" t="s">
        <v>109</v>
      </c>
      <c r="N83" s="7" t="s">
        <v>1747</v>
      </c>
      <c r="O83" s="7" t="s">
        <v>61</v>
      </c>
      <c r="P83" s="7" t="s">
        <v>131</v>
      </c>
      <c r="Q83" s="7" t="s">
        <v>222</v>
      </c>
      <c r="R83" s="7" t="s">
        <v>62</v>
      </c>
      <c r="S83" s="7" t="s">
        <v>109</v>
      </c>
      <c r="T83" s="7" t="s">
        <v>310</v>
      </c>
      <c r="U83" s="7" t="s">
        <v>109</v>
      </c>
      <c r="V83" s="7" t="s">
        <v>109</v>
      </c>
    </row>
    <row r="84" spans="1:22" x14ac:dyDescent="0.3">
      <c r="A84" s="7">
        <v>83</v>
      </c>
      <c r="B84" s="7" t="s">
        <v>23</v>
      </c>
      <c r="C84" s="7" t="s">
        <v>1754</v>
      </c>
      <c r="D84" s="7">
        <v>50126395</v>
      </c>
      <c r="E84" s="7">
        <v>150</v>
      </c>
      <c r="F84" s="7">
        <v>302</v>
      </c>
      <c r="G84" s="7">
        <v>56</v>
      </c>
      <c r="H84" s="7" t="s">
        <v>73</v>
      </c>
      <c r="I84" s="7" t="s">
        <v>109</v>
      </c>
      <c r="J84" s="7" t="s">
        <v>130</v>
      </c>
      <c r="K84" s="46">
        <v>0.91736111111111107</v>
      </c>
      <c r="L84" s="7" t="s">
        <v>109</v>
      </c>
      <c r="M84" s="7" t="s">
        <v>109</v>
      </c>
      <c r="N84" s="7" t="s">
        <v>1747</v>
      </c>
      <c r="O84" s="7" t="s">
        <v>61</v>
      </c>
      <c r="P84" s="7" t="s">
        <v>131</v>
      </c>
      <c r="Q84" s="7" t="s">
        <v>68</v>
      </c>
      <c r="R84" s="7" t="s">
        <v>62</v>
      </c>
      <c r="S84" s="7" t="s">
        <v>109</v>
      </c>
      <c r="T84" s="7" t="s">
        <v>310</v>
      </c>
      <c r="U84" s="7" t="s">
        <v>109</v>
      </c>
      <c r="V84" s="7" t="s">
        <v>109</v>
      </c>
    </row>
    <row r="85" spans="1:22" x14ac:dyDescent="0.3">
      <c r="A85" s="7">
        <v>84</v>
      </c>
      <c r="B85" s="7" t="s">
        <v>23</v>
      </c>
      <c r="C85" s="7" t="s">
        <v>1755</v>
      </c>
      <c r="D85" s="7">
        <v>50126394</v>
      </c>
      <c r="E85" s="7">
        <v>200</v>
      </c>
      <c r="F85" s="7">
        <v>318</v>
      </c>
      <c r="G85" s="7">
        <v>188</v>
      </c>
      <c r="H85" s="7" t="s">
        <v>1756</v>
      </c>
      <c r="I85" s="7" t="s">
        <v>109</v>
      </c>
      <c r="J85" s="7" t="s">
        <v>130</v>
      </c>
      <c r="K85" s="11">
        <v>5.6250000000000001E-2</v>
      </c>
      <c r="L85" s="7" t="s">
        <v>109</v>
      </c>
      <c r="M85" s="7" t="s">
        <v>109</v>
      </c>
      <c r="N85" s="7" t="s">
        <v>1747</v>
      </c>
      <c r="O85" s="7" t="s">
        <v>61</v>
      </c>
      <c r="P85" s="7" t="s">
        <v>109</v>
      </c>
      <c r="Q85" s="7" t="s">
        <v>109</v>
      </c>
      <c r="R85" s="7" t="s">
        <v>62</v>
      </c>
      <c r="S85" s="7" t="s">
        <v>109</v>
      </c>
      <c r="T85" s="7" t="s">
        <v>310</v>
      </c>
      <c r="U85" s="7" t="s">
        <v>109</v>
      </c>
      <c r="V85" s="7" t="s">
        <v>109</v>
      </c>
    </row>
    <row r="86" spans="1:22" x14ac:dyDescent="0.3">
      <c r="A86" s="7">
        <v>85</v>
      </c>
      <c r="B86" s="7" t="s">
        <v>23</v>
      </c>
      <c r="C86" s="7" t="s">
        <v>1287</v>
      </c>
      <c r="D86" s="7">
        <v>50126331</v>
      </c>
      <c r="E86" s="7">
        <v>50</v>
      </c>
      <c r="F86" s="7">
        <v>73</v>
      </c>
      <c r="G86" s="7">
        <v>51</v>
      </c>
      <c r="H86" s="7" t="s">
        <v>520</v>
      </c>
      <c r="I86" s="7" t="s">
        <v>109</v>
      </c>
      <c r="J86" s="7" t="s">
        <v>130</v>
      </c>
      <c r="K86" s="46">
        <v>1.5972222222222221E-2</v>
      </c>
      <c r="L86" s="7" t="s">
        <v>109</v>
      </c>
      <c r="M86" s="7" t="s">
        <v>109</v>
      </c>
      <c r="N86" s="7" t="s">
        <v>109</v>
      </c>
      <c r="O86" s="7" t="s">
        <v>61</v>
      </c>
      <c r="P86" s="7" t="s">
        <v>131</v>
      </c>
      <c r="Q86" s="7" t="s">
        <v>520</v>
      </c>
      <c r="R86" s="7" t="s">
        <v>62</v>
      </c>
      <c r="S86" s="7" t="s">
        <v>109</v>
      </c>
      <c r="T86" s="7" t="s">
        <v>266</v>
      </c>
      <c r="U86" s="7" t="s">
        <v>109</v>
      </c>
      <c r="V86" s="7" t="s">
        <v>109</v>
      </c>
    </row>
    <row r="87" spans="1:22" x14ac:dyDescent="0.3">
      <c r="A87" s="7">
        <v>86</v>
      </c>
      <c r="B87" s="7" t="s">
        <v>23</v>
      </c>
      <c r="C87" s="7" t="s">
        <v>1285</v>
      </c>
      <c r="D87" s="7">
        <v>50126330</v>
      </c>
      <c r="E87" s="7">
        <v>50</v>
      </c>
      <c r="F87" s="7">
        <v>77</v>
      </c>
      <c r="G87" s="7">
        <v>54</v>
      </c>
      <c r="H87" s="7" t="s">
        <v>241</v>
      </c>
      <c r="I87" s="7" t="s">
        <v>109</v>
      </c>
      <c r="J87" s="7" t="s">
        <v>130</v>
      </c>
      <c r="K87" s="11">
        <v>5.1388888888888887E-2</v>
      </c>
      <c r="L87" s="7" t="s">
        <v>109</v>
      </c>
      <c r="M87" s="7" t="s">
        <v>109</v>
      </c>
      <c r="N87" s="7" t="s">
        <v>109</v>
      </c>
      <c r="O87" s="7" t="s">
        <v>61</v>
      </c>
      <c r="P87" s="7" t="s">
        <v>109</v>
      </c>
      <c r="Q87" s="7" t="s">
        <v>109</v>
      </c>
      <c r="R87" s="7" t="s">
        <v>62</v>
      </c>
      <c r="S87" s="7" t="s">
        <v>109</v>
      </c>
      <c r="T87" s="7" t="s">
        <v>266</v>
      </c>
      <c r="U87" s="7" t="s">
        <v>109</v>
      </c>
      <c r="V87" s="7" t="s">
        <v>109</v>
      </c>
    </row>
    <row r="88" spans="1:22" x14ac:dyDescent="0.3">
      <c r="A88" s="7">
        <v>87</v>
      </c>
      <c r="B88" s="7" t="s">
        <v>23</v>
      </c>
      <c r="C88" s="7" t="s">
        <v>1286</v>
      </c>
      <c r="D88" s="7">
        <v>50126332</v>
      </c>
      <c r="E88" s="7">
        <v>50</v>
      </c>
      <c r="F88" s="7">
        <v>58</v>
      </c>
      <c r="G88" s="7">
        <v>52</v>
      </c>
      <c r="H88" s="7" t="s">
        <v>72</v>
      </c>
      <c r="I88" s="7" t="s">
        <v>109</v>
      </c>
      <c r="J88" s="7" t="s">
        <v>130</v>
      </c>
      <c r="K88" s="46">
        <v>2.5694444444444443E-2</v>
      </c>
      <c r="L88" s="7" t="s">
        <v>109</v>
      </c>
      <c r="M88" s="7" t="s">
        <v>109</v>
      </c>
      <c r="N88" s="7" t="s">
        <v>109</v>
      </c>
      <c r="O88" s="7" t="s">
        <v>61</v>
      </c>
      <c r="P88" s="7" t="s">
        <v>131</v>
      </c>
      <c r="Q88" s="7" t="s">
        <v>72</v>
      </c>
      <c r="R88" s="7" t="s">
        <v>62</v>
      </c>
      <c r="S88" s="7" t="s">
        <v>109</v>
      </c>
      <c r="T88" s="7" t="s">
        <v>266</v>
      </c>
      <c r="U88" s="7" t="s">
        <v>109</v>
      </c>
      <c r="V88" s="7" t="s">
        <v>109</v>
      </c>
    </row>
    <row r="89" spans="1:22" s="21" customFormat="1" x14ac:dyDescent="0.3">
      <c r="A89" s="7">
        <v>88</v>
      </c>
      <c r="B89" s="7" t="s">
        <v>23</v>
      </c>
      <c r="C89" s="7" t="s">
        <v>1569</v>
      </c>
      <c r="D89" s="7">
        <v>50126355</v>
      </c>
      <c r="E89" s="7">
        <v>614</v>
      </c>
      <c r="F89" s="7" t="s">
        <v>109</v>
      </c>
      <c r="G89" s="7" t="s">
        <v>109</v>
      </c>
      <c r="H89" s="7" t="s">
        <v>1769</v>
      </c>
      <c r="I89" s="7" t="s">
        <v>109</v>
      </c>
      <c r="J89" s="7" t="s">
        <v>85</v>
      </c>
      <c r="K89" s="7" t="s">
        <v>109</v>
      </c>
      <c r="L89" s="7" t="s">
        <v>109</v>
      </c>
      <c r="M89" s="7" t="s">
        <v>109</v>
      </c>
      <c r="N89" s="7" t="s">
        <v>1757</v>
      </c>
      <c r="O89" s="7" t="s">
        <v>61</v>
      </c>
      <c r="P89" s="7" t="s">
        <v>109</v>
      </c>
      <c r="Q89" s="7" t="s">
        <v>109</v>
      </c>
      <c r="R89" s="7" t="s">
        <v>62</v>
      </c>
      <c r="S89" s="7" t="s">
        <v>109</v>
      </c>
      <c r="T89" s="7" t="s">
        <v>1568</v>
      </c>
      <c r="U89" s="7" t="s">
        <v>109</v>
      </c>
      <c r="V89" s="7" t="s">
        <v>109</v>
      </c>
    </row>
    <row r="90" spans="1:22" x14ac:dyDescent="0.3">
      <c r="A90" s="7">
        <v>89</v>
      </c>
      <c r="B90" s="7" t="s">
        <v>23</v>
      </c>
      <c r="C90" s="7" t="s">
        <v>1572</v>
      </c>
      <c r="D90" s="7">
        <v>50126354</v>
      </c>
      <c r="E90" s="7">
        <v>120</v>
      </c>
      <c r="F90" s="7">
        <v>17</v>
      </c>
      <c r="G90" s="7">
        <v>10</v>
      </c>
      <c r="H90" s="7" t="s">
        <v>520</v>
      </c>
      <c r="I90" s="7" t="s">
        <v>109</v>
      </c>
      <c r="J90" s="7" t="s">
        <v>130</v>
      </c>
      <c r="K90" s="46">
        <v>0.77361111111111114</v>
      </c>
      <c r="L90" s="7" t="s">
        <v>109</v>
      </c>
      <c r="M90" s="7" t="s">
        <v>109</v>
      </c>
      <c r="N90" s="7" t="s">
        <v>1758</v>
      </c>
      <c r="O90" s="7" t="s">
        <v>61</v>
      </c>
      <c r="P90" s="7" t="s">
        <v>131</v>
      </c>
      <c r="Q90" s="7" t="s">
        <v>520</v>
      </c>
      <c r="R90" s="7" t="s">
        <v>62</v>
      </c>
      <c r="S90" s="7" t="s">
        <v>109</v>
      </c>
      <c r="T90" s="7" t="s">
        <v>1568</v>
      </c>
      <c r="U90" s="7" t="s">
        <v>109</v>
      </c>
      <c r="V90" s="7" t="s">
        <v>109</v>
      </c>
    </row>
    <row r="91" spans="1:22" x14ac:dyDescent="0.3">
      <c r="A91" s="7">
        <v>90</v>
      </c>
      <c r="B91" s="7" t="s">
        <v>23</v>
      </c>
      <c r="C91" s="7" t="s">
        <v>1691</v>
      </c>
      <c r="D91" s="7">
        <v>50126364</v>
      </c>
      <c r="E91" s="7">
        <v>70</v>
      </c>
      <c r="F91" s="7">
        <v>35</v>
      </c>
      <c r="G91" s="7">
        <v>16</v>
      </c>
      <c r="H91" s="7" t="s">
        <v>196</v>
      </c>
      <c r="I91" s="7" t="s">
        <v>109</v>
      </c>
      <c r="J91" s="7" t="s">
        <v>130</v>
      </c>
      <c r="K91" s="46">
        <v>0.82708333333333328</v>
      </c>
      <c r="L91" s="7" t="s">
        <v>109</v>
      </c>
      <c r="M91" s="7" t="s">
        <v>109</v>
      </c>
      <c r="N91" s="7" t="s">
        <v>1759</v>
      </c>
      <c r="O91" s="7" t="s">
        <v>61</v>
      </c>
      <c r="P91" s="7" t="s">
        <v>131</v>
      </c>
      <c r="Q91" s="7" t="s">
        <v>1404</v>
      </c>
      <c r="R91" s="7" t="s">
        <v>62</v>
      </c>
      <c r="S91" s="7" t="s">
        <v>109</v>
      </c>
      <c r="T91" s="7" t="s">
        <v>1568</v>
      </c>
      <c r="U91" s="7" t="s">
        <v>109</v>
      </c>
      <c r="V91" s="7" t="s">
        <v>109</v>
      </c>
    </row>
    <row r="92" spans="1:22" x14ac:dyDescent="0.3">
      <c r="A92" s="7">
        <v>91</v>
      </c>
      <c r="B92" s="7" t="s">
        <v>23</v>
      </c>
      <c r="C92" s="7" t="s">
        <v>1693</v>
      </c>
      <c r="D92" s="7">
        <v>50126363</v>
      </c>
      <c r="E92" s="7">
        <v>260</v>
      </c>
      <c r="F92" s="7">
        <v>339</v>
      </c>
      <c r="G92" s="7">
        <v>247</v>
      </c>
      <c r="H92" s="7" t="s">
        <v>339</v>
      </c>
      <c r="I92" s="7" t="s">
        <v>109</v>
      </c>
      <c r="J92" s="7" t="s">
        <v>130</v>
      </c>
      <c r="K92" s="46">
        <v>6.9444444444444447E-4</v>
      </c>
      <c r="L92" s="7" t="s">
        <v>109</v>
      </c>
      <c r="M92" s="7" t="s">
        <v>109</v>
      </c>
      <c r="N92" s="7" t="s">
        <v>1760</v>
      </c>
      <c r="O92" s="7" t="s">
        <v>61</v>
      </c>
      <c r="P92" s="7" t="s">
        <v>131</v>
      </c>
      <c r="Q92" s="7" t="s">
        <v>67</v>
      </c>
      <c r="R92" s="7" t="s">
        <v>62</v>
      </c>
      <c r="S92" s="7" t="s">
        <v>109</v>
      </c>
      <c r="T92" s="7" t="s">
        <v>1568</v>
      </c>
      <c r="U92" s="7" t="s">
        <v>109</v>
      </c>
      <c r="V92" s="7" t="s">
        <v>109</v>
      </c>
    </row>
    <row r="93" spans="1:22" x14ac:dyDescent="0.3">
      <c r="A93" s="7">
        <v>92</v>
      </c>
      <c r="B93" s="7" t="s">
        <v>23</v>
      </c>
      <c r="C93" s="7" t="s">
        <v>1699</v>
      </c>
      <c r="D93" s="7">
        <v>50126361</v>
      </c>
      <c r="E93" s="7">
        <v>100</v>
      </c>
      <c r="F93" s="7" t="s">
        <v>109</v>
      </c>
      <c r="G93" s="7" t="s">
        <v>109</v>
      </c>
      <c r="H93" s="7" t="s">
        <v>67</v>
      </c>
      <c r="I93" s="7" t="s">
        <v>109</v>
      </c>
      <c r="J93" s="7" t="s">
        <v>85</v>
      </c>
      <c r="K93" s="7" t="s">
        <v>109</v>
      </c>
      <c r="L93" s="7" t="s">
        <v>109</v>
      </c>
      <c r="M93" s="7" t="s">
        <v>109</v>
      </c>
      <c r="N93" s="7" t="s">
        <v>1761</v>
      </c>
      <c r="O93" s="7" t="s">
        <v>61</v>
      </c>
      <c r="P93" s="7" t="s">
        <v>109</v>
      </c>
      <c r="Q93" s="7" t="s">
        <v>109</v>
      </c>
      <c r="R93" s="7" t="s">
        <v>62</v>
      </c>
      <c r="S93" s="7" t="s">
        <v>109</v>
      </c>
      <c r="T93" s="7" t="s">
        <v>1568</v>
      </c>
      <c r="U93" s="7" t="s">
        <v>109</v>
      </c>
      <c r="V93" s="7" t="s">
        <v>109</v>
      </c>
    </row>
    <row r="94" spans="1:22" x14ac:dyDescent="0.3">
      <c r="A94" s="7">
        <v>93</v>
      </c>
      <c r="B94" s="7" t="s">
        <v>23</v>
      </c>
      <c r="C94" s="7" t="s">
        <v>1702</v>
      </c>
      <c r="D94" s="7">
        <v>50126360</v>
      </c>
      <c r="E94" s="7">
        <v>220</v>
      </c>
      <c r="F94" s="7">
        <v>320</v>
      </c>
      <c r="G94" s="7">
        <v>166</v>
      </c>
      <c r="H94" s="7" t="s">
        <v>1762</v>
      </c>
      <c r="I94" s="7" t="s">
        <v>109</v>
      </c>
      <c r="J94" s="7" t="s">
        <v>130</v>
      </c>
      <c r="K94" s="46">
        <v>0.95972222222222225</v>
      </c>
      <c r="L94" s="7" t="s">
        <v>109</v>
      </c>
      <c r="M94" s="7" t="s">
        <v>109</v>
      </c>
      <c r="N94" s="7" t="s">
        <v>1763</v>
      </c>
      <c r="O94" s="7" t="s">
        <v>61</v>
      </c>
      <c r="P94" s="7" t="s">
        <v>131</v>
      </c>
      <c r="Q94" s="7" t="s">
        <v>69</v>
      </c>
      <c r="R94" s="7" t="s">
        <v>62</v>
      </c>
      <c r="S94" s="7" t="s">
        <v>109</v>
      </c>
      <c r="T94" s="7" t="s">
        <v>1568</v>
      </c>
      <c r="U94" s="7" t="s">
        <v>109</v>
      </c>
      <c r="V94" s="7" t="s">
        <v>109</v>
      </c>
    </row>
    <row r="95" spans="1:22" x14ac:dyDescent="0.3">
      <c r="A95" s="7">
        <v>94</v>
      </c>
      <c r="B95" s="7" t="s">
        <v>24</v>
      </c>
      <c r="C95" s="7" t="s">
        <v>28</v>
      </c>
      <c r="D95" s="7">
        <v>61225007</v>
      </c>
      <c r="E95" s="7">
        <v>50</v>
      </c>
      <c r="F95" s="7">
        <v>100</v>
      </c>
      <c r="G95" s="7">
        <v>39</v>
      </c>
      <c r="H95" s="7" t="s">
        <v>94</v>
      </c>
      <c r="I95" s="7" t="s">
        <v>109</v>
      </c>
      <c r="J95" s="7" t="s">
        <v>130</v>
      </c>
      <c r="K95" s="46">
        <v>0.84236111111111112</v>
      </c>
      <c r="L95" s="7" t="s">
        <v>109</v>
      </c>
      <c r="M95" s="7" t="s">
        <v>109</v>
      </c>
      <c r="N95" s="7" t="s">
        <v>1764</v>
      </c>
      <c r="O95" s="7" t="s">
        <v>61</v>
      </c>
      <c r="P95" s="7" t="s">
        <v>131</v>
      </c>
      <c r="Q95" s="7" t="s">
        <v>94</v>
      </c>
      <c r="R95" s="7" t="s">
        <v>63</v>
      </c>
      <c r="S95" s="7" t="s">
        <v>109</v>
      </c>
      <c r="T95" s="7" t="s">
        <v>113</v>
      </c>
      <c r="U95" s="7" t="s">
        <v>109</v>
      </c>
      <c r="V95" s="7" t="s">
        <v>109</v>
      </c>
    </row>
    <row r="96" spans="1:22" x14ac:dyDescent="0.3">
      <c r="A96" s="7">
        <v>95</v>
      </c>
      <c r="B96" s="7" t="s">
        <v>24</v>
      </c>
      <c r="C96" s="7" t="s">
        <v>30</v>
      </c>
      <c r="D96" s="7">
        <v>61225005</v>
      </c>
      <c r="E96" s="7">
        <v>50</v>
      </c>
      <c r="F96" s="7">
        <v>122</v>
      </c>
      <c r="G96" s="7">
        <v>37</v>
      </c>
      <c r="H96" s="7" t="s">
        <v>179</v>
      </c>
      <c r="I96" s="7" t="s">
        <v>109</v>
      </c>
      <c r="J96" s="7" t="s">
        <v>130</v>
      </c>
      <c r="K96" s="46">
        <v>0.78055555555555556</v>
      </c>
      <c r="L96" s="7" t="s">
        <v>109</v>
      </c>
      <c r="M96" s="7" t="s">
        <v>109</v>
      </c>
      <c r="N96" s="7" t="s">
        <v>1764</v>
      </c>
      <c r="O96" s="7" t="s">
        <v>61</v>
      </c>
      <c r="P96" s="7" t="s">
        <v>131</v>
      </c>
      <c r="Q96" s="7" t="s">
        <v>90</v>
      </c>
      <c r="R96" s="7" t="s">
        <v>63</v>
      </c>
      <c r="S96" s="7" t="s">
        <v>109</v>
      </c>
      <c r="T96" s="7" t="s">
        <v>113</v>
      </c>
      <c r="U96" s="7" t="s">
        <v>109</v>
      </c>
      <c r="V96" s="7" t="s">
        <v>109</v>
      </c>
    </row>
    <row r="97" spans="1:22" x14ac:dyDescent="0.3">
      <c r="A97" s="7">
        <v>96</v>
      </c>
      <c r="B97" s="7" t="s">
        <v>24</v>
      </c>
      <c r="C97" s="7" t="s">
        <v>31</v>
      </c>
      <c r="D97" s="7">
        <v>61225003</v>
      </c>
      <c r="E97" s="7">
        <v>50</v>
      </c>
      <c r="F97" s="7">
        <v>43</v>
      </c>
      <c r="G97" s="7">
        <v>14</v>
      </c>
      <c r="H97" s="7" t="s">
        <v>88</v>
      </c>
      <c r="I97" s="7" t="s">
        <v>605</v>
      </c>
      <c r="J97" s="7" t="s">
        <v>130</v>
      </c>
      <c r="K97" s="46">
        <v>0.93333333333333335</v>
      </c>
      <c r="L97" s="7" t="s">
        <v>109</v>
      </c>
      <c r="M97" s="7" t="s">
        <v>109</v>
      </c>
      <c r="N97" s="7" t="s">
        <v>1764</v>
      </c>
      <c r="O97" s="7" t="s">
        <v>61</v>
      </c>
      <c r="P97" s="7" t="s">
        <v>131</v>
      </c>
      <c r="Q97" s="7" t="s">
        <v>605</v>
      </c>
      <c r="R97" s="7" t="s">
        <v>63</v>
      </c>
      <c r="S97" s="7" t="s">
        <v>109</v>
      </c>
      <c r="T97" s="7" t="s">
        <v>113</v>
      </c>
      <c r="U97" s="7" t="s">
        <v>109</v>
      </c>
      <c r="V97" s="7" t="s">
        <v>109</v>
      </c>
    </row>
    <row r="98" spans="1:22" x14ac:dyDescent="0.3">
      <c r="A98" s="7">
        <v>97</v>
      </c>
      <c r="B98" s="7" t="s">
        <v>24</v>
      </c>
      <c r="C98" s="7" t="s">
        <v>29</v>
      </c>
      <c r="D98" s="7">
        <v>61225006</v>
      </c>
      <c r="E98" s="7">
        <v>50</v>
      </c>
      <c r="F98" s="7">
        <v>125</v>
      </c>
      <c r="G98" s="7">
        <v>22</v>
      </c>
      <c r="H98" s="7" t="s">
        <v>95</v>
      </c>
      <c r="I98" s="7" t="s">
        <v>109</v>
      </c>
      <c r="J98" s="7" t="s">
        <v>130</v>
      </c>
      <c r="K98" s="46">
        <v>4.3749999999999997E-2</v>
      </c>
      <c r="L98" s="7" t="s">
        <v>109</v>
      </c>
      <c r="M98" s="7" t="s">
        <v>109</v>
      </c>
      <c r="N98" s="7" t="s">
        <v>1764</v>
      </c>
      <c r="O98" s="7" t="s">
        <v>61</v>
      </c>
      <c r="P98" s="7" t="s">
        <v>131</v>
      </c>
      <c r="Q98" s="7" t="s">
        <v>95</v>
      </c>
      <c r="R98" s="7" t="s">
        <v>63</v>
      </c>
      <c r="S98" s="7" t="s">
        <v>109</v>
      </c>
      <c r="T98" s="7" t="s">
        <v>113</v>
      </c>
      <c r="U98" s="7" t="s">
        <v>109</v>
      </c>
      <c r="V98" s="7" t="s">
        <v>109</v>
      </c>
    </row>
    <row r="99" spans="1:22" x14ac:dyDescent="0.3">
      <c r="A99" s="7">
        <v>98</v>
      </c>
      <c r="B99" s="7" t="s">
        <v>24</v>
      </c>
      <c r="C99" s="7" t="s">
        <v>32</v>
      </c>
      <c r="D99" s="7">
        <v>61225004</v>
      </c>
      <c r="E99" s="7">
        <v>50</v>
      </c>
      <c r="F99" s="7">
        <v>98</v>
      </c>
      <c r="G99" s="7">
        <v>45</v>
      </c>
      <c r="H99" s="7" t="s">
        <v>87</v>
      </c>
      <c r="I99" s="7" t="s">
        <v>109</v>
      </c>
      <c r="J99" s="7" t="s">
        <v>130</v>
      </c>
      <c r="K99" s="46">
        <v>0.85624999999999996</v>
      </c>
      <c r="L99" s="7" t="s">
        <v>109</v>
      </c>
      <c r="M99" s="7" t="s">
        <v>109</v>
      </c>
      <c r="N99" s="7" t="s">
        <v>1764</v>
      </c>
      <c r="O99" s="7" t="s">
        <v>61</v>
      </c>
      <c r="P99" s="7" t="s">
        <v>131</v>
      </c>
      <c r="Q99" s="7" t="s">
        <v>603</v>
      </c>
      <c r="R99" s="7" t="s">
        <v>63</v>
      </c>
      <c r="S99" s="7" t="s">
        <v>109</v>
      </c>
      <c r="T99" s="7" t="s">
        <v>113</v>
      </c>
      <c r="U99" s="7" t="s">
        <v>109</v>
      </c>
      <c r="V99" s="7" t="s">
        <v>109</v>
      </c>
    </row>
    <row r="100" spans="1:22" x14ac:dyDescent="0.3">
      <c r="A100" s="7">
        <v>99</v>
      </c>
      <c r="B100" s="7" t="s">
        <v>24</v>
      </c>
      <c r="C100" s="7" t="s">
        <v>34</v>
      </c>
      <c r="D100" s="7">
        <v>61225002</v>
      </c>
      <c r="E100" s="7">
        <v>100</v>
      </c>
      <c r="F100" s="7">
        <v>198</v>
      </c>
      <c r="G100" s="7">
        <v>69</v>
      </c>
      <c r="H100" s="7" t="s">
        <v>1765</v>
      </c>
      <c r="I100" s="7" t="s">
        <v>109</v>
      </c>
      <c r="J100" s="7" t="s">
        <v>130</v>
      </c>
      <c r="K100" s="46">
        <v>4.583333333333333E-2</v>
      </c>
      <c r="L100" s="7" t="s">
        <v>109</v>
      </c>
      <c r="M100" s="7" t="s">
        <v>109</v>
      </c>
      <c r="N100" s="7" t="s">
        <v>1764</v>
      </c>
      <c r="O100" s="7" t="s">
        <v>61</v>
      </c>
      <c r="P100" s="7" t="s">
        <v>131</v>
      </c>
      <c r="Q100" s="7" t="s">
        <v>93</v>
      </c>
      <c r="R100" s="7" t="s">
        <v>63</v>
      </c>
      <c r="S100" s="7" t="s">
        <v>109</v>
      </c>
      <c r="T100" s="7" t="s">
        <v>113</v>
      </c>
      <c r="U100" s="7" t="s">
        <v>109</v>
      </c>
      <c r="V100" s="7" t="s">
        <v>109</v>
      </c>
    </row>
    <row r="101" spans="1:22" x14ac:dyDescent="0.3">
      <c r="A101" s="7">
        <v>100</v>
      </c>
      <c r="B101" s="7" t="s">
        <v>23</v>
      </c>
      <c r="C101" s="7" t="s">
        <v>138</v>
      </c>
      <c r="D101" s="7">
        <v>51225034</v>
      </c>
      <c r="E101" s="7">
        <v>60</v>
      </c>
      <c r="F101" s="7">
        <v>28</v>
      </c>
      <c r="G101" s="7">
        <v>12</v>
      </c>
      <c r="H101" s="7" t="s">
        <v>209</v>
      </c>
      <c r="I101" s="7" t="s">
        <v>109</v>
      </c>
      <c r="J101" s="7" t="s">
        <v>130</v>
      </c>
      <c r="K101" s="46">
        <v>0.98958333333333337</v>
      </c>
      <c r="L101" s="7" t="s">
        <v>109</v>
      </c>
      <c r="M101" s="7" t="s">
        <v>109</v>
      </c>
      <c r="N101" s="7" t="s">
        <v>109</v>
      </c>
      <c r="O101" s="7" t="s">
        <v>606</v>
      </c>
      <c r="P101" s="7" t="s">
        <v>131</v>
      </c>
      <c r="Q101" s="7" t="s">
        <v>209</v>
      </c>
      <c r="R101" s="7" t="s">
        <v>62</v>
      </c>
      <c r="S101" s="7" t="s">
        <v>109</v>
      </c>
      <c r="T101" s="7" t="s">
        <v>142</v>
      </c>
      <c r="U101" s="7" t="s">
        <v>109</v>
      </c>
      <c r="V101" s="7" t="s">
        <v>109</v>
      </c>
    </row>
    <row r="102" spans="1:22" x14ac:dyDescent="0.3">
      <c r="A102" s="7">
        <v>101</v>
      </c>
      <c r="B102" s="7" t="s">
        <v>23</v>
      </c>
      <c r="C102" s="7" t="s">
        <v>140</v>
      </c>
      <c r="D102" s="7">
        <v>51225035</v>
      </c>
      <c r="E102" s="7">
        <v>55</v>
      </c>
      <c r="F102" s="7">
        <v>55</v>
      </c>
      <c r="G102" s="7">
        <v>8</v>
      </c>
      <c r="H102" s="7" t="s">
        <v>179</v>
      </c>
      <c r="I102" s="7" t="s">
        <v>109</v>
      </c>
      <c r="J102" s="7" t="s">
        <v>130</v>
      </c>
      <c r="K102" s="46">
        <v>0.98263888888888884</v>
      </c>
      <c r="L102" s="7" t="s">
        <v>109</v>
      </c>
      <c r="M102" s="7" t="s">
        <v>109</v>
      </c>
      <c r="N102" s="7" t="s">
        <v>109</v>
      </c>
      <c r="O102" s="7" t="s">
        <v>606</v>
      </c>
      <c r="P102" s="7" t="s">
        <v>131</v>
      </c>
      <c r="Q102" s="7" t="s">
        <v>90</v>
      </c>
      <c r="R102" s="7" t="s">
        <v>62</v>
      </c>
      <c r="S102" s="7" t="s">
        <v>109</v>
      </c>
      <c r="T102" s="7" t="s">
        <v>142</v>
      </c>
      <c r="U102" s="7" t="s">
        <v>109</v>
      </c>
      <c r="V102" s="7" t="s">
        <v>109</v>
      </c>
    </row>
    <row r="103" spans="1:22" x14ac:dyDescent="0.3">
      <c r="A103" s="7">
        <v>102</v>
      </c>
      <c r="B103" s="7" t="s">
        <v>23</v>
      </c>
      <c r="C103" s="47" t="s">
        <v>139</v>
      </c>
      <c r="D103" s="88">
        <v>51225032</v>
      </c>
      <c r="E103" s="7">
        <v>60</v>
      </c>
      <c r="F103" s="7">
        <v>165</v>
      </c>
      <c r="G103" s="7">
        <v>63</v>
      </c>
      <c r="H103" s="7" t="s">
        <v>86</v>
      </c>
      <c r="I103" s="7" t="s">
        <v>109</v>
      </c>
      <c r="J103" s="7" t="s">
        <v>130</v>
      </c>
      <c r="K103" s="46">
        <v>4.1666666666666664E-2</v>
      </c>
      <c r="L103" s="7" t="s">
        <v>109</v>
      </c>
      <c r="M103" s="7" t="s">
        <v>109</v>
      </c>
      <c r="N103" s="7" t="s">
        <v>109</v>
      </c>
      <c r="O103" s="7" t="s">
        <v>61</v>
      </c>
      <c r="P103" s="7" t="s">
        <v>131</v>
      </c>
      <c r="Q103" s="7" t="s">
        <v>86</v>
      </c>
      <c r="R103" s="7" t="s">
        <v>62</v>
      </c>
      <c r="S103" s="7" t="s">
        <v>109</v>
      </c>
      <c r="T103" s="7" t="s">
        <v>142</v>
      </c>
      <c r="U103" s="7" t="s">
        <v>109</v>
      </c>
      <c r="V103" s="7" t="s">
        <v>109</v>
      </c>
    </row>
  </sheetData>
  <conditionalFormatting sqref="D1:D1048576">
    <cfRule type="duplicateValues" dxfId="91"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65F03-C5B5-4780-9C2D-DD5DE0481EFE}">
  <sheetPr codeName="Sheet23"/>
  <dimension ref="A1:V104"/>
  <sheetViews>
    <sheetView topLeftCell="I1" workbookViewId="0">
      <pane ySplit="1" topLeftCell="A2" activePane="bottomLeft" state="frozen"/>
      <selection pane="bottomLeft" activeCell="L17" sqref="L17"/>
    </sheetView>
  </sheetViews>
  <sheetFormatPr defaultRowHeight="14.4" x14ac:dyDescent="0.3"/>
  <cols>
    <col min="3" max="3" width="35.109375" customWidth="1"/>
    <col min="6" max="6" width="16.44140625" style="31" customWidth="1"/>
    <col min="7" max="7" width="13.77734375" style="31" customWidth="1"/>
    <col min="8" max="8" width="41" customWidth="1"/>
    <col min="9" max="9" width="31.21875" customWidth="1"/>
    <col min="11" max="11" width="14.77734375" style="31" customWidth="1"/>
    <col min="12" max="12" width="14.109375" style="31" customWidth="1"/>
    <col min="16" max="16" width="12.6640625" customWidth="1"/>
    <col min="17" max="17" width="13.33203125" customWidth="1"/>
    <col min="19" max="19" width="12.109375" customWidth="1"/>
    <col min="22" max="22" width="26.109375" customWidth="1"/>
  </cols>
  <sheetData>
    <row r="1" spans="1:22" x14ac:dyDescent="0.3">
      <c r="A1" s="22" t="s">
        <v>0</v>
      </c>
      <c r="B1" s="22" t="s">
        <v>1</v>
      </c>
      <c r="C1" s="22" t="s">
        <v>2</v>
      </c>
      <c r="D1" s="22" t="s">
        <v>3</v>
      </c>
      <c r="E1" s="22" t="s">
        <v>4</v>
      </c>
      <c r="F1" s="22" t="s">
        <v>5</v>
      </c>
      <c r="G1" s="22" t="s">
        <v>6</v>
      </c>
      <c r="H1" s="22" t="s">
        <v>7</v>
      </c>
      <c r="I1" s="22" t="s">
        <v>8</v>
      </c>
      <c r="J1" s="22" t="s">
        <v>9</v>
      </c>
      <c r="K1" s="23" t="s">
        <v>10</v>
      </c>
      <c r="L1" s="23" t="s">
        <v>11</v>
      </c>
      <c r="M1" s="24" t="s">
        <v>12</v>
      </c>
      <c r="N1" s="25" t="s">
        <v>13</v>
      </c>
      <c r="O1" s="22" t="s">
        <v>14</v>
      </c>
      <c r="P1" s="22" t="s">
        <v>15</v>
      </c>
      <c r="Q1" s="22" t="s">
        <v>16</v>
      </c>
      <c r="R1" s="22" t="s">
        <v>17</v>
      </c>
      <c r="S1" s="22" t="s">
        <v>18</v>
      </c>
      <c r="T1" s="22" t="s">
        <v>19</v>
      </c>
      <c r="U1" s="22" t="s">
        <v>20</v>
      </c>
      <c r="V1" s="22" t="s">
        <v>21</v>
      </c>
    </row>
    <row r="2" spans="1:22" ht="15" thickBot="1" x14ac:dyDescent="0.35">
      <c r="A2" s="7">
        <v>1</v>
      </c>
      <c r="B2" s="29" t="s">
        <v>292</v>
      </c>
      <c r="C2" s="90" t="s">
        <v>1720</v>
      </c>
      <c r="D2" s="91">
        <v>40126037</v>
      </c>
      <c r="E2" s="29">
        <v>179</v>
      </c>
      <c r="F2" s="7">
        <v>242</v>
      </c>
      <c r="G2" s="7">
        <v>186</v>
      </c>
      <c r="H2" s="53" t="s">
        <v>1774</v>
      </c>
      <c r="I2" s="53" t="s">
        <v>1775</v>
      </c>
      <c r="J2" s="47" t="s">
        <v>130</v>
      </c>
      <c r="K2" s="11">
        <v>0.75902777777777775</v>
      </c>
      <c r="L2" s="11">
        <v>0.79513888888888884</v>
      </c>
      <c r="M2" s="47" t="s">
        <v>109</v>
      </c>
      <c r="N2" s="32" t="s">
        <v>434</v>
      </c>
      <c r="O2" s="29" t="s">
        <v>61</v>
      </c>
      <c r="P2" s="47" t="s">
        <v>131</v>
      </c>
      <c r="Q2" s="47" t="s">
        <v>93</v>
      </c>
      <c r="R2" s="7" t="e">
        <f>VLOOKUP(D2,#REF!,6,0)</f>
        <v>#REF!</v>
      </c>
      <c r="S2" s="47" t="s">
        <v>109</v>
      </c>
      <c r="T2" s="92" t="s">
        <v>117</v>
      </c>
      <c r="U2" s="47" t="b">
        <f t="shared" ref="U2:U65" si="0">G2&gt;=E2</f>
        <v>1</v>
      </c>
      <c r="V2" s="47" t="s">
        <v>109</v>
      </c>
    </row>
    <row r="3" spans="1:22" ht="15" thickBot="1" x14ac:dyDescent="0.35">
      <c r="A3" s="7">
        <v>2</v>
      </c>
      <c r="B3" s="29" t="s">
        <v>24</v>
      </c>
      <c r="C3" s="90" t="s">
        <v>890</v>
      </c>
      <c r="D3" s="91">
        <v>60126003</v>
      </c>
      <c r="E3" s="29">
        <v>49</v>
      </c>
      <c r="F3" s="7">
        <v>100</v>
      </c>
      <c r="G3" s="7">
        <v>32</v>
      </c>
      <c r="H3" s="53" t="s">
        <v>196</v>
      </c>
      <c r="I3" s="53" t="s">
        <v>87</v>
      </c>
      <c r="J3" s="47" t="s">
        <v>130</v>
      </c>
      <c r="K3" s="11">
        <v>0.72222222222222221</v>
      </c>
      <c r="L3" s="11">
        <v>0.75138888888888888</v>
      </c>
      <c r="M3" s="47" t="s">
        <v>109</v>
      </c>
      <c r="N3" s="32" t="s">
        <v>110</v>
      </c>
      <c r="O3" s="29" t="s">
        <v>61</v>
      </c>
      <c r="P3" s="47" t="s">
        <v>131</v>
      </c>
      <c r="Q3" s="47" t="s">
        <v>87</v>
      </c>
      <c r="R3" s="7" t="s">
        <v>63</v>
      </c>
      <c r="S3" s="47" t="s">
        <v>109</v>
      </c>
      <c r="T3" s="92" t="s">
        <v>891</v>
      </c>
      <c r="U3" s="47" t="b">
        <f t="shared" si="0"/>
        <v>0</v>
      </c>
      <c r="V3" s="47" t="s">
        <v>1816</v>
      </c>
    </row>
    <row r="4" spans="1:22" ht="15" thickBot="1" x14ac:dyDescent="0.35">
      <c r="A4" s="7">
        <v>3</v>
      </c>
      <c r="B4" s="29" t="s">
        <v>24</v>
      </c>
      <c r="C4" s="90" t="s">
        <v>892</v>
      </c>
      <c r="D4" s="91">
        <v>60126002</v>
      </c>
      <c r="E4" s="29">
        <v>49</v>
      </c>
      <c r="F4" s="7">
        <v>69</v>
      </c>
      <c r="G4" s="7">
        <v>50</v>
      </c>
      <c r="H4" s="53" t="s">
        <v>71</v>
      </c>
      <c r="I4" s="53" t="s">
        <v>91</v>
      </c>
      <c r="J4" s="47" t="s">
        <v>130</v>
      </c>
      <c r="K4" s="11">
        <v>0.72222222222222221</v>
      </c>
      <c r="L4" s="11">
        <v>0.78541666666666665</v>
      </c>
      <c r="M4" s="47" t="s">
        <v>109</v>
      </c>
      <c r="N4" s="32" t="s">
        <v>110</v>
      </c>
      <c r="O4" s="29" t="s">
        <v>61</v>
      </c>
      <c r="P4" s="47" t="s">
        <v>131</v>
      </c>
      <c r="Q4" s="47" t="s">
        <v>91</v>
      </c>
      <c r="R4" s="7" t="s">
        <v>63</v>
      </c>
      <c r="S4" s="47" t="s">
        <v>109</v>
      </c>
      <c r="T4" s="92" t="s">
        <v>891</v>
      </c>
      <c r="U4" s="47" t="b">
        <f t="shared" si="0"/>
        <v>1</v>
      </c>
      <c r="V4" s="47" t="s">
        <v>109</v>
      </c>
    </row>
    <row r="5" spans="1:22" ht="15" thickBot="1" x14ac:dyDescent="0.35">
      <c r="A5" s="7">
        <v>4</v>
      </c>
      <c r="B5" s="29" t="s">
        <v>24</v>
      </c>
      <c r="C5" s="90" t="s">
        <v>893</v>
      </c>
      <c r="D5" s="91">
        <v>60126004</v>
      </c>
      <c r="E5" s="29">
        <v>55</v>
      </c>
      <c r="F5" s="7">
        <v>76</v>
      </c>
      <c r="G5" s="7">
        <v>58</v>
      </c>
      <c r="H5" s="53" t="s">
        <v>82</v>
      </c>
      <c r="I5" s="53" t="s">
        <v>89</v>
      </c>
      <c r="J5" s="47" t="s">
        <v>130</v>
      </c>
      <c r="K5" s="11">
        <v>0.7368055555555556</v>
      </c>
      <c r="L5" s="11">
        <v>0.77916666666666667</v>
      </c>
      <c r="M5" s="47" t="s">
        <v>109</v>
      </c>
      <c r="N5" s="32" t="s">
        <v>110</v>
      </c>
      <c r="O5" s="29" t="s">
        <v>61</v>
      </c>
      <c r="P5" s="47" t="s">
        <v>131</v>
      </c>
      <c r="Q5" s="47" t="s">
        <v>89</v>
      </c>
      <c r="R5" s="7" t="s">
        <v>63</v>
      </c>
      <c r="S5" s="47" t="s">
        <v>109</v>
      </c>
      <c r="T5" s="92" t="s">
        <v>891</v>
      </c>
      <c r="U5" s="47" t="b">
        <f t="shared" si="0"/>
        <v>1</v>
      </c>
      <c r="V5" s="47" t="s">
        <v>109</v>
      </c>
    </row>
    <row r="6" spans="1:22" ht="15" thickBot="1" x14ac:dyDescent="0.35">
      <c r="A6" s="7">
        <v>5</v>
      </c>
      <c r="B6" s="29" t="s">
        <v>24</v>
      </c>
      <c r="C6" s="90" t="s">
        <v>894</v>
      </c>
      <c r="D6" s="91">
        <v>60126005</v>
      </c>
      <c r="E6" s="29">
        <v>43</v>
      </c>
      <c r="F6" s="7">
        <v>75</v>
      </c>
      <c r="G6" s="7">
        <v>45</v>
      </c>
      <c r="H6" s="53" t="s">
        <v>67</v>
      </c>
      <c r="I6" s="53" t="s">
        <v>95</v>
      </c>
      <c r="J6" s="47" t="s">
        <v>130</v>
      </c>
      <c r="K6" s="11">
        <v>0.71875</v>
      </c>
      <c r="L6" s="11">
        <v>0.73263888888888884</v>
      </c>
      <c r="M6" s="47" t="s">
        <v>109</v>
      </c>
      <c r="N6" s="32" t="s">
        <v>110</v>
      </c>
      <c r="O6" s="29" t="s">
        <v>61</v>
      </c>
      <c r="P6" s="47" t="s">
        <v>131</v>
      </c>
      <c r="Q6" s="47" t="s">
        <v>1818</v>
      </c>
      <c r="R6" s="7" t="s">
        <v>63</v>
      </c>
      <c r="S6" s="47" t="s">
        <v>109</v>
      </c>
      <c r="T6" s="92" t="s">
        <v>891</v>
      </c>
      <c r="U6" s="47" t="b">
        <f t="shared" si="0"/>
        <v>1</v>
      </c>
      <c r="V6" s="47" t="s">
        <v>109</v>
      </c>
    </row>
    <row r="7" spans="1:22" ht="15" thickBot="1" x14ac:dyDescent="0.35">
      <c r="A7" s="7">
        <v>6</v>
      </c>
      <c r="B7" s="29" t="s">
        <v>24</v>
      </c>
      <c r="C7" s="90" t="s">
        <v>895</v>
      </c>
      <c r="D7" s="91">
        <v>60126006</v>
      </c>
      <c r="E7" s="29">
        <v>69</v>
      </c>
      <c r="F7" s="7">
        <v>120</v>
      </c>
      <c r="G7" s="7">
        <v>70</v>
      </c>
      <c r="H7" s="53" t="s">
        <v>184</v>
      </c>
      <c r="I7" s="53" t="s">
        <v>94</v>
      </c>
      <c r="J7" s="47" t="s">
        <v>130</v>
      </c>
      <c r="K7" s="11">
        <v>0.75208333333333333</v>
      </c>
      <c r="L7" s="11">
        <v>0.8125</v>
      </c>
      <c r="M7" s="47" t="s">
        <v>109</v>
      </c>
      <c r="N7" s="32" t="s">
        <v>110</v>
      </c>
      <c r="O7" s="29" t="s">
        <v>61</v>
      </c>
      <c r="P7" s="47" t="s">
        <v>131</v>
      </c>
      <c r="Q7" s="47" t="s">
        <v>94</v>
      </c>
      <c r="R7" s="7" t="s">
        <v>63</v>
      </c>
      <c r="S7" s="47" t="s">
        <v>109</v>
      </c>
      <c r="T7" s="92" t="s">
        <v>891</v>
      </c>
      <c r="U7" s="47" t="b">
        <f t="shared" si="0"/>
        <v>1</v>
      </c>
      <c r="V7" s="47" t="s">
        <v>109</v>
      </c>
    </row>
    <row r="8" spans="1:22" ht="15" thickBot="1" x14ac:dyDescent="0.35">
      <c r="A8" s="7">
        <v>7</v>
      </c>
      <c r="B8" s="29" t="s">
        <v>24</v>
      </c>
      <c r="C8" s="90" t="s">
        <v>896</v>
      </c>
      <c r="D8" s="91">
        <v>60126008</v>
      </c>
      <c r="E8" s="29">
        <v>50</v>
      </c>
      <c r="F8" s="7">
        <v>62</v>
      </c>
      <c r="G8" s="7">
        <v>48</v>
      </c>
      <c r="H8" s="53" t="s">
        <v>214</v>
      </c>
      <c r="I8" s="53" t="s">
        <v>88</v>
      </c>
      <c r="J8" s="47" t="s">
        <v>130</v>
      </c>
      <c r="K8" s="11">
        <v>0.8618055555555556</v>
      </c>
      <c r="L8" s="11">
        <v>0.87986111111111109</v>
      </c>
      <c r="M8" s="47" t="s">
        <v>109</v>
      </c>
      <c r="N8" s="32" t="s">
        <v>110</v>
      </c>
      <c r="O8" s="29" t="s">
        <v>61</v>
      </c>
      <c r="P8" s="47" t="s">
        <v>131</v>
      </c>
      <c r="Q8" s="47" t="s">
        <v>88</v>
      </c>
      <c r="R8" s="7" t="s">
        <v>63</v>
      </c>
      <c r="S8" s="47" t="s">
        <v>109</v>
      </c>
      <c r="T8" s="92" t="s">
        <v>891</v>
      </c>
      <c r="U8" s="47" t="b">
        <f t="shared" si="0"/>
        <v>0</v>
      </c>
      <c r="V8" s="47" t="s">
        <v>109</v>
      </c>
    </row>
    <row r="9" spans="1:22" ht="15" thickBot="1" x14ac:dyDescent="0.35">
      <c r="A9" s="7">
        <v>8</v>
      </c>
      <c r="B9" s="29" t="s">
        <v>24</v>
      </c>
      <c r="C9" s="90" t="s">
        <v>897</v>
      </c>
      <c r="D9" s="91">
        <v>60126007</v>
      </c>
      <c r="E9" s="29">
        <v>344</v>
      </c>
      <c r="F9" s="7">
        <v>458</v>
      </c>
      <c r="G9" s="7">
        <v>358</v>
      </c>
      <c r="H9" s="7" t="s">
        <v>1776</v>
      </c>
      <c r="I9" s="7" t="s">
        <v>1777</v>
      </c>
      <c r="J9" s="47" t="s">
        <v>130</v>
      </c>
      <c r="K9" s="11">
        <v>0.69166666666666665</v>
      </c>
      <c r="L9" s="11">
        <v>0.71736111111111112</v>
      </c>
      <c r="M9" s="47" t="s">
        <v>109</v>
      </c>
      <c r="N9" s="32" t="s">
        <v>110</v>
      </c>
      <c r="O9" s="29" t="s">
        <v>61</v>
      </c>
      <c r="P9" s="47" t="s">
        <v>131</v>
      </c>
      <c r="Q9" s="47" t="s">
        <v>89</v>
      </c>
      <c r="R9" s="7" t="s">
        <v>63</v>
      </c>
      <c r="S9" s="47" t="s">
        <v>109</v>
      </c>
      <c r="T9" s="92" t="s">
        <v>891</v>
      </c>
      <c r="U9" s="47" t="b">
        <f t="shared" si="0"/>
        <v>1</v>
      </c>
      <c r="V9" s="47" t="s">
        <v>109</v>
      </c>
    </row>
    <row r="10" spans="1:22" ht="15" thickBot="1" x14ac:dyDescent="0.35">
      <c r="A10" s="7">
        <v>9</v>
      </c>
      <c r="B10" s="29" t="s">
        <v>26</v>
      </c>
      <c r="C10" s="90" t="s">
        <v>1778</v>
      </c>
      <c r="D10" s="91">
        <v>40226001</v>
      </c>
      <c r="E10" s="29">
        <v>372</v>
      </c>
      <c r="F10" s="7">
        <v>685</v>
      </c>
      <c r="G10" s="7">
        <v>98</v>
      </c>
      <c r="H10" s="53" t="s">
        <v>1779</v>
      </c>
      <c r="I10" s="7" t="s">
        <v>1780</v>
      </c>
      <c r="J10" s="47" t="s">
        <v>130</v>
      </c>
      <c r="K10" s="11">
        <v>0.98402777777777772</v>
      </c>
      <c r="L10" s="11">
        <v>2.0833333333333333E-3</v>
      </c>
      <c r="M10" s="47" t="s">
        <v>109</v>
      </c>
      <c r="N10" s="29" t="s">
        <v>109</v>
      </c>
      <c r="O10" s="29" t="s">
        <v>61</v>
      </c>
      <c r="P10" s="47" t="s">
        <v>131</v>
      </c>
      <c r="Q10" s="47" t="s">
        <v>154</v>
      </c>
      <c r="R10" s="7" t="e">
        <f>VLOOKUP(D10,#REF!,6,0)</f>
        <v>#REF!</v>
      </c>
      <c r="S10" s="47" t="s">
        <v>109</v>
      </c>
      <c r="T10" s="92" t="s">
        <v>121</v>
      </c>
      <c r="U10" s="47" t="b">
        <f t="shared" si="0"/>
        <v>0</v>
      </c>
      <c r="V10" s="47" t="s">
        <v>1816</v>
      </c>
    </row>
    <row r="11" spans="1:22" ht="15" thickBot="1" x14ac:dyDescent="0.35">
      <c r="A11" s="7">
        <v>10</v>
      </c>
      <c r="B11" s="29" t="s">
        <v>26</v>
      </c>
      <c r="C11" s="90" t="s">
        <v>773</v>
      </c>
      <c r="D11" s="91">
        <v>40126002</v>
      </c>
      <c r="E11" s="29">
        <v>199</v>
      </c>
      <c r="F11" s="7">
        <v>349</v>
      </c>
      <c r="G11" s="7">
        <v>196</v>
      </c>
      <c r="H11" s="7" t="s">
        <v>1781</v>
      </c>
      <c r="I11" s="7" t="s">
        <v>1782</v>
      </c>
      <c r="J11" s="47" t="s">
        <v>130</v>
      </c>
      <c r="K11" s="11">
        <v>0.72847222222222219</v>
      </c>
      <c r="L11" s="11">
        <v>0.77361111111111114</v>
      </c>
      <c r="M11" s="47" t="s">
        <v>109</v>
      </c>
      <c r="N11" s="32" t="s">
        <v>434</v>
      </c>
      <c r="O11" s="29" t="s">
        <v>61</v>
      </c>
      <c r="P11" s="47" t="s">
        <v>131</v>
      </c>
      <c r="Q11" s="47" t="s">
        <v>88</v>
      </c>
      <c r="R11" s="7" t="s">
        <v>63</v>
      </c>
      <c r="S11" s="47" t="s">
        <v>109</v>
      </c>
      <c r="T11" s="92" t="s">
        <v>767</v>
      </c>
      <c r="U11" s="47" t="b">
        <f t="shared" si="0"/>
        <v>0</v>
      </c>
      <c r="V11" s="47" t="s">
        <v>109</v>
      </c>
    </row>
    <row r="12" spans="1:22" ht="15" thickBot="1" x14ac:dyDescent="0.35">
      <c r="A12" s="7">
        <v>11</v>
      </c>
      <c r="B12" s="29" t="s">
        <v>23</v>
      </c>
      <c r="C12" s="90" t="s">
        <v>796</v>
      </c>
      <c r="D12" s="91">
        <v>50126183</v>
      </c>
      <c r="E12" s="29">
        <v>160</v>
      </c>
      <c r="F12" s="7">
        <v>207</v>
      </c>
      <c r="G12" s="7">
        <v>176</v>
      </c>
      <c r="H12" s="7" t="s">
        <v>1783</v>
      </c>
      <c r="I12" s="7" t="s">
        <v>109</v>
      </c>
      <c r="J12" s="47" t="s">
        <v>130</v>
      </c>
      <c r="K12" s="11">
        <v>0.7729166666666667</v>
      </c>
      <c r="L12" s="7" t="s">
        <v>109</v>
      </c>
      <c r="M12" s="47" t="s">
        <v>109</v>
      </c>
      <c r="N12" s="32" t="s">
        <v>110</v>
      </c>
      <c r="O12" s="29" t="s">
        <v>61</v>
      </c>
      <c r="P12" s="47" t="s">
        <v>131</v>
      </c>
      <c r="Q12" s="47" t="s">
        <v>91</v>
      </c>
      <c r="R12" s="7" t="s">
        <v>62</v>
      </c>
      <c r="S12" s="47" t="s">
        <v>109</v>
      </c>
      <c r="T12" s="92" t="s">
        <v>424</v>
      </c>
      <c r="U12" s="47" t="b">
        <f t="shared" si="0"/>
        <v>1</v>
      </c>
      <c r="V12" s="47" t="s">
        <v>109</v>
      </c>
    </row>
    <row r="13" spans="1:22" ht="15" thickBot="1" x14ac:dyDescent="0.35">
      <c r="A13" s="7">
        <v>12</v>
      </c>
      <c r="B13" s="29" t="s">
        <v>23</v>
      </c>
      <c r="C13" s="90" t="s">
        <v>1645</v>
      </c>
      <c r="D13" s="91">
        <v>50126369</v>
      </c>
      <c r="E13" s="29">
        <v>100</v>
      </c>
      <c r="F13" s="7">
        <v>118</v>
      </c>
      <c r="G13" s="7">
        <v>102</v>
      </c>
      <c r="H13" s="53" t="s">
        <v>214</v>
      </c>
      <c r="I13" s="7" t="s">
        <v>109</v>
      </c>
      <c r="J13" s="47" t="s">
        <v>130</v>
      </c>
      <c r="K13" s="11">
        <v>0.79305555555555551</v>
      </c>
      <c r="L13" s="7" t="s">
        <v>109</v>
      </c>
      <c r="M13" s="47" t="s">
        <v>109</v>
      </c>
      <c r="N13" s="32" t="s">
        <v>110</v>
      </c>
      <c r="O13" s="29" t="s">
        <v>61</v>
      </c>
      <c r="P13" s="47" t="s">
        <v>131</v>
      </c>
      <c r="Q13" s="47" t="s">
        <v>214</v>
      </c>
      <c r="R13" s="7" t="e">
        <f>VLOOKUP(D13,#REF!,6,0)</f>
        <v>#REF!</v>
      </c>
      <c r="S13" s="47" t="s">
        <v>109</v>
      </c>
      <c r="T13" s="92" t="s">
        <v>424</v>
      </c>
      <c r="U13" s="47" t="b">
        <f t="shared" si="0"/>
        <v>1</v>
      </c>
      <c r="V13" s="47" t="s">
        <v>109</v>
      </c>
    </row>
    <row r="14" spans="1:22" ht="15" thickBot="1" x14ac:dyDescent="0.35">
      <c r="A14" s="7">
        <v>13</v>
      </c>
      <c r="B14" s="29" t="s">
        <v>23</v>
      </c>
      <c r="C14" s="90" t="s">
        <v>532</v>
      </c>
      <c r="D14" s="91">
        <v>50126057</v>
      </c>
      <c r="E14" s="29">
        <v>160</v>
      </c>
      <c r="F14" s="7">
        <v>292</v>
      </c>
      <c r="G14" s="7">
        <v>32</v>
      </c>
      <c r="H14" s="7" t="s">
        <v>989</v>
      </c>
      <c r="I14" s="7" t="s">
        <v>109</v>
      </c>
      <c r="J14" s="47" t="s">
        <v>130</v>
      </c>
      <c r="K14" s="11">
        <v>0.70486111111111116</v>
      </c>
      <c r="L14" s="7" t="s">
        <v>109</v>
      </c>
      <c r="M14" s="47" t="s">
        <v>109</v>
      </c>
      <c r="N14" s="32" t="s">
        <v>110</v>
      </c>
      <c r="O14" s="29" t="s">
        <v>61</v>
      </c>
      <c r="P14" s="47" t="s">
        <v>131</v>
      </c>
      <c r="Q14" s="47" t="s">
        <v>89</v>
      </c>
      <c r="R14" s="7" t="s">
        <v>62</v>
      </c>
      <c r="S14" s="47" t="s">
        <v>109</v>
      </c>
      <c r="T14" s="92" t="s">
        <v>424</v>
      </c>
      <c r="U14" s="47" t="b">
        <f t="shared" si="0"/>
        <v>0</v>
      </c>
      <c r="V14" s="47" t="s">
        <v>1816</v>
      </c>
    </row>
    <row r="15" spans="1:22" ht="15" thickBot="1" x14ac:dyDescent="0.35">
      <c r="A15" s="7">
        <v>14</v>
      </c>
      <c r="B15" s="29" t="s">
        <v>23</v>
      </c>
      <c r="C15" s="90" t="s">
        <v>847</v>
      </c>
      <c r="D15" s="91">
        <v>50126171</v>
      </c>
      <c r="E15" s="29">
        <v>185</v>
      </c>
      <c r="F15" s="7">
        <v>295</v>
      </c>
      <c r="G15" s="7">
        <v>179</v>
      </c>
      <c r="H15" s="7" t="s">
        <v>979</v>
      </c>
      <c r="I15" s="7" t="s">
        <v>109</v>
      </c>
      <c r="J15" s="47" t="s">
        <v>130</v>
      </c>
      <c r="K15" s="11">
        <v>0.73124999999999996</v>
      </c>
      <c r="L15" s="7" t="s">
        <v>109</v>
      </c>
      <c r="M15" s="47" t="s">
        <v>109</v>
      </c>
      <c r="N15" s="32" t="s">
        <v>110</v>
      </c>
      <c r="O15" s="29" t="s">
        <v>61</v>
      </c>
      <c r="P15" s="47" t="s">
        <v>131</v>
      </c>
      <c r="Q15" s="47" t="s">
        <v>93</v>
      </c>
      <c r="R15" s="7" t="s">
        <v>62</v>
      </c>
      <c r="S15" s="47" t="s">
        <v>109</v>
      </c>
      <c r="T15" s="92" t="s">
        <v>424</v>
      </c>
      <c r="U15" s="47" t="b">
        <f t="shared" si="0"/>
        <v>0</v>
      </c>
      <c r="V15" s="47" t="s">
        <v>291</v>
      </c>
    </row>
    <row r="16" spans="1:22" ht="15" thickBot="1" x14ac:dyDescent="0.35">
      <c r="A16" s="7">
        <v>15</v>
      </c>
      <c r="B16" s="29" t="s">
        <v>23</v>
      </c>
      <c r="C16" s="90" t="s">
        <v>552</v>
      </c>
      <c r="D16" s="91">
        <v>50126091</v>
      </c>
      <c r="E16" s="29">
        <v>160</v>
      </c>
      <c r="F16" s="7">
        <v>189</v>
      </c>
      <c r="G16" s="7">
        <v>84</v>
      </c>
      <c r="H16" s="7" t="s">
        <v>1784</v>
      </c>
      <c r="I16" s="7" t="s">
        <v>109</v>
      </c>
      <c r="J16" s="47" t="s">
        <v>130</v>
      </c>
      <c r="K16" s="11">
        <v>0.73402777777777772</v>
      </c>
      <c r="L16" s="7" t="s">
        <v>109</v>
      </c>
      <c r="M16" s="47" t="s">
        <v>109</v>
      </c>
      <c r="N16" s="32" t="s">
        <v>110</v>
      </c>
      <c r="O16" s="29" t="s">
        <v>61</v>
      </c>
      <c r="P16" s="47" t="s">
        <v>131</v>
      </c>
      <c r="Q16" s="47" t="s">
        <v>86</v>
      </c>
      <c r="R16" s="7" t="s">
        <v>62</v>
      </c>
      <c r="S16" s="47" t="s">
        <v>109</v>
      </c>
      <c r="T16" s="92" t="s">
        <v>424</v>
      </c>
      <c r="U16" s="47" t="b">
        <f t="shared" si="0"/>
        <v>0</v>
      </c>
      <c r="V16" s="47" t="s">
        <v>291</v>
      </c>
    </row>
    <row r="17" spans="1:22" ht="15" thickBot="1" x14ac:dyDescent="0.35">
      <c r="A17" s="7">
        <v>16</v>
      </c>
      <c r="B17" s="29" t="s">
        <v>23</v>
      </c>
      <c r="C17" s="90" t="s">
        <v>550</v>
      </c>
      <c r="D17" s="91">
        <v>50126093</v>
      </c>
      <c r="E17" s="29">
        <v>160</v>
      </c>
      <c r="F17" s="7">
        <v>298</v>
      </c>
      <c r="G17" s="7">
        <v>182</v>
      </c>
      <c r="H17" s="53" t="s">
        <v>1785</v>
      </c>
      <c r="I17" s="7" t="s">
        <v>109</v>
      </c>
      <c r="J17" s="47" t="s">
        <v>130</v>
      </c>
      <c r="K17" s="11">
        <v>0.68472222222222223</v>
      </c>
      <c r="L17" s="7" t="s">
        <v>109</v>
      </c>
      <c r="M17" s="47" t="s">
        <v>109</v>
      </c>
      <c r="N17" s="32" t="s">
        <v>110</v>
      </c>
      <c r="O17" s="29" t="s">
        <v>61</v>
      </c>
      <c r="P17" s="47" t="s">
        <v>131</v>
      </c>
      <c r="Q17" s="47" t="s">
        <v>196</v>
      </c>
      <c r="R17" s="7" t="s">
        <v>62</v>
      </c>
      <c r="S17" s="47" t="s">
        <v>109</v>
      </c>
      <c r="T17" s="92" t="s">
        <v>424</v>
      </c>
      <c r="U17" s="47" t="b">
        <f t="shared" si="0"/>
        <v>1</v>
      </c>
      <c r="V17" s="47" t="s">
        <v>109</v>
      </c>
    </row>
    <row r="18" spans="1:22" ht="15" thickBot="1" x14ac:dyDescent="0.35">
      <c r="A18" s="7">
        <v>17</v>
      </c>
      <c r="B18" s="29" t="s">
        <v>23</v>
      </c>
      <c r="C18" s="90" t="s">
        <v>943</v>
      </c>
      <c r="D18" s="91">
        <v>50126234</v>
      </c>
      <c r="E18" s="29">
        <v>150</v>
      </c>
      <c r="F18" s="7">
        <v>235</v>
      </c>
      <c r="G18" s="7">
        <v>120</v>
      </c>
      <c r="H18" s="7" t="s">
        <v>979</v>
      </c>
      <c r="I18" s="7" t="s">
        <v>109</v>
      </c>
      <c r="J18" s="47" t="s">
        <v>130</v>
      </c>
      <c r="K18" s="11">
        <v>0.75972222222222219</v>
      </c>
      <c r="L18" s="7" t="s">
        <v>109</v>
      </c>
      <c r="M18" s="47" t="s">
        <v>109</v>
      </c>
      <c r="N18" s="32" t="s">
        <v>110</v>
      </c>
      <c r="O18" s="29" t="s">
        <v>61</v>
      </c>
      <c r="P18" s="47" t="s">
        <v>131</v>
      </c>
      <c r="Q18" s="47" t="s">
        <v>93</v>
      </c>
      <c r="R18" s="7" t="s">
        <v>62</v>
      </c>
      <c r="S18" s="47" t="s">
        <v>109</v>
      </c>
      <c r="T18" s="92" t="s">
        <v>424</v>
      </c>
      <c r="U18" s="47" t="b">
        <f t="shared" si="0"/>
        <v>0</v>
      </c>
      <c r="V18" s="47" t="s">
        <v>291</v>
      </c>
    </row>
    <row r="19" spans="1:22" ht="15" thickBot="1" x14ac:dyDescent="0.35">
      <c r="A19" s="7">
        <v>18</v>
      </c>
      <c r="B19" s="29" t="s">
        <v>23</v>
      </c>
      <c r="C19" s="90" t="s">
        <v>951</v>
      </c>
      <c r="D19" s="91">
        <v>50126232</v>
      </c>
      <c r="E19" s="29">
        <v>150</v>
      </c>
      <c r="F19" s="7">
        <v>200</v>
      </c>
      <c r="G19" s="7">
        <v>42</v>
      </c>
      <c r="H19" s="7" t="s">
        <v>1786</v>
      </c>
      <c r="I19" s="7" t="s">
        <v>109</v>
      </c>
      <c r="J19" s="47" t="s">
        <v>130</v>
      </c>
      <c r="K19" s="11">
        <v>0.69861111111111107</v>
      </c>
      <c r="L19" s="7" t="s">
        <v>109</v>
      </c>
      <c r="M19" s="47" t="s">
        <v>109</v>
      </c>
      <c r="N19" s="32" t="s">
        <v>110</v>
      </c>
      <c r="O19" s="29" t="s">
        <v>61</v>
      </c>
      <c r="P19" s="47" t="s">
        <v>131</v>
      </c>
      <c r="Q19" s="47" t="s">
        <v>200</v>
      </c>
      <c r="R19" s="7" t="s">
        <v>62</v>
      </c>
      <c r="S19" s="47" t="s">
        <v>109</v>
      </c>
      <c r="T19" s="92" t="s">
        <v>424</v>
      </c>
      <c r="U19" s="47" t="b">
        <f t="shared" si="0"/>
        <v>0</v>
      </c>
      <c r="V19" s="47" t="s">
        <v>291</v>
      </c>
    </row>
    <row r="20" spans="1:22" ht="15" thickBot="1" x14ac:dyDescent="0.35">
      <c r="A20" s="7">
        <v>19</v>
      </c>
      <c r="B20" s="29" t="s">
        <v>23</v>
      </c>
      <c r="C20" s="90" t="s">
        <v>823</v>
      </c>
      <c r="D20" s="91">
        <v>50126221</v>
      </c>
      <c r="E20" s="29">
        <v>160</v>
      </c>
      <c r="F20" s="7">
        <v>119</v>
      </c>
      <c r="G20" s="7">
        <v>29</v>
      </c>
      <c r="H20" s="53" t="s">
        <v>963</v>
      </c>
      <c r="I20" s="7" t="s">
        <v>109</v>
      </c>
      <c r="J20" s="47" t="s">
        <v>130</v>
      </c>
      <c r="K20" s="11">
        <v>0.71527777777777779</v>
      </c>
      <c r="L20" s="7" t="s">
        <v>109</v>
      </c>
      <c r="M20" s="47" t="s">
        <v>109</v>
      </c>
      <c r="N20" s="32" t="s">
        <v>110</v>
      </c>
      <c r="O20" s="29" t="s">
        <v>61</v>
      </c>
      <c r="P20" s="47" t="s">
        <v>131</v>
      </c>
      <c r="Q20" s="47" t="s">
        <v>88</v>
      </c>
      <c r="R20" s="7" t="s">
        <v>62</v>
      </c>
      <c r="S20" s="47" t="s">
        <v>109</v>
      </c>
      <c r="T20" s="92" t="s">
        <v>424</v>
      </c>
      <c r="U20" s="47" t="b">
        <f t="shared" si="0"/>
        <v>0</v>
      </c>
      <c r="V20" s="47" t="s">
        <v>291</v>
      </c>
    </row>
    <row r="21" spans="1:22" ht="15" thickBot="1" x14ac:dyDescent="0.35">
      <c r="A21" s="7">
        <v>20</v>
      </c>
      <c r="B21" s="29" t="s">
        <v>23</v>
      </c>
      <c r="C21" s="90" t="s">
        <v>717</v>
      </c>
      <c r="D21" s="91">
        <v>50126138</v>
      </c>
      <c r="E21" s="29">
        <v>200</v>
      </c>
      <c r="F21" s="7">
        <v>387</v>
      </c>
      <c r="G21" s="7">
        <v>165</v>
      </c>
      <c r="H21" s="53" t="s">
        <v>1549</v>
      </c>
      <c r="I21" s="7" t="s">
        <v>109</v>
      </c>
      <c r="J21" s="47" t="s">
        <v>130</v>
      </c>
      <c r="K21" s="11">
        <v>0.7944444444444444</v>
      </c>
      <c r="L21" s="7" t="s">
        <v>109</v>
      </c>
      <c r="M21" s="47" t="s">
        <v>109</v>
      </c>
      <c r="N21" s="32" t="s">
        <v>110</v>
      </c>
      <c r="O21" s="29" t="s">
        <v>61</v>
      </c>
      <c r="P21" s="47" t="s">
        <v>131</v>
      </c>
      <c r="Q21" s="47" t="s">
        <v>94</v>
      </c>
      <c r="R21" s="7" t="s">
        <v>62</v>
      </c>
      <c r="S21" s="47" t="s">
        <v>109</v>
      </c>
      <c r="T21" s="92" t="s">
        <v>424</v>
      </c>
      <c r="U21" s="47" t="b">
        <f t="shared" si="0"/>
        <v>0</v>
      </c>
      <c r="V21" s="47" t="s">
        <v>291</v>
      </c>
    </row>
    <row r="22" spans="1:22" ht="15" thickBot="1" x14ac:dyDescent="0.35">
      <c r="A22" s="7">
        <v>21</v>
      </c>
      <c r="B22" s="29" t="s">
        <v>23</v>
      </c>
      <c r="C22" s="90" t="s">
        <v>825</v>
      </c>
      <c r="D22" s="91">
        <v>50126210</v>
      </c>
      <c r="E22" s="29">
        <v>180</v>
      </c>
      <c r="F22" s="7">
        <v>326</v>
      </c>
      <c r="G22" s="7">
        <v>29</v>
      </c>
      <c r="H22" s="7" t="s">
        <v>1783</v>
      </c>
      <c r="I22" s="7" t="s">
        <v>109</v>
      </c>
      <c r="J22" s="47" t="s">
        <v>130</v>
      </c>
      <c r="K22" s="11">
        <v>0.82499999999999996</v>
      </c>
      <c r="L22" s="7" t="s">
        <v>109</v>
      </c>
      <c r="M22" s="47" t="s">
        <v>109</v>
      </c>
      <c r="N22" s="32" t="s">
        <v>110</v>
      </c>
      <c r="O22" s="29" t="s">
        <v>61</v>
      </c>
      <c r="P22" s="47" t="s">
        <v>131</v>
      </c>
      <c r="Q22" s="47" t="s">
        <v>87</v>
      </c>
      <c r="R22" s="7" t="s">
        <v>62</v>
      </c>
      <c r="S22" s="47" t="s">
        <v>109</v>
      </c>
      <c r="T22" s="92" t="s">
        <v>424</v>
      </c>
      <c r="U22" s="47" t="b">
        <f t="shared" si="0"/>
        <v>0</v>
      </c>
      <c r="V22" s="47" t="s">
        <v>1816</v>
      </c>
    </row>
    <row r="23" spans="1:22" ht="15" thickBot="1" x14ac:dyDescent="0.35">
      <c r="A23" s="7">
        <v>22</v>
      </c>
      <c r="B23" s="29" t="s">
        <v>23</v>
      </c>
      <c r="C23" s="90" t="s">
        <v>930</v>
      </c>
      <c r="D23" s="91">
        <v>50126074</v>
      </c>
      <c r="E23" s="29">
        <v>195</v>
      </c>
      <c r="F23" s="7">
        <v>331</v>
      </c>
      <c r="G23" s="7">
        <v>175</v>
      </c>
      <c r="H23" s="7" t="s">
        <v>989</v>
      </c>
      <c r="I23" s="7" t="s">
        <v>109</v>
      </c>
      <c r="J23" s="47" t="s">
        <v>130</v>
      </c>
      <c r="K23" s="11">
        <v>0.76180555555555551</v>
      </c>
      <c r="L23" s="7" t="s">
        <v>109</v>
      </c>
      <c r="M23" s="47" t="s">
        <v>109</v>
      </c>
      <c r="N23" s="32" t="s">
        <v>110</v>
      </c>
      <c r="O23" s="29" t="s">
        <v>61</v>
      </c>
      <c r="P23" s="47" t="s">
        <v>131</v>
      </c>
      <c r="Q23" s="47" t="s">
        <v>89</v>
      </c>
      <c r="R23" s="7" t="s">
        <v>62</v>
      </c>
      <c r="S23" s="47" t="s">
        <v>109</v>
      </c>
      <c r="T23" s="92" t="s">
        <v>424</v>
      </c>
      <c r="U23" s="47" t="b">
        <f t="shared" si="0"/>
        <v>0</v>
      </c>
      <c r="V23" s="47" t="s">
        <v>109</v>
      </c>
    </row>
    <row r="24" spans="1:22" ht="15" thickBot="1" x14ac:dyDescent="0.35">
      <c r="A24" s="7">
        <v>23</v>
      </c>
      <c r="B24" s="29" t="s">
        <v>23</v>
      </c>
      <c r="C24" s="90" t="s">
        <v>935</v>
      </c>
      <c r="D24" s="91">
        <v>50126266</v>
      </c>
      <c r="E24" s="29">
        <v>100</v>
      </c>
      <c r="F24" s="7">
        <v>185</v>
      </c>
      <c r="G24" s="7">
        <v>101</v>
      </c>
      <c r="H24" s="53" t="s">
        <v>82</v>
      </c>
      <c r="I24" s="7" t="s">
        <v>109</v>
      </c>
      <c r="J24" s="47" t="s">
        <v>130</v>
      </c>
      <c r="K24" s="11">
        <v>0.77500000000000002</v>
      </c>
      <c r="L24" s="7" t="s">
        <v>109</v>
      </c>
      <c r="M24" s="47" t="s">
        <v>109</v>
      </c>
      <c r="N24" s="32" t="s">
        <v>110</v>
      </c>
      <c r="O24" s="29" t="s">
        <v>61</v>
      </c>
      <c r="P24" s="47" t="s">
        <v>131</v>
      </c>
      <c r="Q24" s="47" t="s">
        <v>82</v>
      </c>
      <c r="R24" s="7" t="s">
        <v>62</v>
      </c>
      <c r="S24" s="47" t="s">
        <v>109</v>
      </c>
      <c r="T24" s="92" t="s">
        <v>424</v>
      </c>
      <c r="U24" s="47" t="b">
        <f t="shared" si="0"/>
        <v>1</v>
      </c>
      <c r="V24" s="47" t="s">
        <v>109</v>
      </c>
    </row>
    <row r="25" spans="1:22" ht="15" thickBot="1" x14ac:dyDescent="0.35">
      <c r="A25" s="7">
        <v>24</v>
      </c>
      <c r="B25" s="29" t="s">
        <v>23</v>
      </c>
      <c r="C25" s="90" t="s">
        <v>712</v>
      </c>
      <c r="D25" s="91">
        <v>50126170</v>
      </c>
      <c r="E25" s="29">
        <v>80</v>
      </c>
      <c r="F25" s="7">
        <v>160</v>
      </c>
      <c r="G25" s="7">
        <v>12</v>
      </c>
      <c r="H25" s="53" t="s">
        <v>69</v>
      </c>
      <c r="I25" s="7" t="s">
        <v>109</v>
      </c>
      <c r="J25" s="47" t="s">
        <v>130</v>
      </c>
      <c r="K25" s="11">
        <v>0.81388888888888888</v>
      </c>
      <c r="L25" s="7" t="s">
        <v>109</v>
      </c>
      <c r="M25" s="47" t="s">
        <v>109</v>
      </c>
      <c r="N25" s="29" t="s">
        <v>109</v>
      </c>
      <c r="O25" s="29" t="s">
        <v>61</v>
      </c>
      <c r="P25" s="47" t="s">
        <v>131</v>
      </c>
      <c r="Q25" s="47" t="s">
        <v>69</v>
      </c>
      <c r="R25" s="7" t="s">
        <v>62</v>
      </c>
      <c r="S25" s="47" t="s">
        <v>109</v>
      </c>
      <c r="T25" s="92" t="s">
        <v>424</v>
      </c>
      <c r="U25" s="47" t="b">
        <f t="shared" si="0"/>
        <v>0</v>
      </c>
      <c r="V25" s="47" t="s">
        <v>1816</v>
      </c>
    </row>
    <row r="26" spans="1:22" ht="15" thickBot="1" x14ac:dyDescent="0.35">
      <c r="A26" s="7">
        <v>25</v>
      </c>
      <c r="B26" s="29" t="s">
        <v>23</v>
      </c>
      <c r="C26" s="90" t="s">
        <v>1646</v>
      </c>
      <c r="D26" s="91">
        <v>50126368</v>
      </c>
      <c r="E26" s="29">
        <v>150</v>
      </c>
      <c r="F26" s="7">
        <v>315</v>
      </c>
      <c r="G26" s="7">
        <v>134</v>
      </c>
      <c r="H26" s="7" t="s">
        <v>1549</v>
      </c>
      <c r="I26" s="7" t="s">
        <v>109</v>
      </c>
      <c r="J26" s="47" t="s">
        <v>130</v>
      </c>
      <c r="K26" s="11">
        <v>0.96597222222222223</v>
      </c>
      <c r="L26" s="11">
        <v>0.96597222222222223</v>
      </c>
      <c r="M26" s="47" t="s">
        <v>109</v>
      </c>
      <c r="N26" s="29" t="s">
        <v>109</v>
      </c>
      <c r="O26" s="29" t="s">
        <v>61</v>
      </c>
      <c r="P26" s="47" t="s">
        <v>131</v>
      </c>
      <c r="Q26" s="47" t="s">
        <v>94</v>
      </c>
      <c r="R26" s="7" t="e">
        <f>VLOOKUP(D26,#REF!,6,0)</f>
        <v>#REF!</v>
      </c>
      <c r="S26" s="47" t="s">
        <v>109</v>
      </c>
      <c r="T26" s="92" t="s">
        <v>424</v>
      </c>
      <c r="U26" s="47" t="b">
        <f t="shared" si="0"/>
        <v>0</v>
      </c>
      <c r="V26" s="47" t="s">
        <v>1816</v>
      </c>
    </row>
    <row r="27" spans="1:22" ht="15" thickBot="1" x14ac:dyDescent="0.35">
      <c r="A27" s="7">
        <v>26</v>
      </c>
      <c r="B27" s="29" t="s">
        <v>23</v>
      </c>
      <c r="C27" s="90" t="s">
        <v>1651</v>
      </c>
      <c r="D27" s="91">
        <v>50126375</v>
      </c>
      <c r="E27" s="29">
        <v>50</v>
      </c>
      <c r="F27" s="7">
        <v>105</v>
      </c>
      <c r="G27" s="7">
        <v>49</v>
      </c>
      <c r="H27" s="53" t="s">
        <v>70</v>
      </c>
      <c r="I27" s="7" t="s">
        <v>109</v>
      </c>
      <c r="J27" s="47" t="s">
        <v>130</v>
      </c>
      <c r="K27" s="11">
        <v>0.9506944444444444</v>
      </c>
      <c r="L27" s="7" t="s">
        <v>109</v>
      </c>
      <c r="M27" s="47" t="s">
        <v>109</v>
      </c>
      <c r="N27" s="29" t="s">
        <v>109</v>
      </c>
      <c r="O27" s="29" t="s">
        <v>61</v>
      </c>
      <c r="P27" s="47" t="s">
        <v>131</v>
      </c>
      <c r="Q27" s="47" t="s">
        <v>70</v>
      </c>
      <c r="R27" s="7" t="e">
        <f>VLOOKUP(D27,#REF!,6,0)</f>
        <v>#REF!</v>
      </c>
      <c r="S27" s="47" t="s">
        <v>109</v>
      </c>
      <c r="T27" s="92" t="s">
        <v>424</v>
      </c>
      <c r="U27" s="47" t="b">
        <f t="shared" si="0"/>
        <v>0</v>
      </c>
      <c r="V27" s="47" t="s">
        <v>109</v>
      </c>
    </row>
    <row r="28" spans="1:22" ht="15" thickBot="1" x14ac:dyDescent="0.35">
      <c r="A28" s="7">
        <v>27</v>
      </c>
      <c r="B28" s="29" t="s">
        <v>23</v>
      </c>
      <c r="C28" s="90" t="s">
        <v>1654</v>
      </c>
      <c r="D28" s="91">
        <v>50126378</v>
      </c>
      <c r="E28" s="29">
        <v>40</v>
      </c>
      <c r="F28" s="7">
        <v>60</v>
      </c>
      <c r="G28" s="7">
        <v>38</v>
      </c>
      <c r="H28" s="53" t="s">
        <v>72</v>
      </c>
      <c r="I28" s="7" t="s">
        <v>109</v>
      </c>
      <c r="J28" s="47" t="s">
        <v>130</v>
      </c>
      <c r="K28" s="11">
        <v>2.7777777777777779E-3</v>
      </c>
      <c r="L28" s="7" t="s">
        <v>109</v>
      </c>
      <c r="M28" s="47" t="s">
        <v>109</v>
      </c>
      <c r="N28" s="29" t="s">
        <v>109</v>
      </c>
      <c r="O28" s="29" t="s">
        <v>61</v>
      </c>
      <c r="P28" s="47" t="s">
        <v>131</v>
      </c>
      <c r="Q28" s="47" t="s">
        <v>72</v>
      </c>
      <c r="R28" s="7" t="e">
        <f>VLOOKUP(D28,#REF!,6,0)</f>
        <v>#REF!</v>
      </c>
      <c r="S28" s="47" t="s">
        <v>109</v>
      </c>
      <c r="T28" s="92" t="s">
        <v>424</v>
      </c>
      <c r="U28" s="47" t="b">
        <f t="shared" si="0"/>
        <v>0</v>
      </c>
      <c r="V28" s="47" t="s">
        <v>109</v>
      </c>
    </row>
    <row r="29" spans="1:22" ht="15" thickBot="1" x14ac:dyDescent="0.35">
      <c r="A29" s="7">
        <v>28</v>
      </c>
      <c r="B29" s="29" t="s">
        <v>23</v>
      </c>
      <c r="C29" s="90" t="s">
        <v>1655</v>
      </c>
      <c r="D29" s="91">
        <v>50126387</v>
      </c>
      <c r="E29" s="29">
        <v>50</v>
      </c>
      <c r="F29" s="7">
        <v>100</v>
      </c>
      <c r="G29" s="7">
        <v>50</v>
      </c>
      <c r="H29" s="53" t="s">
        <v>241</v>
      </c>
      <c r="I29" s="7" t="s">
        <v>109</v>
      </c>
      <c r="J29" s="47" t="s">
        <v>130</v>
      </c>
      <c r="K29" s="11">
        <v>0.74444444444444446</v>
      </c>
      <c r="L29" s="7" t="s">
        <v>109</v>
      </c>
      <c r="M29" s="47" t="s">
        <v>109</v>
      </c>
      <c r="N29" s="29" t="s">
        <v>109</v>
      </c>
      <c r="O29" s="29" t="s">
        <v>61</v>
      </c>
      <c r="P29" s="47" t="s">
        <v>131</v>
      </c>
      <c r="Q29" s="47" t="s">
        <v>241</v>
      </c>
      <c r="R29" s="7" t="e">
        <f>VLOOKUP(D29,#REF!,6,0)</f>
        <v>#REF!</v>
      </c>
      <c r="S29" s="47" t="s">
        <v>109</v>
      </c>
      <c r="T29" s="92" t="s">
        <v>424</v>
      </c>
      <c r="U29" s="47" t="b">
        <f t="shared" si="0"/>
        <v>1</v>
      </c>
      <c r="V29" s="47" t="s">
        <v>109</v>
      </c>
    </row>
    <row r="30" spans="1:22" ht="15" thickBot="1" x14ac:dyDescent="0.35">
      <c r="A30" s="7">
        <v>29</v>
      </c>
      <c r="B30" s="29" t="s">
        <v>23</v>
      </c>
      <c r="C30" s="90" t="s">
        <v>1656</v>
      </c>
      <c r="D30" s="91">
        <v>50126379</v>
      </c>
      <c r="E30" s="29">
        <v>40</v>
      </c>
      <c r="F30" s="7">
        <v>86</v>
      </c>
      <c r="G30" s="7">
        <v>40</v>
      </c>
      <c r="H30" s="53" t="s">
        <v>71</v>
      </c>
      <c r="I30" s="7" t="s">
        <v>109</v>
      </c>
      <c r="J30" s="47" t="s">
        <v>130</v>
      </c>
      <c r="K30" s="11">
        <v>0.92083333333333328</v>
      </c>
      <c r="L30" s="7" t="s">
        <v>109</v>
      </c>
      <c r="M30" s="47" t="s">
        <v>109</v>
      </c>
      <c r="N30" s="29" t="s">
        <v>109</v>
      </c>
      <c r="O30" s="29" t="s">
        <v>61</v>
      </c>
      <c r="P30" s="47" t="s">
        <v>131</v>
      </c>
      <c r="Q30" s="47" t="s">
        <v>71</v>
      </c>
      <c r="R30" s="7" t="e">
        <f>VLOOKUP(D30,#REF!,6,0)</f>
        <v>#REF!</v>
      </c>
      <c r="S30" s="47" t="s">
        <v>109</v>
      </c>
      <c r="T30" s="92" t="s">
        <v>424</v>
      </c>
      <c r="U30" s="47" t="b">
        <f t="shared" si="0"/>
        <v>1</v>
      </c>
      <c r="V30" s="47" t="s">
        <v>109</v>
      </c>
    </row>
    <row r="31" spans="1:22" ht="15" thickBot="1" x14ac:dyDescent="0.35">
      <c r="A31" s="7">
        <v>30</v>
      </c>
      <c r="B31" s="29" t="s">
        <v>23</v>
      </c>
      <c r="C31" s="90" t="s">
        <v>1663</v>
      </c>
      <c r="D31" s="91">
        <v>50126389</v>
      </c>
      <c r="E31" s="29">
        <v>40</v>
      </c>
      <c r="F31" s="7">
        <v>59</v>
      </c>
      <c r="G31" s="7">
        <v>42</v>
      </c>
      <c r="H31" s="53" t="s">
        <v>65</v>
      </c>
      <c r="I31" s="7" t="s">
        <v>109</v>
      </c>
      <c r="J31" s="47" t="s">
        <v>130</v>
      </c>
      <c r="K31" s="11">
        <v>0.77569444444444446</v>
      </c>
      <c r="L31" s="7" t="s">
        <v>109</v>
      </c>
      <c r="M31" s="47" t="s">
        <v>109</v>
      </c>
      <c r="N31" s="29" t="s">
        <v>109</v>
      </c>
      <c r="O31" s="29" t="s">
        <v>61</v>
      </c>
      <c r="P31" s="47" t="s">
        <v>131</v>
      </c>
      <c r="Q31" s="47" t="s">
        <v>65</v>
      </c>
      <c r="R31" s="7" t="e">
        <f>VLOOKUP(D31,#REF!,6,0)</f>
        <v>#REF!</v>
      </c>
      <c r="S31" s="47" t="s">
        <v>109</v>
      </c>
      <c r="T31" s="92" t="s">
        <v>424</v>
      </c>
      <c r="U31" s="47" t="b">
        <f t="shared" si="0"/>
        <v>1</v>
      </c>
      <c r="V31" s="47" t="s">
        <v>109</v>
      </c>
    </row>
    <row r="32" spans="1:22" ht="15" thickBot="1" x14ac:dyDescent="0.35">
      <c r="A32" s="7">
        <v>31</v>
      </c>
      <c r="B32" s="29" t="s">
        <v>23</v>
      </c>
      <c r="C32" s="90" t="s">
        <v>425</v>
      </c>
      <c r="D32" s="91">
        <v>50126025</v>
      </c>
      <c r="E32" s="29">
        <v>110</v>
      </c>
      <c r="F32" s="7">
        <v>156</v>
      </c>
      <c r="G32" s="7">
        <v>55</v>
      </c>
      <c r="H32" s="53" t="s">
        <v>184</v>
      </c>
      <c r="I32" s="7" t="s">
        <v>109</v>
      </c>
      <c r="J32" s="47" t="s">
        <v>130</v>
      </c>
      <c r="K32" s="11">
        <v>0.84444444444444444</v>
      </c>
      <c r="L32" s="7" t="s">
        <v>109</v>
      </c>
      <c r="M32" s="47" t="s">
        <v>109</v>
      </c>
      <c r="N32" s="29" t="s">
        <v>109</v>
      </c>
      <c r="O32" s="29" t="s">
        <v>61</v>
      </c>
      <c r="P32" s="47" t="s">
        <v>131</v>
      </c>
      <c r="Q32" s="47" t="s">
        <v>184</v>
      </c>
      <c r="R32" s="7" t="s">
        <v>62</v>
      </c>
      <c r="S32" s="47" t="s">
        <v>109</v>
      </c>
      <c r="T32" s="92" t="s">
        <v>424</v>
      </c>
      <c r="U32" s="47" t="b">
        <f t="shared" si="0"/>
        <v>0</v>
      </c>
      <c r="V32" s="47" t="s">
        <v>291</v>
      </c>
    </row>
    <row r="33" spans="1:22" ht="15" thickBot="1" x14ac:dyDescent="0.35">
      <c r="A33" s="7">
        <v>32</v>
      </c>
      <c r="B33" s="29" t="s">
        <v>23</v>
      </c>
      <c r="C33" s="90" t="s">
        <v>546</v>
      </c>
      <c r="D33" s="91">
        <v>50126085</v>
      </c>
      <c r="E33" s="29">
        <v>100</v>
      </c>
      <c r="F33" s="7">
        <v>100</v>
      </c>
      <c r="G33" s="7">
        <v>54</v>
      </c>
      <c r="H33" s="53" t="s">
        <v>200</v>
      </c>
      <c r="I33" s="7" t="s">
        <v>109</v>
      </c>
      <c r="J33" s="47" t="s">
        <v>130</v>
      </c>
      <c r="K33" s="11">
        <v>0.7631944444444444</v>
      </c>
      <c r="L33" s="7" t="s">
        <v>109</v>
      </c>
      <c r="M33" s="47" t="s">
        <v>109</v>
      </c>
      <c r="N33" s="29" t="s">
        <v>109</v>
      </c>
      <c r="O33" s="29" t="s">
        <v>61</v>
      </c>
      <c r="P33" s="47" t="s">
        <v>131</v>
      </c>
      <c r="Q33" s="47" t="s">
        <v>200</v>
      </c>
      <c r="R33" s="7" t="s">
        <v>62</v>
      </c>
      <c r="S33" s="47" t="s">
        <v>109</v>
      </c>
      <c r="T33" s="92" t="s">
        <v>424</v>
      </c>
      <c r="U33" s="47" t="b">
        <f t="shared" si="0"/>
        <v>0</v>
      </c>
      <c r="V33" s="47" t="s">
        <v>291</v>
      </c>
    </row>
    <row r="34" spans="1:22" ht="15" thickBot="1" x14ac:dyDescent="0.35">
      <c r="A34" s="7">
        <v>33</v>
      </c>
      <c r="B34" s="29" t="s">
        <v>23</v>
      </c>
      <c r="C34" s="90" t="s">
        <v>542</v>
      </c>
      <c r="D34" s="91">
        <v>50126089</v>
      </c>
      <c r="E34" s="29">
        <v>80</v>
      </c>
      <c r="F34" s="7">
        <v>163</v>
      </c>
      <c r="G34" s="7">
        <v>71</v>
      </c>
      <c r="H34" s="53" t="s">
        <v>68</v>
      </c>
      <c r="I34" s="7" t="s">
        <v>109</v>
      </c>
      <c r="J34" s="47" t="s">
        <v>130</v>
      </c>
      <c r="K34" s="11">
        <v>0.70208333333333328</v>
      </c>
      <c r="L34" s="7" t="s">
        <v>109</v>
      </c>
      <c r="M34" s="47" t="s">
        <v>109</v>
      </c>
      <c r="N34" s="29" t="s">
        <v>109</v>
      </c>
      <c r="O34" s="29" t="s">
        <v>61</v>
      </c>
      <c r="P34" s="47" t="s">
        <v>131</v>
      </c>
      <c r="Q34" s="47" t="s">
        <v>68</v>
      </c>
      <c r="R34" s="7" t="s">
        <v>62</v>
      </c>
      <c r="S34" s="47" t="s">
        <v>109</v>
      </c>
      <c r="T34" s="92" t="s">
        <v>424</v>
      </c>
      <c r="U34" s="47" t="b">
        <f t="shared" si="0"/>
        <v>0</v>
      </c>
      <c r="V34" s="47" t="s">
        <v>291</v>
      </c>
    </row>
    <row r="35" spans="1:22" ht="15" thickBot="1" x14ac:dyDescent="0.35">
      <c r="A35" s="7">
        <v>34</v>
      </c>
      <c r="B35" s="29" t="s">
        <v>23</v>
      </c>
      <c r="C35" s="90" t="s">
        <v>722</v>
      </c>
      <c r="D35" s="91">
        <v>50126077</v>
      </c>
      <c r="E35" s="29">
        <v>130</v>
      </c>
      <c r="F35" s="7">
        <v>207</v>
      </c>
      <c r="G35" s="7">
        <v>55</v>
      </c>
      <c r="H35" s="53" t="s">
        <v>86</v>
      </c>
      <c r="I35" s="7" t="s">
        <v>109</v>
      </c>
      <c r="J35" s="47" t="s">
        <v>130</v>
      </c>
      <c r="K35" s="11">
        <v>0.80486111111111114</v>
      </c>
      <c r="L35" s="7" t="s">
        <v>109</v>
      </c>
      <c r="M35" s="47" t="s">
        <v>109</v>
      </c>
      <c r="N35" s="29" t="s">
        <v>109</v>
      </c>
      <c r="O35" s="29" t="s">
        <v>61</v>
      </c>
      <c r="P35" s="47" t="s">
        <v>131</v>
      </c>
      <c r="Q35" s="47" t="s">
        <v>86</v>
      </c>
      <c r="R35" s="7" t="s">
        <v>62</v>
      </c>
      <c r="S35" s="47" t="s">
        <v>109</v>
      </c>
      <c r="T35" s="92" t="s">
        <v>424</v>
      </c>
      <c r="U35" s="47" t="b">
        <f t="shared" si="0"/>
        <v>0</v>
      </c>
      <c r="V35" s="47" t="s">
        <v>1816</v>
      </c>
    </row>
    <row r="36" spans="1:22" ht="15" thickBot="1" x14ac:dyDescent="0.35">
      <c r="A36" s="7">
        <v>35</v>
      </c>
      <c r="B36" s="29" t="s">
        <v>23</v>
      </c>
      <c r="C36" s="90" t="s">
        <v>715</v>
      </c>
      <c r="D36" s="91">
        <v>50126139</v>
      </c>
      <c r="E36" s="29">
        <v>50</v>
      </c>
      <c r="F36" s="7">
        <v>101</v>
      </c>
      <c r="G36" s="7">
        <v>55</v>
      </c>
      <c r="H36" s="53" t="s">
        <v>196</v>
      </c>
      <c r="I36" s="7" t="s">
        <v>109</v>
      </c>
      <c r="J36" s="47" t="s">
        <v>130</v>
      </c>
      <c r="K36" s="11">
        <v>0.98611111111111116</v>
      </c>
      <c r="L36" s="7" t="s">
        <v>109</v>
      </c>
      <c r="M36" s="47" t="s">
        <v>109</v>
      </c>
      <c r="N36" s="29" t="s">
        <v>109</v>
      </c>
      <c r="O36" s="29" t="s">
        <v>61</v>
      </c>
      <c r="P36" s="47" t="s">
        <v>131</v>
      </c>
      <c r="Q36" s="47" t="s">
        <v>196</v>
      </c>
      <c r="R36" s="7" t="s">
        <v>62</v>
      </c>
      <c r="S36" s="47" t="s">
        <v>109</v>
      </c>
      <c r="T36" s="92" t="s">
        <v>424</v>
      </c>
      <c r="U36" s="47" t="b">
        <f t="shared" si="0"/>
        <v>1</v>
      </c>
      <c r="V36" s="47" t="s">
        <v>109</v>
      </c>
    </row>
    <row r="37" spans="1:22" ht="15" thickBot="1" x14ac:dyDescent="0.35">
      <c r="A37" s="7">
        <v>36</v>
      </c>
      <c r="B37" s="29" t="s">
        <v>23</v>
      </c>
      <c r="C37" s="90" t="s">
        <v>716</v>
      </c>
      <c r="D37" s="91">
        <v>50126140</v>
      </c>
      <c r="E37" s="29">
        <v>100</v>
      </c>
      <c r="F37" s="7">
        <v>197</v>
      </c>
      <c r="G37" s="7">
        <v>116</v>
      </c>
      <c r="H37" s="53" t="s">
        <v>274</v>
      </c>
      <c r="I37" s="7" t="s">
        <v>109</v>
      </c>
      <c r="J37" s="47" t="s">
        <v>130</v>
      </c>
      <c r="K37" s="11">
        <v>0.98819444444444449</v>
      </c>
      <c r="L37" s="7" t="s">
        <v>109</v>
      </c>
      <c r="M37" s="47" t="s">
        <v>109</v>
      </c>
      <c r="N37" s="29" t="s">
        <v>109</v>
      </c>
      <c r="O37" s="29" t="s">
        <v>61</v>
      </c>
      <c r="P37" s="47" t="s">
        <v>131</v>
      </c>
      <c r="Q37" s="47" t="s">
        <v>274</v>
      </c>
      <c r="R37" s="7" t="s">
        <v>62</v>
      </c>
      <c r="S37" s="47" t="s">
        <v>109</v>
      </c>
      <c r="T37" s="92" t="s">
        <v>424</v>
      </c>
      <c r="U37" s="47" t="b">
        <f t="shared" si="0"/>
        <v>1</v>
      </c>
      <c r="V37" s="47" t="s">
        <v>109</v>
      </c>
    </row>
    <row r="38" spans="1:22" ht="15" thickBot="1" x14ac:dyDescent="0.35">
      <c r="A38" s="7">
        <v>37</v>
      </c>
      <c r="B38" s="29" t="s">
        <v>23</v>
      </c>
      <c r="C38" s="90" t="s">
        <v>423</v>
      </c>
      <c r="D38" s="91">
        <v>50126026</v>
      </c>
      <c r="E38" s="29">
        <v>50</v>
      </c>
      <c r="F38" s="7" t="s">
        <v>109</v>
      </c>
      <c r="G38" s="7" t="s">
        <v>109</v>
      </c>
      <c r="H38" s="53" t="s">
        <v>66</v>
      </c>
      <c r="I38" s="7" t="s">
        <v>109</v>
      </c>
      <c r="J38" s="47" t="s">
        <v>85</v>
      </c>
      <c r="K38" s="7" t="s">
        <v>109</v>
      </c>
      <c r="L38" s="7" t="s">
        <v>109</v>
      </c>
      <c r="M38" s="47" t="s">
        <v>109</v>
      </c>
      <c r="N38" s="29" t="s">
        <v>109</v>
      </c>
      <c r="O38" s="29" t="s">
        <v>61</v>
      </c>
      <c r="P38" s="47" t="s">
        <v>109</v>
      </c>
      <c r="Q38" s="47" t="s">
        <v>109</v>
      </c>
      <c r="R38" s="7" t="s">
        <v>62</v>
      </c>
      <c r="S38" s="47" t="s">
        <v>109</v>
      </c>
      <c r="T38" s="92" t="s">
        <v>424</v>
      </c>
      <c r="U38" s="47" t="b">
        <f t="shared" si="0"/>
        <v>1</v>
      </c>
      <c r="V38" s="47" t="s">
        <v>109</v>
      </c>
    </row>
    <row r="39" spans="1:22" ht="15" thickBot="1" x14ac:dyDescent="0.35">
      <c r="A39" s="7">
        <v>38</v>
      </c>
      <c r="B39" s="29" t="s">
        <v>23</v>
      </c>
      <c r="C39" s="90" t="s">
        <v>928</v>
      </c>
      <c r="D39" s="91">
        <v>50126264</v>
      </c>
      <c r="E39" s="29">
        <v>200</v>
      </c>
      <c r="F39" s="7">
        <v>309</v>
      </c>
      <c r="G39" s="7">
        <v>105</v>
      </c>
      <c r="H39" s="53" t="s">
        <v>963</v>
      </c>
      <c r="I39" s="7" t="s">
        <v>109</v>
      </c>
      <c r="J39" s="47" t="s">
        <v>130</v>
      </c>
      <c r="K39" s="11">
        <v>0.7895833333333333</v>
      </c>
      <c r="L39" s="7" t="s">
        <v>109</v>
      </c>
      <c r="M39" s="47" t="s">
        <v>109</v>
      </c>
      <c r="N39" s="29" t="s">
        <v>109</v>
      </c>
      <c r="O39" s="29" t="s">
        <v>61</v>
      </c>
      <c r="P39" s="47" t="s">
        <v>131</v>
      </c>
      <c r="Q39" s="47" t="s">
        <v>209</v>
      </c>
      <c r="R39" s="7" t="s">
        <v>62</v>
      </c>
      <c r="S39" s="47" t="s">
        <v>109</v>
      </c>
      <c r="T39" s="92" t="s">
        <v>424</v>
      </c>
      <c r="U39" s="47" t="b">
        <f t="shared" si="0"/>
        <v>0</v>
      </c>
      <c r="V39" s="47" t="s">
        <v>291</v>
      </c>
    </row>
    <row r="40" spans="1:22" ht="15" thickBot="1" x14ac:dyDescent="0.35">
      <c r="A40" s="7">
        <v>39</v>
      </c>
      <c r="B40" s="29" t="s">
        <v>23</v>
      </c>
      <c r="C40" s="90" t="s">
        <v>432</v>
      </c>
      <c r="D40" s="91">
        <v>50126040</v>
      </c>
      <c r="E40" s="29">
        <v>50</v>
      </c>
      <c r="F40" s="7">
        <v>90</v>
      </c>
      <c r="G40" s="7">
        <v>43</v>
      </c>
      <c r="H40" s="53" t="s">
        <v>64</v>
      </c>
      <c r="I40" s="7" t="s">
        <v>109</v>
      </c>
      <c r="J40" s="47" t="s">
        <v>130</v>
      </c>
      <c r="K40" s="11">
        <v>0.6958333333333333</v>
      </c>
      <c r="L40" s="7" t="s">
        <v>109</v>
      </c>
      <c r="M40" s="47" t="s">
        <v>109</v>
      </c>
      <c r="N40" s="29" t="s">
        <v>109</v>
      </c>
      <c r="O40" s="29" t="s">
        <v>61</v>
      </c>
      <c r="P40" s="47" t="s">
        <v>131</v>
      </c>
      <c r="Q40" s="47" t="s">
        <v>64</v>
      </c>
      <c r="R40" s="7" t="s">
        <v>62</v>
      </c>
      <c r="S40" s="47" t="s">
        <v>109</v>
      </c>
      <c r="T40" s="92" t="s">
        <v>424</v>
      </c>
      <c r="U40" s="47" t="b">
        <f t="shared" si="0"/>
        <v>0</v>
      </c>
      <c r="V40" s="47" t="s">
        <v>291</v>
      </c>
    </row>
    <row r="41" spans="1:22" ht="15" thickBot="1" x14ac:dyDescent="0.35">
      <c r="A41" s="7">
        <v>40</v>
      </c>
      <c r="B41" s="29" t="s">
        <v>23</v>
      </c>
      <c r="C41" s="90" t="s">
        <v>1643</v>
      </c>
      <c r="D41" s="91">
        <v>50126371</v>
      </c>
      <c r="E41" s="29">
        <v>50</v>
      </c>
      <c r="F41" s="7">
        <v>55</v>
      </c>
      <c r="G41" s="7">
        <v>52</v>
      </c>
      <c r="H41" s="53" t="s">
        <v>67</v>
      </c>
      <c r="I41" s="7" t="s">
        <v>109</v>
      </c>
      <c r="J41" s="47" t="s">
        <v>130</v>
      </c>
      <c r="K41" s="11">
        <v>0.74444444444444446</v>
      </c>
      <c r="L41" s="7" t="s">
        <v>109</v>
      </c>
      <c r="M41" s="47" t="s">
        <v>109</v>
      </c>
      <c r="N41" s="29" t="s">
        <v>109</v>
      </c>
      <c r="O41" s="29" t="s">
        <v>61</v>
      </c>
      <c r="P41" s="47" t="s">
        <v>131</v>
      </c>
      <c r="Q41" s="47" t="s">
        <v>67</v>
      </c>
      <c r="R41" s="7" t="e">
        <f>VLOOKUP(D41,#REF!,6,0)</f>
        <v>#REF!</v>
      </c>
      <c r="S41" s="47" t="s">
        <v>109</v>
      </c>
      <c r="T41" s="92" t="s">
        <v>424</v>
      </c>
      <c r="U41" s="47" t="b">
        <f t="shared" si="0"/>
        <v>1</v>
      </c>
      <c r="V41" s="47" t="s">
        <v>109</v>
      </c>
    </row>
    <row r="42" spans="1:22" ht="15" thickBot="1" x14ac:dyDescent="0.35">
      <c r="A42" s="7">
        <v>41</v>
      </c>
      <c r="B42" s="29" t="s">
        <v>23</v>
      </c>
      <c r="C42" s="90" t="s">
        <v>1647</v>
      </c>
      <c r="D42" s="91">
        <v>50126373</v>
      </c>
      <c r="E42" s="29">
        <v>50</v>
      </c>
      <c r="F42" s="7">
        <v>100</v>
      </c>
      <c r="G42" s="7">
        <v>48</v>
      </c>
      <c r="H42" s="53" t="s">
        <v>84</v>
      </c>
      <c r="I42" s="7" t="s">
        <v>109</v>
      </c>
      <c r="J42" s="47" t="s">
        <v>130</v>
      </c>
      <c r="K42" s="11">
        <v>0.91874999999999996</v>
      </c>
      <c r="L42" s="7" t="s">
        <v>109</v>
      </c>
      <c r="M42" s="47" t="s">
        <v>109</v>
      </c>
      <c r="N42" s="29" t="s">
        <v>109</v>
      </c>
      <c r="O42" s="29" t="s">
        <v>61</v>
      </c>
      <c r="P42" s="47" t="s">
        <v>131</v>
      </c>
      <c r="Q42" s="47" t="s">
        <v>84</v>
      </c>
      <c r="R42" s="7" t="e">
        <f>VLOOKUP(D42,#REF!,6,0)</f>
        <v>#REF!</v>
      </c>
      <c r="S42" s="47" t="s">
        <v>109</v>
      </c>
      <c r="T42" s="92" t="s">
        <v>424</v>
      </c>
      <c r="U42" s="47" t="b">
        <f t="shared" si="0"/>
        <v>0</v>
      </c>
      <c r="V42" s="47" t="s">
        <v>109</v>
      </c>
    </row>
    <row r="43" spans="1:22" ht="15" thickBot="1" x14ac:dyDescent="0.35">
      <c r="A43" s="7">
        <v>42</v>
      </c>
      <c r="B43" s="29" t="s">
        <v>23</v>
      </c>
      <c r="C43" s="90" t="s">
        <v>427</v>
      </c>
      <c r="D43" s="91">
        <v>50126022</v>
      </c>
      <c r="E43" s="29">
        <v>50</v>
      </c>
      <c r="F43" s="7">
        <v>69</v>
      </c>
      <c r="G43" s="7">
        <v>51</v>
      </c>
      <c r="H43" s="53" t="s">
        <v>222</v>
      </c>
      <c r="I43" s="7" t="s">
        <v>109</v>
      </c>
      <c r="J43" s="47" t="s">
        <v>130</v>
      </c>
      <c r="K43" s="11">
        <v>0.70486111111111116</v>
      </c>
      <c r="L43" s="7" t="s">
        <v>109</v>
      </c>
      <c r="M43" s="47" t="s">
        <v>109</v>
      </c>
      <c r="N43" s="29" t="s">
        <v>109</v>
      </c>
      <c r="O43" s="29" t="s">
        <v>61</v>
      </c>
      <c r="P43" s="47" t="s">
        <v>131</v>
      </c>
      <c r="Q43" s="47" t="s">
        <v>222</v>
      </c>
      <c r="R43" s="7" t="s">
        <v>62</v>
      </c>
      <c r="S43" s="47" t="s">
        <v>109</v>
      </c>
      <c r="T43" s="92" t="s">
        <v>424</v>
      </c>
      <c r="U43" s="47" t="b">
        <f t="shared" si="0"/>
        <v>1</v>
      </c>
      <c r="V43" s="47" t="s">
        <v>109</v>
      </c>
    </row>
    <row r="44" spans="1:22" ht="15" thickBot="1" x14ac:dyDescent="0.35">
      <c r="A44" s="7">
        <v>43</v>
      </c>
      <c r="B44" s="29" t="s">
        <v>23</v>
      </c>
      <c r="C44" s="90" t="s">
        <v>1062</v>
      </c>
      <c r="D44" s="91">
        <v>50126304</v>
      </c>
      <c r="E44" s="29">
        <v>80</v>
      </c>
      <c r="F44" s="7">
        <v>160</v>
      </c>
      <c r="G44" s="7">
        <v>58</v>
      </c>
      <c r="H44" s="53" t="s">
        <v>70</v>
      </c>
      <c r="I44" s="7" t="s">
        <v>109</v>
      </c>
      <c r="J44" s="47" t="s">
        <v>130</v>
      </c>
      <c r="K44" s="11">
        <v>9.7222222222222224E-3</v>
      </c>
      <c r="L44" s="7" t="s">
        <v>109</v>
      </c>
      <c r="M44" s="47" t="s">
        <v>109</v>
      </c>
      <c r="N44" s="29" t="s">
        <v>109</v>
      </c>
      <c r="O44" s="29" t="s">
        <v>61</v>
      </c>
      <c r="P44" s="47" t="s">
        <v>131</v>
      </c>
      <c r="Q44" s="47" t="s">
        <v>70</v>
      </c>
      <c r="R44" s="7" t="s">
        <v>62</v>
      </c>
      <c r="S44" s="47" t="s">
        <v>109</v>
      </c>
      <c r="T44" s="92" t="s">
        <v>1063</v>
      </c>
      <c r="U44" s="47" t="b">
        <f t="shared" si="0"/>
        <v>0</v>
      </c>
      <c r="V44" s="47" t="s">
        <v>109</v>
      </c>
    </row>
    <row r="45" spans="1:22" ht="15" thickBot="1" x14ac:dyDescent="0.35">
      <c r="A45" s="7">
        <v>44</v>
      </c>
      <c r="B45" s="29" t="s">
        <v>23</v>
      </c>
      <c r="C45" s="90" t="s">
        <v>1064</v>
      </c>
      <c r="D45" s="91">
        <v>50126306</v>
      </c>
      <c r="E45" s="29">
        <v>60</v>
      </c>
      <c r="F45" s="7">
        <v>105</v>
      </c>
      <c r="G45" s="7">
        <v>59</v>
      </c>
      <c r="H45" s="53" t="s">
        <v>72</v>
      </c>
      <c r="I45" s="7" t="s">
        <v>109</v>
      </c>
      <c r="J45" s="47" t="s">
        <v>130</v>
      </c>
      <c r="K45" s="11">
        <v>0.78402777777777777</v>
      </c>
      <c r="L45" s="7" t="s">
        <v>109</v>
      </c>
      <c r="M45" s="47" t="s">
        <v>109</v>
      </c>
      <c r="N45" s="29" t="s">
        <v>109</v>
      </c>
      <c r="O45" s="29" t="s">
        <v>61</v>
      </c>
      <c r="P45" s="47" t="s">
        <v>131</v>
      </c>
      <c r="Q45" s="47" t="s">
        <v>72</v>
      </c>
      <c r="R45" s="7" t="s">
        <v>62</v>
      </c>
      <c r="S45" s="47" t="s">
        <v>109</v>
      </c>
      <c r="T45" s="92" t="s">
        <v>1063</v>
      </c>
      <c r="U45" s="47" t="b">
        <f t="shared" si="0"/>
        <v>0</v>
      </c>
      <c r="V45" s="47" t="s">
        <v>109</v>
      </c>
    </row>
    <row r="46" spans="1:22" ht="15" thickBot="1" x14ac:dyDescent="0.35">
      <c r="A46" s="7">
        <v>45</v>
      </c>
      <c r="B46" s="29" t="s">
        <v>23</v>
      </c>
      <c r="C46" s="90" t="s">
        <v>1065</v>
      </c>
      <c r="D46" s="91">
        <v>50126305</v>
      </c>
      <c r="E46" s="29">
        <v>60</v>
      </c>
      <c r="F46" s="7">
        <v>121</v>
      </c>
      <c r="G46" s="7">
        <v>36</v>
      </c>
      <c r="H46" s="53" t="s">
        <v>84</v>
      </c>
      <c r="I46" s="7" t="s">
        <v>109</v>
      </c>
      <c r="J46" s="47" t="s">
        <v>130</v>
      </c>
      <c r="K46" s="11">
        <v>0.78055555555555556</v>
      </c>
      <c r="L46" s="7" t="s">
        <v>109</v>
      </c>
      <c r="M46" s="47" t="s">
        <v>109</v>
      </c>
      <c r="N46" s="29" t="s">
        <v>109</v>
      </c>
      <c r="O46" s="29" t="s">
        <v>61</v>
      </c>
      <c r="P46" s="47" t="s">
        <v>131</v>
      </c>
      <c r="Q46" s="47" t="s">
        <v>84</v>
      </c>
      <c r="R46" s="7" t="s">
        <v>62</v>
      </c>
      <c r="S46" s="47" t="s">
        <v>109</v>
      </c>
      <c r="T46" s="92" t="s">
        <v>1063</v>
      </c>
      <c r="U46" s="47" t="b">
        <f t="shared" si="0"/>
        <v>0</v>
      </c>
      <c r="V46" s="47" t="s">
        <v>1816</v>
      </c>
    </row>
    <row r="47" spans="1:22" ht="15" thickBot="1" x14ac:dyDescent="0.35">
      <c r="A47" s="7">
        <v>46</v>
      </c>
      <c r="B47" s="29" t="s">
        <v>23</v>
      </c>
      <c r="C47" s="90" t="s">
        <v>958</v>
      </c>
      <c r="D47" s="91">
        <v>51125186</v>
      </c>
      <c r="E47" s="29">
        <v>60</v>
      </c>
      <c r="F47" s="7" t="s">
        <v>109</v>
      </c>
      <c r="G47" s="7" t="s">
        <v>109</v>
      </c>
      <c r="H47" s="53" t="s">
        <v>71</v>
      </c>
      <c r="I47" s="7" t="s">
        <v>109</v>
      </c>
      <c r="J47" s="18" t="s">
        <v>85</v>
      </c>
      <c r="K47" s="7" t="s">
        <v>109</v>
      </c>
      <c r="L47" s="7" t="s">
        <v>109</v>
      </c>
      <c r="M47" s="47" t="s">
        <v>109</v>
      </c>
      <c r="N47" s="29" t="s">
        <v>109</v>
      </c>
      <c r="O47" s="29" t="s">
        <v>61</v>
      </c>
      <c r="P47" s="7" t="s">
        <v>109</v>
      </c>
      <c r="Q47" s="7" t="s">
        <v>109</v>
      </c>
      <c r="R47" s="7" t="s">
        <v>62</v>
      </c>
      <c r="S47" s="47" t="s">
        <v>109</v>
      </c>
      <c r="T47" s="92" t="s">
        <v>959</v>
      </c>
      <c r="U47" s="47" t="b">
        <f t="shared" si="0"/>
        <v>1</v>
      </c>
      <c r="V47" s="47" t="s">
        <v>109</v>
      </c>
    </row>
    <row r="48" spans="1:22" ht="15" thickBot="1" x14ac:dyDescent="0.35">
      <c r="A48" s="7">
        <v>47</v>
      </c>
      <c r="B48" s="29" t="s">
        <v>23</v>
      </c>
      <c r="C48" s="90" t="s">
        <v>482</v>
      </c>
      <c r="D48" s="91">
        <v>50126010</v>
      </c>
      <c r="E48" s="29">
        <v>40</v>
      </c>
      <c r="F48" s="7">
        <v>100</v>
      </c>
      <c r="G48" s="7">
        <v>38</v>
      </c>
      <c r="H48" s="53" t="s">
        <v>69</v>
      </c>
      <c r="I48" s="53" t="s">
        <v>90</v>
      </c>
      <c r="J48" s="47" t="s">
        <v>130</v>
      </c>
      <c r="K48" s="11">
        <v>0.8881944444444444</v>
      </c>
      <c r="L48" s="11">
        <v>0.92152777777777772</v>
      </c>
      <c r="M48" s="47" t="s">
        <v>109</v>
      </c>
      <c r="N48" s="29" t="s">
        <v>109</v>
      </c>
      <c r="O48" s="29" t="s">
        <v>61</v>
      </c>
      <c r="P48" s="47" t="s">
        <v>131</v>
      </c>
      <c r="Q48" s="47" t="s">
        <v>90</v>
      </c>
      <c r="R48" s="7" t="s">
        <v>62</v>
      </c>
      <c r="S48" s="47" t="s">
        <v>109</v>
      </c>
      <c r="T48" s="92" t="s">
        <v>480</v>
      </c>
      <c r="U48" s="47" t="b">
        <f t="shared" si="0"/>
        <v>0</v>
      </c>
      <c r="V48" s="47" t="s">
        <v>109</v>
      </c>
    </row>
    <row r="49" spans="1:22" ht="15" thickBot="1" x14ac:dyDescent="0.35">
      <c r="A49" s="7">
        <v>48</v>
      </c>
      <c r="B49" s="29" t="s">
        <v>23</v>
      </c>
      <c r="C49" s="90" t="s">
        <v>743</v>
      </c>
      <c r="D49" s="91">
        <v>50126124</v>
      </c>
      <c r="E49" s="29">
        <v>50</v>
      </c>
      <c r="F49" s="7">
        <v>101</v>
      </c>
      <c r="G49" s="7">
        <v>24</v>
      </c>
      <c r="H49" s="53" t="s">
        <v>65</v>
      </c>
      <c r="I49" s="7" t="s">
        <v>109</v>
      </c>
      <c r="J49" s="47" t="s">
        <v>130</v>
      </c>
      <c r="K49" s="11">
        <v>0.95138888888888884</v>
      </c>
      <c r="L49" s="7" t="s">
        <v>109</v>
      </c>
      <c r="M49" s="47" t="s">
        <v>109</v>
      </c>
      <c r="N49" s="29" t="s">
        <v>109</v>
      </c>
      <c r="O49" s="29" t="s">
        <v>61</v>
      </c>
      <c r="P49" s="47" t="s">
        <v>131</v>
      </c>
      <c r="Q49" s="47" t="s">
        <v>65</v>
      </c>
      <c r="R49" s="7" t="s">
        <v>62</v>
      </c>
      <c r="S49" s="47" t="s">
        <v>109</v>
      </c>
      <c r="T49" s="92" t="s">
        <v>278</v>
      </c>
      <c r="U49" s="47" t="b">
        <f t="shared" si="0"/>
        <v>0</v>
      </c>
      <c r="V49" s="47" t="s">
        <v>1816</v>
      </c>
    </row>
    <row r="50" spans="1:22" ht="15" thickBot="1" x14ac:dyDescent="0.35">
      <c r="A50" s="7">
        <v>49</v>
      </c>
      <c r="B50" s="29" t="s">
        <v>23</v>
      </c>
      <c r="C50" s="90" t="s">
        <v>581</v>
      </c>
      <c r="D50" s="91">
        <v>51125193</v>
      </c>
      <c r="E50" s="29">
        <v>30</v>
      </c>
      <c r="F50" s="7">
        <v>26</v>
      </c>
      <c r="G50" s="7">
        <v>14</v>
      </c>
      <c r="H50" s="53" t="s">
        <v>72</v>
      </c>
      <c r="I50" s="7" t="s">
        <v>109</v>
      </c>
      <c r="J50" s="47" t="s">
        <v>130</v>
      </c>
      <c r="K50" s="11">
        <v>0</v>
      </c>
      <c r="L50" s="7" t="s">
        <v>109</v>
      </c>
      <c r="M50" s="47" t="s">
        <v>109</v>
      </c>
      <c r="N50" s="29" t="s">
        <v>109</v>
      </c>
      <c r="O50" s="29" t="s">
        <v>61</v>
      </c>
      <c r="P50" s="47" t="s">
        <v>131</v>
      </c>
      <c r="Q50" s="47" t="s">
        <v>72</v>
      </c>
      <c r="R50" s="7" t="s">
        <v>62</v>
      </c>
      <c r="S50" s="47" t="s">
        <v>109</v>
      </c>
      <c r="T50" s="92" t="s">
        <v>278</v>
      </c>
      <c r="U50" s="47" t="b">
        <f t="shared" si="0"/>
        <v>0</v>
      </c>
      <c r="V50" s="47" t="s">
        <v>291</v>
      </c>
    </row>
    <row r="51" spans="1:22" ht="15" thickBot="1" x14ac:dyDescent="0.35">
      <c r="A51" s="7">
        <v>50</v>
      </c>
      <c r="B51" s="29" t="s">
        <v>23</v>
      </c>
      <c r="C51" s="90" t="s">
        <v>279</v>
      </c>
      <c r="D51" s="91">
        <v>51125228</v>
      </c>
      <c r="E51" s="29">
        <v>50</v>
      </c>
      <c r="F51" s="7">
        <v>90</v>
      </c>
      <c r="G51" s="7">
        <v>52</v>
      </c>
      <c r="H51" s="53" t="s">
        <v>196</v>
      </c>
      <c r="I51" s="7" t="s">
        <v>109</v>
      </c>
      <c r="J51" s="47" t="s">
        <v>130</v>
      </c>
      <c r="K51" s="11">
        <v>0.83194444444444449</v>
      </c>
      <c r="L51" s="7" t="s">
        <v>109</v>
      </c>
      <c r="M51" s="47" t="s">
        <v>109</v>
      </c>
      <c r="N51" s="29" t="s">
        <v>109</v>
      </c>
      <c r="O51" s="29" t="s">
        <v>61</v>
      </c>
      <c r="P51" s="47" t="s">
        <v>131</v>
      </c>
      <c r="Q51" s="47" t="s">
        <v>196</v>
      </c>
      <c r="R51" s="7" t="s">
        <v>62</v>
      </c>
      <c r="S51" s="47" t="s">
        <v>109</v>
      </c>
      <c r="T51" s="92" t="s">
        <v>278</v>
      </c>
      <c r="U51" s="47" t="b">
        <f t="shared" si="0"/>
        <v>1</v>
      </c>
      <c r="V51" s="47" t="s">
        <v>109</v>
      </c>
    </row>
    <row r="52" spans="1:22" ht="15" thickBot="1" x14ac:dyDescent="0.35">
      <c r="A52" s="7">
        <v>51</v>
      </c>
      <c r="B52" s="29" t="s">
        <v>23</v>
      </c>
      <c r="C52" s="90" t="s">
        <v>280</v>
      </c>
      <c r="D52" s="91">
        <v>51125192</v>
      </c>
      <c r="E52" s="29">
        <v>50</v>
      </c>
      <c r="F52" s="7">
        <v>90</v>
      </c>
      <c r="G52" s="7">
        <v>46</v>
      </c>
      <c r="H52" s="53" t="s">
        <v>67</v>
      </c>
      <c r="I52" s="7" t="s">
        <v>109</v>
      </c>
      <c r="J52" s="47" t="s">
        <v>130</v>
      </c>
      <c r="K52" s="11">
        <v>0.77986111111111112</v>
      </c>
      <c r="L52" s="7" t="s">
        <v>109</v>
      </c>
      <c r="M52" s="47" t="s">
        <v>109</v>
      </c>
      <c r="N52" s="29" t="s">
        <v>109</v>
      </c>
      <c r="O52" s="29" t="s">
        <v>61</v>
      </c>
      <c r="P52" s="47" t="s">
        <v>131</v>
      </c>
      <c r="Q52" s="47" t="s">
        <v>67</v>
      </c>
      <c r="R52" s="7" t="s">
        <v>62</v>
      </c>
      <c r="S52" s="47" t="s">
        <v>109</v>
      </c>
      <c r="T52" s="92" t="s">
        <v>278</v>
      </c>
      <c r="U52" s="47" t="b">
        <f t="shared" si="0"/>
        <v>0</v>
      </c>
      <c r="V52" s="47" t="s">
        <v>109</v>
      </c>
    </row>
    <row r="53" spans="1:22" ht="15" thickBot="1" x14ac:dyDescent="0.35">
      <c r="A53" s="7">
        <v>52</v>
      </c>
      <c r="B53" s="29" t="s">
        <v>23</v>
      </c>
      <c r="C53" s="90" t="s">
        <v>1736</v>
      </c>
      <c r="D53" s="91">
        <v>50126403</v>
      </c>
      <c r="E53" s="29">
        <v>20</v>
      </c>
      <c r="F53" s="7">
        <v>24</v>
      </c>
      <c r="G53" s="7">
        <v>11</v>
      </c>
      <c r="H53" s="53" t="s">
        <v>82</v>
      </c>
      <c r="I53" s="7" t="s">
        <v>109</v>
      </c>
      <c r="J53" s="47" t="s">
        <v>130</v>
      </c>
      <c r="K53" s="11">
        <v>0.80138888888888893</v>
      </c>
      <c r="L53" s="7" t="s">
        <v>109</v>
      </c>
      <c r="M53" s="47" t="s">
        <v>109</v>
      </c>
      <c r="N53" s="29" t="s">
        <v>109</v>
      </c>
      <c r="O53" s="29" t="s">
        <v>61</v>
      </c>
      <c r="P53" s="47" t="s">
        <v>131</v>
      </c>
      <c r="Q53" s="47" t="s">
        <v>82</v>
      </c>
      <c r="R53" s="7" t="e">
        <f>VLOOKUP(D53,#REF!,6,0)</f>
        <v>#REF!</v>
      </c>
      <c r="S53" s="47" t="s">
        <v>109</v>
      </c>
      <c r="T53" s="92" t="s">
        <v>278</v>
      </c>
      <c r="U53" s="47" t="b">
        <f t="shared" si="0"/>
        <v>0</v>
      </c>
      <c r="V53" s="47" t="s">
        <v>291</v>
      </c>
    </row>
    <row r="54" spans="1:22" ht="15" thickBot="1" x14ac:dyDescent="0.35">
      <c r="A54" s="7">
        <v>53</v>
      </c>
      <c r="B54" s="29" t="s">
        <v>23</v>
      </c>
      <c r="C54" s="90" t="s">
        <v>1735</v>
      </c>
      <c r="D54" s="91">
        <v>50126404</v>
      </c>
      <c r="E54" s="29">
        <v>30</v>
      </c>
      <c r="F54" s="7">
        <v>80</v>
      </c>
      <c r="G54" s="7">
        <v>5</v>
      </c>
      <c r="H54" s="53" t="s">
        <v>68</v>
      </c>
      <c r="I54" s="7" t="s">
        <v>109</v>
      </c>
      <c r="J54" s="47" t="s">
        <v>130</v>
      </c>
      <c r="K54" s="11">
        <v>0.79097222222222219</v>
      </c>
      <c r="L54" s="7" t="s">
        <v>109</v>
      </c>
      <c r="M54" s="47" t="s">
        <v>109</v>
      </c>
      <c r="N54" s="29" t="s">
        <v>109</v>
      </c>
      <c r="O54" s="29" t="s">
        <v>61</v>
      </c>
      <c r="P54" s="47" t="s">
        <v>131</v>
      </c>
      <c r="Q54" s="47" t="s">
        <v>68</v>
      </c>
      <c r="R54" s="7" t="e">
        <f>VLOOKUP(D54,#REF!,6,0)</f>
        <v>#REF!</v>
      </c>
      <c r="S54" s="47" t="s">
        <v>109</v>
      </c>
      <c r="T54" s="92" t="s">
        <v>278</v>
      </c>
      <c r="U54" s="47" t="b">
        <f t="shared" si="0"/>
        <v>0</v>
      </c>
      <c r="V54" s="47" t="s">
        <v>291</v>
      </c>
    </row>
    <row r="55" spans="1:22" ht="15" thickBot="1" x14ac:dyDescent="0.35">
      <c r="A55" s="7">
        <v>54</v>
      </c>
      <c r="B55" s="29" t="s">
        <v>23</v>
      </c>
      <c r="C55" s="90" t="s">
        <v>1066</v>
      </c>
      <c r="D55" s="91">
        <v>50126302</v>
      </c>
      <c r="E55" s="29">
        <v>20</v>
      </c>
      <c r="F55" s="7">
        <v>18</v>
      </c>
      <c r="G55" s="7">
        <v>7</v>
      </c>
      <c r="H55" s="53" t="s">
        <v>200</v>
      </c>
      <c r="I55" s="7" t="s">
        <v>109</v>
      </c>
      <c r="J55" s="47" t="s">
        <v>130</v>
      </c>
      <c r="K55" s="11">
        <v>0.71875</v>
      </c>
      <c r="L55" s="7" t="s">
        <v>109</v>
      </c>
      <c r="M55" s="47" t="s">
        <v>109</v>
      </c>
      <c r="N55" s="29" t="s">
        <v>109</v>
      </c>
      <c r="O55" s="29" t="s">
        <v>61</v>
      </c>
      <c r="P55" s="47" t="s">
        <v>131</v>
      </c>
      <c r="Q55" s="47" t="s">
        <v>200</v>
      </c>
      <c r="R55" s="7" t="s">
        <v>62</v>
      </c>
      <c r="S55" s="47" t="s">
        <v>109</v>
      </c>
      <c r="T55" s="92" t="s">
        <v>1067</v>
      </c>
      <c r="U55" s="47" t="b">
        <f t="shared" si="0"/>
        <v>0</v>
      </c>
      <c r="V55" s="47" t="s">
        <v>291</v>
      </c>
    </row>
    <row r="56" spans="1:22" ht="15" thickBot="1" x14ac:dyDescent="0.35">
      <c r="A56" s="7">
        <v>55</v>
      </c>
      <c r="B56" s="29" t="s">
        <v>23</v>
      </c>
      <c r="C56" s="90" t="s">
        <v>1068</v>
      </c>
      <c r="D56" s="91">
        <v>50126303</v>
      </c>
      <c r="E56" s="29">
        <v>30</v>
      </c>
      <c r="F56" s="7">
        <v>24</v>
      </c>
      <c r="G56" s="7">
        <v>16</v>
      </c>
      <c r="H56" s="53" t="s">
        <v>274</v>
      </c>
      <c r="I56" s="7" t="s">
        <v>109</v>
      </c>
      <c r="J56" s="47" t="s">
        <v>130</v>
      </c>
      <c r="K56" s="11">
        <v>0.69930555555555551</v>
      </c>
      <c r="L56" s="7" t="s">
        <v>109</v>
      </c>
      <c r="M56" s="47" t="s">
        <v>109</v>
      </c>
      <c r="N56" s="29" t="s">
        <v>109</v>
      </c>
      <c r="O56" s="29" t="s">
        <v>61</v>
      </c>
      <c r="P56" s="47" t="s">
        <v>131</v>
      </c>
      <c r="Q56" s="47" t="s">
        <v>274</v>
      </c>
      <c r="R56" s="7" t="s">
        <v>62</v>
      </c>
      <c r="S56" s="47" t="s">
        <v>109</v>
      </c>
      <c r="T56" s="92" t="s">
        <v>1067</v>
      </c>
      <c r="U56" s="47" t="b">
        <f t="shared" si="0"/>
        <v>0</v>
      </c>
      <c r="V56" s="47" t="s">
        <v>291</v>
      </c>
    </row>
    <row r="57" spans="1:22" ht="15" thickBot="1" x14ac:dyDescent="0.35">
      <c r="A57" s="7">
        <v>56</v>
      </c>
      <c r="B57" s="29" t="s">
        <v>143</v>
      </c>
      <c r="C57" s="90" t="s">
        <v>779</v>
      </c>
      <c r="D57" s="91">
        <v>10126010</v>
      </c>
      <c r="E57" s="29">
        <v>125</v>
      </c>
      <c r="F57" s="7">
        <v>285</v>
      </c>
      <c r="G57" s="7">
        <v>52</v>
      </c>
      <c r="H57" s="7" t="s">
        <v>941</v>
      </c>
      <c r="I57" s="53" t="s">
        <v>90</v>
      </c>
      <c r="J57" s="47" t="s">
        <v>130</v>
      </c>
      <c r="K57" s="11">
        <v>0.7583333333333333</v>
      </c>
      <c r="L57" s="11">
        <v>0.80972222222222223</v>
      </c>
      <c r="M57" s="47" t="s">
        <v>109</v>
      </c>
      <c r="N57" s="32" t="s">
        <v>110</v>
      </c>
      <c r="O57" s="29" t="s">
        <v>61</v>
      </c>
      <c r="P57" s="47" t="s">
        <v>131</v>
      </c>
      <c r="Q57" s="47" t="s">
        <v>90</v>
      </c>
      <c r="R57" s="7" t="s">
        <v>62</v>
      </c>
      <c r="S57" s="47" t="s">
        <v>109</v>
      </c>
      <c r="T57" s="92" t="s">
        <v>780</v>
      </c>
      <c r="U57" s="47" t="b">
        <f t="shared" si="0"/>
        <v>0</v>
      </c>
      <c r="V57" s="47" t="s">
        <v>1816</v>
      </c>
    </row>
    <row r="58" spans="1:22" ht="15" thickBot="1" x14ac:dyDescent="0.35">
      <c r="A58" s="7">
        <v>57</v>
      </c>
      <c r="B58" s="29" t="s">
        <v>143</v>
      </c>
      <c r="C58" s="90" t="s">
        <v>1514</v>
      </c>
      <c r="D58" s="91">
        <v>10126035</v>
      </c>
      <c r="E58" s="29">
        <v>100</v>
      </c>
      <c r="F58" s="7">
        <v>240</v>
      </c>
      <c r="G58" s="7">
        <v>58</v>
      </c>
      <c r="H58" s="7" t="s">
        <v>1787</v>
      </c>
      <c r="I58" s="53" t="s">
        <v>93</v>
      </c>
      <c r="J58" s="47" t="s">
        <v>130</v>
      </c>
      <c r="K58" s="11">
        <v>0.82916666666666672</v>
      </c>
      <c r="L58" s="11">
        <v>2.9861111111111113E-2</v>
      </c>
      <c r="M58" s="47" t="s">
        <v>109</v>
      </c>
      <c r="N58" s="32" t="s">
        <v>110</v>
      </c>
      <c r="O58" s="29" t="s">
        <v>61</v>
      </c>
      <c r="P58" s="47" t="s">
        <v>131</v>
      </c>
      <c r="Q58" s="47" t="s">
        <v>370</v>
      </c>
      <c r="R58" s="7" t="e">
        <f>VLOOKUP(D58,#REF!,6,0)</f>
        <v>#REF!</v>
      </c>
      <c r="S58" s="47" t="s">
        <v>109</v>
      </c>
      <c r="T58" s="92" t="s">
        <v>398</v>
      </c>
      <c r="U58" s="47" t="b">
        <f t="shared" si="0"/>
        <v>0</v>
      </c>
      <c r="V58" s="47" t="s">
        <v>1816</v>
      </c>
    </row>
    <row r="59" spans="1:22" ht="15" thickBot="1" x14ac:dyDescent="0.35">
      <c r="A59" s="7">
        <v>58</v>
      </c>
      <c r="B59" s="29" t="s">
        <v>143</v>
      </c>
      <c r="C59" s="90" t="s">
        <v>1670</v>
      </c>
      <c r="D59" s="91">
        <v>10126041</v>
      </c>
      <c r="E59" s="29">
        <v>75</v>
      </c>
      <c r="F59" s="7">
        <v>157</v>
      </c>
      <c r="G59" s="7">
        <v>34</v>
      </c>
      <c r="H59" s="53" t="s">
        <v>64</v>
      </c>
      <c r="I59" s="53" t="s">
        <v>86</v>
      </c>
      <c r="J59" s="47" t="s">
        <v>130</v>
      </c>
      <c r="K59" s="11">
        <v>0.82847222222222228</v>
      </c>
      <c r="L59" s="11">
        <v>0.90277777777777779</v>
      </c>
      <c r="M59" s="47" t="s">
        <v>109</v>
      </c>
      <c r="N59" s="32" t="s">
        <v>110</v>
      </c>
      <c r="O59" s="29" t="s">
        <v>61</v>
      </c>
      <c r="P59" s="47" t="s">
        <v>131</v>
      </c>
      <c r="Q59" s="47" t="s">
        <v>744</v>
      </c>
      <c r="R59" s="7" t="e">
        <f>VLOOKUP(D59,#REF!,6,0)</f>
        <v>#REF!</v>
      </c>
      <c r="S59" s="47" t="s">
        <v>109</v>
      </c>
      <c r="T59" s="92" t="s">
        <v>398</v>
      </c>
      <c r="U59" s="47" t="b">
        <f t="shared" si="0"/>
        <v>0</v>
      </c>
      <c r="V59" s="47" t="s">
        <v>1816</v>
      </c>
    </row>
    <row r="60" spans="1:22" ht="15" thickBot="1" x14ac:dyDescent="0.35">
      <c r="A60" s="7">
        <v>59</v>
      </c>
      <c r="B60" s="29" t="s">
        <v>143</v>
      </c>
      <c r="C60" s="90" t="s">
        <v>1788</v>
      </c>
      <c r="D60" s="91">
        <v>10226001</v>
      </c>
      <c r="E60" s="29">
        <v>110</v>
      </c>
      <c r="F60" s="7">
        <v>120</v>
      </c>
      <c r="G60" s="7">
        <v>100</v>
      </c>
      <c r="H60" s="7" t="s">
        <v>929</v>
      </c>
      <c r="I60" s="53" t="s">
        <v>209</v>
      </c>
      <c r="J60" s="47" t="s">
        <v>130</v>
      </c>
      <c r="K60" s="11">
        <v>0.76111111111111107</v>
      </c>
      <c r="L60" s="11">
        <v>3.9583333333333331E-2</v>
      </c>
      <c r="M60" s="47" t="s">
        <v>109</v>
      </c>
      <c r="N60" s="32" t="s">
        <v>110</v>
      </c>
      <c r="O60" s="29" t="s">
        <v>61</v>
      </c>
      <c r="P60" s="47" t="s">
        <v>131</v>
      </c>
      <c r="Q60" s="47" t="s">
        <v>605</v>
      </c>
      <c r="R60" s="7" t="e">
        <f>VLOOKUP(D60,#REF!,6,0)</f>
        <v>#REF!</v>
      </c>
      <c r="S60" s="47" t="s">
        <v>109</v>
      </c>
      <c r="T60" s="92" t="s">
        <v>398</v>
      </c>
      <c r="U60" s="47" t="b">
        <f t="shared" si="0"/>
        <v>0</v>
      </c>
      <c r="V60" s="47" t="s">
        <v>109</v>
      </c>
    </row>
    <row r="61" spans="1:22" ht="15" thickBot="1" x14ac:dyDescent="0.35">
      <c r="A61" s="7">
        <v>60</v>
      </c>
      <c r="B61" s="29" t="s">
        <v>143</v>
      </c>
      <c r="C61" s="90" t="s">
        <v>1789</v>
      </c>
      <c r="D61" s="91">
        <v>10226002</v>
      </c>
      <c r="E61" s="29">
        <v>100</v>
      </c>
      <c r="F61" s="7">
        <v>197</v>
      </c>
      <c r="G61" s="7">
        <v>104</v>
      </c>
      <c r="H61" s="7" t="s">
        <v>1538</v>
      </c>
      <c r="I61" s="53" t="s">
        <v>91</v>
      </c>
      <c r="J61" s="47" t="s">
        <v>130</v>
      </c>
      <c r="K61" s="11">
        <v>0.94652777777777775</v>
      </c>
      <c r="L61" s="7" t="s">
        <v>109</v>
      </c>
      <c r="M61" s="47" t="s">
        <v>109</v>
      </c>
      <c r="N61" s="32" t="s">
        <v>110</v>
      </c>
      <c r="O61" s="29" t="s">
        <v>61</v>
      </c>
      <c r="P61" s="47" t="s">
        <v>131</v>
      </c>
      <c r="Q61" s="47" t="s">
        <v>603</v>
      </c>
      <c r="R61" s="7" t="e">
        <f>VLOOKUP(D61,#REF!,6,0)</f>
        <v>#REF!</v>
      </c>
      <c r="S61" s="47" t="s">
        <v>109</v>
      </c>
      <c r="T61" s="92" t="s">
        <v>398</v>
      </c>
      <c r="U61" s="47" t="b">
        <f t="shared" si="0"/>
        <v>1</v>
      </c>
      <c r="V61" s="47" t="s">
        <v>109</v>
      </c>
    </row>
    <row r="62" spans="1:22" ht="15" thickBot="1" x14ac:dyDescent="0.35">
      <c r="A62" s="7">
        <v>61</v>
      </c>
      <c r="B62" s="29" t="s">
        <v>143</v>
      </c>
      <c r="C62" s="90" t="s">
        <v>1595</v>
      </c>
      <c r="D62" s="91">
        <v>10126039</v>
      </c>
      <c r="E62" s="29">
        <v>20</v>
      </c>
      <c r="F62" s="7">
        <v>50</v>
      </c>
      <c r="G62" s="7">
        <v>20</v>
      </c>
      <c r="H62" s="53" t="s">
        <v>214</v>
      </c>
      <c r="I62" s="53" t="s">
        <v>209</v>
      </c>
      <c r="J62" s="47" t="s">
        <v>130</v>
      </c>
      <c r="K62" s="11">
        <v>0.67361111111111116</v>
      </c>
      <c r="L62" s="11">
        <v>0.74791666666666667</v>
      </c>
      <c r="M62" s="47" t="s">
        <v>109</v>
      </c>
      <c r="N62" s="32" t="s">
        <v>110</v>
      </c>
      <c r="O62" s="29" t="s">
        <v>61</v>
      </c>
      <c r="P62" s="47" t="s">
        <v>131</v>
      </c>
      <c r="Q62" s="47" t="s">
        <v>209</v>
      </c>
      <c r="R62" s="7" t="e">
        <f>VLOOKUP(D62,#REF!,6,0)</f>
        <v>#REF!</v>
      </c>
      <c r="S62" s="47" t="s">
        <v>109</v>
      </c>
      <c r="T62" s="92" t="s">
        <v>1596</v>
      </c>
      <c r="U62" s="47" t="b">
        <f t="shared" si="0"/>
        <v>1</v>
      </c>
      <c r="V62" s="47" t="s">
        <v>109</v>
      </c>
    </row>
    <row r="63" spans="1:22" ht="15" thickBot="1" x14ac:dyDescent="0.35">
      <c r="A63" s="7">
        <v>62</v>
      </c>
      <c r="B63" s="29" t="s">
        <v>143</v>
      </c>
      <c r="C63" s="90" t="s">
        <v>1598</v>
      </c>
      <c r="D63" s="91">
        <v>10126044</v>
      </c>
      <c r="E63" s="29">
        <v>120</v>
      </c>
      <c r="F63" s="7">
        <v>231</v>
      </c>
      <c r="G63" s="7">
        <v>105</v>
      </c>
      <c r="H63" s="53" t="s">
        <v>1790</v>
      </c>
      <c r="I63" s="53" t="s">
        <v>88</v>
      </c>
      <c r="J63" s="47" t="s">
        <v>130</v>
      </c>
      <c r="K63" s="11">
        <v>0.76041666666666663</v>
      </c>
      <c r="L63" s="11">
        <v>0.85277777777777775</v>
      </c>
      <c r="M63" s="47" t="s">
        <v>109</v>
      </c>
      <c r="N63" s="32" t="s">
        <v>110</v>
      </c>
      <c r="O63" s="29" t="s">
        <v>61</v>
      </c>
      <c r="P63" s="47" t="s">
        <v>131</v>
      </c>
      <c r="Q63" s="47" t="s">
        <v>88</v>
      </c>
      <c r="R63" s="7" t="e">
        <f>VLOOKUP(D63,#REF!,6,0)</f>
        <v>#REF!</v>
      </c>
      <c r="S63" s="47" t="s">
        <v>109</v>
      </c>
      <c r="T63" s="92" t="s">
        <v>480</v>
      </c>
      <c r="U63" s="47" t="b">
        <f t="shared" si="0"/>
        <v>0</v>
      </c>
      <c r="V63" s="47" t="s">
        <v>1816</v>
      </c>
    </row>
    <row r="64" spans="1:22" ht="15" thickBot="1" x14ac:dyDescent="0.35">
      <c r="A64" s="7">
        <v>63</v>
      </c>
      <c r="B64" s="29" t="s">
        <v>23</v>
      </c>
      <c r="C64" s="90" t="s">
        <v>1748</v>
      </c>
      <c r="D64" s="91">
        <v>50126396</v>
      </c>
      <c r="E64" s="29">
        <v>50</v>
      </c>
      <c r="F64" s="7">
        <v>119</v>
      </c>
      <c r="G64" s="7">
        <v>42</v>
      </c>
      <c r="H64" s="53" t="s">
        <v>222</v>
      </c>
      <c r="I64" s="7" t="s">
        <v>109</v>
      </c>
      <c r="J64" s="47" t="s">
        <v>130</v>
      </c>
      <c r="K64" s="11">
        <v>0.67222222222222228</v>
      </c>
      <c r="L64" s="7" t="s">
        <v>109</v>
      </c>
      <c r="M64" s="47" t="s">
        <v>109</v>
      </c>
      <c r="N64" s="32" t="s">
        <v>1791</v>
      </c>
      <c r="O64" s="29" t="s">
        <v>61</v>
      </c>
      <c r="P64" s="47" t="s">
        <v>131</v>
      </c>
      <c r="Q64" s="47" t="s">
        <v>222</v>
      </c>
      <c r="R64" s="7" t="e">
        <f>VLOOKUP(D64,#REF!,6,0)</f>
        <v>#REF!</v>
      </c>
      <c r="S64" s="47" t="s">
        <v>109</v>
      </c>
      <c r="T64" s="92" t="s">
        <v>310</v>
      </c>
      <c r="U64" s="47" t="b">
        <f t="shared" si="0"/>
        <v>0</v>
      </c>
      <c r="V64" s="47" t="s">
        <v>1816</v>
      </c>
    </row>
    <row r="65" spans="1:22" ht="15" thickBot="1" x14ac:dyDescent="0.35">
      <c r="A65" s="7">
        <v>64</v>
      </c>
      <c r="B65" s="29" t="s">
        <v>23</v>
      </c>
      <c r="C65" s="90" t="s">
        <v>1749</v>
      </c>
      <c r="D65" s="91">
        <v>50126392</v>
      </c>
      <c r="E65" s="29">
        <v>50</v>
      </c>
      <c r="F65" s="7">
        <v>70</v>
      </c>
      <c r="G65" s="7">
        <v>49</v>
      </c>
      <c r="H65" s="7" t="s">
        <v>84</v>
      </c>
      <c r="I65" s="7" t="s">
        <v>109</v>
      </c>
      <c r="J65" s="47" t="s">
        <v>130</v>
      </c>
      <c r="K65" s="11">
        <v>0.70902777777777781</v>
      </c>
      <c r="L65" s="7" t="s">
        <v>109</v>
      </c>
      <c r="M65" s="47" t="s">
        <v>109</v>
      </c>
      <c r="N65" s="32" t="s">
        <v>1791</v>
      </c>
      <c r="O65" s="29" t="s">
        <v>61</v>
      </c>
      <c r="P65" s="47" t="s">
        <v>131</v>
      </c>
      <c r="Q65" s="47" t="s">
        <v>84</v>
      </c>
      <c r="R65" s="7" t="e">
        <f>VLOOKUP(D65,#REF!,6,0)</f>
        <v>#REF!</v>
      </c>
      <c r="S65" s="47" t="s">
        <v>109</v>
      </c>
      <c r="T65" s="92" t="s">
        <v>310</v>
      </c>
      <c r="U65" s="47" t="b">
        <f t="shared" si="0"/>
        <v>0</v>
      </c>
      <c r="V65" s="47" t="s">
        <v>109</v>
      </c>
    </row>
    <row r="66" spans="1:22" ht="15" thickBot="1" x14ac:dyDescent="0.35">
      <c r="A66" s="7">
        <v>65</v>
      </c>
      <c r="B66" s="29" t="s">
        <v>23</v>
      </c>
      <c r="C66" s="90" t="s">
        <v>1751</v>
      </c>
      <c r="D66" s="91">
        <v>50126399</v>
      </c>
      <c r="E66" s="29">
        <v>50</v>
      </c>
      <c r="F66" s="7">
        <v>118</v>
      </c>
      <c r="G66" s="7">
        <v>50</v>
      </c>
      <c r="H66" s="53" t="s">
        <v>68</v>
      </c>
      <c r="I66" s="7" t="s">
        <v>109</v>
      </c>
      <c r="J66" s="47" t="s">
        <v>130</v>
      </c>
      <c r="K66" s="11">
        <v>0.73888888888888893</v>
      </c>
      <c r="L66" s="7" t="s">
        <v>109</v>
      </c>
      <c r="M66" s="47" t="s">
        <v>109</v>
      </c>
      <c r="N66" s="32" t="s">
        <v>1792</v>
      </c>
      <c r="O66" s="29" t="s">
        <v>61</v>
      </c>
      <c r="P66" s="47" t="s">
        <v>131</v>
      </c>
      <c r="Q66" s="47" t="s">
        <v>68</v>
      </c>
      <c r="R66" s="7" t="e">
        <f>VLOOKUP(D66,#REF!,6,0)</f>
        <v>#REF!</v>
      </c>
      <c r="S66" s="47" t="s">
        <v>109</v>
      </c>
      <c r="T66" s="92" t="s">
        <v>310</v>
      </c>
      <c r="U66" s="47" t="b">
        <f t="shared" ref="U66:U104" si="1">G66&gt;=E66</f>
        <v>1</v>
      </c>
      <c r="V66" s="47" t="s">
        <v>109</v>
      </c>
    </row>
    <row r="67" spans="1:22" ht="15" thickBot="1" x14ac:dyDescent="0.35">
      <c r="A67" s="7">
        <v>66</v>
      </c>
      <c r="B67" s="29" t="s">
        <v>23</v>
      </c>
      <c r="C67" s="90" t="s">
        <v>1753</v>
      </c>
      <c r="D67" s="91">
        <v>50126398</v>
      </c>
      <c r="E67" s="29">
        <v>100</v>
      </c>
      <c r="F67" s="7" t="s">
        <v>109</v>
      </c>
      <c r="G67" s="7" t="s">
        <v>109</v>
      </c>
      <c r="H67" s="53" t="s">
        <v>241</v>
      </c>
      <c r="I67" s="7" t="s">
        <v>109</v>
      </c>
      <c r="J67" s="47" t="s">
        <v>85</v>
      </c>
      <c r="K67" s="7" t="s">
        <v>109</v>
      </c>
      <c r="L67" s="7" t="s">
        <v>109</v>
      </c>
      <c r="M67" s="47" t="s">
        <v>109</v>
      </c>
      <c r="N67" s="32" t="s">
        <v>1793</v>
      </c>
      <c r="O67" s="29" t="s">
        <v>61</v>
      </c>
      <c r="P67" s="47" t="s">
        <v>109</v>
      </c>
      <c r="Q67" s="47" t="s">
        <v>109</v>
      </c>
      <c r="R67" s="7" t="e">
        <f>VLOOKUP(D67,#REF!,6,0)</f>
        <v>#REF!</v>
      </c>
      <c r="S67" s="47" t="s">
        <v>109</v>
      </c>
      <c r="T67" s="92" t="s">
        <v>310</v>
      </c>
      <c r="U67" s="47" t="b">
        <f t="shared" si="1"/>
        <v>1</v>
      </c>
      <c r="V67" s="47" t="s">
        <v>109</v>
      </c>
    </row>
    <row r="68" spans="1:22" ht="15" thickBot="1" x14ac:dyDescent="0.35">
      <c r="A68" s="7">
        <v>67</v>
      </c>
      <c r="B68" s="29" t="s">
        <v>23</v>
      </c>
      <c r="C68" s="90" t="s">
        <v>1794</v>
      </c>
      <c r="D68" s="91">
        <v>50226004</v>
      </c>
      <c r="E68" s="29">
        <v>350</v>
      </c>
      <c r="F68" s="7">
        <v>489</v>
      </c>
      <c r="G68" s="7">
        <v>357</v>
      </c>
      <c r="H68" s="53" t="s">
        <v>1795</v>
      </c>
      <c r="I68" s="7" t="s">
        <v>109</v>
      </c>
      <c r="J68" s="47" t="s">
        <v>130</v>
      </c>
      <c r="K68" s="11">
        <v>2.1527777777777778E-2</v>
      </c>
      <c r="L68" s="7" t="s">
        <v>109</v>
      </c>
      <c r="M68" s="47" t="s">
        <v>109</v>
      </c>
      <c r="N68" s="29" t="s">
        <v>109</v>
      </c>
      <c r="O68" s="29" t="s">
        <v>61</v>
      </c>
      <c r="P68" s="47" t="s">
        <v>131</v>
      </c>
      <c r="Q68" s="47" t="s">
        <v>200</v>
      </c>
      <c r="R68" s="7" t="e">
        <f>VLOOKUP(D68,#REF!,6,0)</f>
        <v>#REF!</v>
      </c>
      <c r="S68" s="47" t="s">
        <v>109</v>
      </c>
      <c r="T68" s="92" t="s">
        <v>117</v>
      </c>
      <c r="U68" s="47" t="b">
        <f t="shared" si="1"/>
        <v>1</v>
      </c>
      <c r="V68" s="47" t="s">
        <v>109</v>
      </c>
    </row>
    <row r="69" spans="1:22" ht="15" thickBot="1" x14ac:dyDescent="0.35">
      <c r="A69" s="7">
        <v>68</v>
      </c>
      <c r="B69" s="29" t="s">
        <v>23</v>
      </c>
      <c r="C69" s="90" t="s">
        <v>1796</v>
      </c>
      <c r="D69" s="91">
        <v>50226005</v>
      </c>
      <c r="E69" s="29">
        <v>350</v>
      </c>
      <c r="F69" s="7">
        <v>475</v>
      </c>
      <c r="G69" s="7">
        <v>356</v>
      </c>
      <c r="H69" s="7" t="s">
        <v>1797</v>
      </c>
      <c r="I69" s="7" t="s">
        <v>109</v>
      </c>
      <c r="J69" s="47" t="s">
        <v>130</v>
      </c>
      <c r="K69" s="11">
        <v>0.99027777777777781</v>
      </c>
      <c r="L69" s="7" t="s">
        <v>109</v>
      </c>
      <c r="M69" s="47" t="s">
        <v>109</v>
      </c>
      <c r="N69" s="29" t="s">
        <v>109</v>
      </c>
      <c r="O69" s="29" t="s">
        <v>61</v>
      </c>
      <c r="P69" s="47" t="s">
        <v>131</v>
      </c>
      <c r="Q69" s="47" t="s">
        <v>68</v>
      </c>
      <c r="R69" s="7" t="e">
        <f>VLOOKUP(D69,#REF!,6,0)</f>
        <v>#REF!</v>
      </c>
      <c r="S69" s="47" t="s">
        <v>109</v>
      </c>
      <c r="T69" s="92" t="s">
        <v>117</v>
      </c>
      <c r="U69" s="47" t="b">
        <f t="shared" si="1"/>
        <v>1</v>
      </c>
      <c r="V69" s="47" t="s">
        <v>109</v>
      </c>
    </row>
    <row r="70" spans="1:22" ht="15" thickBot="1" x14ac:dyDescent="0.35">
      <c r="A70" s="7">
        <v>69</v>
      </c>
      <c r="B70" s="29" t="s">
        <v>170</v>
      </c>
      <c r="C70" s="90" t="s">
        <v>1349</v>
      </c>
      <c r="D70" s="91">
        <v>40126026</v>
      </c>
      <c r="E70" s="29">
        <v>75</v>
      </c>
      <c r="F70" s="7">
        <v>152</v>
      </c>
      <c r="G70" s="7">
        <v>32</v>
      </c>
      <c r="H70" s="53" t="s">
        <v>241</v>
      </c>
      <c r="I70" s="53" t="s">
        <v>154</v>
      </c>
      <c r="J70" s="47" t="s">
        <v>130</v>
      </c>
      <c r="K70" s="11">
        <v>0.91805555555555551</v>
      </c>
      <c r="L70" s="11">
        <v>0.95138888888888884</v>
      </c>
      <c r="M70" s="47" t="s">
        <v>109</v>
      </c>
      <c r="N70" s="29" t="s">
        <v>109</v>
      </c>
      <c r="O70" s="29" t="s">
        <v>61</v>
      </c>
      <c r="P70" s="47" t="s">
        <v>131</v>
      </c>
      <c r="Q70" s="47" t="s">
        <v>154</v>
      </c>
      <c r="R70" s="7" t="s">
        <v>62</v>
      </c>
      <c r="S70" s="47" t="s">
        <v>109</v>
      </c>
      <c r="T70" s="92" t="s">
        <v>859</v>
      </c>
      <c r="U70" s="47" t="b">
        <f t="shared" si="1"/>
        <v>0</v>
      </c>
      <c r="V70" s="47" t="s">
        <v>291</v>
      </c>
    </row>
    <row r="71" spans="1:22" ht="15" thickBot="1" x14ac:dyDescent="0.35">
      <c r="A71" s="7">
        <v>70</v>
      </c>
      <c r="B71" s="29" t="s">
        <v>170</v>
      </c>
      <c r="C71" s="90" t="s">
        <v>1350</v>
      </c>
      <c r="D71" s="91">
        <v>40126025</v>
      </c>
      <c r="E71" s="29">
        <v>210</v>
      </c>
      <c r="F71" s="7">
        <v>376</v>
      </c>
      <c r="G71" s="7">
        <v>190</v>
      </c>
      <c r="H71" s="7" t="s">
        <v>1798</v>
      </c>
      <c r="I71" s="7" t="s">
        <v>1799</v>
      </c>
      <c r="J71" s="47" t="s">
        <v>130</v>
      </c>
      <c r="K71" s="11">
        <v>0.93055555555555558</v>
      </c>
      <c r="L71" s="11">
        <v>0.93958333333333333</v>
      </c>
      <c r="M71" s="47" t="s">
        <v>109</v>
      </c>
      <c r="N71" s="29" t="s">
        <v>109</v>
      </c>
      <c r="O71" s="29" t="s">
        <v>61</v>
      </c>
      <c r="P71" s="47" t="s">
        <v>131</v>
      </c>
      <c r="Q71" s="47" t="s">
        <v>1818</v>
      </c>
      <c r="R71" s="7" t="s">
        <v>62</v>
      </c>
      <c r="S71" s="47" t="s">
        <v>109</v>
      </c>
      <c r="T71" s="92" t="s">
        <v>859</v>
      </c>
      <c r="U71" s="47" t="b">
        <f t="shared" si="1"/>
        <v>0</v>
      </c>
      <c r="V71" s="47" t="s">
        <v>109</v>
      </c>
    </row>
    <row r="72" spans="1:22" ht="15" thickBot="1" x14ac:dyDescent="0.35">
      <c r="A72" s="7">
        <v>71</v>
      </c>
      <c r="B72" s="29" t="s">
        <v>170</v>
      </c>
      <c r="C72" s="90" t="s">
        <v>1355</v>
      </c>
      <c r="D72" s="91">
        <v>40126027</v>
      </c>
      <c r="E72" s="29">
        <v>310</v>
      </c>
      <c r="F72" s="7">
        <v>511</v>
      </c>
      <c r="G72" s="7">
        <v>227</v>
      </c>
      <c r="H72" s="7" t="s">
        <v>1800</v>
      </c>
      <c r="I72" s="7" t="s">
        <v>1801</v>
      </c>
      <c r="J72" s="47" t="s">
        <v>130</v>
      </c>
      <c r="K72" s="11">
        <v>0.9458333333333333</v>
      </c>
      <c r="L72" s="11">
        <v>0.98472222222222228</v>
      </c>
      <c r="M72" s="47" t="s">
        <v>109</v>
      </c>
      <c r="N72" s="32" t="s">
        <v>1802</v>
      </c>
      <c r="O72" s="29" t="s">
        <v>61</v>
      </c>
      <c r="P72" s="47" t="s">
        <v>131</v>
      </c>
      <c r="Q72" s="47" t="s">
        <v>87</v>
      </c>
      <c r="R72" s="7" t="s">
        <v>62</v>
      </c>
      <c r="S72" s="47" t="s">
        <v>109</v>
      </c>
      <c r="T72" s="92" t="s">
        <v>1356</v>
      </c>
      <c r="U72" s="47" t="b">
        <f t="shared" si="1"/>
        <v>0</v>
      </c>
      <c r="V72" s="47" t="s">
        <v>109</v>
      </c>
    </row>
    <row r="73" spans="1:22" ht="15" thickBot="1" x14ac:dyDescent="0.35">
      <c r="A73" s="7">
        <v>72</v>
      </c>
      <c r="B73" s="29" t="s">
        <v>411</v>
      </c>
      <c r="C73" s="90" t="s">
        <v>1357</v>
      </c>
      <c r="D73" s="91">
        <v>30126010</v>
      </c>
      <c r="E73" s="29">
        <v>364</v>
      </c>
      <c r="F73" s="7">
        <v>676</v>
      </c>
      <c r="G73" s="7">
        <v>79</v>
      </c>
      <c r="H73" s="7" t="s">
        <v>1803</v>
      </c>
      <c r="I73" s="7" t="s">
        <v>1804</v>
      </c>
      <c r="J73" s="47" t="s">
        <v>130</v>
      </c>
      <c r="K73" s="11">
        <v>0.87569444444444444</v>
      </c>
      <c r="L73" s="11">
        <v>0.90694444444444444</v>
      </c>
      <c r="M73" s="47" t="s">
        <v>109</v>
      </c>
      <c r="N73" s="29" t="s">
        <v>109</v>
      </c>
      <c r="O73" s="29" t="s">
        <v>61</v>
      </c>
      <c r="P73" s="47" t="s">
        <v>131</v>
      </c>
      <c r="Q73" s="47" t="s">
        <v>86</v>
      </c>
      <c r="R73" s="7" t="s">
        <v>62</v>
      </c>
      <c r="S73" s="47" t="s">
        <v>109</v>
      </c>
      <c r="T73" s="92" t="s">
        <v>1359</v>
      </c>
      <c r="U73" s="47" t="b">
        <f t="shared" si="1"/>
        <v>0</v>
      </c>
      <c r="V73" s="47" t="s">
        <v>1816</v>
      </c>
    </row>
    <row r="74" spans="1:22" ht="15" thickBot="1" x14ac:dyDescent="0.35">
      <c r="A74" s="7">
        <v>73</v>
      </c>
      <c r="B74" s="29" t="s">
        <v>411</v>
      </c>
      <c r="C74" s="90" t="s">
        <v>1360</v>
      </c>
      <c r="D74" s="91">
        <v>30126011</v>
      </c>
      <c r="E74" s="29">
        <v>294</v>
      </c>
      <c r="F74" s="7">
        <v>588</v>
      </c>
      <c r="G74" s="7">
        <v>129</v>
      </c>
      <c r="H74" s="7" t="s">
        <v>1805</v>
      </c>
      <c r="I74" s="7" t="s">
        <v>1806</v>
      </c>
      <c r="J74" s="47" t="s">
        <v>130</v>
      </c>
      <c r="K74" s="11">
        <v>0.98263888888888884</v>
      </c>
      <c r="L74" s="11">
        <v>1.1111111111111112E-2</v>
      </c>
      <c r="M74" s="47" t="s">
        <v>109</v>
      </c>
      <c r="N74" s="29" t="s">
        <v>109</v>
      </c>
      <c r="O74" s="29" t="s">
        <v>61</v>
      </c>
      <c r="P74" s="47" t="s">
        <v>131</v>
      </c>
      <c r="Q74" s="47" t="s">
        <v>91</v>
      </c>
      <c r="R74" s="7" t="s">
        <v>62</v>
      </c>
      <c r="S74" s="47" t="s">
        <v>109</v>
      </c>
      <c r="T74" s="92" t="s">
        <v>1359</v>
      </c>
      <c r="U74" s="47" t="b">
        <f t="shared" si="1"/>
        <v>0</v>
      </c>
      <c r="V74" s="47" t="s">
        <v>1816</v>
      </c>
    </row>
    <row r="75" spans="1:22" ht="15" thickBot="1" x14ac:dyDescent="0.35">
      <c r="A75" s="7">
        <v>74</v>
      </c>
      <c r="B75" s="29" t="s">
        <v>411</v>
      </c>
      <c r="C75" s="90" t="s">
        <v>1613</v>
      </c>
      <c r="D75" s="91">
        <v>30126018</v>
      </c>
      <c r="E75" s="29">
        <v>43</v>
      </c>
      <c r="F75" s="7">
        <v>14</v>
      </c>
      <c r="G75" s="7">
        <v>0</v>
      </c>
      <c r="H75" s="53" t="s">
        <v>64</v>
      </c>
      <c r="I75" s="53" t="s">
        <v>86</v>
      </c>
      <c r="J75" s="47" t="s">
        <v>130</v>
      </c>
      <c r="K75" s="11">
        <v>0.98055555555555551</v>
      </c>
      <c r="L75" s="11">
        <v>0.98472222222222228</v>
      </c>
      <c r="M75" s="47" t="s">
        <v>109</v>
      </c>
      <c r="N75" s="29" t="s">
        <v>109</v>
      </c>
      <c r="O75" s="29" t="s">
        <v>61</v>
      </c>
      <c r="P75" s="47" t="s">
        <v>131</v>
      </c>
      <c r="Q75" s="47" t="s">
        <v>86</v>
      </c>
      <c r="R75" s="7" t="e">
        <f>VLOOKUP(D75,#REF!,6,0)</f>
        <v>#REF!</v>
      </c>
      <c r="S75" s="47" t="s">
        <v>109</v>
      </c>
      <c r="T75" s="92" t="s">
        <v>1562</v>
      </c>
      <c r="U75" s="47" t="b">
        <f t="shared" si="1"/>
        <v>0</v>
      </c>
      <c r="V75" s="47" t="s">
        <v>291</v>
      </c>
    </row>
    <row r="76" spans="1:22" ht="15" thickBot="1" x14ac:dyDescent="0.35">
      <c r="A76" s="7">
        <v>75</v>
      </c>
      <c r="B76" s="29" t="s">
        <v>411</v>
      </c>
      <c r="C76" s="90" t="s">
        <v>1614</v>
      </c>
      <c r="D76" s="91">
        <v>30126019</v>
      </c>
      <c r="E76" s="29">
        <v>171</v>
      </c>
      <c r="F76" s="7">
        <v>23</v>
      </c>
      <c r="G76" s="7">
        <v>4</v>
      </c>
      <c r="H76" s="7" t="s">
        <v>184</v>
      </c>
      <c r="I76" s="53" t="s">
        <v>93</v>
      </c>
      <c r="J76" s="47" t="s">
        <v>130</v>
      </c>
      <c r="K76" s="11">
        <v>0.88888888888888884</v>
      </c>
      <c r="L76" s="11">
        <v>0.92152777777777772</v>
      </c>
      <c r="M76" s="47" t="s">
        <v>109</v>
      </c>
      <c r="N76" s="29" t="s">
        <v>109</v>
      </c>
      <c r="O76" s="29" t="s">
        <v>61</v>
      </c>
      <c r="P76" s="47" t="s">
        <v>131</v>
      </c>
      <c r="Q76" s="47" t="s">
        <v>93</v>
      </c>
      <c r="R76" s="7" t="e">
        <f>VLOOKUP(D76,#REF!,6,0)</f>
        <v>#REF!</v>
      </c>
      <c r="S76" s="47" t="s">
        <v>109</v>
      </c>
      <c r="T76" s="92" t="s">
        <v>1562</v>
      </c>
      <c r="U76" s="47" t="b">
        <f t="shared" si="1"/>
        <v>0</v>
      </c>
      <c r="V76" s="47" t="s">
        <v>291</v>
      </c>
    </row>
    <row r="77" spans="1:22" ht="15" thickBot="1" x14ac:dyDescent="0.35">
      <c r="A77" s="7">
        <v>76</v>
      </c>
      <c r="B77" s="29" t="s">
        <v>23</v>
      </c>
      <c r="C77" s="90" t="s">
        <v>754</v>
      </c>
      <c r="D77" s="91">
        <v>50126148</v>
      </c>
      <c r="E77" s="29">
        <v>150</v>
      </c>
      <c r="F77" s="7">
        <v>302</v>
      </c>
      <c r="G77" s="7">
        <v>87</v>
      </c>
      <c r="H77" s="7" t="s">
        <v>938</v>
      </c>
      <c r="I77" s="53" t="s">
        <v>94</v>
      </c>
      <c r="J77" s="47" t="s">
        <v>130</v>
      </c>
      <c r="K77" s="11">
        <v>0.97222222222222221</v>
      </c>
      <c r="L77" s="11">
        <v>0</v>
      </c>
      <c r="M77" s="47" t="s">
        <v>109</v>
      </c>
      <c r="N77" s="29" t="s">
        <v>109</v>
      </c>
      <c r="O77" s="29" t="s">
        <v>61</v>
      </c>
      <c r="P77" s="47" t="s">
        <v>131</v>
      </c>
      <c r="Q77" s="47" t="s">
        <v>94</v>
      </c>
      <c r="R77" s="7" t="s">
        <v>62</v>
      </c>
      <c r="S77" s="47" t="s">
        <v>109</v>
      </c>
      <c r="T77" s="92" t="s">
        <v>480</v>
      </c>
      <c r="U77" s="47" t="b">
        <f t="shared" si="1"/>
        <v>0</v>
      </c>
      <c r="V77" s="47" t="s">
        <v>1816</v>
      </c>
    </row>
    <row r="78" spans="1:22" ht="15" thickBot="1" x14ac:dyDescent="0.35">
      <c r="A78" s="7">
        <v>77</v>
      </c>
      <c r="B78" s="29" t="s">
        <v>23</v>
      </c>
      <c r="C78" s="90" t="s">
        <v>1053</v>
      </c>
      <c r="D78" s="91">
        <v>50126314</v>
      </c>
      <c r="E78" s="29">
        <v>150</v>
      </c>
      <c r="F78" s="7">
        <v>308</v>
      </c>
      <c r="G78" s="7">
        <v>45</v>
      </c>
      <c r="H78" s="53" t="s">
        <v>1807</v>
      </c>
      <c r="I78" s="53" t="s">
        <v>89</v>
      </c>
      <c r="J78" s="47" t="s">
        <v>130</v>
      </c>
      <c r="K78" s="11">
        <v>0.91111111111111109</v>
      </c>
      <c r="L78" s="11">
        <v>0.94097222222222221</v>
      </c>
      <c r="M78" s="47" t="s">
        <v>109</v>
      </c>
      <c r="N78" s="29" t="s">
        <v>109</v>
      </c>
      <c r="O78" s="29" t="s">
        <v>61</v>
      </c>
      <c r="P78" s="47" t="s">
        <v>131</v>
      </c>
      <c r="Q78" s="47" t="s">
        <v>89</v>
      </c>
      <c r="R78" s="7" t="s">
        <v>62</v>
      </c>
      <c r="S78" s="47" t="s">
        <v>109</v>
      </c>
      <c r="T78" s="92" t="s">
        <v>480</v>
      </c>
      <c r="U78" s="47" t="b">
        <f t="shared" si="1"/>
        <v>0</v>
      </c>
      <c r="V78" s="47" t="s">
        <v>1816</v>
      </c>
    </row>
    <row r="79" spans="1:22" ht="15" thickBot="1" x14ac:dyDescent="0.35">
      <c r="A79" s="7">
        <v>78</v>
      </c>
      <c r="B79" s="29" t="s">
        <v>23</v>
      </c>
      <c r="C79" s="90" t="s">
        <v>1054</v>
      </c>
      <c r="D79" s="91">
        <v>50126315</v>
      </c>
      <c r="E79" s="29">
        <v>200</v>
      </c>
      <c r="F79" s="7">
        <v>407</v>
      </c>
      <c r="G79" s="7">
        <v>84</v>
      </c>
      <c r="H79" s="7" t="s">
        <v>988</v>
      </c>
      <c r="I79" s="7" t="s">
        <v>1808</v>
      </c>
      <c r="J79" s="47" t="s">
        <v>130</v>
      </c>
      <c r="K79" s="11">
        <v>0.98402777777777772</v>
      </c>
      <c r="L79" s="11">
        <v>1.5277777777777777E-2</v>
      </c>
      <c r="M79" s="47" t="s">
        <v>109</v>
      </c>
      <c r="N79" s="29" t="s">
        <v>109</v>
      </c>
      <c r="O79" s="29" t="s">
        <v>61</v>
      </c>
      <c r="P79" s="47" t="s">
        <v>131</v>
      </c>
      <c r="Q79" s="47" t="s">
        <v>86</v>
      </c>
      <c r="R79" s="7" t="s">
        <v>62</v>
      </c>
      <c r="S79" s="47" t="s">
        <v>109</v>
      </c>
      <c r="T79" s="92" t="s">
        <v>480</v>
      </c>
      <c r="U79" s="47" t="b">
        <f t="shared" si="1"/>
        <v>0</v>
      </c>
      <c r="V79" s="47" t="s">
        <v>291</v>
      </c>
    </row>
    <row r="80" spans="1:22" ht="15" thickBot="1" x14ac:dyDescent="0.35">
      <c r="A80" s="7">
        <v>79</v>
      </c>
      <c r="B80" s="29" t="s">
        <v>23</v>
      </c>
      <c r="C80" s="90" t="s">
        <v>1055</v>
      </c>
      <c r="D80" s="91">
        <v>50126317</v>
      </c>
      <c r="E80" s="29">
        <v>150</v>
      </c>
      <c r="F80" s="7">
        <v>279</v>
      </c>
      <c r="G80" s="7">
        <v>123</v>
      </c>
      <c r="H80" s="7" t="s">
        <v>1809</v>
      </c>
      <c r="I80" s="53" t="s">
        <v>95</v>
      </c>
      <c r="J80" s="47" t="s">
        <v>130</v>
      </c>
      <c r="K80" s="11">
        <v>0.87083333333333335</v>
      </c>
      <c r="L80" s="11">
        <v>0.90347222222222223</v>
      </c>
      <c r="M80" s="47" t="s">
        <v>109</v>
      </c>
      <c r="N80" s="29" t="s">
        <v>109</v>
      </c>
      <c r="O80" s="29" t="s">
        <v>61</v>
      </c>
      <c r="P80" s="47" t="s">
        <v>131</v>
      </c>
      <c r="Q80" s="47" t="s">
        <v>1818</v>
      </c>
      <c r="R80" s="7" t="s">
        <v>62</v>
      </c>
      <c r="S80" s="47" t="s">
        <v>109</v>
      </c>
      <c r="T80" s="92" t="s">
        <v>480</v>
      </c>
      <c r="U80" s="47" t="b">
        <f t="shared" si="1"/>
        <v>0</v>
      </c>
      <c r="V80" s="47" t="s">
        <v>291</v>
      </c>
    </row>
    <row r="81" spans="1:22" ht="15" thickBot="1" x14ac:dyDescent="0.35">
      <c r="A81" s="7">
        <v>80</v>
      </c>
      <c r="B81" s="29" t="s">
        <v>23</v>
      </c>
      <c r="C81" s="90" t="s">
        <v>752</v>
      </c>
      <c r="D81" s="91">
        <v>50126141</v>
      </c>
      <c r="E81" s="29">
        <v>200</v>
      </c>
      <c r="F81" s="7">
        <v>308</v>
      </c>
      <c r="G81" s="7">
        <v>129</v>
      </c>
      <c r="H81" s="7" t="s">
        <v>1566</v>
      </c>
      <c r="I81" s="7" t="s">
        <v>1810</v>
      </c>
      <c r="J81" s="47" t="s">
        <v>130</v>
      </c>
      <c r="K81" s="11">
        <v>0.85902777777777772</v>
      </c>
      <c r="L81" s="11">
        <v>0.87291666666666667</v>
      </c>
      <c r="M81" s="47" t="s">
        <v>109</v>
      </c>
      <c r="N81" s="29" t="s">
        <v>109</v>
      </c>
      <c r="O81" s="29" t="s">
        <v>61</v>
      </c>
      <c r="P81" s="47" t="s">
        <v>131</v>
      </c>
      <c r="Q81" s="47" t="s">
        <v>87</v>
      </c>
      <c r="R81" s="7" t="s">
        <v>62</v>
      </c>
      <c r="S81" s="47" t="s">
        <v>109</v>
      </c>
      <c r="T81" s="92" t="s">
        <v>480</v>
      </c>
      <c r="U81" s="47" t="b">
        <f t="shared" si="1"/>
        <v>0</v>
      </c>
      <c r="V81" s="47" t="s">
        <v>1315</v>
      </c>
    </row>
    <row r="82" spans="1:22" ht="15" thickBot="1" x14ac:dyDescent="0.35">
      <c r="A82" s="7">
        <v>81</v>
      </c>
      <c r="B82" s="29" t="s">
        <v>23</v>
      </c>
      <c r="C82" s="90" t="s">
        <v>587</v>
      </c>
      <c r="D82" s="91">
        <v>50126063</v>
      </c>
      <c r="E82" s="29">
        <v>100</v>
      </c>
      <c r="F82" s="7">
        <v>126</v>
      </c>
      <c r="G82" s="7">
        <v>54</v>
      </c>
      <c r="H82" s="53" t="s">
        <v>222</v>
      </c>
      <c r="I82" s="7" t="s">
        <v>109</v>
      </c>
      <c r="J82" s="47" t="s">
        <v>130</v>
      </c>
      <c r="K82" s="11">
        <v>0.79722222222222228</v>
      </c>
      <c r="L82" s="7" t="s">
        <v>109</v>
      </c>
      <c r="M82" s="47" t="s">
        <v>109</v>
      </c>
      <c r="N82" s="29" t="s">
        <v>109</v>
      </c>
      <c r="O82" s="29" t="s">
        <v>61</v>
      </c>
      <c r="P82" s="47" t="s">
        <v>131</v>
      </c>
      <c r="Q82" s="47" t="s">
        <v>222</v>
      </c>
      <c r="R82" s="7" t="s">
        <v>62</v>
      </c>
      <c r="S82" s="47" t="s">
        <v>109</v>
      </c>
      <c r="T82" s="92" t="s">
        <v>610</v>
      </c>
      <c r="U82" s="47" t="b">
        <f t="shared" si="1"/>
        <v>0</v>
      </c>
      <c r="V82" s="47" t="s">
        <v>291</v>
      </c>
    </row>
    <row r="83" spans="1:22" ht="15" thickBot="1" x14ac:dyDescent="0.35">
      <c r="A83" s="7">
        <v>82</v>
      </c>
      <c r="B83" s="29" t="s">
        <v>23</v>
      </c>
      <c r="C83" s="90" t="s">
        <v>1811</v>
      </c>
      <c r="D83" s="91">
        <v>50126405</v>
      </c>
      <c r="E83" s="29">
        <v>50</v>
      </c>
      <c r="F83" s="7">
        <v>98</v>
      </c>
      <c r="G83" s="7">
        <v>18</v>
      </c>
      <c r="H83" s="53" t="s">
        <v>64</v>
      </c>
      <c r="I83" s="7" t="s">
        <v>109</v>
      </c>
      <c r="J83" s="47" t="s">
        <v>130</v>
      </c>
      <c r="K83" s="11">
        <v>0.73541666666666672</v>
      </c>
      <c r="L83" s="7" t="s">
        <v>109</v>
      </c>
      <c r="M83" s="47" t="s">
        <v>109</v>
      </c>
      <c r="N83" s="29" t="s">
        <v>109</v>
      </c>
      <c r="O83" s="29" t="s">
        <v>61</v>
      </c>
      <c r="P83" s="47" t="s">
        <v>131</v>
      </c>
      <c r="Q83" s="47" t="s">
        <v>64</v>
      </c>
      <c r="R83" s="7" t="e">
        <f>VLOOKUP(D83,#REF!,6,0)</f>
        <v>#REF!</v>
      </c>
      <c r="S83" s="47" t="s">
        <v>109</v>
      </c>
      <c r="T83" s="92" t="s">
        <v>112</v>
      </c>
      <c r="U83" s="47" t="b">
        <f t="shared" si="1"/>
        <v>0</v>
      </c>
      <c r="V83" s="47" t="s">
        <v>291</v>
      </c>
    </row>
    <row r="84" spans="1:22" ht="15" thickBot="1" x14ac:dyDescent="0.35">
      <c r="A84" s="7">
        <v>83</v>
      </c>
      <c r="B84" s="29" t="s">
        <v>23</v>
      </c>
      <c r="C84" s="90" t="s">
        <v>1043</v>
      </c>
      <c r="D84" s="91">
        <v>50126282</v>
      </c>
      <c r="E84" s="29">
        <v>75</v>
      </c>
      <c r="F84" s="7">
        <v>131</v>
      </c>
      <c r="G84" s="7">
        <v>21</v>
      </c>
      <c r="H84" s="53" t="s">
        <v>69</v>
      </c>
      <c r="I84" s="7" t="s">
        <v>109</v>
      </c>
      <c r="J84" s="47" t="s">
        <v>130</v>
      </c>
      <c r="K84" s="11">
        <v>0.75763888888888886</v>
      </c>
      <c r="L84" s="7" t="s">
        <v>109</v>
      </c>
      <c r="M84" s="47" t="s">
        <v>109</v>
      </c>
      <c r="N84" s="29" t="s">
        <v>109</v>
      </c>
      <c r="O84" s="29" t="s">
        <v>61</v>
      </c>
      <c r="P84" s="47" t="s">
        <v>131</v>
      </c>
      <c r="Q84" s="47" t="s">
        <v>69</v>
      </c>
      <c r="R84" s="7" t="s">
        <v>62</v>
      </c>
      <c r="S84" s="47" t="s">
        <v>109</v>
      </c>
      <c r="T84" s="92" t="s">
        <v>223</v>
      </c>
      <c r="U84" s="47" t="b">
        <f t="shared" si="1"/>
        <v>0</v>
      </c>
      <c r="V84" s="47" t="s">
        <v>291</v>
      </c>
    </row>
    <row r="85" spans="1:22" ht="15" thickBot="1" x14ac:dyDescent="0.35">
      <c r="A85" s="7">
        <v>84</v>
      </c>
      <c r="B85" s="29" t="s">
        <v>23</v>
      </c>
      <c r="C85" s="90" t="s">
        <v>1044</v>
      </c>
      <c r="D85" s="91">
        <v>50126281</v>
      </c>
      <c r="E85" s="29">
        <v>50</v>
      </c>
      <c r="F85" s="7">
        <v>103</v>
      </c>
      <c r="G85" s="7">
        <v>29</v>
      </c>
      <c r="H85" s="7" t="s">
        <v>241</v>
      </c>
      <c r="I85" s="7" t="s">
        <v>109</v>
      </c>
      <c r="J85" s="47" t="s">
        <v>130</v>
      </c>
      <c r="K85" s="11">
        <v>0.69513888888888886</v>
      </c>
      <c r="L85" s="7" t="s">
        <v>109</v>
      </c>
      <c r="M85" s="47" t="s">
        <v>109</v>
      </c>
      <c r="N85" s="29" t="s">
        <v>109</v>
      </c>
      <c r="O85" s="29" t="s">
        <v>61</v>
      </c>
      <c r="P85" s="47" t="s">
        <v>131</v>
      </c>
      <c r="Q85" s="47" t="s">
        <v>241</v>
      </c>
      <c r="R85" s="7" t="s">
        <v>62</v>
      </c>
      <c r="S85" s="47" t="s">
        <v>109</v>
      </c>
      <c r="T85" s="92" t="s">
        <v>223</v>
      </c>
      <c r="U85" s="47" t="b">
        <f t="shared" si="1"/>
        <v>0</v>
      </c>
      <c r="V85" s="47" t="s">
        <v>291</v>
      </c>
    </row>
    <row r="86" spans="1:22" ht="15" thickBot="1" x14ac:dyDescent="0.35">
      <c r="A86" s="7">
        <v>85</v>
      </c>
      <c r="B86" s="29" t="s">
        <v>23</v>
      </c>
      <c r="C86" s="90" t="s">
        <v>1047</v>
      </c>
      <c r="D86" s="91">
        <v>50126286</v>
      </c>
      <c r="E86" s="29">
        <v>50</v>
      </c>
      <c r="F86" s="7">
        <v>110</v>
      </c>
      <c r="G86" s="7">
        <v>44</v>
      </c>
      <c r="H86" s="7" t="s">
        <v>70</v>
      </c>
      <c r="I86" s="7" t="s">
        <v>109</v>
      </c>
      <c r="J86" s="47" t="s">
        <v>130</v>
      </c>
      <c r="K86" s="11">
        <v>0.90208333333333335</v>
      </c>
      <c r="L86" s="7" t="s">
        <v>109</v>
      </c>
      <c r="M86" s="47" t="s">
        <v>109</v>
      </c>
      <c r="N86" s="29" t="s">
        <v>109</v>
      </c>
      <c r="O86" s="29" t="s">
        <v>61</v>
      </c>
      <c r="P86" s="47" t="s">
        <v>131</v>
      </c>
      <c r="Q86" s="47" t="s">
        <v>70</v>
      </c>
      <c r="R86" s="7" t="s">
        <v>62</v>
      </c>
      <c r="S86" s="47" t="s">
        <v>109</v>
      </c>
      <c r="T86" s="92" t="s">
        <v>223</v>
      </c>
      <c r="U86" s="47" t="b">
        <f t="shared" si="1"/>
        <v>0</v>
      </c>
      <c r="V86" s="47" t="s">
        <v>1816</v>
      </c>
    </row>
    <row r="87" spans="1:22" ht="15" thickBot="1" x14ac:dyDescent="0.35">
      <c r="A87" s="7">
        <v>86</v>
      </c>
      <c r="B87" s="29" t="s">
        <v>23</v>
      </c>
      <c r="C87" s="90" t="s">
        <v>1366</v>
      </c>
      <c r="D87" s="91">
        <v>50126343</v>
      </c>
      <c r="E87" s="29">
        <v>1000</v>
      </c>
      <c r="F87" s="7">
        <v>23</v>
      </c>
      <c r="G87" s="7">
        <v>7</v>
      </c>
      <c r="H87" s="7" t="s">
        <v>241</v>
      </c>
      <c r="I87" s="7" t="s">
        <v>109</v>
      </c>
      <c r="J87" s="47" t="s">
        <v>130</v>
      </c>
      <c r="K87" s="11">
        <v>0.84097222222222223</v>
      </c>
      <c r="L87" s="7" t="s">
        <v>109</v>
      </c>
      <c r="M87" s="47" t="s">
        <v>109</v>
      </c>
      <c r="N87" s="29" t="s">
        <v>109</v>
      </c>
      <c r="O87" s="29" t="s">
        <v>61</v>
      </c>
      <c r="P87" s="47" t="s">
        <v>131</v>
      </c>
      <c r="Q87" s="47" t="s">
        <v>241</v>
      </c>
      <c r="R87" s="7" t="s">
        <v>62</v>
      </c>
      <c r="S87" s="47" t="s">
        <v>109</v>
      </c>
      <c r="T87" s="92" t="s">
        <v>1365</v>
      </c>
      <c r="U87" s="47" t="b">
        <f t="shared" si="1"/>
        <v>0</v>
      </c>
      <c r="V87" s="47" t="s">
        <v>291</v>
      </c>
    </row>
    <row r="88" spans="1:22" ht="15" thickBot="1" x14ac:dyDescent="0.35">
      <c r="A88" s="7">
        <v>87</v>
      </c>
      <c r="B88" s="29" t="s">
        <v>23</v>
      </c>
      <c r="C88" s="90" t="s">
        <v>1812</v>
      </c>
      <c r="D88" s="91">
        <v>50226002</v>
      </c>
      <c r="E88" s="29">
        <v>100</v>
      </c>
      <c r="F88" s="7">
        <v>128</v>
      </c>
      <c r="G88" s="7">
        <v>75</v>
      </c>
      <c r="H88" s="53" t="s">
        <v>84</v>
      </c>
      <c r="I88" s="7" t="s">
        <v>109</v>
      </c>
      <c r="J88" s="47" t="s">
        <v>130</v>
      </c>
      <c r="K88" s="11">
        <v>2.2916666666666665E-2</v>
      </c>
      <c r="L88" s="7" t="s">
        <v>109</v>
      </c>
      <c r="M88" s="47" t="s">
        <v>109</v>
      </c>
      <c r="N88" s="29" t="s">
        <v>109</v>
      </c>
      <c r="O88" s="29" t="s">
        <v>61</v>
      </c>
      <c r="P88" s="47" t="s">
        <v>131</v>
      </c>
      <c r="Q88" s="47" t="s">
        <v>84</v>
      </c>
      <c r="R88" s="7" t="e">
        <f>VLOOKUP(D88,#REF!,6,0)</f>
        <v>#REF!</v>
      </c>
      <c r="S88" s="47" t="s">
        <v>109</v>
      </c>
      <c r="T88" s="92" t="s">
        <v>1813</v>
      </c>
      <c r="U88" s="47" t="b">
        <f t="shared" si="1"/>
        <v>0</v>
      </c>
      <c r="V88" s="47" t="s">
        <v>109</v>
      </c>
    </row>
    <row r="89" spans="1:22" ht="15" thickBot="1" x14ac:dyDescent="0.35">
      <c r="A89" s="7">
        <v>88</v>
      </c>
      <c r="B89" s="29" t="s">
        <v>23</v>
      </c>
      <c r="C89" s="90" t="s">
        <v>1814</v>
      </c>
      <c r="D89" s="91">
        <v>50226003</v>
      </c>
      <c r="E89" s="29">
        <v>50</v>
      </c>
      <c r="F89" s="7">
        <v>60</v>
      </c>
      <c r="G89" s="7">
        <v>45</v>
      </c>
      <c r="H89" s="53" t="s">
        <v>66</v>
      </c>
      <c r="I89" s="7" t="s">
        <v>109</v>
      </c>
      <c r="J89" s="47" t="s">
        <v>130</v>
      </c>
      <c r="K89" s="11">
        <v>0.6743055555555556</v>
      </c>
      <c r="L89" s="7" t="s">
        <v>109</v>
      </c>
      <c r="M89" s="47" t="s">
        <v>109</v>
      </c>
      <c r="N89" s="29" t="s">
        <v>109</v>
      </c>
      <c r="O89" s="29" t="s">
        <v>61</v>
      </c>
      <c r="P89" s="47" t="s">
        <v>131</v>
      </c>
      <c r="Q89" s="47" t="s">
        <v>66</v>
      </c>
      <c r="R89" s="7" t="e">
        <f>VLOOKUP(D89,#REF!,6,0)</f>
        <v>#REF!</v>
      </c>
      <c r="S89" s="47" t="s">
        <v>109</v>
      </c>
      <c r="T89" s="92" t="s">
        <v>1813</v>
      </c>
      <c r="U89" s="47" t="b">
        <f t="shared" si="1"/>
        <v>0</v>
      </c>
      <c r="V89" s="47" t="s">
        <v>109</v>
      </c>
    </row>
    <row r="90" spans="1:22" ht="15" thickBot="1" x14ac:dyDescent="0.35">
      <c r="A90" s="7">
        <v>89</v>
      </c>
      <c r="B90" s="29" t="s">
        <v>23</v>
      </c>
      <c r="C90" s="90" t="s">
        <v>1815</v>
      </c>
      <c r="D90" s="91">
        <v>50226001</v>
      </c>
      <c r="E90" s="29">
        <v>100</v>
      </c>
      <c r="F90" s="7">
        <v>57</v>
      </c>
      <c r="G90" s="7">
        <v>33</v>
      </c>
      <c r="H90" s="53" t="s">
        <v>65</v>
      </c>
      <c r="I90" s="7" t="s">
        <v>109</v>
      </c>
      <c r="J90" s="47" t="s">
        <v>130</v>
      </c>
      <c r="K90" s="11">
        <v>0.99305555555555558</v>
      </c>
      <c r="L90" s="7" t="s">
        <v>109</v>
      </c>
      <c r="M90" s="47" t="s">
        <v>109</v>
      </c>
      <c r="N90" s="29" t="s">
        <v>109</v>
      </c>
      <c r="O90" s="29" t="s">
        <v>61</v>
      </c>
      <c r="P90" s="47" t="s">
        <v>131</v>
      </c>
      <c r="Q90" s="47" t="s">
        <v>65</v>
      </c>
      <c r="R90" s="7" t="e">
        <f>VLOOKUP(D90,#REF!,6,0)</f>
        <v>#REF!</v>
      </c>
      <c r="S90" s="47" t="s">
        <v>109</v>
      </c>
      <c r="T90" s="92" t="s">
        <v>1813</v>
      </c>
      <c r="U90" s="47" t="b">
        <f t="shared" si="1"/>
        <v>0</v>
      </c>
      <c r="V90" s="47" t="s">
        <v>291</v>
      </c>
    </row>
    <row r="91" spans="1:22" ht="15" thickBot="1" x14ac:dyDescent="0.35">
      <c r="A91" s="7">
        <v>90</v>
      </c>
      <c r="B91" s="29" t="s">
        <v>23</v>
      </c>
      <c r="C91" s="90" t="s">
        <v>1729</v>
      </c>
      <c r="D91" s="91">
        <v>50126400</v>
      </c>
      <c r="E91" s="29">
        <v>100</v>
      </c>
      <c r="F91" s="7">
        <v>200</v>
      </c>
      <c r="G91" s="7">
        <v>71</v>
      </c>
      <c r="H91" s="53" t="s">
        <v>70</v>
      </c>
      <c r="I91" s="7" t="s">
        <v>109</v>
      </c>
      <c r="J91" s="47" t="s">
        <v>130</v>
      </c>
      <c r="K91" s="11">
        <v>0.69722222222222219</v>
      </c>
      <c r="L91" s="7" t="s">
        <v>109</v>
      </c>
      <c r="M91" s="47" t="s">
        <v>109</v>
      </c>
      <c r="N91" s="29" t="s">
        <v>109</v>
      </c>
      <c r="O91" s="29" t="s">
        <v>61</v>
      </c>
      <c r="P91" s="47" t="s">
        <v>131</v>
      </c>
      <c r="Q91" s="47" t="s">
        <v>70</v>
      </c>
      <c r="R91" s="7" t="e">
        <f>VLOOKUP(D91,#REF!,6,0)</f>
        <v>#REF!</v>
      </c>
      <c r="S91" s="47" t="s">
        <v>109</v>
      </c>
      <c r="T91" s="92" t="s">
        <v>362</v>
      </c>
      <c r="U91" s="47" t="b">
        <f t="shared" si="1"/>
        <v>0</v>
      </c>
      <c r="V91" s="47" t="s">
        <v>1816</v>
      </c>
    </row>
    <row r="92" spans="1:22" ht="15" thickBot="1" x14ac:dyDescent="0.35">
      <c r="A92" s="7">
        <v>91</v>
      </c>
      <c r="B92" s="29" t="s">
        <v>23</v>
      </c>
      <c r="C92" s="90" t="s">
        <v>198</v>
      </c>
      <c r="D92" s="91">
        <v>50925062</v>
      </c>
      <c r="E92" s="29">
        <v>100</v>
      </c>
      <c r="F92" s="7">
        <v>150</v>
      </c>
      <c r="G92" s="7">
        <v>7</v>
      </c>
      <c r="H92" s="53" t="s">
        <v>66</v>
      </c>
      <c r="I92" s="7" t="s">
        <v>109</v>
      </c>
      <c r="J92" s="47" t="s">
        <v>130</v>
      </c>
      <c r="K92" s="11">
        <v>0.87638888888888888</v>
      </c>
      <c r="L92" s="7" t="s">
        <v>109</v>
      </c>
      <c r="M92" s="47" t="s">
        <v>109</v>
      </c>
      <c r="N92" s="29" t="s">
        <v>109</v>
      </c>
      <c r="O92" s="29" t="s">
        <v>61</v>
      </c>
      <c r="P92" s="47" t="s">
        <v>131</v>
      </c>
      <c r="Q92" s="47" t="s">
        <v>66</v>
      </c>
      <c r="R92" s="7" t="s">
        <v>62</v>
      </c>
      <c r="S92" s="47" t="s">
        <v>109</v>
      </c>
      <c r="T92" s="92" t="s">
        <v>197</v>
      </c>
      <c r="U92" s="47" t="b">
        <f t="shared" si="1"/>
        <v>0</v>
      </c>
      <c r="V92" s="47" t="s">
        <v>1820</v>
      </c>
    </row>
    <row r="93" spans="1:22" ht="15" thickBot="1" x14ac:dyDescent="0.35">
      <c r="A93" s="7">
        <v>92</v>
      </c>
      <c r="B93" s="29" t="s">
        <v>23</v>
      </c>
      <c r="C93" s="90" t="s">
        <v>203</v>
      </c>
      <c r="D93" s="91">
        <v>51025063</v>
      </c>
      <c r="E93" s="29">
        <v>100</v>
      </c>
      <c r="F93" s="7">
        <v>190</v>
      </c>
      <c r="G93" s="7">
        <v>37</v>
      </c>
      <c r="H93" s="7" t="s">
        <v>69</v>
      </c>
      <c r="I93" s="7" t="s">
        <v>109</v>
      </c>
      <c r="J93" s="47" t="s">
        <v>130</v>
      </c>
      <c r="K93" s="11">
        <v>0.99305555555555558</v>
      </c>
      <c r="L93" s="7" t="s">
        <v>109</v>
      </c>
      <c r="M93" s="47" t="s">
        <v>109</v>
      </c>
      <c r="N93" s="29" t="s">
        <v>109</v>
      </c>
      <c r="O93" s="29" t="s">
        <v>61</v>
      </c>
      <c r="P93" s="47" t="s">
        <v>131</v>
      </c>
      <c r="Q93" s="47" t="s">
        <v>69</v>
      </c>
      <c r="R93" s="7" t="s">
        <v>62</v>
      </c>
      <c r="S93" s="47" t="s">
        <v>109</v>
      </c>
      <c r="T93" s="92" t="s">
        <v>197</v>
      </c>
      <c r="U93" s="47" t="b">
        <f t="shared" si="1"/>
        <v>0</v>
      </c>
      <c r="V93" s="47" t="s">
        <v>1816</v>
      </c>
    </row>
    <row r="94" spans="1:22" ht="15" thickBot="1" x14ac:dyDescent="0.35">
      <c r="A94" s="7">
        <v>93</v>
      </c>
      <c r="B94" s="29" t="s">
        <v>23</v>
      </c>
      <c r="C94" s="90" t="s">
        <v>213</v>
      </c>
      <c r="D94" s="91">
        <v>50925065</v>
      </c>
      <c r="E94" s="29">
        <v>25</v>
      </c>
      <c r="F94" s="7">
        <v>28</v>
      </c>
      <c r="G94" s="7">
        <v>18</v>
      </c>
      <c r="H94" s="53" t="s">
        <v>184</v>
      </c>
      <c r="I94" s="7" t="s">
        <v>109</v>
      </c>
      <c r="J94" s="47" t="s">
        <v>130</v>
      </c>
      <c r="K94" s="11">
        <v>0.8881944444444444</v>
      </c>
      <c r="L94" s="7" t="s">
        <v>109</v>
      </c>
      <c r="M94" s="47" t="s">
        <v>109</v>
      </c>
      <c r="N94" s="32" t="s">
        <v>358</v>
      </c>
      <c r="O94" s="29" t="s">
        <v>145</v>
      </c>
      <c r="P94" s="47" t="s">
        <v>131</v>
      </c>
      <c r="Q94" s="47" t="s">
        <v>184</v>
      </c>
      <c r="R94" s="7" t="s">
        <v>62</v>
      </c>
      <c r="S94" s="47" t="s">
        <v>109</v>
      </c>
      <c r="T94" s="92" t="s">
        <v>197</v>
      </c>
      <c r="U94" s="47" t="b">
        <f t="shared" si="1"/>
        <v>0</v>
      </c>
      <c r="V94" s="47" t="s">
        <v>109</v>
      </c>
    </row>
    <row r="95" spans="1:22" x14ac:dyDescent="0.3">
      <c r="A95" s="69">
        <v>94</v>
      </c>
      <c r="B95" s="93" t="s">
        <v>23</v>
      </c>
      <c r="C95" s="94" t="s">
        <v>199</v>
      </c>
      <c r="D95" s="95">
        <v>50925064</v>
      </c>
      <c r="E95" s="93">
        <v>100</v>
      </c>
      <c r="F95" s="69">
        <v>202</v>
      </c>
      <c r="G95" s="69">
        <v>86</v>
      </c>
      <c r="H95" s="96" t="s">
        <v>72</v>
      </c>
      <c r="I95" s="69" t="s">
        <v>109</v>
      </c>
      <c r="J95" s="97" t="s">
        <v>130</v>
      </c>
      <c r="K95" s="100">
        <v>0.86527777777777781</v>
      </c>
      <c r="L95" s="69" t="s">
        <v>109</v>
      </c>
      <c r="M95" s="97" t="s">
        <v>109</v>
      </c>
      <c r="N95" s="93" t="s">
        <v>109</v>
      </c>
      <c r="O95" s="93" t="s">
        <v>61</v>
      </c>
      <c r="P95" s="97" t="s">
        <v>131</v>
      </c>
      <c r="Q95" s="47" t="s">
        <v>72</v>
      </c>
      <c r="R95" s="7" t="s">
        <v>62</v>
      </c>
      <c r="S95" s="97" t="s">
        <v>109</v>
      </c>
      <c r="T95" s="98" t="s">
        <v>197</v>
      </c>
      <c r="U95" s="97" t="b">
        <f t="shared" si="1"/>
        <v>0</v>
      </c>
      <c r="V95" s="97" t="s">
        <v>1816</v>
      </c>
    </row>
    <row r="96" spans="1:22" x14ac:dyDescent="0.3">
      <c r="A96" s="7">
        <v>95</v>
      </c>
      <c r="B96" s="29" t="s">
        <v>23</v>
      </c>
      <c r="C96" s="90" t="s">
        <v>596</v>
      </c>
      <c r="D96" s="91">
        <v>50126071</v>
      </c>
      <c r="E96" s="29">
        <v>100</v>
      </c>
      <c r="F96" s="7">
        <v>63</v>
      </c>
      <c r="G96" s="7">
        <v>21</v>
      </c>
      <c r="H96" s="53" t="s">
        <v>71</v>
      </c>
      <c r="I96" s="7" t="s">
        <v>109</v>
      </c>
      <c r="J96" s="47" t="s">
        <v>130</v>
      </c>
      <c r="K96" s="11">
        <v>0.9</v>
      </c>
      <c r="L96" s="7" t="s">
        <v>109</v>
      </c>
      <c r="M96" s="47" t="s">
        <v>109</v>
      </c>
      <c r="N96" s="29" t="s">
        <v>109</v>
      </c>
      <c r="O96" s="29" t="s">
        <v>61</v>
      </c>
      <c r="P96" s="47" t="s">
        <v>131</v>
      </c>
      <c r="Q96" s="47" t="s">
        <v>71</v>
      </c>
      <c r="R96" s="7" t="s">
        <v>62</v>
      </c>
      <c r="S96" s="47" t="s">
        <v>109</v>
      </c>
      <c r="T96" s="29" t="s">
        <v>610</v>
      </c>
      <c r="U96" s="47" t="b">
        <f t="shared" si="1"/>
        <v>0</v>
      </c>
      <c r="V96" s="47" t="s">
        <v>291</v>
      </c>
    </row>
    <row r="97" spans="1:22" x14ac:dyDescent="0.3">
      <c r="A97" s="7">
        <v>96</v>
      </c>
      <c r="B97" s="29" t="s">
        <v>1550</v>
      </c>
      <c r="C97" s="29" t="s">
        <v>1556</v>
      </c>
      <c r="D97" s="91">
        <v>40126034</v>
      </c>
      <c r="E97" s="29">
        <v>62</v>
      </c>
      <c r="F97" s="7">
        <v>125</v>
      </c>
      <c r="G97" s="7">
        <v>21</v>
      </c>
      <c r="H97" s="7" t="s">
        <v>66</v>
      </c>
      <c r="I97" s="7" t="s">
        <v>88</v>
      </c>
      <c r="J97" s="7" t="s">
        <v>130</v>
      </c>
      <c r="K97" s="11">
        <v>0.8</v>
      </c>
      <c r="L97" s="11">
        <v>0.84861111111111109</v>
      </c>
      <c r="M97" s="7" t="s">
        <v>109</v>
      </c>
      <c r="N97" s="32" t="s">
        <v>1817</v>
      </c>
      <c r="O97" s="29" t="s">
        <v>61</v>
      </c>
      <c r="P97" s="7" t="s">
        <v>131</v>
      </c>
      <c r="Q97" s="7" t="s">
        <v>88</v>
      </c>
      <c r="R97" s="74" t="s">
        <v>1640</v>
      </c>
      <c r="S97" s="7" t="s">
        <v>109</v>
      </c>
      <c r="T97" s="7" t="s">
        <v>1554</v>
      </c>
      <c r="U97" s="7" t="b">
        <f t="shared" si="1"/>
        <v>0</v>
      </c>
      <c r="V97" s="7" t="s">
        <v>1821</v>
      </c>
    </row>
    <row r="98" spans="1:22" x14ac:dyDescent="0.3">
      <c r="A98" s="69">
        <v>97</v>
      </c>
      <c r="B98" s="101" t="s">
        <v>24</v>
      </c>
      <c r="C98" s="93" t="s">
        <v>1819</v>
      </c>
      <c r="D98" s="95">
        <v>60126010</v>
      </c>
      <c r="E98" s="93">
        <v>45</v>
      </c>
      <c r="F98" s="69">
        <v>42</v>
      </c>
      <c r="G98" s="69">
        <v>14</v>
      </c>
      <c r="H98" s="69" t="s">
        <v>67</v>
      </c>
      <c r="I98" s="69" t="s">
        <v>89</v>
      </c>
      <c r="J98" s="69" t="s">
        <v>130</v>
      </c>
      <c r="K98" s="100">
        <v>0.81180555555555556</v>
      </c>
      <c r="L98" s="100">
        <v>0.81944444444444442</v>
      </c>
      <c r="M98" s="69" t="s">
        <v>109</v>
      </c>
      <c r="N98" s="102" t="s">
        <v>1822</v>
      </c>
      <c r="O98" s="93" t="s">
        <v>145</v>
      </c>
      <c r="P98" s="69" t="s">
        <v>131</v>
      </c>
      <c r="Q98" s="69" t="s">
        <v>89</v>
      </c>
      <c r="R98" s="103" t="s">
        <v>63</v>
      </c>
      <c r="S98" s="69" t="s">
        <v>109</v>
      </c>
      <c r="T98" s="104" t="s">
        <v>1089</v>
      </c>
      <c r="U98" s="69" t="b">
        <f t="shared" si="1"/>
        <v>0</v>
      </c>
      <c r="V98" s="69" t="s">
        <v>109</v>
      </c>
    </row>
    <row r="99" spans="1:22" x14ac:dyDescent="0.3">
      <c r="A99" s="7">
        <v>98</v>
      </c>
      <c r="B99" s="29" t="s">
        <v>24</v>
      </c>
      <c r="C99" s="90" t="s">
        <v>1087</v>
      </c>
      <c r="D99" s="29">
        <v>60126009</v>
      </c>
      <c r="E99" s="38">
        <v>68</v>
      </c>
      <c r="F99" s="7">
        <v>18</v>
      </c>
      <c r="G99" s="7">
        <v>3</v>
      </c>
      <c r="H99" s="7" t="s">
        <v>64</v>
      </c>
      <c r="I99" s="7" t="s">
        <v>86</v>
      </c>
      <c r="J99" s="47" t="s">
        <v>130</v>
      </c>
      <c r="K99" s="11">
        <v>0.80625000000000002</v>
      </c>
      <c r="L99" s="11">
        <v>0.81874999999999998</v>
      </c>
      <c r="M99" s="47" t="s">
        <v>109</v>
      </c>
      <c r="N99" s="38" t="s">
        <v>1823</v>
      </c>
      <c r="O99" s="38" t="s">
        <v>61</v>
      </c>
      <c r="P99" s="47" t="s">
        <v>131</v>
      </c>
      <c r="Q99" s="47" t="s">
        <v>86</v>
      </c>
      <c r="R99" s="73" t="s">
        <v>62</v>
      </c>
      <c r="S99" s="47" t="s">
        <v>109</v>
      </c>
      <c r="T99" s="73" t="s">
        <v>1089</v>
      </c>
      <c r="U99" s="47" t="b">
        <f t="shared" si="1"/>
        <v>0</v>
      </c>
      <c r="V99" s="47" t="s">
        <v>291</v>
      </c>
    </row>
    <row r="100" spans="1:22" x14ac:dyDescent="0.3">
      <c r="A100" s="7">
        <v>99</v>
      </c>
      <c r="B100" s="29" t="s">
        <v>143</v>
      </c>
      <c r="C100" s="90" t="s">
        <v>1734</v>
      </c>
      <c r="D100" s="91">
        <v>10126049</v>
      </c>
      <c r="E100" s="29">
        <v>50</v>
      </c>
      <c r="F100" s="7">
        <v>104</v>
      </c>
      <c r="G100" s="7">
        <v>1</v>
      </c>
      <c r="H100" s="7" t="s">
        <v>71</v>
      </c>
      <c r="I100" s="7" t="s">
        <v>87</v>
      </c>
      <c r="J100" s="47" t="s">
        <v>130</v>
      </c>
      <c r="K100" s="11">
        <v>2.2916666666666665E-2</v>
      </c>
      <c r="L100" s="11">
        <v>3.888888888888889E-2</v>
      </c>
      <c r="M100" s="47" t="s">
        <v>109</v>
      </c>
      <c r="N100" s="47" t="s">
        <v>109</v>
      </c>
      <c r="O100" s="47" t="s">
        <v>61</v>
      </c>
      <c r="P100" s="47" t="s">
        <v>131</v>
      </c>
      <c r="Q100" s="47" t="s">
        <v>87</v>
      </c>
      <c r="R100" s="47" t="s">
        <v>109</v>
      </c>
      <c r="S100" s="47" t="s">
        <v>109</v>
      </c>
      <c r="T100" s="99" t="s">
        <v>182</v>
      </c>
      <c r="U100" s="47" t="b">
        <f t="shared" si="1"/>
        <v>0</v>
      </c>
      <c r="V100" s="47" t="s">
        <v>109</v>
      </c>
    </row>
    <row r="101" spans="1:22" ht="15" thickBot="1" x14ac:dyDescent="0.35">
      <c r="A101" s="7">
        <v>100</v>
      </c>
      <c r="B101" s="29" t="s">
        <v>24</v>
      </c>
      <c r="C101" s="90" t="s">
        <v>1824</v>
      </c>
      <c r="D101" s="29">
        <v>60925005</v>
      </c>
      <c r="E101" s="29">
        <v>100</v>
      </c>
      <c r="F101" s="7" t="s">
        <v>109</v>
      </c>
      <c r="G101" s="7" t="s">
        <v>109</v>
      </c>
      <c r="H101" s="7" t="s">
        <v>1549</v>
      </c>
      <c r="I101" s="47" t="s">
        <v>109</v>
      </c>
      <c r="J101" s="47" t="s">
        <v>109</v>
      </c>
      <c r="K101" s="7" t="s">
        <v>109</v>
      </c>
      <c r="L101" s="7" t="s">
        <v>109</v>
      </c>
      <c r="M101" s="47" t="s">
        <v>109</v>
      </c>
      <c r="N101" s="29" t="s">
        <v>1825</v>
      </c>
      <c r="O101" s="29" t="s">
        <v>61</v>
      </c>
      <c r="P101" s="47" t="s">
        <v>109</v>
      </c>
      <c r="Q101" s="47" t="s">
        <v>109</v>
      </c>
      <c r="R101" s="47" t="s">
        <v>109</v>
      </c>
      <c r="S101" s="47" t="s">
        <v>109</v>
      </c>
      <c r="T101" s="92" t="s">
        <v>1826</v>
      </c>
      <c r="U101" s="47" t="b">
        <f t="shared" si="1"/>
        <v>1</v>
      </c>
      <c r="V101" s="47" t="s">
        <v>109</v>
      </c>
    </row>
    <row r="102" spans="1:22" ht="15" thickBot="1" x14ac:dyDescent="0.35">
      <c r="A102" s="7">
        <v>101</v>
      </c>
      <c r="B102" s="29" t="s">
        <v>24</v>
      </c>
      <c r="C102" s="90" t="s">
        <v>1827</v>
      </c>
      <c r="D102" s="29">
        <v>60925008</v>
      </c>
      <c r="E102" s="29">
        <v>110</v>
      </c>
      <c r="F102" s="7" t="s">
        <v>109</v>
      </c>
      <c r="G102" s="7" t="s">
        <v>109</v>
      </c>
      <c r="H102" s="7" t="s">
        <v>1828</v>
      </c>
      <c r="I102" s="47" t="s">
        <v>109</v>
      </c>
      <c r="J102" s="47" t="s">
        <v>109</v>
      </c>
      <c r="K102" s="7" t="s">
        <v>109</v>
      </c>
      <c r="L102" s="7" t="s">
        <v>109</v>
      </c>
      <c r="M102" s="47" t="s">
        <v>109</v>
      </c>
      <c r="N102" s="29" t="s">
        <v>1825</v>
      </c>
      <c r="O102" s="29" t="s">
        <v>61</v>
      </c>
      <c r="P102" s="47" t="s">
        <v>109</v>
      </c>
      <c r="Q102" s="47" t="s">
        <v>109</v>
      </c>
      <c r="R102" s="47" t="s">
        <v>109</v>
      </c>
      <c r="S102" s="47" t="s">
        <v>109</v>
      </c>
      <c r="T102" s="92" t="s">
        <v>1826</v>
      </c>
      <c r="U102" s="47" t="b">
        <f t="shared" si="1"/>
        <v>1</v>
      </c>
      <c r="V102" s="47" t="s">
        <v>109</v>
      </c>
    </row>
    <row r="103" spans="1:22" ht="15" thickBot="1" x14ac:dyDescent="0.35">
      <c r="A103" s="7">
        <v>102</v>
      </c>
      <c r="B103" s="29" t="s">
        <v>24</v>
      </c>
      <c r="C103" s="90" t="s">
        <v>1829</v>
      </c>
      <c r="D103" s="29">
        <v>60925006</v>
      </c>
      <c r="E103" s="29">
        <v>104</v>
      </c>
      <c r="F103" s="7">
        <v>103</v>
      </c>
      <c r="G103" s="7">
        <v>6</v>
      </c>
      <c r="H103" s="7" t="s">
        <v>1830</v>
      </c>
      <c r="I103" s="47" t="s">
        <v>109</v>
      </c>
      <c r="J103" s="47" t="s">
        <v>130</v>
      </c>
      <c r="K103" s="11">
        <v>3.4722222222222224E-2</v>
      </c>
      <c r="L103" s="7" t="s">
        <v>109</v>
      </c>
      <c r="M103" s="47" t="s">
        <v>109</v>
      </c>
      <c r="N103" s="29" t="s">
        <v>1825</v>
      </c>
      <c r="O103" s="29" t="s">
        <v>61</v>
      </c>
      <c r="P103" s="47" t="s">
        <v>131</v>
      </c>
      <c r="Q103" s="47" t="s">
        <v>154</v>
      </c>
      <c r="R103" s="47" t="s">
        <v>109</v>
      </c>
      <c r="S103" s="47" t="s">
        <v>109</v>
      </c>
      <c r="T103" s="92" t="s">
        <v>1826</v>
      </c>
      <c r="U103" s="47" t="b">
        <f t="shared" si="1"/>
        <v>0</v>
      </c>
      <c r="V103" s="47" t="s">
        <v>109</v>
      </c>
    </row>
    <row r="104" spans="1:22" ht="15" thickBot="1" x14ac:dyDescent="0.35">
      <c r="A104" s="7">
        <v>103</v>
      </c>
      <c r="B104" s="29" t="s">
        <v>24</v>
      </c>
      <c r="C104" s="90" t="s">
        <v>1831</v>
      </c>
      <c r="D104" s="29">
        <v>60925007</v>
      </c>
      <c r="E104" s="29">
        <v>100</v>
      </c>
      <c r="F104" s="7">
        <v>19</v>
      </c>
      <c r="G104" s="7">
        <v>0</v>
      </c>
      <c r="H104" s="7" t="s">
        <v>93</v>
      </c>
      <c r="I104" s="47" t="s">
        <v>109</v>
      </c>
      <c r="J104" s="47" t="s">
        <v>130</v>
      </c>
      <c r="K104" s="11">
        <v>2.4305555555555556E-2</v>
      </c>
      <c r="L104" s="7" t="s">
        <v>109</v>
      </c>
      <c r="M104" s="47" t="s">
        <v>109</v>
      </c>
      <c r="N104" s="29" t="s">
        <v>1825</v>
      </c>
      <c r="O104" s="29" t="s">
        <v>61</v>
      </c>
      <c r="P104" s="47" t="s">
        <v>131</v>
      </c>
      <c r="Q104" s="47" t="s">
        <v>93</v>
      </c>
      <c r="R104" s="47" t="s">
        <v>109</v>
      </c>
      <c r="S104" s="47" t="s">
        <v>109</v>
      </c>
      <c r="T104" s="92" t="s">
        <v>1826</v>
      </c>
      <c r="U104" s="47" t="b">
        <f t="shared" si="1"/>
        <v>0</v>
      </c>
      <c r="V104" s="47" t="s">
        <v>109</v>
      </c>
    </row>
  </sheetData>
  <conditionalFormatting sqref="D1 D105:D1048576">
    <cfRule type="duplicateValues" dxfId="90" priority="2"/>
  </conditionalFormatting>
  <conditionalFormatting sqref="D1">
    <cfRule type="duplicateValues" dxfId="89" priority="3"/>
  </conditionalFormatting>
  <conditionalFormatting sqref="D2:D100">
    <cfRule type="duplicateValues" dxfId="88" priority="1"/>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A8E48-7746-430D-A22E-0381669D04CB}">
  <sheetPr codeName="Sheet24"/>
  <dimension ref="A1:V98"/>
  <sheetViews>
    <sheetView workbookViewId="0"/>
  </sheetViews>
  <sheetFormatPr defaultColWidth="9.44140625" defaultRowHeight="14.4" x14ac:dyDescent="0.3"/>
  <sheetData>
    <row r="1" spans="1:22"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row>
    <row r="2" spans="1:22" x14ac:dyDescent="0.3">
      <c r="A2" s="7">
        <v>1</v>
      </c>
      <c r="B2" s="6" t="s">
        <v>24</v>
      </c>
      <c r="C2" s="105" t="s">
        <v>46</v>
      </c>
      <c r="D2" s="6">
        <v>61225009</v>
      </c>
      <c r="E2" s="6">
        <v>162</v>
      </c>
      <c r="F2" s="7">
        <v>23</v>
      </c>
      <c r="G2" s="7">
        <v>4</v>
      </c>
      <c r="H2" s="6" t="s">
        <v>1242</v>
      </c>
      <c r="I2" s="6" t="s">
        <v>294</v>
      </c>
      <c r="J2" s="6" t="s">
        <v>130</v>
      </c>
      <c r="K2" s="11">
        <v>0.93680555555555556</v>
      </c>
      <c r="L2" s="11">
        <v>0.96527777777777779</v>
      </c>
      <c r="M2" s="7" t="s">
        <v>109</v>
      </c>
      <c r="N2" s="6" t="s">
        <v>109</v>
      </c>
      <c r="O2" s="7" t="s">
        <v>61</v>
      </c>
      <c r="P2" s="7" t="s">
        <v>131</v>
      </c>
      <c r="Q2" s="7" t="s">
        <v>88</v>
      </c>
      <c r="R2" s="6" t="s">
        <v>63</v>
      </c>
      <c r="S2" s="7" t="s">
        <v>1500</v>
      </c>
      <c r="T2" s="6" t="s">
        <v>119</v>
      </c>
      <c r="U2" s="7" t="s">
        <v>109</v>
      </c>
      <c r="V2" s="7" t="s">
        <v>291</v>
      </c>
    </row>
    <row r="3" spans="1:22" x14ac:dyDescent="0.3">
      <c r="A3" s="7">
        <v>2</v>
      </c>
      <c r="B3" s="6" t="s">
        <v>24</v>
      </c>
      <c r="C3" s="105" t="s">
        <v>1832</v>
      </c>
      <c r="D3" s="6">
        <v>60226011</v>
      </c>
      <c r="E3" s="6">
        <v>248</v>
      </c>
      <c r="F3" s="7">
        <v>429</v>
      </c>
      <c r="G3" s="7">
        <v>247</v>
      </c>
      <c r="H3" s="10" t="s">
        <v>1225</v>
      </c>
      <c r="I3" s="10" t="s">
        <v>1876</v>
      </c>
      <c r="J3" s="6" t="s">
        <v>130</v>
      </c>
      <c r="K3" s="11">
        <v>0.85416666666666663</v>
      </c>
      <c r="L3" s="11">
        <v>0.8881944444444444</v>
      </c>
      <c r="M3" s="7" t="s">
        <v>109</v>
      </c>
      <c r="N3" s="10" t="s">
        <v>1833</v>
      </c>
      <c r="O3" s="7" t="s">
        <v>61</v>
      </c>
      <c r="P3" s="7" t="s">
        <v>131</v>
      </c>
      <c r="Q3" s="7" t="s">
        <v>88</v>
      </c>
      <c r="R3" s="6" t="s">
        <v>63</v>
      </c>
      <c r="S3" s="7" t="s">
        <v>1500</v>
      </c>
      <c r="T3" s="6" t="s">
        <v>117</v>
      </c>
      <c r="U3" s="7" t="s">
        <v>109</v>
      </c>
      <c r="V3" s="7" t="s">
        <v>109</v>
      </c>
    </row>
    <row r="4" spans="1:22" x14ac:dyDescent="0.3">
      <c r="A4" s="7">
        <v>3</v>
      </c>
      <c r="B4" s="6" t="s">
        <v>24</v>
      </c>
      <c r="C4" s="105" t="s">
        <v>1834</v>
      </c>
      <c r="D4" s="6">
        <v>60226012</v>
      </c>
      <c r="E4" s="6">
        <v>255</v>
      </c>
      <c r="F4" s="7">
        <v>360</v>
      </c>
      <c r="G4" s="7">
        <v>238</v>
      </c>
      <c r="H4" s="10" t="s">
        <v>1835</v>
      </c>
      <c r="I4" s="6" t="s">
        <v>1836</v>
      </c>
      <c r="J4" s="6" t="s">
        <v>130</v>
      </c>
      <c r="K4" s="11">
        <v>0.9</v>
      </c>
      <c r="L4" s="11">
        <v>0.92638888888888893</v>
      </c>
      <c r="M4" s="7" t="s">
        <v>109</v>
      </c>
      <c r="N4" s="10" t="s">
        <v>1833</v>
      </c>
      <c r="O4" s="7" t="s">
        <v>61</v>
      </c>
      <c r="P4" s="7" t="s">
        <v>131</v>
      </c>
      <c r="Q4" s="7" t="s">
        <v>154</v>
      </c>
      <c r="R4" s="6" t="s">
        <v>63</v>
      </c>
      <c r="S4" s="7" t="s">
        <v>1500</v>
      </c>
      <c r="T4" s="6" t="s">
        <v>117</v>
      </c>
      <c r="U4" s="7" t="s">
        <v>109</v>
      </c>
      <c r="V4" s="7" t="s">
        <v>109</v>
      </c>
    </row>
    <row r="5" spans="1:22" x14ac:dyDescent="0.3">
      <c r="A5" s="7">
        <v>4</v>
      </c>
      <c r="B5" s="6" t="s">
        <v>26</v>
      </c>
      <c r="C5" s="105" t="s">
        <v>766</v>
      </c>
      <c r="D5" s="6">
        <v>40126004</v>
      </c>
      <c r="E5" s="6">
        <v>82</v>
      </c>
      <c r="F5" s="7">
        <v>40</v>
      </c>
      <c r="G5" s="7">
        <v>7</v>
      </c>
      <c r="H5" s="6" t="s">
        <v>196</v>
      </c>
      <c r="I5" s="6" t="s">
        <v>87</v>
      </c>
      <c r="J5" s="6" t="s">
        <v>130</v>
      </c>
      <c r="K5" s="11">
        <v>0.87569444444444444</v>
      </c>
      <c r="L5" s="11">
        <v>0.89166666666666672</v>
      </c>
      <c r="M5" s="7" t="s">
        <v>109</v>
      </c>
      <c r="N5" s="6" t="s">
        <v>109</v>
      </c>
      <c r="O5" s="7" t="s">
        <v>61</v>
      </c>
      <c r="P5" s="7" t="s">
        <v>131</v>
      </c>
      <c r="Q5" s="7" t="s">
        <v>87</v>
      </c>
      <c r="R5" s="6" t="s">
        <v>63</v>
      </c>
      <c r="S5" s="7" t="s">
        <v>1500</v>
      </c>
      <c r="T5" s="6" t="s">
        <v>767</v>
      </c>
      <c r="U5" s="7" t="s">
        <v>109</v>
      </c>
      <c r="V5" s="7" t="s">
        <v>291</v>
      </c>
    </row>
    <row r="6" spans="1:22" x14ac:dyDescent="0.3">
      <c r="A6" s="7">
        <v>5</v>
      </c>
      <c r="B6" s="6" t="s">
        <v>26</v>
      </c>
      <c r="C6" s="105" t="s">
        <v>769</v>
      </c>
      <c r="D6" s="6">
        <v>40126006</v>
      </c>
      <c r="E6" s="6">
        <v>192</v>
      </c>
      <c r="F6" s="7">
        <v>198</v>
      </c>
      <c r="G6" s="7">
        <v>6</v>
      </c>
      <c r="H6" s="6" t="s">
        <v>1837</v>
      </c>
      <c r="I6" s="6" t="s">
        <v>294</v>
      </c>
      <c r="J6" s="6" t="s">
        <v>130</v>
      </c>
      <c r="K6" s="11">
        <v>0.88888888888888884</v>
      </c>
      <c r="L6" s="11">
        <v>0.93680555555555556</v>
      </c>
      <c r="M6" s="7" t="s">
        <v>109</v>
      </c>
      <c r="N6" s="6" t="s">
        <v>109</v>
      </c>
      <c r="O6" s="7" t="s">
        <v>61</v>
      </c>
      <c r="P6" s="7" t="s">
        <v>131</v>
      </c>
      <c r="Q6" s="7" t="s">
        <v>209</v>
      </c>
      <c r="R6" s="6" t="s">
        <v>63</v>
      </c>
      <c r="S6" s="7" t="s">
        <v>1500</v>
      </c>
      <c r="T6" s="6" t="s">
        <v>767</v>
      </c>
      <c r="U6" s="7" t="s">
        <v>109</v>
      </c>
      <c r="V6" s="7" t="s">
        <v>291</v>
      </c>
    </row>
    <row r="7" spans="1:22" x14ac:dyDescent="0.3">
      <c r="A7" s="7">
        <v>6</v>
      </c>
      <c r="B7" s="6" t="s">
        <v>163</v>
      </c>
      <c r="C7" s="105" t="s">
        <v>164</v>
      </c>
      <c r="D7" s="6">
        <v>40126008</v>
      </c>
      <c r="E7" s="6">
        <v>137</v>
      </c>
      <c r="F7" s="7">
        <v>74</v>
      </c>
      <c r="G7" s="7">
        <v>6</v>
      </c>
      <c r="H7" s="6" t="s">
        <v>1174</v>
      </c>
      <c r="I7" s="6" t="s">
        <v>157</v>
      </c>
      <c r="J7" s="6" t="s">
        <v>130</v>
      </c>
      <c r="K7" s="11">
        <v>0.92013888888888884</v>
      </c>
      <c r="L7" s="7" t="s">
        <v>1878</v>
      </c>
      <c r="M7" s="7" t="s">
        <v>109</v>
      </c>
      <c r="N7" s="10" t="s">
        <v>1838</v>
      </c>
      <c r="O7" s="7" t="s">
        <v>61</v>
      </c>
      <c r="P7" s="7" t="s">
        <v>131</v>
      </c>
      <c r="Q7" s="7" t="s">
        <v>93</v>
      </c>
      <c r="R7" s="6" t="s">
        <v>62</v>
      </c>
      <c r="S7" s="7" t="s">
        <v>1500</v>
      </c>
      <c r="T7" s="6" t="s">
        <v>166</v>
      </c>
      <c r="U7" s="7" t="s">
        <v>109</v>
      </c>
      <c r="V7" s="7" t="s">
        <v>1879</v>
      </c>
    </row>
    <row r="8" spans="1:22" x14ac:dyDescent="0.3">
      <c r="A8" s="7">
        <v>7</v>
      </c>
      <c r="B8" s="6" t="s">
        <v>163</v>
      </c>
      <c r="C8" s="105" t="s">
        <v>167</v>
      </c>
      <c r="D8" s="6">
        <v>40126007</v>
      </c>
      <c r="E8" s="6">
        <v>174</v>
      </c>
      <c r="F8" s="7">
        <v>325</v>
      </c>
      <c r="G8" s="7">
        <v>123</v>
      </c>
      <c r="H8" s="6" t="s">
        <v>386</v>
      </c>
      <c r="I8" s="6" t="s">
        <v>102</v>
      </c>
      <c r="J8" s="6" t="s">
        <v>130</v>
      </c>
      <c r="K8" s="11">
        <v>0.78055555555555556</v>
      </c>
      <c r="L8" s="11">
        <v>0.8</v>
      </c>
      <c r="M8" s="7" t="s">
        <v>109</v>
      </c>
      <c r="N8" s="10" t="s">
        <v>1838</v>
      </c>
      <c r="O8" s="7" t="s">
        <v>61</v>
      </c>
      <c r="P8" s="7" t="s">
        <v>131</v>
      </c>
      <c r="Q8" s="7" t="s">
        <v>95</v>
      </c>
      <c r="R8" s="6" t="s">
        <v>62</v>
      </c>
      <c r="S8" s="7" t="s">
        <v>1500</v>
      </c>
      <c r="T8" s="6" t="s">
        <v>166</v>
      </c>
      <c r="U8" s="7" t="s">
        <v>109</v>
      </c>
      <c r="V8" s="7" t="s">
        <v>1816</v>
      </c>
    </row>
    <row r="9" spans="1:22" x14ac:dyDescent="0.3">
      <c r="A9" s="7">
        <v>8</v>
      </c>
      <c r="B9" s="6" t="s">
        <v>23</v>
      </c>
      <c r="C9" s="105" t="s">
        <v>483</v>
      </c>
      <c r="D9" s="6">
        <v>50126011</v>
      </c>
      <c r="E9" s="6">
        <v>50</v>
      </c>
      <c r="F9" s="7">
        <v>110</v>
      </c>
      <c r="G9" s="7">
        <v>42</v>
      </c>
      <c r="H9" s="6" t="s">
        <v>68</v>
      </c>
      <c r="I9" s="6" t="s">
        <v>91</v>
      </c>
      <c r="J9" s="6" t="s">
        <v>130</v>
      </c>
      <c r="K9" s="11">
        <v>0.70972222222222225</v>
      </c>
      <c r="L9" s="11">
        <v>0.82638888888888884</v>
      </c>
      <c r="M9" s="7" t="s">
        <v>109</v>
      </c>
      <c r="N9" s="6" t="s">
        <v>109</v>
      </c>
      <c r="O9" s="7" t="s">
        <v>61</v>
      </c>
      <c r="P9" s="7" t="s">
        <v>131</v>
      </c>
      <c r="Q9" s="7" t="s">
        <v>91</v>
      </c>
      <c r="R9" s="6" t="s">
        <v>62</v>
      </c>
      <c r="S9" s="7" t="s">
        <v>1500</v>
      </c>
      <c r="T9" s="6" t="s">
        <v>480</v>
      </c>
      <c r="U9" s="7" t="s">
        <v>109</v>
      </c>
      <c r="V9" s="7" t="s">
        <v>109</v>
      </c>
    </row>
    <row r="10" spans="1:22" x14ac:dyDescent="0.3">
      <c r="A10" s="7">
        <v>9</v>
      </c>
      <c r="B10" s="6" t="s">
        <v>23</v>
      </c>
      <c r="C10" s="105" t="s">
        <v>484</v>
      </c>
      <c r="D10" s="6">
        <v>50126012</v>
      </c>
      <c r="E10" s="6">
        <v>60</v>
      </c>
      <c r="F10" s="7">
        <v>121</v>
      </c>
      <c r="G10" s="7">
        <v>34</v>
      </c>
      <c r="H10" s="6" t="s">
        <v>64</v>
      </c>
      <c r="I10" s="6" t="s">
        <v>209</v>
      </c>
      <c r="J10" s="6" t="s">
        <v>130</v>
      </c>
      <c r="K10" s="11">
        <v>0.71597222222222223</v>
      </c>
      <c r="L10" s="11">
        <v>0.80833333333333335</v>
      </c>
      <c r="M10" s="7" t="s">
        <v>109</v>
      </c>
      <c r="N10" s="6" t="s">
        <v>109</v>
      </c>
      <c r="O10" s="7" t="s">
        <v>61</v>
      </c>
      <c r="P10" s="7" t="s">
        <v>131</v>
      </c>
      <c r="Q10" s="7" t="s">
        <v>209</v>
      </c>
      <c r="R10" s="6" t="s">
        <v>62</v>
      </c>
      <c r="S10" s="7" t="s">
        <v>1500</v>
      </c>
      <c r="T10" s="6" t="s">
        <v>480</v>
      </c>
      <c r="U10" s="7" t="s">
        <v>109</v>
      </c>
      <c r="V10" s="7" t="s">
        <v>1816</v>
      </c>
    </row>
    <row r="11" spans="1:22" x14ac:dyDescent="0.3">
      <c r="A11" s="7">
        <v>10</v>
      </c>
      <c r="B11" s="6" t="s">
        <v>23</v>
      </c>
      <c r="C11" s="105" t="s">
        <v>1839</v>
      </c>
      <c r="D11" s="6">
        <v>50226015</v>
      </c>
      <c r="E11" s="6">
        <v>60</v>
      </c>
      <c r="F11" s="7">
        <v>123</v>
      </c>
      <c r="G11" s="7">
        <v>54</v>
      </c>
      <c r="H11" s="6" t="s">
        <v>64</v>
      </c>
      <c r="I11" s="6" t="s">
        <v>109</v>
      </c>
      <c r="J11" s="6" t="s">
        <v>130</v>
      </c>
      <c r="K11" s="7" t="s">
        <v>109</v>
      </c>
      <c r="L11" s="11">
        <v>0.7993055555555556</v>
      </c>
      <c r="M11" s="7" t="s">
        <v>109</v>
      </c>
      <c r="N11" s="6" t="s">
        <v>109</v>
      </c>
      <c r="O11" s="7" t="s">
        <v>61</v>
      </c>
      <c r="P11" s="7" t="s">
        <v>131</v>
      </c>
      <c r="Q11" s="7" t="s">
        <v>64</v>
      </c>
      <c r="R11" s="6" t="s">
        <v>62</v>
      </c>
      <c r="S11" s="7" t="s">
        <v>1500</v>
      </c>
      <c r="T11" s="6" t="s">
        <v>278</v>
      </c>
      <c r="U11" s="7" t="s">
        <v>109</v>
      </c>
      <c r="V11" s="7" t="s">
        <v>109</v>
      </c>
    </row>
    <row r="12" spans="1:22" x14ac:dyDescent="0.3">
      <c r="A12" s="7">
        <v>11</v>
      </c>
      <c r="B12" s="6" t="s">
        <v>23</v>
      </c>
      <c r="C12" s="105" t="s">
        <v>1840</v>
      </c>
      <c r="D12" s="6">
        <v>50226020</v>
      </c>
      <c r="E12" s="6">
        <v>60</v>
      </c>
      <c r="F12" s="7">
        <v>104</v>
      </c>
      <c r="G12" s="7">
        <v>63</v>
      </c>
      <c r="H12" s="10" t="s">
        <v>70</v>
      </c>
      <c r="I12" s="6" t="s">
        <v>109</v>
      </c>
      <c r="J12" s="6" t="s">
        <v>130</v>
      </c>
      <c r="K12" s="7" t="s">
        <v>109</v>
      </c>
      <c r="L12" s="11">
        <v>0.92847222222222225</v>
      </c>
      <c r="M12" s="7" t="s">
        <v>109</v>
      </c>
      <c r="N12" s="6" t="s">
        <v>109</v>
      </c>
      <c r="O12" s="7" t="s">
        <v>61</v>
      </c>
      <c r="P12" s="7" t="s">
        <v>131</v>
      </c>
      <c r="Q12" s="7" t="s">
        <v>70</v>
      </c>
      <c r="R12" s="6" t="s">
        <v>62</v>
      </c>
      <c r="S12" s="7" t="s">
        <v>1500</v>
      </c>
      <c r="T12" s="6" t="s">
        <v>278</v>
      </c>
      <c r="U12" s="7" t="s">
        <v>109</v>
      </c>
      <c r="V12" s="7" t="s">
        <v>109</v>
      </c>
    </row>
    <row r="13" spans="1:22" x14ac:dyDescent="0.3">
      <c r="A13" s="7">
        <v>12</v>
      </c>
      <c r="B13" s="6" t="s">
        <v>23</v>
      </c>
      <c r="C13" s="105" t="s">
        <v>479</v>
      </c>
      <c r="D13" s="6">
        <v>50126013</v>
      </c>
      <c r="E13" s="6">
        <v>100</v>
      </c>
      <c r="F13" s="7">
        <v>165</v>
      </c>
      <c r="G13" s="7">
        <v>49</v>
      </c>
      <c r="H13" s="6" t="s">
        <v>82</v>
      </c>
      <c r="I13" s="6" t="s">
        <v>89</v>
      </c>
      <c r="J13" s="6" t="s">
        <v>130</v>
      </c>
      <c r="K13" s="11">
        <v>1.2500000000000001E-2</v>
      </c>
      <c r="L13" s="11">
        <v>3.8194444444444448E-2</v>
      </c>
      <c r="M13" s="7" t="s">
        <v>109</v>
      </c>
      <c r="N13" s="6" t="s">
        <v>109</v>
      </c>
      <c r="O13" s="7" t="s">
        <v>61</v>
      </c>
      <c r="P13" s="7" t="s">
        <v>131</v>
      </c>
      <c r="Q13" s="7" t="s">
        <v>89</v>
      </c>
      <c r="R13" s="6" t="s">
        <v>62</v>
      </c>
      <c r="S13" s="7" t="s">
        <v>1500</v>
      </c>
      <c r="T13" s="6" t="s">
        <v>480</v>
      </c>
      <c r="U13" s="7" t="s">
        <v>109</v>
      </c>
      <c r="V13" s="7" t="s">
        <v>291</v>
      </c>
    </row>
    <row r="14" spans="1:22" x14ac:dyDescent="0.3">
      <c r="A14" s="7">
        <v>13</v>
      </c>
      <c r="B14" s="6" t="s">
        <v>23</v>
      </c>
      <c r="C14" s="105" t="s">
        <v>488</v>
      </c>
      <c r="D14" s="6">
        <v>50126037</v>
      </c>
      <c r="E14" s="6">
        <v>50</v>
      </c>
      <c r="F14" s="7">
        <v>88</v>
      </c>
      <c r="G14" s="7">
        <v>14</v>
      </c>
      <c r="H14" s="10" t="s">
        <v>84</v>
      </c>
      <c r="I14" s="10" t="s">
        <v>94</v>
      </c>
      <c r="J14" s="6" t="s">
        <v>130</v>
      </c>
      <c r="K14" s="11">
        <v>0.71666666666666667</v>
      </c>
      <c r="L14" s="11">
        <v>0.75208333333333333</v>
      </c>
      <c r="M14" s="7" t="s">
        <v>109</v>
      </c>
      <c r="N14" s="6" t="s">
        <v>109</v>
      </c>
      <c r="O14" s="7" t="s">
        <v>61</v>
      </c>
      <c r="P14" s="7" t="s">
        <v>131</v>
      </c>
      <c r="Q14" s="7" t="s">
        <v>94</v>
      </c>
      <c r="R14" s="6" t="s">
        <v>62</v>
      </c>
      <c r="S14" s="7" t="s">
        <v>1500</v>
      </c>
      <c r="T14" s="6" t="s">
        <v>480</v>
      </c>
      <c r="U14" s="7" t="s">
        <v>109</v>
      </c>
      <c r="V14" s="7" t="s">
        <v>291</v>
      </c>
    </row>
    <row r="15" spans="1:22" x14ac:dyDescent="0.3">
      <c r="A15" s="7">
        <v>14</v>
      </c>
      <c r="B15" s="6" t="s">
        <v>23</v>
      </c>
      <c r="C15" s="105" t="s">
        <v>482</v>
      </c>
      <c r="D15" s="6">
        <v>50126010</v>
      </c>
      <c r="E15" s="6">
        <v>50</v>
      </c>
      <c r="F15" s="7">
        <v>25</v>
      </c>
      <c r="G15" s="7">
        <v>4</v>
      </c>
      <c r="H15" s="6" t="s">
        <v>241</v>
      </c>
      <c r="I15" s="6" t="s">
        <v>154</v>
      </c>
      <c r="J15" s="6" t="s">
        <v>130</v>
      </c>
      <c r="K15" s="11">
        <v>0.84444444444444444</v>
      </c>
      <c r="L15" s="11">
        <v>0.88680555555555551</v>
      </c>
      <c r="M15" s="7" t="s">
        <v>109</v>
      </c>
      <c r="N15" s="6" t="s">
        <v>109</v>
      </c>
      <c r="O15" s="7" t="s">
        <v>61</v>
      </c>
      <c r="P15" s="7" t="s">
        <v>131</v>
      </c>
      <c r="Q15" s="7" t="s">
        <v>154</v>
      </c>
      <c r="R15" s="6" t="s">
        <v>62</v>
      </c>
      <c r="S15" s="7" t="s">
        <v>1500</v>
      </c>
      <c r="T15" s="6" t="s">
        <v>480</v>
      </c>
      <c r="U15" s="7" t="s">
        <v>109</v>
      </c>
      <c r="V15" s="7" t="s">
        <v>291</v>
      </c>
    </row>
    <row r="16" spans="1:22" x14ac:dyDescent="0.3">
      <c r="A16" s="7">
        <v>15</v>
      </c>
      <c r="B16" s="6" t="s">
        <v>143</v>
      </c>
      <c r="C16" s="105" t="s">
        <v>1513</v>
      </c>
      <c r="D16" s="6">
        <v>10126036</v>
      </c>
      <c r="E16" s="6">
        <v>40</v>
      </c>
      <c r="F16" s="7">
        <v>87</v>
      </c>
      <c r="G16" s="7">
        <v>19</v>
      </c>
      <c r="H16" s="6" t="s">
        <v>214</v>
      </c>
      <c r="I16" s="6" t="s">
        <v>209</v>
      </c>
      <c r="J16" s="6" t="s">
        <v>130</v>
      </c>
      <c r="K16" s="11">
        <v>0.85763888888888884</v>
      </c>
      <c r="L16" s="11">
        <v>0.99236111111111114</v>
      </c>
      <c r="M16" s="7" t="s">
        <v>109</v>
      </c>
      <c r="N16" s="6" t="s">
        <v>109</v>
      </c>
      <c r="O16" s="7" t="s">
        <v>61</v>
      </c>
      <c r="P16" s="7" t="s">
        <v>131</v>
      </c>
      <c r="Q16" s="7" t="s">
        <v>605</v>
      </c>
      <c r="R16" s="6" t="s">
        <v>62</v>
      </c>
      <c r="S16" s="7" t="s">
        <v>1500</v>
      </c>
      <c r="T16" s="6" t="s">
        <v>182</v>
      </c>
      <c r="U16" s="7" t="s">
        <v>109</v>
      </c>
      <c r="V16" s="7" t="s">
        <v>1873</v>
      </c>
    </row>
    <row r="17" spans="1:22" x14ac:dyDescent="0.3">
      <c r="A17" s="7">
        <v>16</v>
      </c>
      <c r="B17" s="6" t="s">
        <v>143</v>
      </c>
      <c r="C17" s="105" t="s">
        <v>1788</v>
      </c>
      <c r="D17" s="6">
        <v>10226001</v>
      </c>
      <c r="E17" s="6">
        <v>50</v>
      </c>
      <c r="F17" s="7">
        <v>110</v>
      </c>
      <c r="G17" s="7">
        <v>15</v>
      </c>
      <c r="H17" s="6" t="s">
        <v>527</v>
      </c>
      <c r="I17" s="6" t="s">
        <v>93</v>
      </c>
      <c r="J17" s="6" t="s">
        <v>130</v>
      </c>
      <c r="K17" s="11">
        <v>0.83263888888888893</v>
      </c>
      <c r="L17" s="11">
        <v>0.89236111111111116</v>
      </c>
      <c r="M17" s="7" t="s">
        <v>109</v>
      </c>
      <c r="N17" s="6" t="s">
        <v>109</v>
      </c>
      <c r="O17" s="7" t="s">
        <v>61</v>
      </c>
      <c r="P17" s="7" t="s">
        <v>131</v>
      </c>
      <c r="Q17" s="7" t="s">
        <v>93</v>
      </c>
      <c r="R17" s="6" t="s">
        <v>62</v>
      </c>
      <c r="S17" s="7" t="s">
        <v>1500</v>
      </c>
      <c r="T17" s="6" t="s">
        <v>398</v>
      </c>
      <c r="U17" s="7" t="s">
        <v>109</v>
      </c>
      <c r="V17" s="7" t="s">
        <v>1816</v>
      </c>
    </row>
    <row r="18" spans="1:22" x14ac:dyDescent="0.3">
      <c r="A18" s="7">
        <v>17</v>
      </c>
      <c r="B18" s="6" t="s">
        <v>143</v>
      </c>
      <c r="C18" s="105" t="s">
        <v>1789</v>
      </c>
      <c r="D18" s="6">
        <v>10226002</v>
      </c>
      <c r="E18" s="6">
        <v>50</v>
      </c>
      <c r="F18" s="7">
        <v>100</v>
      </c>
      <c r="G18" s="7">
        <v>39</v>
      </c>
      <c r="H18" s="10" t="s">
        <v>69</v>
      </c>
      <c r="I18" s="10" t="s">
        <v>90</v>
      </c>
      <c r="J18" s="6" t="s">
        <v>130</v>
      </c>
      <c r="K18" s="11">
        <v>0.78680555555555554</v>
      </c>
      <c r="L18" s="11">
        <v>0.89583333333333337</v>
      </c>
      <c r="M18" s="7" t="s">
        <v>109</v>
      </c>
      <c r="N18" s="6" t="s">
        <v>109</v>
      </c>
      <c r="O18" s="7" t="s">
        <v>61</v>
      </c>
      <c r="P18" s="7" t="s">
        <v>131</v>
      </c>
      <c r="Q18" s="7" t="s">
        <v>90</v>
      </c>
      <c r="R18" s="6" t="s">
        <v>62</v>
      </c>
      <c r="S18" s="7" t="s">
        <v>1500</v>
      </c>
      <c r="T18" s="6" t="s">
        <v>398</v>
      </c>
      <c r="U18" s="7" t="s">
        <v>109</v>
      </c>
      <c r="V18" s="7" t="s">
        <v>1816</v>
      </c>
    </row>
    <row r="19" spans="1:22" x14ac:dyDescent="0.3">
      <c r="A19" s="7">
        <v>18</v>
      </c>
      <c r="B19" s="6" t="s">
        <v>143</v>
      </c>
      <c r="C19" s="105" t="s">
        <v>1188</v>
      </c>
      <c r="D19" s="6">
        <v>10126019</v>
      </c>
      <c r="E19" s="6">
        <v>40</v>
      </c>
      <c r="F19" s="7">
        <v>65</v>
      </c>
      <c r="G19" s="7">
        <v>53</v>
      </c>
      <c r="H19" s="6" t="s">
        <v>82</v>
      </c>
      <c r="I19" s="6" t="s">
        <v>95</v>
      </c>
      <c r="J19" s="6" t="s">
        <v>130</v>
      </c>
      <c r="K19" s="11">
        <v>0.66874999999999996</v>
      </c>
      <c r="L19" s="11">
        <v>0.67986111111111114</v>
      </c>
      <c r="M19" s="7" t="s">
        <v>109</v>
      </c>
      <c r="N19" s="6" t="s">
        <v>109</v>
      </c>
      <c r="O19" s="7" t="s">
        <v>61</v>
      </c>
      <c r="P19" s="7" t="s">
        <v>131</v>
      </c>
      <c r="Q19" s="7" t="s">
        <v>95</v>
      </c>
      <c r="R19" s="6" t="s">
        <v>62</v>
      </c>
      <c r="S19" s="7" t="s">
        <v>1500</v>
      </c>
      <c r="T19" s="6" t="s">
        <v>1189</v>
      </c>
      <c r="U19" s="7" t="s">
        <v>109</v>
      </c>
      <c r="V19" s="7" t="s">
        <v>109</v>
      </c>
    </row>
    <row r="20" spans="1:22" x14ac:dyDescent="0.3">
      <c r="A20" s="7">
        <v>19</v>
      </c>
      <c r="B20" s="6" t="s">
        <v>143</v>
      </c>
      <c r="C20" s="105" t="s">
        <v>183</v>
      </c>
      <c r="D20" s="6">
        <v>11225027</v>
      </c>
      <c r="E20" s="6">
        <v>60</v>
      </c>
      <c r="F20" s="7">
        <v>140</v>
      </c>
      <c r="G20" s="7">
        <v>53</v>
      </c>
      <c r="H20" s="6" t="s">
        <v>274</v>
      </c>
      <c r="I20" s="6" t="s">
        <v>91</v>
      </c>
      <c r="J20" s="6" t="s">
        <v>130</v>
      </c>
      <c r="K20" s="11">
        <v>0.94861111111111107</v>
      </c>
      <c r="L20" s="11">
        <v>0.96180555555555558</v>
      </c>
      <c r="M20" s="7" t="s">
        <v>109</v>
      </c>
      <c r="N20" s="6" t="s">
        <v>109</v>
      </c>
      <c r="O20" s="7" t="s">
        <v>61</v>
      </c>
      <c r="P20" s="7" t="s">
        <v>131</v>
      </c>
      <c r="Q20" s="7" t="s">
        <v>91</v>
      </c>
      <c r="R20" s="6" t="s">
        <v>62</v>
      </c>
      <c r="S20" s="7" t="s">
        <v>1500</v>
      </c>
      <c r="T20" s="6" t="s">
        <v>121</v>
      </c>
      <c r="U20" s="7" t="s">
        <v>109</v>
      </c>
      <c r="V20" s="7" t="s">
        <v>109</v>
      </c>
    </row>
    <row r="21" spans="1:22" x14ac:dyDescent="0.3">
      <c r="A21" s="7">
        <v>20</v>
      </c>
      <c r="B21" s="6" t="s">
        <v>143</v>
      </c>
      <c r="C21" s="105" t="s">
        <v>1264</v>
      </c>
      <c r="D21" s="6">
        <v>11125008</v>
      </c>
      <c r="E21" s="6">
        <v>22</v>
      </c>
      <c r="F21" s="7">
        <v>30</v>
      </c>
      <c r="G21" s="7">
        <v>21</v>
      </c>
      <c r="H21" s="6" t="s">
        <v>66</v>
      </c>
      <c r="I21" s="10" t="s">
        <v>605</v>
      </c>
      <c r="J21" s="6" t="s">
        <v>130</v>
      </c>
      <c r="K21" s="11">
        <v>0.64722222222222225</v>
      </c>
      <c r="L21" s="11">
        <v>0.97499999999999998</v>
      </c>
      <c r="M21" s="7" t="s">
        <v>109</v>
      </c>
      <c r="N21" s="6" t="s">
        <v>109</v>
      </c>
      <c r="O21" s="7" t="s">
        <v>61</v>
      </c>
      <c r="P21" s="7" t="s">
        <v>131</v>
      </c>
      <c r="Q21" s="7" t="s">
        <v>605</v>
      </c>
      <c r="R21" s="6" t="s">
        <v>62</v>
      </c>
      <c r="S21" s="7" t="s">
        <v>1500</v>
      </c>
      <c r="T21" s="6" t="s">
        <v>1665</v>
      </c>
      <c r="U21" s="7" t="s">
        <v>109</v>
      </c>
      <c r="V21" s="7" t="s">
        <v>109</v>
      </c>
    </row>
    <row r="22" spans="1:22" x14ac:dyDescent="0.3">
      <c r="A22" s="7">
        <v>21</v>
      </c>
      <c r="B22" s="6" t="s">
        <v>143</v>
      </c>
      <c r="C22" s="105" t="s">
        <v>1598</v>
      </c>
      <c r="D22" s="6">
        <v>10126044</v>
      </c>
      <c r="E22" s="6">
        <v>100</v>
      </c>
      <c r="F22" s="7">
        <v>200</v>
      </c>
      <c r="G22" s="7">
        <v>36</v>
      </c>
      <c r="H22" s="6" t="s">
        <v>66</v>
      </c>
      <c r="I22" s="6" t="s">
        <v>93</v>
      </c>
      <c r="J22" s="6" t="s">
        <v>130</v>
      </c>
      <c r="K22" s="11">
        <v>0.81527777777777777</v>
      </c>
      <c r="L22" s="11">
        <v>0.84027777777777779</v>
      </c>
      <c r="M22" s="7" t="s">
        <v>109</v>
      </c>
      <c r="N22" s="6" t="s">
        <v>109</v>
      </c>
      <c r="O22" s="7" t="s">
        <v>61</v>
      </c>
      <c r="P22" s="7" t="s">
        <v>131</v>
      </c>
      <c r="Q22" s="7" t="s">
        <v>93</v>
      </c>
      <c r="R22" s="6" t="s">
        <v>62</v>
      </c>
      <c r="S22" s="7" t="s">
        <v>1500</v>
      </c>
      <c r="T22" s="6" t="s">
        <v>480</v>
      </c>
      <c r="U22" s="7" t="s">
        <v>109</v>
      </c>
      <c r="V22" s="7" t="s">
        <v>1816</v>
      </c>
    </row>
    <row r="23" spans="1:22" x14ac:dyDescent="0.3">
      <c r="A23" s="7">
        <v>22</v>
      </c>
      <c r="B23" s="6" t="s">
        <v>143</v>
      </c>
      <c r="C23" s="105" t="s">
        <v>1599</v>
      </c>
      <c r="D23" s="6">
        <v>10126043</v>
      </c>
      <c r="E23" s="6">
        <v>50</v>
      </c>
      <c r="F23" s="7">
        <v>95</v>
      </c>
      <c r="G23" s="7">
        <v>45</v>
      </c>
      <c r="H23" s="6" t="s">
        <v>72</v>
      </c>
      <c r="I23" s="6" t="s">
        <v>87</v>
      </c>
      <c r="J23" s="6" t="s">
        <v>130</v>
      </c>
      <c r="K23" s="11">
        <v>0.81458333333333333</v>
      </c>
      <c r="L23" s="11">
        <v>0.84791666666666665</v>
      </c>
      <c r="M23" s="7" t="s">
        <v>109</v>
      </c>
      <c r="N23" s="6" t="s">
        <v>109</v>
      </c>
      <c r="O23" s="7" t="s">
        <v>61</v>
      </c>
      <c r="P23" s="7" t="s">
        <v>131</v>
      </c>
      <c r="Q23" s="7" t="s">
        <v>87</v>
      </c>
      <c r="R23" s="6" t="s">
        <v>62</v>
      </c>
      <c r="S23" s="7" t="s">
        <v>1500</v>
      </c>
      <c r="T23" s="6" t="s">
        <v>480</v>
      </c>
      <c r="U23" s="7" t="s">
        <v>109</v>
      </c>
      <c r="V23" s="7" t="s">
        <v>109</v>
      </c>
    </row>
    <row r="24" spans="1:22" x14ac:dyDescent="0.3">
      <c r="A24" s="7">
        <v>23</v>
      </c>
      <c r="B24" s="6" t="s">
        <v>23</v>
      </c>
      <c r="C24" s="105" t="s">
        <v>1841</v>
      </c>
      <c r="D24" s="6">
        <v>50226011</v>
      </c>
      <c r="E24" s="6">
        <v>90</v>
      </c>
      <c r="F24" s="7">
        <v>205</v>
      </c>
      <c r="G24" s="7">
        <v>79</v>
      </c>
      <c r="H24" s="6" t="s">
        <v>65</v>
      </c>
      <c r="I24" s="6" t="s">
        <v>109</v>
      </c>
      <c r="J24" s="6" t="s">
        <v>130</v>
      </c>
      <c r="K24" s="7" t="s">
        <v>109</v>
      </c>
      <c r="L24" s="11">
        <v>0.96180555555555558</v>
      </c>
      <c r="M24" s="7" t="s">
        <v>109</v>
      </c>
      <c r="N24" s="6" t="s">
        <v>109</v>
      </c>
      <c r="O24" s="7" t="s">
        <v>61</v>
      </c>
      <c r="P24" s="7" t="s">
        <v>131</v>
      </c>
      <c r="Q24" s="7" t="s">
        <v>65</v>
      </c>
      <c r="R24" s="6" t="s">
        <v>62</v>
      </c>
      <c r="S24" s="7" t="s">
        <v>1500</v>
      </c>
      <c r="T24" s="6" t="s">
        <v>1433</v>
      </c>
      <c r="U24" s="7" t="s">
        <v>109</v>
      </c>
      <c r="V24" s="7" t="s">
        <v>109</v>
      </c>
    </row>
    <row r="25" spans="1:22" x14ac:dyDescent="0.3">
      <c r="A25" s="7">
        <v>24</v>
      </c>
      <c r="B25" s="6" t="s">
        <v>23</v>
      </c>
      <c r="C25" s="105" t="s">
        <v>1842</v>
      </c>
      <c r="D25" s="6">
        <v>50226012</v>
      </c>
      <c r="E25" s="6">
        <v>110</v>
      </c>
      <c r="F25" s="7">
        <v>204</v>
      </c>
      <c r="G25" s="7">
        <v>76</v>
      </c>
      <c r="H25" s="6" t="s">
        <v>68</v>
      </c>
      <c r="I25" s="6" t="s">
        <v>109</v>
      </c>
      <c r="J25" s="6" t="s">
        <v>130</v>
      </c>
      <c r="K25" s="7" t="s">
        <v>109</v>
      </c>
      <c r="L25" s="11">
        <v>0.79583333333333328</v>
      </c>
      <c r="M25" s="7" t="s">
        <v>109</v>
      </c>
      <c r="N25" s="6" t="s">
        <v>109</v>
      </c>
      <c r="O25" s="7" t="s">
        <v>61</v>
      </c>
      <c r="P25" s="7" t="s">
        <v>131</v>
      </c>
      <c r="Q25" s="7" t="s">
        <v>68</v>
      </c>
      <c r="R25" s="6" t="s">
        <v>62</v>
      </c>
      <c r="S25" s="7" t="s">
        <v>1500</v>
      </c>
      <c r="T25" s="6" t="s">
        <v>1433</v>
      </c>
      <c r="U25" s="7" t="s">
        <v>109</v>
      </c>
      <c r="V25" s="7" t="s">
        <v>1816</v>
      </c>
    </row>
    <row r="26" spans="1:22" x14ac:dyDescent="0.3">
      <c r="A26" s="7">
        <v>25</v>
      </c>
      <c r="B26" s="6" t="s">
        <v>23</v>
      </c>
      <c r="C26" s="105" t="s">
        <v>1843</v>
      </c>
      <c r="D26" s="6">
        <v>50226013</v>
      </c>
      <c r="E26" s="6">
        <v>70</v>
      </c>
      <c r="F26" s="7">
        <v>56</v>
      </c>
      <c r="G26" s="7">
        <v>33</v>
      </c>
      <c r="H26" s="6" t="s">
        <v>200</v>
      </c>
      <c r="I26" s="6" t="s">
        <v>109</v>
      </c>
      <c r="J26" s="6" t="s">
        <v>130</v>
      </c>
      <c r="K26" s="7" t="s">
        <v>109</v>
      </c>
      <c r="L26" s="11">
        <v>0.76249999999999996</v>
      </c>
      <c r="M26" s="7" t="s">
        <v>109</v>
      </c>
      <c r="N26" s="6" t="s">
        <v>109</v>
      </c>
      <c r="O26" s="7" t="s">
        <v>61</v>
      </c>
      <c r="P26" s="7" t="s">
        <v>131</v>
      </c>
      <c r="Q26" s="7" t="s">
        <v>200</v>
      </c>
      <c r="R26" s="6" t="s">
        <v>62</v>
      </c>
      <c r="S26" s="7" t="s">
        <v>1500</v>
      </c>
      <c r="T26" s="6" t="s">
        <v>1433</v>
      </c>
      <c r="U26" s="7" t="s">
        <v>109</v>
      </c>
      <c r="V26" s="7" t="s">
        <v>291</v>
      </c>
    </row>
    <row r="27" spans="1:22" x14ac:dyDescent="0.3">
      <c r="A27" s="7">
        <v>26</v>
      </c>
      <c r="B27" s="6" t="s">
        <v>23</v>
      </c>
      <c r="C27" s="105" t="s">
        <v>1844</v>
      </c>
      <c r="D27" s="6">
        <v>50226014</v>
      </c>
      <c r="E27" s="6">
        <v>80</v>
      </c>
      <c r="F27" s="7">
        <v>109</v>
      </c>
      <c r="G27" s="7">
        <v>84</v>
      </c>
      <c r="H27" s="6" t="s">
        <v>200</v>
      </c>
      <c r="I27" s="6" t="s">
        <v>109</v>
      </c>
      <c r="J27" s="6" t="s">
        <v>130</v>
      </c>
      <c r="K27" s="7" t="s">
        <v>109</v>
      </c>
      <c r="L27" s="11">
        <v>0.70902777777777781</v>
      </c>
      <c r="M27" s="7" t="s">
        <v>109</v>
      </c>
      <c r="N27" s="6" t="s">
        <v>109</v>
      </c>
      <c r="O27" s="7" t="s">
        <v>61</v>
      </c>
      <c r="P27" s="7" t="s">
        <v>131</v>
      </c>
      <c r="Q27" s="7" t="s">
        <v>200</v>
      </c>
      <c r="R27" s="6" t="s">
        <v>62</v>
      </c>
      <c r="S27" s="7" t="s">
        <v>1500</v>
      </c>
      <c r="T27" s="6" t="s">
        <v>1433</v>
      </c>
      <c r="U27" s="7" t="s">
        <v>109</v>
      </c>
      <c r="V27" s="7" t="s">
        <v>109</v>
      </c>
    </row>
    <row r="28" spans="1:22" x14ac:dyDescent="0.3">
      <c r="A28" s="7">
        <v>27</v>
      </c>
      <c r="B28" s="6" t="s">
        <v>411</v>
      </c>
      <c r="C28" s="105" t="s">
        <v>1357</v>
      </c>
      <c r="D28" s="6">
        <v>30126010</v>
      </c>
      <c r="E28" s="6">
        <v>410</v>
      </c>
      <c r="F28" s="7">
        <v>885</v>
      </c>
      <c r="G28" s="7">
        <v>147</v>
      </c>
      <c r="H28" s="6" t="s">
        <v>1872</v>
      </c>
      <c r="I28" s="10" t="s">
        <v>1875</v>
      </c>
      <c r="J28" s="6" t="s">
        <v>130</v>
      </c>
      <c r="K28" s="11">
        <v>0.97083333333333333</v>
      </c>
      <c r="L28" s="11">
        <v>8.3333333333333332E-3</v>
      </c>
      <c r="M28" s="7" t="s">
        <v>109</v>
      </c>
      <c r="N28" s="10" t="s">
        <v>1845</v>
      </c>
      <c r="O28" s="7" t="s">
        <v>61</v>
      </c>
      <c r="P28" s="7" t="s">
        <v>131</v>
      </c>
      <c r="Q28" s="7" t="s">
        <v>94</v>
      </c>
      <c r="R28" s="6" t="s">
        <v>62</v>
      </c>
      <c r="S28" s="7" t="s">
        <v>1500</v>
      </c>
      <c r="T28" s="6" t="s">
        <v>1359</v>
      </c>
      <c r="U28" s="7" t="s">
        <v>109</v>
      </c>
      <c r="V28" s="7" t="s">
        <v>1873</v>
      </c>
    </row>
    <row r="29" spans="1:22" x14ac:dyDescent="0.3">
      <c r="A29" s="7">
        <v>28</v>
      </c>
      <c r="B29" s="6" t="s">
        <v>411</v>
      </c>
      <c r="C29" s="105" t="s">
        <v>1360</v>
      </c>
      <c r="D29" s="6">
        <v>30126011</v>
      </c>
      <c r="E29" s="6">
        <v>370</v>
      </c>
      <c r="F29" s="7">
        <v>817</v>
      </c>
      <c r="G29" s="7">
        <v>149</v>
      </c>
      <c r="H29" s="10" t="s">
        <v>1846</v>
      </c>
      <c r="I29" s="10" t="s">
        <v>1847</v>
      </c>
      <c r="J29" s="6" t="s">
        <v>130</v>
      </c>
      <c r="K29" s="11">
        <v>0.85763888888888884</v>
      </c>
      <c r="L29" s="11">
        <v>0.89652777777777781</v>
      </c>
      <c r="M29" s="7" t="s">
        <v>109</v>
      </c>
      <c r="N29" s="10" t="s">
        <v>1845</v>
      </c>
      <c r="O29" s="7" t="s">
        <v>61</v>
      </c>
      <c r="P29" s="7" t="s">
        <v>131</v>
      </c>
      <c r="Q29" s="7" t="s">
        <v>94</v>
      </c>
      <c r="R29" s="6" t="s">
        <v>62</v>
      </c>
      <c r="S29" s="7" t="s">
        <v>1500</v>
      </c>
      <c r="T29" s="6" t="s">
        <v>1359</v>
      </c>
      <c r="U29" s="7" t="s">
        <v>109</v>
      </c>
      <c r="V29" s="7" t="s">
        <v>1873</v>
      </c>
    </row>
    <row r="30" spans="1:22" x14ac:dyDescent="0.3">
      <c r="A30" s="7">
        <v>29</v>
      </c>
      <c r="B30" s="6" t="s">
        <v>411</v>
      </c>
      <c r="C30" s="105" t="s">
        <v>1848</v>
      </c>
      <c r="D30" s="6">
        <v>30126020</v>
      </c>
      <c r="E30" s="6">
        <v>45</v>
      </c>
      <c r="F30" s="7">
        <v>41</v>
      </c>
      <c r="G30" s="7">
        <v>22</v>
      </c>
      <c r="H30" s="10" t="s">
        <v>70</v>
      </c>
      <c r="I30" s="10" t="s">
        <v>90</v>
      </c>
      <c r="J30" s="6" t="s">
        <v>130</v>
      </c>
      <c r="K30" s="11">
        <v>0.92986111111111114</v>
      </c>
      <c r="L30" s="11">
        <v>0.93402777777777779</v>
      </c>
      <c r="M30" s="7" t="s">
        <v>109</v>
      </c>
      <c r="N30" s="6" t="s">
        <v>109</v>
      </c>
      <c r="O30" s="7" t="s">
        <v>61</v>
      </c>
      <c r="P30" s="7" t="s">
        <v>131</v>
      </c>
      <c r="Q30" s="7" t="s">
        <v>90</v>
      </c>
      <c r="R30" s="6" t="s">
        <v>62</v>
      </c>
      <c r="S30" s="7" t="s">
        <v>1500</v>
      </c>
      <c r="T30" s="6" t="s">
        <v>1562</v>
      </c>
      <c r="U30" s="7" t="s">
        <v>109</v>
      </c>
      <c r="V30" s="7" t="s">
        <v>291</v>
      </c>
    </row>
    <row r="31" spans="1:22" x14ac:dyDescent="0.3">
      <c r="A31" s="7">
        <v>30</v>
      </c>
      <c r="B31" s="6" t="s">
        <v>411</v>
      </c>
      <c r="C31" s="105" t="s">
        <v>1849</v>
      </c>
      <c r="D31" s="6">
        <v>30126026</v>
      </c>
      <c r="E31" s="6">
        <v>110</v>
      </c>
      <c r="F31" s="7">
        <v>152</v>
      </c>
      <c r="G31" s="7">
        <v>105</v>
      </c>
      <c r="H31" s="6" t="s">
        <v>64</v>
      </c>
      <c r="I31" s="10" t="s">
        <v>603</v>
      </c>
      <c r="J31" s="6" t="s">
        <v>130</v>
      </c>
      <c r="K31" s="11">
        <v>0.8520833333333333</v>
      </c>
      <c r="L31" s="11">
        <v>0.91180555555555554</v>
      </c>
      <c r="M31" s="7" t="s">
        <v>109</v>
      </c>
      <c r="N31" s="6" t="s">
        <v>1850</v>
      </c>
      <c r="O31" s="7" t="s">
        <v>61</v>
      </c>
      <c r="P31" s="7" t="s">
        <v>131</v>
      </c>
      <c r="Q31" s="7" t="s">
        <v>603</v>
      </c>
      <c r="R31" s="6" t="s">
        <v>62</v>
      </c>
      <c r="S31" s="7" t="s">
        <v>1500</v>
      </c>
      <c r="T31" s="6" t="s">
        <v>1562</v>
      </c>
      <c r="U31" s="7" t="s">
        <v>109</v>
      </c>
      <c r="V31" s="7" t="s">
        <v>109</v>
      </c>
    </row>
    <row r="32" spans="1:22" x14ac:dyDescent="0.3">
      <c r="A32" s="7">
        <v>31</v>
      </c>
      <c r="B32" s="6" t="s">
        <v>411</v>
      </c>
      <c r="C32" s="105" t="s">
        <v>1851</v>
      </c>
      <c r="D32" s="6">
        <v>30126027</v>
      </c>
      <c r="E32" s="6">
        <v>115</v>
      </c>
      <c r="F32" s="7">
        <v>162</v>
      </c>
      <c r="G32" s="7">
        <v>100</v>
      </c>
      <c r="H32" s="6" t="s">
        <v>67</v>
      </c>
      <c r="I32" s="6" t="s">
        <v>95</v>
      </c>
      <c r="J32" s="6" t="s">
        <v>130</v>
      </c>
      <c r="K32" s="11">
        <v>0.94513888888888886</v>
      </c>
      <c r="L32" s="11">
        <v>1.5277777777777777E-2</v>
      </c>
      <c r="M32" s="7" t="s">
        <v>109</v>
      </c>
      <c r="N32" s="6" t="s">
        <v>1850</v>
      </c>
      <c r="O32" s="7" t="s">
        <v>61</v>
      </c>
      <c r="P32" s="7" t="s">
        <v>131</v>
      </c>
      <c r="Q32" s="7" t="s">
        <v>95</v>
      </c>
      <c r="R32" s="6" t="s">
        <v>62</v>
      </c>
      <c r="S32" s="7" t="s">
        <v>1500</v>
      </c>
      <c r="T32" s="6" t="s">
        <v>1562</v>
      </c>
      <c r="U32" s="7" t="s">
        <v>109</v>
      </c>
      <c r="V32" s="7" t="s">
        <v>109</v>
      </c>
    </row>
    <row r="33" spans="1:22" x14ac:dyDescent="0.3">
      <c r="A33" s="7">
        <v>32</v>
      </c>
      <c r="B33" s="6" t="s">
        <v>411</v>
      </c>
      <c r="C33" s="105" t="s">
        <v>1852</v>
      </c>
      <c r="D33" s="6">
        <v>30126024</v>
      </c>
      <c r="E33" s="6">
        <v>18</v>
      </c>
      <c r="F33" s="7">
        <v>18</v>
      </c>
      <c r="G33" s="7">
        <v>7</v>
      </c>
      <c r="H33" s="6" t="s">
        <v>67</v>
      </c>
      <c r="I33" s="6" t="s">
        <v>89</v>
      </c>
      <c r="J33" s="6" t="s">
        <v>130</v>
      </c>
      <c r="K33" s="11">
        <v>0.72430555555555554</v>
      </c>
      <c r="L33" s="11">
        <v>0.77430555555555558</v>
      </c>
      <c r="M33" s="7" t="s">
        <v>109</v>
      </c>
      <c r="N33" s="6" t="s">
        <v>109</v>
      </c>
      <c r="O33" s="7" t="s">
        <v>61</v>
      </c>
      <c r="P33" s="7" t="s">
        <v>131</v>
      </c>
      <c r="Q33" s="7" t="s">
        <v>89</v>
      </c>
      <c r="R33" s="6" t="s">
        <v>62</v>
      </c>
      <c r="S33" s="7" t="s">
        <v>1500</v>
      </c>
      <c r="T33" s="6" t="s">
        <v>1562</v>
      </c>
      <c r="U33" s="7" t="s">
        <v>109</v>
      </c>
      <c r="V33" s="7" t="s">
        <v>291</v>
      </c>
    </row>
    <row r="34" spans="1:22" x14ac:dyDescent="0.3">
      <c r="A34" s="7">
        <v>33</v>
      </c>
      <c r="B34" s="6" t="s">
        <v>23</v>
      </c>
      <c r="C34" s="105" t="s">
        <v>1026</v>
      </c>
      <c r="D34" s="6">
        <v>50126291</v>
      </c>
      <c r="E34" s="6">
        <v>100</v>
      </c>
      <c r="F34" s="7">
        <v>200</v>
      </c>
      <c r="G34" s="7">
        <v>28</v>
      </c>
      <c r="H34" s="6" t="s">
        <v>66</v>
      </c>
      <c r="I34" s="6" t="s">
        <v>109</v>
      </c>
      <c r="J34" s="6" t="s">
        <v>130</v>
      </c>
      <c r="K34" s="7" t="s">
        <v>109</v>
      </c>
      <c r="L34" s="11">
        <v>0.74097222222222225</v>
      </c>
      <c r="M34" s="7" t="s">
        <v>109</v>
      </c>
      <c r="N34" s="6" t="s">
        <v>109</v>
      </c>
      <c r="O34" s="7" t="s">
        <v>61</v>
      </c>
      <c r="P34" s="7" t="s">
        <v>131</v>
      </c>
      <c r="Q34" s="7" t="s">
        <v>66</v>
      </c>
      <c r="R34" s="6" t="s">
        <v>62</v>
      </c>
      <c r="S34" s="7" t="s">
        <v>1500</v>
      </c>
      <c r="T34" s="6" t="s">
        <v>223</v>
      </c>
      <c r="U34" s="7" t="s">
        <v>109</v>
      </c>
      <c r="V34" s="7" t="s">
        <v>1816</v>
      </c>
    </row>
    <row r="35" spans="1:22" x14ac:dyDescent="0.3">
      <c r="A35" s="7">
        <v>34</v>
      </c>
      <c r="B35" s="6" t="s">
        <v>23</v>
      </c>
      <c r="C35" s="105" t="s">
        <v>980</v>
      </c>
      <c r="D35" s="6">
        <v>50126278</v>
      </c>
      <c r="E35" s="6">
        <v>300</v>
      </c>
      <c r="F35" s="7">
        <v>500</v>
      </c>
      <c r="G35" s="7">
        <v>296</v>
      </c>
      <c r="H35" s="10" t="s">
        <v>1853</v>
      </c>
      <c r="I35" s="6" t="s">
        <v>109</v>
      </c>
      <c r="J35" s="6" t="s">
        <v>130</v>
      </c>
      <c r="K35" s="7" t="s">
        <v>109</v>
      </c>
      <c r="L35" s="11">
        <v>0.9770833333333333</v>
      </c>
      <c r="M35" s="7" t="s">
        <v>109</v>
      </c>
      <c r="N35" s="6" t="s">
        <v>109</v>
      </c>
      <c r="O35" s="7" t="s">
        <v>61</v>
      </c>
      <c r="P35" s="7" t="s">
        <v>131</v>
      </c>
      <c r="Q35" s="7" t="s">
        <v>68</v>
      </c>
      <c r="R35" s="6" t="s">
        <v>62</v>
      </c>
      <c r="S35" s="7" t="s">
        <v>1500</v>
      </c>
      <c r="T35" s="6" t="s">
        <v>334</v>
      </c>
      <c r="U35" s="7" t="s">
        <v>109</v>
      </c>
      <c r="V35" s="7" t="s">
        <v>109</v>
      </c>
    </row>
    <row r="36" spans="1:22" x14ac:dyDescent="0.3">
      <c r="A36" s="7">
        <v>35</v>
      </c>
      <c r="B36" s="6" t="s">
        <v>23</v>
      </c>
      <c r="C36" s="105" t="s">
        <v>982</v>
      </c>
      <c r="D36" s="6">
        <v>50126277</v>
      </c>
      <c r="E36" s="6">
        <v>225</v>
      </c>
      <c r="F36" s="7">
        <v>372</v>
      </c>
      <c r="G36" s="7">
        <v>94</v>
      </c>
      <c r="H36" s="10" t="s">
        <v>1854</v>
      </c>
      <c r="I36" s="6" t="s">
        <v>109</v>
      </c>
      <c r="J36" s="6" t="s">
        <v>130</v>
      </c>
      <c r="K36" s="7" t="s">
        <v>109</v>
      </c>
      <c r="L36" s="11">
        <v>0.84513888888888888</v>
      </c>
      <c r="M36" s="7" t="s">
        <v>109</v>
      </c>
      <c r="N36" s="6" t="s">
        <v>109</v>
      </c>
      <c r="O36" s="7" t="s">
        <v>61</v>
      </c>
      <c r="P36" s="7" t="s">
        <v>131</v>
      </c>
      <c r="Q36" s="7" t="s">
        <v>1877</v>
      </c>
      <c r="R36" s="6" t="s">
        <v>62</v>
      </c>
      <c r="S36" s="7" t="s">
        <v>1500</v>
      </c>
      <c r="T36" s="6" t="s">
        <v>334</v>
      </c>
      <c r="U36" s="7" t="s">
        <v>109</v>
      </c>
      <c r="V36" s="7" t="s">
        <v>1873</v>
      </c>
    </row>
    <row r="37" spans="1:22" x14ac:dyDescent="0.3">
      <c r="A37" s="7">
        <v>36</v>
      </c>
      <c r="B37" s="6" t="s">
        <v>23</v>
      </c>
      <c r="C37" s="105" t="s">
        <v>984</v>
      </c>
      <c r="D37" s="6">
        <v>50126272</v>
      </c>
      <c r="E37" s="6">
        <v>100</v>
      </c>
      <c r="F37" s="7">
        <v>126</v>
      </c>
      <c r="G37" s="7">
        <v>101</v>
      </c>
      <c r="H37" s="6" t="s">
        <v>83</v>
      </c>
      <c r="I37" s="6" t="s">
        <v>109</v>
      </c>
      <c r="J37" s="6" t="s">
        <v>130</v>
      </c>
      <c r="K37" s="7" t="s">
        <v>109</v>
      </c>
      <c r="L37" s="11">
        <v>0.69236111111111109</v>
      </c>
      <c r="M37" s="7" t="s">
        <v>109</v>
      </c>
      <c r="N37" s="6" t="s">
        <v>109</v>
      </c>
      <c r="O37" s="7" t="s">
        <v>61</v>
      </c>
      <c r="P37" s="7" t="s">
        <v>131</v>
      </c>
      <c r="Q37" s="7" t="s">
        <v>83</v>
      </c>
      <c r="R37" s="6" t="s">
        <v>62</v>
      </c>
      <c r="S37" s="7" t="s">
        <v>1500</v>
      </c>
      <c r="T37" s="6" t="s">
        <v>334</v>
      </c>
      <c r="U37" s="7" t="s">
        <v>109</v>
      </c>
      <c r="V37" s="7" t="s">
        <v>109</v>
      </c>
    </row>
    <row r="38" spans="1:22" x14ac:dyDescent="0.3">
      <c r="A38" s="7">
        <v>37</v>
      </c>
      <c r="B38" s="6" t="s">
        <v>23</v>
      </c>
      <c r="C38" s="105" t="s">
        <v>759</v>
      </c>
      <c r="D38" s="6">
        <v>50126147</v>
      </c>
      <c r="E38" s="6">
        <v>100</v>
      </c>
      <c r="F38" s="7">
        <v>164</v>
      </c>
      <c r="G38" s="7">
        <v>98</v>
      </c>
      <c r="H38" s="6" t="s">
        <v>83</v>
      </c>
      <c r="I38" s="6" t="s">
        <v>88</v>
      </c>
      <c r="J38" s="6" t="s">
        <v>130</v>
      </c>
      <c r="K38" s="11">
        <v>0.79374999999999996</v>
      </c>
      <c r="L38" s="11">
        <v>0.84652777777777777</v>
      </c>
      <c r="M38" s="7" t="s">
        <v>109</v>
      </c>
      <c r="N38" s="6" t="s">
        <v>109</v>
      </c>
      <c r="O38" s="7" t="s">
        <v>61</v>
      </c>
      <c r="P38" s="7" t="s">
        <v>131</v>
      </c>
      <c r="Q38" s="7" t="s">
        <v>88</v>
      </c>
      <c r="R38" s="6" t="s">
        <v>62</v>
      </c>
      <c r="S38" s="7" t="s">
        <v>1500</v>
      </c>
      <c r="T38" s="6" t="s">
        <v>480</v>
      </c>
      <c r="U38" s="7" t="s">
        <v>109</v>
      </c>
      <c r="V38" s="7" t="s">
        <v>109</v>
      </c>
    </row>
    <row r="39" spans="1:22" x14ac:dyDescent="0.3">
      <c r="A39" s="7">
        <v>38</v>
      </c>
      <c r="B39" s="6" t="s">
        <v>23</v>
      </c>
      <c r="C39" s="105" t="s">
        <v>1054</v>
      </c>
      <c r="D39" s="6">
        <v>50126315</v>
      </c>
      <c r="E39" s="6">
        <v>300</v>
      </c>
      <c r="F39" s="7">
        <v>587</v>
      </c>
      <c r="G39" s="7">
        <v>210</v>
      </c>
      <c r="H39" s="6" t="s">
        <v>1340</v>
      </c>
      <c r="I39" s="10" t="s">
        <v>1874</v>
      </c>
      <c r="J39" s="6" t="s">
        <v>130</v>
      </c>
      <c r="K39" s="11">
        <v>0.99930555555555556</v>
      </c>
      <c r="L39" s="11">
        <v>2.6388888888888889E-2</v>
      </c>
      <c r="M39" s="7" t="s">
        <v>109</v>
      </c>
      <c r="N39" s="6" t="s">
        <v>109</v>
      </c>
      <c r="O39" s="7" t="s">
        <v>61</v>
      </c>
      <c r="P39" s="7" t="s">
        <v>131</v>
      </c>
      <c r="Q39" s="7" t="s">
        <v>89</v>
      </c>
      <c r="R39" s="6" t="s">
        <v>62</v>
      </c>
      <c r="S39" s="7" t="s">
        <v>1500</v>
      </c>
      <c r="T39" s="6" t="s">
        <v>480</v>
      </c>
      <c r="U39" s="7" t="s">
        <v>109</v>
      </c>
      <c r="V39" s="7" t="s">
        <v>1816</v>
      </c>
    </row>
    <row r="40" spans="1:22" x14ac:dyDescent="0.3">
      <c r="A40" s="7">
        <v>39</v>
      </c>
      <c r="B40" s="6" t="s">
        <v>23</v>
      </c>
      <c r="C40" s="105" t="s">
        <v>1056</v>
      </c>
      <c r="D40" s="6">
        <v>50126316</v>
      </c>
      <c r="E40" s="6">
        <v>150</v>
      </c>
      <c r="F40" s="7">
        <v>277</v>
      </c>
      <c r="G40" s="7">
        <v>50</v>
      </c>
      <c r="H40" s="10" t="s">
        <v>1223</v>
      </c>
      <c r="I40" s="10" t="s">
        <v>1855</v>
      </c>
      <c r="J40" s="6" t="s">
        <v>130</v>
      </c>
      <c r="K40" s="11">
        <v>0.90972222222222221</v>
      </c>
      <c r="L40" s="11">
        <v>0.96527777777777779</v>
      </c>
      <c r="M40" s="7" t="s">
        <v>109</v>
      </c>
      <c r="N40" s="6" t="s">
        <v>109</v>
      </c>
      <c r="O40" s="7" t="s">
        <v>61</v>
      </c>
      <c r="P40" s="7" t="s">
        <v>131</v>
      </c>
      <c r="Q40" s="7" t="s">
        <v>87</v>
      </c>
      <c r="R40" s="6" t="s">
        <v>62</v>
      </c>
      <c r="S40" s="7" t="s">
        <v>1500</v>
      </c>
      <c r="T40" s="6" t="s">
        <v>480</v>
      </c>
      <c r="U40" s="7" t="s">
        <v>109</v>
      </c>
      <c r="V40" s="7" t="s">
        <v>291</v>
      </c>
    </row>
    <row r="41" spans="1:22" x14ac:dyDescent="0.3">
      <c r="A41" s="7">
        <v>40</v>
      </c>
      <c r="B41" s="6" t="s">
        <v>23</v>
      </c>
      <c r="C41" s="105" t="s">
        <v>1110</v>
      </c>
      <c r="D41" s="6">
        <v>50126322</v>
      </c>
      <c r="E41" s="6">
        <v>150</v>
      </c>
      <c r="F41" s="7">
        <v>0</v>
      </c>
      <c r="G41" s="7">
        <v>0</v>
      </c>
      <c r="H41" s="6" t="s">
        <v>172</v>
      </c>
      <c r="I41" s="6" t="s">
        <v>109</v>
      </c>
      <c r="J41" s="6" t="s">
        <v>130</v>
      </c>
      <c r="K41" s="7" t="s">
        <v>109</v>
      </c>
      <c r="L41" s="11">
        <v>0.97222222222222221</v>
      </c>
      <c r="M41" s="7" t="s">
        <v>109</v>
      </c>
      <c r="N41" s="6" t="s">
        <v>109</v>
      </c>
      <c r="O41" s="7" t="s">
        <v>61</v>
      </c>
      <c r="P41" s="7" t="s">
        <v>131</v>
      </c>
      <c r="Q41" s="7" t="s">
        <v>200</v>
      </c>
      <c r="R41" s="6" t="s">
        <v>62</v>
      </c>
      <c r="S41" s="7" t="s">
        <v>1500</v>
      </c>
      <c r="T41" s="6" t="s">
        <v>1112</v>
      </c>
      <c r="U41" s="7" t="s">
        <v>109</v>
      </c>
      <c r="V41" s="7" t="s">
        <v>1880</v>
      </c>
    </row>
    <row r="42" spans="1:22" x14ac:dyDescent="0.3">
      <c r="A42" s="7">
        <v>41</v>
      </c>
      <c r="B42" s="6" t="s">
        <v>23</v>
      </c>
      <c r="C42" s="105" t="s">
        <v>1113</v>
      </c>
      <c r="D42" s="6">
        <v>50126323</v>
      </c>
      <c r="E42" s="6">
        <v>100</v>
      </c>
      <c r="F42" s="7">
        <v>146</v>
      </c>
      <c r="G42" s="7">
        <v>90</v>
      </c>
      <c r="H42" s="10" t="s">
        <v>84</v>
      </c>
      <c r="I42" s="6" t="s">
        <v>109</v>
      </c>
      <c r="J42" s="6" t="s">
        <v>130</v>
      </c>
      <c r="K42" s="7" t="s">
        <v>109</v>
      </c>
      <c r="L42" s="11">
        <v>0.78749999999999998</v>
      </c>
      <c r="M42" s="7" t="s">
        <v>109</v>
      </c>
      <c r="N42" s="6" t="s">
        <v>109</v>
      </c>
      <c r="O42" s="7" t="s">
        <v>61</v>
      </c>
      <c r="P42" s="7" t="s">
        <v>131</v>
      </c>
      <c r="Q42" s="7" t="s">
        <v>84</v>
      </c>
      <c r="R42" s="6" t="s">
        <v>62</v>
      </c>
      <c r="S42" s="7" t="s">
        <v>1500</v>
      </c>
      <c r="T42" s="6" t="s">
        <v>1112</v>
      </c>
      <c r="U42" s="7" t="s">
        <v>109</v>
      </c>
      <c r="V42" s="7" t="s">
        <v>109</v>
      </c>
    </row>
    <row r="43" spans="1:22" x14ac:dyDescent="0.3">
      <c r="A43" s="7">
        <v>42</v>
      </c>
      <c r="B43" s="28" t="s">
        <v>23</v>
      </c>
      <c r="C43" s="28" t="s">
        <v>1115</v>
      </c>
      <c r="D43" s="28">
        <v>50126321</v>
      </c>
      <c r="E43" s="28">
        <v>150</v>
      </c>
      <c r="F43" s="28">
        <v>311</v>
      </c>
      <c r="G43" s="28">
        <v>138</v>
      </c>
      <c r="H43" s="28" t="s">
        <v>159</v>
      </c>
      <c r="I43" s="28" t="s">
        <v>109</v>
      </c>
      <c r="J43" s="28" t="s">
        <v>130</v>
      </c>
      <c r="K43" s="28" t="s">
        <v>109</v>
      </c>
      <c r="L43" s="41">
        <v>0.7993055555555556</v>
      </c>
      <c r="M43" s="28" t="s">
        <v>109</v>
      </c>
      <c r="N43" s="28" t="s">
        <v>109</v>
      </c>
      <c r="O43" s="28" t="s">
        <v>61</v>
      </c>
      <c r="P43" s="28" t="s">
        <v>131</v>
      </c>
      <c r="Q43" s="28" t="s">
        <v>274</v>
      </c>
      <c r="R43" s="6" t="s">
        <v>62</v>
      </c>
      <c r="S43" s="7" t="s">
        <v>1500</v>
      </c>
      <c r="T43" s="28" t="s">
        <v>1112</v>
      </c>
      <c r="U43" s="28" t="s">
        <v>109</v>
      </c>
      <c r="V43" s="28" t="s">
        <v>1816</v>
      </c>
    </row>
    <row r="44" spans="1:22" x14ac:dyDescent="0.3">
      <c r="A44" s="7">
        <v>43</v>
      </c>
      <c r="B44" s="28" t="s">
        <v>23</v>
      </c>
      <c r="C44" s="28" t="s">
        <v>1519</v>
      </c>
      <c r="D44" s="28">
        <v>50126353</v>
      </c>
      <c r="E44" s="28">
        <v>100</v>
      </c>
      <c r="F44" s="28">
        <v>201</v>
      </c>
      <c r="G44" s="28">
        <v>96</v>
      </c>
      <c r="H44" s="28" t="s">
        <v>214</v>
      </c>
      <c r="I44" s="28" t="s">
        <v>109</v>
      </c>
      <c r="J44" s="28" t="s">
        <v>130</v>
      </c>
      <c r="K44" s="28" t="s">
        <v>109</v>
      </c>
      <c r="L44" s="41">
        <v>0.70902777777777781</v>
      </c>
      <c r="M44" s="28" t="s">
        <v>109</v>
      </c>
      <c r="N44" s="28" t="s">
        <v>109</v>
      </c>
      <c r="O44" s="28" t="s">
        <v>61</v>
      </c>
      <c r="P44" s="28" t="s">
        <v>131</v>
      </c>
      <c r="Q44" s="28" t="s">
        <v>214</v>
      </c>
      <c r="R44" s="6" t="s">
        <v>62</v>
      </c>
      <c r="S44" s="7" t="s">
        <v>1500</v>
      </c>
      <c r="T44" s="28" t="s">
        <v>1309</v>
      </c>
      <c r="U44" s="28" t="s">
        <v>109</v>
      </c>
      <c r="V44" s="28" t="s">
        <v>109</v>
      </c>
    </row>
    <row r="45" spans="1:22" x14ac:dyDescent="0.3">
      <c r="A45" s="7">
        <v>44</v>
      </c>
      <c r="B45" s="28" t="s">
        <v>23</v>
      </c>
      <c r="C45" s="28" t="s">
        <v>986</v>
      </c>
      <c r="D45" s="28">
        <v>50126297</v>
      </c>
      <c r="E45" s="28">
        <v>10</v>
      </c>
      <c r="F45" s="28">
        <v>16</v>
      </c>
      <c r="G45" s="28">
        <v>0</v>
      </c>
      <c r="H45" s="28" t="s">
        <v>527</v>
      </c>
      <c r="I45" s="28" t="s">
        <v>109</v>
      </c>
      <c r="J45" s="28" t="s">
        <v>130</v>
      </c>
      <c r="K45" s="28" t="s">
        <v>109</v>
      </c>
      <c r="L45" s="41">
        <v>0.83611111111111114</v>
      </c>
      <c r="M45" s="28" t="s">
        <v>109</v>
      </c>
      <c r="N45" s="28" t="s">
        <v>109</v>
      </c>
      <c r="O45" s="28" t="s">
        <v>61</v>
      </c>
      <c r="P45" s="28" t="s">
        <v>131</v>
      </c>
      <c r="Q45" s="28" t="s">
        <v>527</v>
      </c>
      <c r="R45" s="6" t="s">
        <v>62</v>
      </c>
      <c r="S45" s="7" t="s">
        <v>1500</v>
      </c>
      <c r="T45" s="28" t="s">
        <v>223</v>
      </c>
      <c r="U45" s="28" t="s">
        <v>109</v>
      </c>
      <c r="V45" s="28" t="s">
        <v>291</v>
      </c>
    </row>
    <row r="46" spans="1:22" x14ac:dyDescent="0.3">
      <c r="A46" s="7">
        <v>45</v>
      </c>
      <c r="B46" s="28" t="s">
        <v>23</v>
      </c>
      <c r="C46" s="28" t="s">
        <v>811</v>
      </c>
      <c r="D46" s="28">
        <v>50126222</v>
      </c>
      <c r="E46" s="28">
        <v>360</v>
      </c>
      <c r="F46" s="28">
        <v>598</v>
      </c>
      <c r="G46" s="28">
        <v>328</v>
      </c>
      <c r="H46" s="49" t="s">
        <v>169</v>
      </c>
      <c r="I46" s="28" t="s">
        <v>109</v>
      </c>
      <c r="J46" s="28" t="s">
        <v>130</v>
      </c>
      <c r="K46" s="28" t="s">
        <v>109</v>
      </c>
      <c r="L46" s="41">
        <v>0.99305555555555558</v>
      </c>
      <c r="M46" s="28" t="s">
        <v>109</v>
      </c>
      <c r="N46" s="28" t="s">
        <v>110</v>
      </c>
      <c r="O46" s="28" t="s">
        <v>61</v>
      </c>
      <c r="P46" s="28" t="s">
        <v>131</v>
      </c>
      <c r="Q46" s="28" t="s">
        <v>94</v>
      </c>
      <c r="R46" s="6" t="s">
        <v>62</v>
      </c>
      <c r="S46" s="7" t="s">
        <v>1500</v>
      </c>
      <c r="T46" s="28" t="s">
        <v>424</v>
      </c>
      <c r="U46" s="28" t="s">
        <v>109</v>
      </c>
      <c r="V46" s="28" t="s">
        <v>109</v>
      </c>
    </row>
    <row r="47" spans="1:22" x14ac:dyDescent="0.3">
      <c r="A47" s="7">
        <v>46</v>
      </c>
      <c r="B47" s="28" t="s">
        <v>23</v>
      </c>
      <c r="C47" s="28" t="s">
        <v>1173</v>
      </c>
      <c r="D47" s="28">
        <v>50126327</v>
      </c>
      <c r="E47" s="28">
        <v>100</v>
      </c>
      <c r="F47" s="28">
        <v>135</v>
      </c>
      <c r="G47" s="28">
        <v>113</v>
      </c>
      <c r="H47" s="49" t="s">
        <v>70</v>
      </c>
      <c r="I47" s="28" t="s">
        <v>109</v>
      </c>
      <c r="J47" s="28" t="s">
        <v>130</v>
      </c>
      <c r="K47" s="28" t="s">
        <v>109</v>
      </c>
      <c r="L47" s="41">
        <v>0.75555555555555554</v>
      </c>
      <c r="M47" s="28" t="s">
        <v>109</v>
      </c>
      <c r="N47" s="28" t="s">
        <v>110</v>
      </c>
      <c r="O47" s="28" t="s">
        <v>61</v>
      </c>
      <c r="P47" s="28" t="s">
        <v>131</v>
      </c>
      <c r="Q47" s="28" t="s">
        <v>70</v>
      </c>
      <c r="R47" s="6" t="s">
        <v>62</v>
      </c>
      <c r="S47" s="7" t="s">
        <v>1500</v>
      </c>
      <c r="T47" s="28" t="s">
        <v>424</v>
      </c>
      <c r="U47" s="28" t="s">
        <v>109</v>
      </c>
      <c r="V47" s="28" t="s">
        <v>109</v>
      </c>
    </row>
    <row r="48" spans="1:22" x14ac:dyDescent="0.3">
      <c r="A48" s="7">
        <v>47</v>
      </c>
      <c r="B48" s="28" t="s">
        <v>23</v>
      </c>
      <c r="C48" s="28" t="s">
        <v>540</v>
      </c>
      <c r="D48" s="28">
        <v>50126082</v>
      </c>
      <c r="E48" s="28">
        <v>140</v>
      </c>
      <c r="F48" s="28">
        <v>261</v>
      </c>
      <c r="G48" s="28">
        <v>96</v>
      </c>
      <c r="H48" s="28" t="s">
        <v>285</v>
      </c>
      <c r="I48" s="28" t="s">
        <v>109</v>
      </c>
      <c r="J48" s="28" t="s">
        <v>130</v>
      </c>
      <c r="K48" s="28" t="s">
        <v>109</v>
      </c>
      <c r="L48" s="41">
        <v>0.74722222222222223</v>
      </c>
      <c r="M48" s="28" t="s">
        <v>109</v>
      </c>
      <c r="N48" s="28" t="s">
        <v>110</v>
      </c>
      <c r="O48" s="28" t="s">
        <v>61</v>
      </c>
      <c r="P48" s="28" t="s">
        <v>131</v>
      </c>
      <c r="Q48" s="28" t="s">
        <v>93</v>
      </c>
      <c r="R48" s="6" t="s">
        <v>62</v>
      </c>
      <c r="S48" s="7" t="s">
        <v>1500</v>
      </c>
      <c r="T48" s="28" t="s">
        <v>424</v>
      </c>
      <c r="U48" s="28" t="s">
        <v>109</v>
      </c>
      <c r="V48" s="28" t="s">
        <v>291</v>
      </c>
    </row>
    <row r="49" spans="1:22" x14ac:dyDescent="0.3">
      <c r="A49" s="7">
        <v>48</v>
      </c>
      <c r="B49" s="28" t="s">
        <v>23</v>
      </c>
      <c r="C49" s="28" t="s">
        <v>832</v>
      </c>
      <c r="D49" s="28">
        <v>50126109</v>
      </c>
      <c r="E49" s="28">
        <v>100</v>
      </c>
      <c r="F49" s="28">
        <v>149</v>
      </c>
      <c r="G49" s="28">
        <v>99</v>
      </c>
      <c r="H49" s="28" t="s">
        <v>67</v>
      </c>
      <c r="I49" s="28" t="s">
        <v>109</v>
      </c>
      <c r="J49" s="28" t="s">
        <v>130</v>
      </c>
      <c r="K49" s="28" t="s">
        <v>109</v>
      </c>
      <c r="L49" s="41">
        <v>0.69791666666666663</v>
      </c>
      <c r="M49" s="28" t="s">
        <v>109</v>
      </c>
      <c r="N49" s="28" t="s">
        <v>110</v>
      </c>
      <c r="O49" s="28" t="s">
        <v>61</v>
      </c>
      <c r="P49" s="28" t="s">
        <v>131</v>
      </c>
      <c r="Q49" s="28" t="s">
        <v>67</v>
      </c>
      <c r="R49" s="6" t="s">
        <v>62</v>
      </c>
      <c r="S49" s="7" t="s">
        <v>1500</v>
      </c>
      <c r="T49" s="28" t="s">
        <v>424</v>
      </c>
      <c r="U49" s="28" t="s">
        <v>109</v>
      </c>
      <c r="V49" s="28" t="s">
        <v>109</v>
      </c>
    </row>
    <row r="50" spans="1:22" x14ac:dyDescent="0.3">
      <c r="A50" s="7">
        <v>49</v>
      </c>
      <c r="B50" s="28" t="s">
        <v>23</v>
      </c>
      <c r="C50" s="28" t="s">
        <v>833</v>
      </c>
      <c r="D50" s="28">
        <v>50126108</v>
      </c>
      <c r="E50" s="28">
        <v>150</v>
      </c>
      <c r="F50" s="28">
        <v>278</v>
      </c>
      <c r="G50" s="28">
        <v>114</v>
      </c>
      <c r="H50" s="28" t="s">
        <v>750</v>
      </c>
      <c r="I50" s="28" t="s">
        <v>109</v>
      </c>
      <c r="J50" s="28" t="s">
        <v>130</v>
      </c>
      <c r="K50" s="28" t="s">
        <v>109</v>
      </c>
      <c r="L50" s="41">
        <v>0.77569444444444446</v>
      </c>
      <c r="M50" s="28" t="s">
        <v>109</v>
      </c>
      <c r="N50" s="28" t="s">
        <v>110</v>
      </c>
      <c r="O50" s="28" t="s">
        <v>61</v>
      </c>
      <c r="P50" s="28" t="s">
        <v>131</v>
      </c>
      <c r="Q50" s="28" t="s">
        <v>91</v>
      </c>
      <c r="R50" s="6" t="s">
        <v>62</v>
      </c>
      <c r="S50" s="7" t="s">
        <v>1500</v>
      </c>
      <c r="T50" s="28" t="s">
        <v>424</v>
      </c>
      <c r="U50" s="28" t="s">
        <v>109</v>
      </c>
      <c r="V50" s="28" t="s">
        <v>1816</v>
      </c>
    </row>
    <row r="51" spans="1:22" x14ac:dyDescent="0.3">
      <c r="A51" s="7">
        <v>50</v>
      </c>
      <c r="B51" s="28" t="s">
        <v>23</v>
      </c>
      <c r="C51" s="28" t="s">
        <v>923</v>
      </c>
      <c r="D51" s="28">
        <v>50126259</v>
      </c>
      <c r="E51" s="28">
        <v>135</v>
      </c>
      <c r="F51" s="28">
        <v>201</v>
      </c>
      <c r="G51" s="28">
        <v>145</v>
      </c>
      <c r="H51" s="49" t="s">
        <v>1856</v>
      </c>
      <c r="I51" s="28" t="s">
        <v>109</v>
      </c>
      <c r="J51" s="28" t="s">
        <v>130</v>
      </c>
      <c r="K51" s="28" t="s">
        <v>109</v>
      </c>
      <c r="L51" s="41">
        <v>0.8666666666666667</v>
      </c>
      <c r="M51" s="28" t="s">
        <v>109</v>
      </c>
      <c r="N51" s="28" t="s">
        <v>110</v>
      </c>
      <c r="O51" s="28" t="s">
        <v>61</v>
      </c>
      <c r="P51" s="28" t="s">
        <v>131</v>
      </c>
      <c r="Q51" s="28" t="s">
        <v>68</v>
      </c>
      <c r="R51" s="6" t="s">
        <v>62</v>
      </c>
      <c r="S51" s="7" t="s">
        <v>1500</v>
      </c>
      <c r="T51" s="28" t="s">
        <v>424</v>
      </c>
      <c r="U51" s="28" t="s">
        <v>109</v>
      </c>
      <c r="V51" s="28" t="s">
        <v>109</v>
      </c>
    </row>
    <row r="52" spans="1:22" x14ac:dyDescent="0.3">
      <c r="A52" s="7">
        <v>51</v>
      </c>
      <c r="B52" s="28" t="s">
        <v>23</v>
      </c>
      <c r="C52" s="28" t="s">
        <v>431</v>
      </c>
      <c r="D52" s="28">
        <v>50126041</v>
      </c>
      <c r="E52" s="28">
        <v>100</v>
      </c>
      <c r="F52" s="28">
        <v>157</v>
      </c>
      <c r="G52" s="28">
        <v>91</v>
      </c>
      <c r="H52" s="28" t="s">
        <v>65</v>
      </c>
      <c r="I52" s="28" t="s">
        <v>109</v>
      </c>
      <c r="J52" s="28" t="s">
        <v>130</v>
      </c>
      <c r="K52" s="28" t="s">
        <v>109</v>
      </c>
      <c r="L52" s="41">
        <v>0.91527777777777775</v>
      </c>
      <c r="M52" s="28" t="s">
        <v>109</v>
      </c>
      <c r="N52" s="28" t="s">
        <v>110</v>
      </c>
      <c r="O52" s="28" t="s">
        <v>61</v>
      </c>
      <c r="P52" s="28" t="s">
        <v>131</v>
      </c>
      <c r="Q52" s="28" t="s">
        <v>65</v>
      </c>
      <c r="R52" s="6" t="s">
        <v>62</v>
      </c>
      <c r="S52" s="7" t="s">
        <v>1500</v>
      </c>
      <c r="T52" s="28" t="s">
        <v>424</v>
      </c>
      <c r="U52" s="28" t="s">
        <v>109</v>
      </c>
      <c r="V52" s="28" t="s">
        <v>109</v>
      </c>
    </row>
    <row r="53" spans="1:22" x14ac:dyDescent="0.3">
      <c r="A53" s="7">
        <v>52</v>
      </c>
      <c r="B53" s="28" t="s">
        <v>23</v>
      </c>
      <c r="C53" s="28" t="s">
        <v>932</v>
      </c>
      <c r="D53" s="28">
        <v>50126263</v>
      </c>
      <c r="E53" s="28">
        <v>140</v>
      </c>
      <c r="F53" s="28">
        <v>277</v>
      </c>
      <c r="G53" s="28">
        <v>117</v>
      </c>
      <c r="H53" s="28" t="s">
        <v>750</v>
      </c>
      <c r="I53" s="28" t="s">
        <v>109</v>
      </c>
      <c r="J53" s="28" t="s">
        <v>130</v>
      </c>
      <c r="K53" s="28" t="s">
        <v>109</v>
      </c>
      <c r="L53" s="41">
        <v>0.78680555555555554</v>
      </c>
      <c r="M53" s="28" t="s">
        <v>109</v>
      </c>
      <c r="N53" s="28" t="s">
        <v>110</v>
      </c>
      <c r="O53" s="28" t="s">
        <v>61</v>
      </c>
      <c r="P53" s="28" t="s">
        <v>131</v>
      </c>
      <c r="Q53" s="28" t="s">
        <v>87</v>
      </c>
      <c r="R53" s="6" t="s">
        <v>62</v>
      </c>
      <c r="S53" s="7" t="s">
        <v>1500</v>
      </c>
      <c r="T53" s="28" t="s">
        <v>424</v>
      </c>
      <c r="U53" s="28" t="s">
        <v>109</v>
      </c>
      <c r="V53" s="28" t="s">
        <v>1816</v>
      </c>
    </row>
    <row r="54" spans="1:22" x14ac:dyDescent="0.3">
      <c r="A54" s="7">
        <v>53</v>
      </c>
      <c r="B54" s="28" t="s">
        <v>23</v>
      </c>
      <c r="C54" s="28" t="s">
        <v>937</v>
      </c>
      <c r="D54" s="28">
        <v>50126267</v>
      </c>
      <c r="E54" s="28">
        <v>400</v>
      </c>
      <c r="F54" s="28">
        <v>479</v>
      </c>
      <c r="G54" s="28">
        <v>387</v>
      </c>
      <c r="H54" s="28" t="s">
        <v>1857</v>
      </c>
      <c r="I54" s="28" t="s">
        <v>109</v>
      </c>
      <c r="J54" s="28" t="s">
        <v>130</v>
      </c>
      <c r="K54" s="28" t="s">
        <v>109</v>
      </c>
      <c r="L54" s="41">
        <v>0.79583333333333328</v>
      </c>
      <c r="M54" s="28" t="s">
        <v>109</v>
      </c>
      <c r="N54" s="28" t="s">
        <v>110</v>
      </c>
      <c r="O54" s="28" t="s">
        <v>61</v>
      </c>
      <c r="P54" s="28" t="s">
        <v>131</v>
      </c>
      <c r="Q54" s="28" t="s">
        <v>209</v>
      </c>
      <c r="R54" s="6" t="s">
        <v>62</v>
      </c>
      <c r="S54" s="7" t="s">
        <v>1500</v>
      </c>
      <c r="T54" s="28" t="s">
        <v>424</v>
      </c>
      <c r="U54" s="28" t="s">
        <v>109</v>
      </c>
      <c r="V54" s="28" t="s">
        <v>1816</v>
      </c>
    </row>
    <row r="55" spans="1:22" x14ac:dyDescent="0.3">
      <c r="A55" s="7">
        <v>54</v>
      </c>
      <c r="B55" s="28" t="s">
        <v>23</v>
      </c>
      <c r="C55" s="28" t="s">
        <v>719</v>
      </c>
      <c r="D55" s="28">
        <v>50126078</v>
      </c>
      <c r="E55" s="28">
        <v>140</v>
      </c>
      <c r="F55" s="28">
        <v>168</v>
      </c>
      <c r="G55" s="28">
        <v>148</v>
      </c>
      <c r="H55" s="28" t="s">
        <v>97</v>
      </c>
      <c r="I55" s="28" t="s">
        <v>109</v>
      </c>
      <c r="J55" s="28" t="s">
        <v>130</v>
      </c>
      <c r="K55" s="28" t="s">
        <v>109</v>
      </c>
      <c r="L55" s="41">
        <v>0.70763888888888893</v>
      </c>
      <c r="M55" s="28" t="s">
        <v>109</v>
      </c>
      <c r="N55" s="28" t="s">
        <v>110</v>
      </c>
      <c r="O55" s="28" t="s">
        <v>61</v>
      </c>
      <c r="P55" s="28" t="s">
        <v>131</v>
      </c>
      <c r="Q55" s="28" t="s">
        <v>89</v>
      </c>
      <c r="R55" s="6" t="s">
        <v>62</v>
      </c>
      <c r="S55" s="7" t="s">
        <v>1500</v>
      </c>
      <c r="T55" s="28" t="s">
        <v>424</v>
      </c>
      <c r="U55" s="28" t="s">
        <v>109</v>
      </c>
      <c r="V55" s="28" t="s">
        <v>109</v>
      </c>
    </row>
    <row r="56" spans="1:22" x14ac:dyDescent="0.3">
      <c r="A56" s="7">
        <v>55</v>
      </c>
      <c r="B56" s="28" t="s">
        <v>23</v>
      </c>
      <c r="C56" s="28" t="s">
        <v>845</v>
      </c>
      <c r="D56" s="28">
        <v>50126206</v>
      </c>
      <c r="E56" s="28">
        <v>140</v>
      </c>
      <c r="F56" s="28">
        <v>132</v>
      </c>
      <c r="G56" s="28">
        <v>38</v>
      </c>
      <c r="H56" s="49" t="s">
        <v>103</v>
      </c>
      <c r="I56" s="28" t="s">
        <v>109</v>
      </c>
      <c r="J56" s="28" t="s">
        <v>130</v>
      </c>
      <c r="K56" s="28" t="s">
        <v>109</v>
      </c>
      <c r="L56" s="41">
        <v>0.92847222222222225</v>
      </c>
      <c r="M56" s="28" t="s">
        <v>109</v>
      </c>
      <c r="N56" s="28" t="s">
        <v>110</v>
      </c>
      <c r="O56" s="28" t="s">
        <v>61</v>
      </c>
      <c r="P56" s="28" t="s">
        <v>131</v>
      </c>
      <c r="Q56" s="28" t="s">
        <v>94</v>
      </c>
      <c r="R56" s="6" t="s">
        <v>62</v>
      </c>
      <c r="S56" s="7" t="s">
        <v>1500</v>
      </c>
      <c r="T56" s="28" t="s">
        <v>424</v>
      </c>
      <c r="U56" s="28" t="s">
        <v>109</v>
      </c>
      <c r="V56" s="28" t="s">
        <v>291</v>
      </c>
    </row>
    <row r="57" spans="1:22" x14ac:dyDescent="0.3">
      <c r="A57" s="7">
        <v>56</v>
      </c>
      <c r="B57" s="28" t="s">
        <v>23</v>
      </c>
      <c r="C57" s="28" t="s">
        <v>549</v>
      </c>
      <c r="D57" s="28">
        <v>50126094</v>
      </c>
      <c r="E57" s="28">
        <v>100</v>
      </c>
      <c r="F57" s="28">
        <v>121</v>
      </c>
      <c r="G57" s="28">
        <v>101</v>
      </c>
      <c r="H57" s="28" t="s">
        <v>241</v>
      </c>
      <c r="I57" s="28" t="s">
        <v>109</v>
      </c>
      <c r="J57" s="28" t="s">
        <v>130</v>
      </c>
      <c r="K57" s="28" t="s">
        <v>109</v>
      </c>
      <c r="L57" s="41">
        <v>0.75138888888888888</v>
      </c>
      <c r="M57" s="28" t="s">
        <v>109</v>
      </c>
      <c r="N57" s="28" t="s">
        <v>110</v>
      </c>
      <c r="O57" s="28" t="s">
        <v>61</v>
      </c>
      <c r="P57" s="28" t="s">
        <v>131</v>
      </c>
      <c r="Q57" s="28" t="s">
        <v>241</v>
      </c>
      <c r="R57" s="6" t="s">
        <v>62</v>
      </c>
      <c r="S57" s="7" t="s">
        <v>1500</v>
      </c>
      <c r="T57" s="28" t="s">
        <v>424</v>
      </c>
      <c r="U57" s="28" t="s">
        <v>109</v>
      </c>
      <c r="V57" s="28" t="s">
        <v>109</v>
      </c>
    </row>
    <row r="58" spans="1:22" x14ac:dyDescent="0.3">
      <c r="A58" s="7">
        <v>57</v>
      </c>
      <c r="B58" s="28" t="s">
        <v>23</v>
      </c>
      <c r="C58" s="28" t="s">
        <v>793</v>
      </c>
      <c r="D58" s="28">
        <v>50126181</v>
      </c>
      <c r="E58" s="28">
        <v>90</v>
      </c>
      <c r="F58" s="28">
        <v>112</v>
      </c>
      <c r="G58" s="28">
        <v>99</v>
      </c>
      <c r="H58" s="28" t="s">
        <v>64</v>
      </c>
      <c r="I58" s="28" t="s">
        <v>109</v>
      </c>
      <c r="J58" s="28" t="s">
        <v>130</v>
      </c>
      <c r="K58" s="28" t="s">
        <v>109</v>
      </c>
      <c r="L58" s="41">
        <v>0.66805555555555551</v>
      </c>
      <c r="M58" s="28" t="s">
        <v>109</v>
      </c>
      <c r="N58" s="28" t="s">
        <v>109</v>
      </c>
      <c r="O58" s="28" t="s">
        <v>61</v>
      </c>
      <c r="P58" s="28" t="s">
        <v>131</v>
      </c>
      <c r="Q58" s="28" t="s">
        <v>64</v>
      </c>
      <c r="R58" s="6" t="s">
        <v>62</v>
      </c>
      <c r="S58" s="7" t="s">
        <v>1500</v>
      </c>
      <c r="T58" s="28" t="s">
        <v>424</v>
      </c>
      <c r="U58" s="28" t="s">
        <v>109</v>
      </c>
      <c r="V58" s="28" t="s">
        <v>109</v>
      </c>
    </row>
    <row r="59" spans="1:22" x14ac:dyDescent="0.3">
      <c r="A59" s="7">
        <v>58</v>
      </c>
      <c r="B59" s="28" t="s">
        <v>23</v>
      </c>
      <c r="C59" s="28" t="s">
        <v>808</v>
      </c>
      <c r="D59" s="28">
        <v>50126193</v>
      </c>
      <c r="E59" s="28">
        <v>45</v>
      </c>
      <c r="F59" s="28">
        <v>55</v>
      </c>
      <c r="G59" s="28">
        <v>49</v>
      </c>
      <c r="H59" s="28" t="s">
        <v>67</v>
      </c>
      <c r="I59" s="28" t="s">
        <v>109</v>
      </c>
      <c r="J59" s="28" t="s">
        <v>130</v>
      </c>
      <c r="K59" s="28" t="s">
        <v>109</v>
      </c>
      <c r="L59" s="41">
        <v>0.74722222222222223</v>
      </c>
      <c r="M59" s="28" t="s">
        <v>109</v>
      </c>
      <c r="N59" s="28" t="s">
        <v>109</v>
      </c>
      <c r="O59" s="28" t="s">
        <v>61</v>
      </c>
      <c r="P59" s="28" t="s">
        <v>131</v>
      </c>
      <c r="Q59" s="28" t="s">
        <v>67</v>
      </c>
      <c r="R59" s="6" t="s">
        <v>62</v>
      </c>
      <c r="S59" s="7" t="s">
        <v>1500</v>
      </c>
      <c r="T59" s="28" t="s">
        <v>424</v>
      </c>
      <c r="U59" s="28" t="s">
        <v>109</v>
      </c>
      <c r="V59" s="28" t="s">
        <v>109</v>
      </c>
    </row>
    <row r="60" spans="1:22" x14ac:dyDescent="0.3">
      <c r="A60" s="7">
        <v>59</v>
      </c>
      <c r="B60" s="28" t="s">
        <v>23</v>
      </c>
      <c r="C60" s="28" t="s">
        <v>698</v>
      </c>
      <c r="D60" s="28">
        <v>50126154</v>
      </c>
      <c r="E60" s="28">
        <v>80</v>
      </c>
      <c r="F60" s="28">
        <v>100</v>
      </c>
      <c r="G60" s="28">
        <v>88</v>
      </c>
      <c r="H60" s="28" t="s">
        <v>241</v>
      </c>
      <c r="I60" s="28" t="s">
        <v>109</v>
      </c>
      <c r="J60" s="28" t="s">
        <v>130</v>
      </c>
      <c r="K60" s="28" t="s">
        <v>109</v>
      </c>
      <c r="L60" s="41">
        <v>0.80069444444444449</v>
      </c>
      <c r="M60" s="28" t="s">
        <v>109</v>
      </c>
      <c r="N60" s="28" t="s">
        <v>109</v>
      </c>
      <c r="O60" s="28" t="s">
        <v>61</v>
      </c>
      <c r="P60" s="28" t="s">
        <v>131</v>
      </c>
      <c r="Q60" s="28" t="s">
        <v>241</v>
      </c>
      <c r="R60" s="6" t="s">
        <v>62</v>
      </c>
      <c r="S60" s="7" t="s">
        <v>1500</v>
      </c>
      <c r="T60" s="28" t="s">
        <v>424</v>
      </c>
      <c r="U60" s="28" t="s">
        <v>109</v>
      </c>
      <c r="V60" s="28" t="s">
        <v>109</v>
      </c>
    </row>
    <row r="61" spans="1:22" x14ac:dyDescent="0.3">
      <c r="A61" s="7">
        <v>60</v>
      </c>
      <c r="B61" s="28" t="s">
        <v>23</v>
      </c>
      <c r="C61" s="28" t="s">
        <v>703</v>
      </c>
      <c r="D61" s="28">
        <v>50126159</v>
      </c>
      <c r="E61" s="28">
        <v>50</v>
      </c>
      <c r="F61" s="28">
        <v>72</v>
      </c>
      <c r="G61" s="28">
        <v>60</v>
      </c>
      <c r="H61" s="28" t="s">
        <v>65</v>
      </c>
      <c r="I61" s="28" t="s">
        <v>109</v>
      </c>
      <c r="J61" s="28" t="s">
        <v>130</v>
      </c>
      <c r="K61" s="28" t="s">
        <v>109</v>
      </c>
      <c r="L61" s="41">
        <v>0.8041666666666667</v>
      </c>
      <c r="M61" s="28" t="s">
        <v>109</v>
      </c>
      <c r="N61" s="28" t="s">
        <v>109</v>
      </c>
      <c r="O61" s="28" t="s">
        <v>61</v>
      </c>
      <c r="P61" s="28" t="s">
        <v>131</v>
      </c>
      <c r="Q61" s="28" t="s">
        <v>65</v>
      </c>
      <c r="R61" s="6" t="s">
        <v>62</v>
      </c>
      <c r="S61" s="7" t="s">
        <v>1500</v>
      </c>
      <c r="T61" s="28" t="s">
        <v>424</v>
      </c>
      <c r="U61" s="28" t="s">
        <v>109</v>
      </c>
      <c r="V61" s="28" t="s">
        <v>109</v>
      </c>
    </row>
    <row r="62" spans="1:22" x14ac:dyDescent="0.3">
      <c r="A62" s="7">
        <v>61</v>
      </c>
      <c r="B62" s="28" t="s">
        <v>23</v>
      </c>
      <c r="C62" s="28" t="s">
        <v>706</v>
      </c>
      <c r="D62" s="28">
        <v>50126162</v>
      </c>
      <c r="E62" s="28">
        <v>70</v>
      </c>
      <c r="F62" s="28">
        <v>101</v>
      </c>
      <c r="G62" s="28">
        <v>70</v>
      </c>
      <c r="H62" s="28" t="s">
        <v>71</v>
      </c>
      <c r="I62" s="28" t="s">
        <v>109</v>
      </c>
      <c r="J62" s="28" t="s">
        <v>130</v>
      </c>
      <c r="K62" s="28" t="s">
        <v>109</v>
      </c>
      <c r="L62" s="41">
        <v>0.75208333333333333</v>
      </c>
      <c r="M62" s="28" t="s">
        <v>109</v>
      </c>
      <c r="N62" s="28" t="s">
        <v>109</v>
      </c>
      <c r="O62" s="28" t="s">
        <v>61</v>
      </c>
      <c r="P62" s="28" t="s">
        <v>131</v>
      </c>
      <c r="Q62" s="28" t="s">
        <v>71</v>
      </c>
      <c r="R62" s="6" t="s">
        <v>62</v>
      </c>
      <c r="S62" s="7" t="s">
        <v>1500</v>
      </c>
      <c r="T62" s="28" t="s">
        <v>424</v>
      </c>
      <c r="U62" s="28" t="s">
        <v>109</v>
      </c>
      <c r="V62" s="28" t="s">
        <v>109</v>
      </c>
    </row>
    <row r="63" spans="1:22" x14ac:dyDescent="0.3">
      <c r="A63" s="7">
        <v>62</v>
      </c>
      <c r="B63" s="28" t="s">
        <v>23</v>
      </c>
      <c r="C63" s="28" t="s">
        <v>707</v>
      </c>
      <c r="D63" s="28">
        <v>50126169</v>
      </c>
      <c r="E63" s="28">
        <v>60</v>
      </c>
      <c r="F63" s="28">
        <v>75</v>
      </c>
      <c r="G63" s="28">
        <v>61</v>
      </c>
      <c r="H63" s="28" t="s">
        <v>66</v>
      </c>
      <c r="I63" s="28" t="s">
        <v>109</v>
      </c>
      <c r="J63" s="28" t="s">
        <v>130</v>
      </c>
      <c r="K63" s="28" t="s">
        <v>109</v>
      </c>
      <c r="L63" s="41">
        <v>0.69166666666666665</v>
      </c>
      <c r="M63" s="28" t="s">
        <v>109</v>
      </c>
      <c r="N63" s="28" t="s">
        <v>109</v>
      </c>
      <c r="O63" s="28" t="s">
        <v>61</v>
      </c>
      <c r="P63" s="28" t="s">
        <v>131</v>
      </c>
      <c r="Q63" s="28" t="s">
        <v>66</v>
      </c>
      <c r="R63" s="6" t="s">
        <v>62</v>
      </c>
      <c r="S63" s="7" t="s">
        <v>1500</v>
      </c>
      <c r="T63" s="28" t="s">
        <v>424</v>
      </c>
      <c r="U63" s="28" t="s">
        <v>109</v>
      </c>
      <c r="V63" s="28" t="s">
        <v>109</v>
      </c>
    </row>
    <row r="64" spans="1:22" x14ac:dyDescent="0.3">
      <c r="A64" s="7">
        <v>63</v>
      </c>
      <c r="B64" s="28" t="s">
        <v>23</v>
      </c>
      <c r="C64" s="28" t="s">
        <v>708</v>
      </c>
      <c r="D64" s="28">
        <v>50126163</v>
      </c>
      <c r="E64" s="28">
        <v>60</v>
      </c>
      <c r="F64" s="28">
        <v>81</v>
      </c>
      <c r="G64" s="28">
        <v>63</v>
      </c>
      <c r="H64" s="49" t="s">
        <v>69</v>
      </c>
      <c r="I64" s="28" t="s">
        <v>109</v>
      </c>
      <c r="J64" s="28" t="s">
        <v>130</v>
      </c>
      <c r="K64" s="28" t="s">
        <v>109</v>
      </c>
      <c r="L64" s="41">
        <v>0.7104166666666667</v>
      </c>
      <c r="M64" s="28" t="s">
        <v>109</v>
      </c>
      <c r="N64" s="28" t="s">
        <v>109</v>
      </c>
      <c r="O64" s="28" t="s">
        <v>61</v>
      </c>
      <c r="P64" s="28" t="s">
        <v>131</v>
      </c>
      <c r="Q64" s="28" t="s">
        <v>69</v>
      </c>
      <c r="R64" s="6" t="s">
        <v>62</v>
      </c>
      <c r="S64" s="7" t="s">
        <v>1500</v>
      </c>
      <c r="T64" s="28" t="s">
        <v>424</v>
      </c>
      <c r="U64" s="28" t="s">
        <v>109</v>
      </c>
      <c r="V64" s="28" t="s">
        <v>109</v>
      </c>
    </row>
    <row r="65" spans="1:22" x14ac:dyDescent="0.3">
      <c r="A65" s="7">
        <v>64</v>
      </c>
      <c r="B65" s="28" t="s">
        <v>23</v>
      </c>
      <c r="C65" s="28" t="s">
        <v>709</v>
      </c>
      <c r="D65" s="28">
        <v>50126164</v>
      </c>
      <c r="E65" s="28">
        <v>50</v>
      </c>
      <c r="F65" s="28">
        <v>77</v>
      </c>
      <c r="G65" s="28">
        <v>51</v>
      </c>
      <c r="H65" s="28" t="s">
        <v>214</v>
      </c>
      <c r="I65" s="28" t="s">
        <v>109</v>
      </c>
      <c r="J65" s="28" t="s">
        <v>130</v>
      </c>
      <c r="K65" s="28" t="s">
        <v>109</v>
      </c>
      <c r="L65" s="41">
        <v>0.93125000000000002</v>
      </c>
      <c r="M65" s="28" t="s">
        <v>109</v>
      </c>
      <c r="N65" s="28" t="s">
        <v>109</v>
      </c>
      <c r="O65" s="28" t="s">
        <v>61</v>
      </c>
      <c r="P65" s="28" t="s">
        <v>131</v>
      </c>
      <c r="Q65" s="28" t="s">
        <v>214</v>
      </c>
      <c r="R65" s="6" t="s">
        <v>62</v>
      </c>
      <c r="S65" s="7" t="s">
        <v>1500</v>
      </c>
      <c r="T65" s="28" t="s">
        <v>424</v>
      </c>
      <c r="U65" s="28" t="s">
        <v>109</v>
      </c>
      <c r="V65" s="28" t="s">
        <v>109</v>
      </c>
    </row>
    <row r="66" spans="1:22" x14ac:dyDescent="0.3">
      <c r="A66" s="7">
        <v>65</v>
      </c>
      <c r="B66" s="28" t="s">
        <v>23</v>
      </c>
      <c r="C66" s="28" t="s">
        <v>710</v>
      </c>
      <c r="D66" s="28">
        <v>50126165</v>
      </c>
      <c r="E66" s="28">
        <v>80</v>
      </c>
      <c r="F66" s="28">
        <v>147</v>
      </c>
      <c r="G66" s="28">
        <v>33</v>
      </c>
      <c r="H66" s="28" t="s">
        <v>67</v>
      </c>
      <c r="I66" s="28" t="s">
        <v>109</v>
      </c>
      <c r="J66" s="28" t="s">
        <v>130</v>
      </c>
      <c r="K66" s="28" t="s">
        <v>109</v>
      </c>
      <c r="L66" s="41">
        <v>0.79722222222222228</v>
      </c>
      <c r="M66" s="28" t="s">
        <v>109</v>
      </c>
      <c r="N66" s="28" t="s">
        <v>109</v>
      </c>
      <c r="O66" s="28" t="s">
        <v>61</v>
      </c>
      <c r="P66" s="28" t="s">
        <v>131</v>
      </c>
      <c r="Q66" s="28" t="s">
        <v>67</v>
      </c>
      <c r="R66" s="6" t="s">
        <v>62</v>
      </c>
      <c r="S66" s="7" t="s">
        <v>1500</v>
      </c>
      <c r="T66" s="28" t="s">
        <v>424</v>
      </c>
      <c r="U66" s="28" t="s">
        <v>109</v>
      </c>
      <c r="V66" s="28" t="s">
        <v>1873</v>
      </c>
    </row>
    <row r="67" spans="1:22" x14ac:dyDescent="0.3">
      <c r="A67" s="7">
        <v>66</v>
      </c>
      <c r="B67" s="28" t="s">
        <v>23</v>
      </c>
      <c r="C67" s="28" t="s">
        <v>713</v>
      </c>
      <c r="D67" s="28">
        <v>50126167</v>
      </c>
      <c r="E67" s="28">
        <v>40</v>
      </c>
      <c r="F67" s="28">
        <v>60</v>
      </c>
      <c r="G67" s="28">
        <v>51</v>
      </c>
      <c r="H67" s="28" t="s">
        <v>527</v>
      </c>
      <c r="I67" s="28" t="s">
        <v>109</v>
      </c>
      <c r="J67" s="28" t="s">
        <v>130</v>
      </c>
      <c r="K67" s="28" t="s">
        <v>109</v>
      </c>
      <c r="L67" s="41">
        <v>0.97083333333333333</v>
      </c>
      <c r="M67" s="28" t="s">
        <v>109</v>
      </c>
      <c r="N67" s="28" t="s">
        <v>109</v>
      </c>
      <c r="O67" s="28" t="s">
        <v>61</v>
      </c>
      <c r="P67" s="28" t="s">
        <v>131</v>
      </c>
      <c r="Q67" s="28" t="s">
        <v>527</v>
      </c>
      <c r="R67" s="6" t="s">
        <v>62</v>
      </c>
      <c r="S67" s="7" t="s">
        <v>1500</v>
      </c>
      <c r="T67" s="28" t="s">
        <v>424</v>
      </c>
      <c r="U67" s="28" t="s">
        <v>109</v>
      </c>
      <c r="V67" s="28" t="s">
        <v>109</v>
      </c>
    </row>
    <row r="68" spans="1:22" x14ac:dyDescent="0.3">
      <c r="A68" s="7">
        <v>67</v>
      </c>
      <c r="B68" s="28" t="s">
        <v>23</v>
      </c>
      <c r="C68" s="28" t="s">
        <v>714</v>
      </c>
      <c r="D68" s="28">
        <v>50126168</v>
      </c>
      <c r="E68" s="28">
        <v>60</v>
      </c>
      <c r="F68" s="28">
        <v>120</v>
      </c>
      <c r="G68" s="28">
        <v>22</v>
      </c>
      <c r="H68" s="28" t="s">
        <v>274</v>
      </c>
      <c r="I68" s="28" t="s">
        <v>109</v>
      </c>
      <c r="J68" s="28" t="s">
        <v>130</v>
      </c>
      <c r="K68" s="28" t="s">
        <v>109</v>
      </c>
      <c r="L68" s="41">
        <v>0.99375000000000002</v>
      </c>
      <c r="M68" s="28" t="s">
        <v>109</v>
      </c>
      <c r="N68" s="28" t="s">
        <v>109</v>
      </c>
      <c r="O68" s="28" t="s">
        <v>61</v>
      </c>
      <c r="P68" s="28" t="s">
        <v>131</v>
      </c>
      <c r="Q68" s="28" t="s">
        <v>274</v>
      </c>
      <c r="R68" s="6" t="s">
        <v>62</v>
      </c>
      <c r="S68" s="7" t="s">
        <v>1500</v>
      </c>
      <c r="T68" s="28" t="s">
        <v>424</v>
      </c>
      <c r="U68" s="28" t="s">
        <v>109</v>
      </c>
      <c r="V68" s="28" t="s">
        <v>1816</v>
      </c>
    </row>
    <row r="69" spans="1:22" x14ac:dyDescent="0.3">
      <c r="A69" s="7">
        <v>68</v>
      </c>
      <c r="B69" s="28" t="s">
        <v>23</v>
      </c>
      <c r="C69" s="28" t="s">
        <v>812</v>
      </c>
      <c r="D69" s="28">
        <v>50126224</v>
      </c>
      <c r="E69" s="28">
        <v>80</v>
      </c>
      <c r="F69" s="28">
        <v>209</v>
      </c>
      <c r="G69" s="28">
        <v>81</v>
      </c>
      <c r="H69" s="49" t="s">
        <v>184</v>
      </c>
      <c r="I69" s="28" t="s">
        <v>109</v>
      </c>
      <c r="J69" s="28" t="s">
        <v>130</v>
      </c>
      <c r="K69" s="28" t="s">
        <v>109</v>
      </c>
      <c r="L69" s="41">
        <v>0.91111111111111109</v>
      </c>
      <c r="M69" s="28" t="s">
        <v>109</v>
      </c>
      <c r="N69" s="28" t="s">
        <v>109</v>
      </c>
      <c r="O69" s="28" t="s">
        <v>61</v>
      </c>
      <c r="P69" s="28" t="s">
        <v>131</v>
      </c>
      <c r="Q69" s="28" t="s">
        <v>184</v>
      </c>
      <c r="R69" s="6" t="s">
        <v>62</v>
      </c>
      <c r="S69" s="7" t="s">
        <v>1500</v>
      </c>
      <c r="T69" s="28" t="s">
        <v>424</v>
      </c>
      <c r="U69" s="28" t="s">
        <v>109</v>
      </c>
      <c r="V69" s="28" t="s">
        <v>109</v>
      </c>
    </row>
    <row r="70" spans="1:22" x14ac:dyDescent="0.3">
      <c r="A70" s="7">
        <v>69</v>
      </c>
      <c r="B70" s="28" t="s">
        <v>23</v>
      </c>
      <c r="C70" s="28" t="s">
        <v>813</v>
      </c>
      <c r="D70" s="28">
        <v>50126225</v>
      </c>
      <c r="E70" s="28">
        <v>50</v>
      </c>
      <c r="F70" s="28">
        <v>100</v>
      </c>
      <c r="G70" s="28">
        <v>33</v>
      </c>
      <c r="H70" s="28" t="s">
        <v>72</v>
      </c>
      <c r="I70" s="28" t="s">
        <v>109</v>
      </c>
      <c r="J70" s="28" t="s">
        <v>130</v>
      </c>
      <c r="K70" s="28" t="s">
        <v>109</v>
      </c>
      <c r="L70" s="41">
        <v>0.8256944444444444</v>
      </c>
      <c r="M70" s="28" t="s">
        <v>109</v>
      </c>
      <c r="N70" s="28" t="s">
        <v>109</v>
      </c>
      <c r="O70" s="28" t="s">
        <v>61</v>
      </c>
      <c r="P70" s="28" t="s">
        <v>131</v>
      </c>
      <c r="Q70" s="28" t="s">
        <v>72</v>
      </c>
      <c r="R70" s="6" t="s">
        <v>62</v>
      </c>
      <c r="S70" s="7" t="s">
        <v>1500</v>
      </c>
      <c r="T70" s="28" t="s">
        <v>424</v>
      </c>
      <c r="U70" s="28" t="s">
        <v>109</v>
      </c>
      <c r="V70" s="28" t="s">
        <v>1816</v>
      </c>
    </row>
    <row r="71" spans="1:22" x14ac:dyDescent="0.3">
      <c r="A71" s="7">
        <v>70</v>
      </c>
      <c r="B71" s="28" t="s">
        <v>23</v>
      </c>
      <c r="C71" s="28" t="s">
        <v>816</v>
      </c>
      <c r="D71" s="28">
        <v>50126217</v>
      </c>
      <c r="E71" s="28">
        <v>60</v>
      </c>
      <c r="F71" s="28">
        <v>121</v>
      </c>
      <c r="G71" s="28">
        <v>65</v>
      </c>
      <c r="H71" s="28" t="s">
        <v>196</v>
      </c>
      <c r="I71" s="28" t="s">
        <v>109</v>
      </c>
      <c r="J71" s="28" t="s">
        <v>130</v>
      </c>
      <c r="K71" s="28" t="s">
        <v>109</v>
      </c>
      <c r="L71" s="41">
        <v>0.68125000000000002</v>
      </c>
      <c r="M71" s="28" t="s">
        <v>109</v>
      </c>
      <c r="N71" s="28" t="s">
        <v>109</v>
      </c>
      <c r="O71" s="28" t="s">
        <v>61</v>
      </c>
      <c r="P71" s="28" t="s">
        <v>131</v>
      </c>
      <c r="Q71" s="28" t="s">
        <v>196</v>
      </c>
      <c r="R71" s="6" t="s">
        <v>62</v>
      </c>
      <c r="S71" s="7" t="s">
        <v>1500</v>
      </c>
      <c r="T71" s="28" t="s">
        <v>424</v>
      </c>
      <c r="U71" s="28" t="s">
        <v>109</v>
      </c>
      <c r="V71" s="28" t="s">
        <v>109</v>
      </c>
    </row>
    <row r="72" spans="1:22" x14ac:dyDescent="0.3">
      <c r="A72" s="7">
        <v>71</v>
      </c>
      <c r="B72" s="28" t="s">
        <v>23</v>
      </c>
      <c r="C72" s="28" t="s">
        <v>818</v>
      </c>
      <c r="D72" s="28">
        <v>50126219</v>
      </c>
      <c r="E72" s="28">
        <v>65</v>
      </c>
      <c r="F72" s="28">
        <v>131</v>
      </c>
      <c r="G72" s="28">
        <v>76</v>
      </c>
      <c r="H72" s="28" t="s">
        <v>82</v>
      </c>
      <c r="I72" s="28" t="s">
        <v>109</v>
      </c>
      <c r="J72" s="28" t="s">
        <v>130</v>
      </c>
      <c r="K72" s="28" t="s">
        <v>109</v>
      </c>
      <c r="L72" s="41">
        <v>0.76180555555555551</v>
      </c>
      <c r="M72" s="28" t="s">
        <v>109</v>
      </c>
      <c r="N72" s="28" t="s">
        <v>109</v>
      </c>
      <c r="O72" s="28" t="s">
        <v>61</v>
      </c>
      <c r="P72" s="28" t="s">
        <v>131</v>
      </c>
      <c r="Q72" s="28" t="s">
        <v>82</v>
      </c>
      <c r="R72" s="6" t="s">
        <v>62</v>
      </c>
      <c r="S72" s="7" t="s">
        <v>1500</v>
      </c>
      <c r="T72" s="28" t="s">
        <v>424</v>
      </c>
      <c r="U72" s="28" t="s">
        <v>109</v>
      </c>
      <c r="V72" s="28" t="s">
        <v>109</v>
      </c>
    </row>
    <row r="73" spans="1:22" x14ac:dyDescent="0.3">
      <c r="A73" s="7">
        <v>72</v>
      </c>
      <c r="B73" s="28" t="s">
        <v>23</v>
      </c>
      <c r="C73" s="28" t="s">
        <v>822</v>
      </c>
      <c r="D73" s="28">
        <v>50126220</v>
      </c>
      <c r="E73" s="28">
        <v>50</v>
      </c>
      <c r="F73" s="28">
        <v>88</v>
      </c>
      <c r="G73" s="28">
        <v>50</v>
      </c>
      <c r="H73" s="28" t="s">
        <v>71</v>
      </c>
      <c r="I73" s="28" t="s">
        <v>109</v>
      </c>
      <c r="J73" s="28" t="s">
        <v>130</v>
      </c>
      <c r="K73" s="28" t="s">
        <v>109</v>
      </c>
      <c r="L73" s="41">
        <v>0.87916666666666665</v>
      </c>
      <c r="M73" s="28" t="s">
        <v>109</v>
      </c>
      <c r="N73" s="28" t="s">
        <v>109</v>
      </c>
      <c r="O73" s="28" t="s">
        <v>61</v>
      </c>
      <c r="P73" s="28" t="s">
        <v>131</v>
      </c>
      <c r="Q73" s="28" t="s">
        <v>71</v>
      </c>
      <c r="R73" s="6" t="s">
        <v>62</v>
      </c>
      <c r="S73" s="7" t="s">
        <v>1500</v>
      </c>
      <c r="T73" s="28" t="s">
        <v>424</v>
      </c>
      <c r="U73" s="28" t="s">
        <v>109</v>
      </c>
      <c r="V73" s="28" t="s">
        <v>109</v>
      </c>
    </row>
    <row r="74" spans="1:22" x14ac:dyDescent="0.3">
      <c r="A74" s="7">
        <v>73</v>
      </c>
      <c r="B74" s="28" t="s">
        <v>23</v>
      </c>
      <c r="C74" s="28" t="s">
        <v>1642</v>
      </c>
      <c r="D74" s="28">
        <v>50126372</v>
      </c>
      <c r="E74" s="28">
        <v>60</v>
      </c>
      <c r="F74" s="28">
        <v>90</v>
      </c>
      <c r="G74" s="28">
        <v>61</v>
      </c>
      <c r="H74" s="49" t="s">
        <v>184</v>
      </c>
      <c r="I74" s="28" t="s">
        <v>109</v>
      </c>
      <c r="J74" s="28" t="s">
        <v>130</v>
      </c>
      <c r="K74" s="28" t="s">
        <v>109</v>
      </c>
      <c r="L74" s="41">
        <v>0.93263888888888891</v>
      </c>
      <c r="M74" s="28" t="s">
        <v>109</v>
      </c>
      <c r="N74" s="28" t="s">
        <v>109</v>
      </c>
      <c r="O74" s="28" t="s">
        <v>61</v>
      </c>
      <c r="P74" s="28" t="s">
        <v>131</v>
      </c>
      <c r="Q74" s="28" t="s">
        <v>184</v>
      </c>
      <c r="R74" s="6" t="s">
        <v>62</v>
      </c>
      <c r="S74" s="7" t="s">
        <v>1500</v>
      </c>
      <c r="T74" s="28" t="s">
        <v>424</v>
      </c>
      <c r="U74" s="28" t="s">
        <v>109</v>
      </c>
      <c r="V74" s="28" t="s">
        <v>109</v>
      </c>
    </row>
    <row r="75" spans="1:22" x14ac:dyDescent="0.3">
      <c r="A75" s="7">
        <v>74</v>
      </c>
      <c r="B75" s="28" t="s">
        <v>23</v>
      </c>
      <c r="C75" s="28" t="s">
        <v>1644</v>
      </c>
      <c r="D75" s="28">
        <v>50126370</v>
      </c>
      <c r="E75" s="28">
        <v>80</v>
      </c>
      <c r="F75" s="28">
        <v>192</v>
      </c>
      <c r="G75" s="28">
        <v>48</v>
      </c>
      <c r="H75" s="49" t="s">
        <v>70</v>
      </c>
      <c r="I75" s="28" t="s">
        <v>109</v>
      </c>
      <c r="J75" s="28" t="s">
        <v>130</v>
      </c>
      <c r="K75" s="28" t="s">
        <v>109</v>
      </c>
      <c r="L75" s="41">
        <v>0.67361111111111116</v>
      </c>
      <c r="M75" s="28" t="s">
        <v>109</v>
      </c>
      <c r="N75" s="28" t="s">
        <v>109</v>
      </c>
      <c r="O75" s="28" t="s">
        <v>61</v>
      </c>
      <c r="P75" s="28" t="s">
        <v>131</v>
      </c>
      <c r="Q75" s="28" t="s">
        <v>70</v>
      </c>
      <c r="R75" s="6" t="s">
        <v>62</v>
      </c>
      <c r="S75" s="7" t="s">
        <v>1500</v>
      </c>
      <c r="T75" s="28" t="s">
        <v>424</v>
      </c>
      <c r="U75" s="28" t="s">
        <v>109</v>
      </c>
      <c r="V75" s="28" t="s">
        <v>1816</v>
      </c>
    </row>
    <row r="76" spans="1:22" x14ac:dyDescent="0.3">
      <c r="A76" s="7">
        <v>75</v>
      </c>
      <c r="B76" s="28" t="s">
        <v>23</v>
      </c>
      <c r="C76" s="28" t="s">
        <v>824</v>
      </c>
      <c r="D76" s="28">
        <v>50126209</v>
      </c>
      <c r="E76" s="28">
        <v>50</v>
      </c>
      <c r="F76" s="28">
        <v>78</v>
      </c>
      <c r="G76" s="28">
        <v>55</v>
      </c>
      <c r="H76" s="28" t="s">
        <v>200</v>
      </c>
      <c r="I76" s="28" t="s">
        <v>109</v>
      </c>
      <c r="J76" s="28" t="s">
        <v>130</v>
      </c>
      <c r="K76" s="28" t="s">
        <v>109</v>
      </c>
      <c r="L76" s="41">
        <v>0.93055555555555558</v>
      </c>
      <c r="M76" s="28" t="s">
        <v>109</v>
      </c>
      <c r="N76" s="28" t="s">
        <v>109</v>
      </c>
      <c r="O76" s="28" t="s">
        <v>61</v>
      </c>
      <c r="P76" s="28" t="s">
        <v>131</v>
      </c>
      <c r="Q76" s="28" t="s">
        <v>200</v>
      </c>
      <c r="R76" s="6" t="s">
        <v>62</v>
      </c>
      <c r="S76" s="7" t="s">
        <v>1500</v>
      </c>
      <c r="T76" s="28" t="s">
        <v>424</v>
      </c>
      <c r="U76" s="28" t="s">
        <v>109</v>
      </c>
      <c r="V76" s="28" t="s">
        <v>109</v>
      </c>
    </row>
    <row r="77" spans="1:22" x14ac:dyDescent="0.3">
      <c r="A77" s="7">
        <v>76</v>
      </c>
      <c r="B77" s="28" t="s">
        <v>23</v>
      </c>
      <c r="C77" s="28" t="s">
        <v>1616</v>
      </c>
      <c r="D77" s="28">
        <v>50126365</v>
      </c>
      <c r="E77" s="28">
        <v>50</v>
      </c>
      <c r="F77" s="28">
        <v>59</v>
      </c>
      <c r="G77" s="28">
        <v>53</v>
      </c>
      <c r="H77" s="28" t="s">
        <v>83</v>
      </c>
      <c r="I77" s="28" t="s">
        <v>109</v>
      </c>
      <c r="J77" s="28" t="s">
        <v>130</v>
      </c>
      <c r="K77" s="28" t="s">
        <v>109</v>
      </c>
      <c r="L77" s="41">
        <v>0.81527777777777777</v>
      </c>
      <c r="M77" s="28" t="s">
        <v>109</v>
      </c>
      <c r="N77" s="28" t="s">
        <v>109</v>
      </c>
      <c r="O77" s="28" t="s">
        <v>61</v>
      </c>
      <c r="P77" s="28" t="s">
        <v>131</v>
      </c>
      <c r="Q77" s="28" t="s">
        <v>83</v>
      </c>
      <c r="R77" s="6" t="s">
        <v>62</v>
      </c>
      <c r="S77" s="7" t="s">
        <v>1500</v>
      </c>
      <c r="T77" s="28" t="s">
        <v>424</v>
      </c>
      <c r="U77" s="28" t="s">
        <v>109</v>
      </c>
      <c r="V77" s="28" t="s">
        <v>109</v>
      </c>
    </row>
    <row r="78" spans="1:22" x14ac:dyDescent="0.3">
      <c r="A78" s="7">
        <v>77</v>
      </c>
      <c r="B78" s="28" t="s">
        <v>23</v>
      </c>
      <c r="C78" s="28" t="s">
        <v>1652</v>
      </c>
      <c r="D78" s="28">
        <v>50126376</v>
      </c>
      <c r="E78" s="28">
        <v>50</v>
      </c>
      <c r="F78" s="28">
        <v>123</v>
      </c>
      <c r="G78" s="28">
        <v>66</v>
      </c>
      <c r="H78" s="28" t="s">
        <v>241</v>
      </c>
      <c r="I78" s="28" t="s">
        <v>109</v>
      </c>
      <c r="J78" s="28" t="s">
        <v>130</v>
      </c>
      <c r="K78" s="28" t="s">
        <v>109</v>
      </c>
      <c r="L78" s="41">
        <v>0.87013888888888891</v>
      </c>
      <c r="M78" s="28" t="s">
        <v>109</v>
      </c>
      <c r="N78" s="28" t="s">
        <v>109</v>
      </c>
      <c r="O78" s="28" t="s">
        <v>61</v>
      </c>
      <c r="P78" s="28" t="s">
        <v>131</v>
      </c>
      <c r="Q78" s="28" t="s">
        <v>241</v>
      </c>
      <c r="R78" s="6" t="s">
        <v>62</v>
      </c>
      <c r="S78" s="7" t="s">
        <v>1500</v>
      </c>
      <c r="T78" s="28" t="s">
        <v>424</v>
      </c>
      <c r="U78" s="28" t="s">
        <v>109</v>
      </c>
      <c r="V78" s="28" t="s">
        <v>109</v>
      </c>
    </row>
    <row r="79" spans="1:22" x14ac:dyDescent="0.3">
      <c r="A79" s="7">
        <v>78</v>
      </c>
      <c r="B79" s="28" t="s">
        <v>23</v>
      </c>
      <c r="C79" s="28" t="s">
        <v>1657</v>
      </c>
      <c r="D79" s="28">
        <v>50126380</v>
      </c>
      <c r="E79" s="28">
        <v>80</v>
      </c>
      <c r="F79" s="28">
        <v>140</v>
      </c>
      <c r="G79" s="28">
        <v>81</v>
      </c>
      <c r="H79" s="28" t="s">
        <v>527</v>
      </c>
      <c r="I79" s="28" t="s">
        <v>109</v>
      </c>
      <c r="J79" s="28" t="s">
        <v>130</v>
      </c>
      <c r="K79" s="28" t="s">
        <v>109</v>
      </c>
      <c r="L79" s="41">
        <v>0.66666666666666663</v>
      </c>
      <c r="M79" s="28" t="s">
        <v>109</v>
      </c>
      <c r="N79" s="28" t="s">
        <v>109</v>
      </c>
      <c r="O79" s="28" t="s">
        <v>61</v>
      </c>
      <c r="P79" s="28" t="s">
        <v>131</v>
      </c>
      <c r="Q79" s="28" t="s">
        <v>527</v>
      </c>
      <c r="R79" s="6" t="s">
        <v>62</v>
      </c>
      <c r="S79" s="7" t="s">
        <v>1500</v>
      </c>
      <c r="T79" s="28" t="s">
        <v>424</v>
      </c>
      <c r="U79" s="28" t="s">
        <v>109</v>
      </c>
      <c r="V79" s="28" t="s">
        <v>109</v>
      </c>
    </row>
    <row r="80" spans="1:22" x14ac:dyDescent="0.3">
      <c r="A80" s="7">
        <v>79</v>
      </c>
      <c r="B80" s="28" t="s">
        <v>23</v>
      </c>
      <c r="C80" s="28" t="s">
        <v>739</v>
      </c>
      <c r="D80" s="28">
        <v>50126134</v>
      </c>
      <c r="E80" s="28">
        <v>45</v>
      </c>
      <c r="F80" s="28">
        <v>57</v>
      </c>
      <c r="G80" s="28">
        <v>50</v>
      </c>
      <c r="H80" s="28" t="s">
        <v>83</v>
      </c>
      <c r="I80" s="28" t="s">
        <v>109</v>
      </c>
      <c r="J80" s="28" t="s">
        <v>130</v>
      </c>
      <c r="K80" s="28" t="s">
        <v>109</v>
      </c>
      <c r="L80" s="41">
        <v>0.84097222222222223</v>
      </c>
      <c r="M80" s="28" t="s">
        <v>109</v>
      </c>
      <c r="N80" s="28" t="s">
        <v>109</v>
      </c>
      <c r="O80" s="28" t="s">
        <v>61</v>
      </c>
      <c r="P80" s="28" t="s">
        <v>131</v>
      </c>
      <c r="Q80" s="28" t="s">
        <v>83</v>
      </c>
      <c r="R80" s="6" t="s">
        <v>62</v>
      </c>
      <c r="S80" s="7" t="s">
        <v>1500</v>
      </c>
      <c r="T80" s="28" t="s">
        <v>424</v>
      </c>
      <c r="U80" s="28" t="s">
        <v>109</v>
      </c>
      <c r="V80" s="28" t="s">
        <v>109</v>
      </c>
    </row>
    <row r="81" spans="1:22" x14ac:dyDescent="0.3">
      <c r="A81" s="7">
        <v>80</v>
      </c>
      <c r="B81" s="28" t="s">
        <v>23</v>
      </c>
      <c r="C81" s="28" t="s">
        <v>1661</v>
      </c>
      <c r="D81" s="28">
        <v>50126385</v>
      </c>
      <c r="E81" s="28">
        <v>65</v>
      </c>
      <c r="F81" s="28">
        <v>102</v>
      </c>
      <c r="G81" s="28">
        <v>74</v>
      </c>
      <c r="H81" s="49" t="s">
        <v>87</v>
      </c>
      <c r="I81" s="28" t="s">
        <v>109</v>
      </c>
      <c r="J81" s="28" t="s">
        <v>130</v>
      </c>
      <c r="K81" s="28" t="s">
        <v>109</v>
      </c>
      <c r="L81" s="41">
        <v>0.82291666666666663</v>
      </c>
      <c r="M81" s="28" t="s">
        <v>109</v>
      </c>
      <c r="N81" s="28" t="s">
        <v>109</v>
      </c>
      <c r="O81" s="28" t="s">
        <v>61</v>
      </c>
      <c r="P81" s="28" t="s">
        <v>131</v>
      </c>
      <c r="Q81" s="28" t="s">
        <v>87</v>
      </c>
      <c r="R81" s="6" t="s">
        <v>62</v>
      </c>
      <c r="S81" s="7" t="s">
        <v>1500</v>
      </c>
      <c r="T81" s="28" t="s">
        <v>424</v>
      </c>
      <c r="U81" s="28" t="s">
        <v>109</v>
      </c>
      <c r="V81" s="28" t="s">
        <v>109</v>
      </c>
    </row>
    <row r="82" spans="1:22" x14ac:dyDescent="0.3">
      <c r="A82" s="7">
        <v>81</v>
      </c>
      <c r="B82" s="28" t="s">
        <v>23</v>
      </c>
      <c r="C82" s="28" t="s">
        <v>830</v>
      </c>
      <c r="D82" s="28">
        <v>50126173</v>
      </c>
      <c r="E82" s="28">
        <v>40</v>
      </c>
      <c r="F82" s="28">
        <v>80</v>
      </c>
      <c r="G82" s="28">
        <v>26</v>
      </c>
      <c r="H82" s="28" t="s">
        <v>68</v>
      </c>
      <c r="I82" s="28" t="s">
        <v>109</v>
      </c>
      <c r="J82" s="28" t="s">
        <v>130</v>
      </c>
      <c r="K82" s="28" t="s">
        <v>109</v>
      </c>
      <c r="L82" s="41">
        <v>0.99722222222222223</v>
      </c>
      <c r="M82" s="28" t="s">
        <v>109</v>
      </c>
      <c r="N82" s="28" t="s">
        <v>109</v>
      </c>
      <c r="O82" s="28" t="s">
        <v>61</v>
      </c>
      <c r="P82" s="28" t="s">
        <v>131</v>
      </c>
      <c r="Q82" s="28" t="s">
        <v>68</v>
      </c>
      <c r="R82" s="6" t="s">
        <v>62</v>
      </c>
      <c r="S82" s="7" t="s">
        <v>1500</v>
      </c>
      <c r="T82" s="28" t="s">
        <v>424</v>
      </c>
      <c r="U82" s="28" t="s">
        <v>109</v>
      </c>
      <c r="V82" s="28" t="s">
        <v>1816</v>
      </c>
    </row>
    <row r="83" spans="1:22" x14ac:dyDescent="0.3">
      <c r="A83" s="7">
        <v>82</v>
      </c>
      <c r="B83" s="28" t="s">
        <v>23</v>
      </c>
      <c r="C83" s="28" t="s">
        <v>530</v>
      </c>
      <c r="D83" s="28">
        <v>50126056</v>
      </c>
      <c r="E83" s="28">
        <v>60</v>
      </c>
      <c r="F83" s="28">
        <v>86</v>
      </c>
      <c r="G83" s="28">
        <v>64</v>
      </c>
      <c r="H83" s="28" t="s">
        <v>274</v>
      </c>
      <c r="I83" s="28" t="s">
        <v>109</v>
      </c>
      <c r="J83" s="28" t="s">
        <v>130</v>
      </c>
      <c r="K83" s="28" t="s">
        <v>109</v>
      </c>
      <c r="L83" s="41">
        <v>0.97638888888888886</v>
      </c>
      <c r="M83" s="28" t="s">
        <v>109</v>
      </c>
      <c r="N83" s="28" t="s">
        <v>109</v>
      </c>
      <c r="O83" s="28" t="s">
        <v>61</v>
      </c>
      <c r="P83" s="28" t="s">
        <v>131</v>
      </c>
      <c r="Q83" s="28" t="s">
        <v>274</v>
      </c>
      <c r="R83" s="6" t="s">
        <v>62</v>
      </c>
      <c r="S83" s="7" t="s">
        <v>1500</v>
      </c>
      <c r="T83" s="28" t="s">
        <v>424</v>
      </c>
      <c r="U83" s="28" t="s">
        <v>109</v>
      </c>
      <c r="V83" s="28" t="s">
        <v>109</v>
      </c>
    </row>
    <row r="84" spans="1:22" x14ac:dyDescent="0.3">
      <c r="A84" s="7">
        <v>83</v>
      </c>
      <c r="B84" s="28" t="s">
        <v>23</v>
      </c>
      <c r="C84" s="28" t="s">
        <v>547</v>
      </c>
      <c r="D84" s="28">
        <v>50126102</v>
      </c>
      <c r="E84" s="28">
        <v>35</v>
      </c>
      <c r="F84" s="28">
        <v>58</v>
      </c>
      <c r="G84" s="28">
        <v>42</v>
      </c>
      <c r="H84" s="28" t="s">
        <v>64</v>
      </c>
      <c r="I84" s="28" t="s">
        <v>109</v>
      </c>
      <c r="J84" s="28" t="s">
        <v>130</v>
      </c>
      <c r="K84" s="28" t="s">
        <v>109</v>
      </c>
      <c r="L84" s="41">
        <v>0.96111111111111114</v>
      </c>
      <c r="M84" s="28" t="s">
        <v>109</v>
      </c>
      <c r="N84" s="28" t="s">
        <v>109</v>
      </c>
      <c r="O84" s="28" t="s">
        <v>61</v>
      </c>
      <c r="P84" s="28" t="s">
        <v>131</v>
      </c>
      <c r="Q84" s="28" t="s">
        <v>64</v>
      </c>
      <c r="R84" s="6" t="s">
        <v>62</v>
      </c>
      <c r="S84" s="7" t="s">
        <v>1500</v>
      </c>
      <c r="T84" s="28" t="s">
        <v>424</v>
      </c>
      <c r="U84" s="28" t="s">
        <v>109</v>
      </c>
      <c r="V84" s="28" t="s">
        <v>109</v>
      </c>
    </row>
    <row r="85" spans="1:22" x14ac:dyDescent="0.3">
      <c r="A85" s="7">
        <v>84</v>
      </c>
      <c r="B85" s="28" t="s">
        <v>23</v>
      </c>
      <c r="C85" s="28" t="s">
        <v>834</v>
      </c>
      <c r="D85" s="28">
        <v>50126111</v>
      </c>
      <c r="E85" s="28">
        <v>50</v>
      </c>
      <c r="F85" s="28">
        <v>103</v>
      </c>
      <c r="G85" s="28">
        <v>56</v>
      </c>
      <c r="H85" s="28" t="s">
        <v>82</v>
      </c>
      <c r="I85" s="28" t="s">
        <v>109</v>
      </c>
      <c r="J85" s="28" t="s">
        <v>130</v>
      </c>
      <c r="K85" s="28" t="s">
        <v>109</v>
      </c>
      <c r="L85" s="41">
        <v>0.81527777777777777</v>
      </c>
      <c r="M85" s="28" t="s">
        <v>109</v>
      </c>
      <c r="N85" s="28" t="s">
        <v>109</v>
      </c>
      <c r="O85" s="28" t="s">
        <v>61</v>
      </c>
      <c r="P85" s="28" t="s">
        <v>131</v>
      </c>
      <c r="Q85" s="28" t="s">
        <v>82</v>
      </c>
      <c r="R85" s="6" t="s">
        <v>62</v>
      </c>
      <c r="S85" s="7" t="s">
        <v>1500</v>
      </c>
      <c r="T85" s="28" t="s">
        <v>424</v>
      </c>
      <c r="U85" s="28" t="s">
        <v>109</v>
      </c>
      <c r="V85" s="28" t="s">
        <v>109</v>
      </c>
    </row>
    <row r="86" spans="1:22" x14ac:dyDescent="0.3">
      <c r="A86" s="7">
        <v>85</v>
      </c>
      <c r="B86" s="28" t="s">
        <v>23</v>
      </c>
      <c r="C86" s="28" t="s">
        <v>921</v>
      </c>
      <c r="D86" s="28">
        <v>50126260</v>
      </c>
      <c r="E86" s="28">
        <v>90</v>
      </c>
      <c r="F86" s="28">
        <v>123</v>
      </c>
      <c r="G86" s="28">
        <v>82</v>
      </c>
      <c r="H86" s="28" t="s">
        <v>209</v>
      </c>
      <c r="I86" s="28" t="s">
        <v>109</v>
      </c>
      <c r="J86" s="28" t="s">
        <v>130</v>
      </c>
      <c r="K86" s="28" t="s">
        <v>109</v>
      </c>
      <c r="L86" s="41">
        <v>0.72638888888888886</v>
      </c>
      <c r="M86" s="28" t="s">
        <v>109</v>
      </c>
      <c r="N86" s="28" t="s">
        <v>109</v>
      </c>
      <c r="O86" s="28" t="s">
        <v>61</v>
      </c>
      <c r="P86" s="28" t="s">
        <v>131</v>
      </c>
      <c r="Q86" s="28" t="s">
        <v>209</v>
      </c>
      <c r="R86" s="6" t="s">
        <v>62</v>
      </c>
      <c r="S86" s="7" t="s">
        <v>1500</v>
      </c>
      <c r="T86" s="28" t="s">
        <v>424</v>
      </c>
      <c r="U86" s="28" t="s">
        <v>109</v>
      </c>
      <c r="V86" s="28" t="s">
        <v>109</v>
      </c>
    </row>
    <row r="87" spans="1:22" x14ac:dyDescent="0.3">
      <c r="A87" s="7">
        <v>86</v>
      </c>
      <c r="B87" s="28" t="s">
        <v>23</v>
      </c>
      <c r="C87" s="28" t="s">
        <v>926</v>
      </c>
      <c r="D87" s="28">
        <v>50126265</v>
      </c>
      <c r="E87" s="28">
        <v>90</v>
      </c>
      <c r="F87" s="28">
        <v>191</v>
      </c>
      <c r="G87" s="28">
        <v>97</v>
      </c>
      <c r="H87" s="28" t="s">
        <v>88</v>
      </c>
      <c r="I87" s="28" t="s">
        <v>109</v>
      </c>
      <c r="J87" s="28" t="s">
        <v>130</v>
      </c>
      <c r="K87" s="28" t="s">
        <v>109</v>
      </c>
      <c r="L87" s="41">
        <v>0.81736111111111109</v>
      </c>
      <c r="M87" s="28" t="s">
        <v>109</v>
      </c>
      <c r="N87" s="28" t="s">
        <v>109</v>
      </c>
      <c r="O87" s="28" t="s">
        <v>61</v>
      </c>
      <c r="P87" s="28" t="s">
        <v>109</v>
      </c>
      <c r="Q87" s="28" t="s">
        <v>109</v>
      </c>
      <c r="R87" s="6" t="s">
        <v>62</v>
      </c>
      <c r="S87" s="7" t="s">
        <v>1500</v>
      </c>
      <c r="T87" s="28" t="s">
        <v>424</v>
      </c>
      <c r="U87" s="28" t="s">
        <v>109</v>
      </c>
      <c r="V87" s="28" t="s">
        <v>109</v>
      </c>
    </row>
    <row r="88" spans="1:22" x14ac:dyDescent="0.3">
      <c r="A88" s="7">
        <v>87</v>
      </c>
      <c r="B88" s="28" t="s">
        <v>23</v>
      </c>
      <c r="C88" s="28" t="s">
        <v>843</v>
      </c>
      <c r="D88" s="28">
        <v>50126203</v>
      </c>
      <c r="E88" s="28">
        <v>60</v>
      </c>
      <c r="F88" s="28">
        <v>80</v>
      </c>
      <c r="G88" s="28">
        <v>50</v>
      </c>
      <c r="H88" s="49" t="s">
        <v>84</v>
      </c>
      <c r="I88" s="28" t="s">
        <v>109</v>
      </c>
      <c r="J88" s="28" t="s">
        <v>130</v>
      </c>
      <c r="K88" s="28" t="s">
        <v>109</v>
      </c>
      <c r="L88" s="41">
        <v>0.94930555555555551</v>
      </c>
      <c r="M88" s="28" t="s">
        <v>109</v>
      </c>
      <c r="N88" s="28" t="s">
        <v>109</v>
      </c>
      <c r="O88" s="28" t="s">
        <v>61</v>
      </c>
      <c r="P88" s="28" t="s">
        <v>131</v>
      </c>
      <c r="Q88" s="28" t="s">
        <v>84</v>
      </c>
      <c r="R88" s="6" t="s">
        <v>62</v>
      </c>
      <c r="S88" s="7" t="s">
        <v>1500</v>
      </c>
      <c r="T88" s="28" t="s">
        <v>424</v>
      </c>
      <c r="U88" s="28" t="s">
        <v>109</v>
      </c>
      <c r="V88" s="28" t="s">
        <v>109</v>
      </c>
    </row>
    <row r="89" spans="1:22" x14ac:dyDescent="0.3">
      <c r="A89" s="7">
        <v>88</v>
      </c>
      <c r="B89" s="28" t="s">
        <v>23</v>
      </c>
      <c r="C89" s="28" t="s">
        <v>551</v>
      </c>
      <c r="D89" s="28">
        <v>50126092</v>
      </c>
      <c r="E89" s="28">
        <v>90</v>
      </c>
      <c r="F89" s="28">
        <v>139</v>
      </c>
      <c r="G89" s="28">
        <v>70</v>
      </c>
      <c r="H89" s="28" t="s">
        <v>68</v>
      </c>
      <c r="I89" s="28" t="s">
        <v>109</v>
      </c>
      <c r="J89" s="28" t="s">
        <v>130</v>
      </c>
      <c r="K89" s="28" t="s">
        <v>109</v>
      </c>
      <c r="L89" s="41">
        <v>0.93402777777777779</v>
      </c>
      <c r="M89" s="28" t="s">
        <v>109</v>
      </c>
      <c r="N89" s="28" t="s">
        <v>109</v>
      </c>
      <c r="O89" s="28" t="s">
        <v>61</v>
      </c>
      <c r="P89" s="28" t="s">
        <v>131</v>
      </c>
      <c r="Q89" s="28" t="s">
        <v>68</v>
      </c>
      <c r="R89" s="6" t="s">
        <v>62</v>
      </c>
      <c r="S89" s="7" t="s">
        <v>1500</v>
      </c>
      <c r="T89" s="28" t="s">
        <v>424</v>
      </c>
      <c r="U89" s="28" t="s">
        <v>109</v>
      </c>
      <c r="V89" s="28" t="s">
        <v>291</v>
      </c>
    </row>
    <row r="90" spans="1:22" x14ac:dyDescent="0.3">
      <c r="A90" s="7">
        <v>89</v>
      </c>
      <c r="B90" s="28" t="s">
        <v>23</v>
      </c>
      <c r="C90" s="28" t="s">
        <v>1858</v>
      </c>
      <c r="D90" s="28">
        <v>50226006</v>
      </c>
      <c r="E90" s="28">
        <v>75</v>
      </c>
      <c r="F90" s="28">
        <v>96</v>
      </c>
      <c r="G90" s="28">
        <v>22</v>
      </c>
      <c r="H90" s="49" t="s">
        <v>184</v>
      </c>
      <c r="I90" s="28" t="s">
        <v>109</v>
      </c>
      <c r="J90" s="28" t="s">
        <v>130</v>
      </c>
      <c r="K90" s="28" t="s">
        <v>109</v>
      </c>
      <c r="L90" s="41">
        <v>0.95902777777777781</v>
      </c>
      <c r="M90" s="28" t="s">
        <v>109</v>
      </c>
      <c r="N90" s="28" t="s">
        <v>109</v>
      </c>
      <c r="O90" s="28" t="s">
        <v>61</v>
      </c>
      <c r="P90" s="28" t="s">
        <v>131</v>
      </c>
      <c r="Q90" s="28" t="s">
        <v>184</v>
      </c>
      <c r="R90" s="6" t="s">
        <v>62</v>
      </c>
      <c r="S90" s="7" t="s">
        <v>1500</v>
      </c>
      <c r="T90" s="28" t="s">
        <v>1859</v>
      </c>
      <c r="U90" s="28" t="s">
        <v>109</v>
      </c>
      <c r="V90" s="28" t="s">
        <v>291</v>
      </c>
    </row>
    <row r="91" spans="1:22" x14ac:dyDescent="0.3">
      <c r="A91" s="7">
        <v>90</v>
      </c>
      <c r="B91" s="28" t="s">
        <v>23</v>
      </c>
      <c r="C91" s="28" t="s">
        <v>1860</v>
      </c>
      <c r="D91" s="28">
        <v>50226008</v>
      </c>
      <c r="E91" s="28">
        <v>100</v>
      </c>
      <c r="F91" s="28">
        <v>200</v>
      </c>
      <c r="G91" s="28">
        <v>77</v>
      </c>
      <c r="H91" s="28" t="s">
        <v>241</v>
      </c>
      <c r="I91" s="28" t="s">
        <v>109</v>
      </c>
      <c r="J91" s="28" t="s">
        <v>130</v>
      </c>
      <c r="K91" s="28" t="s">
        <v>109</v>
      </c>
      <c r="L91" s="41">
        <v>0.99236111111111114</v>
      </c>
      <c r="M91" s="28" t="s">
        <v>109</v>
      </c>
      <c r="N91" s="28" t="s">
        <v>1861</v>
      </c>
      <c r="O91" s="28" t="s">
        <v>61</v>
      </c>
      <c r="P91" s="28" t="s">
        <v>131</v>
      </c>
      <c r="Q91" s="28" t="s">
        <v>241</v>
      </c>
      <c r="R91" s="6" t="s">
        <v>62</v>
      </c>
      <c r="S91" s="7" t="s">
        <v>1500</v>
      </c>
      <c r="T91" s="28" t="s">
        <v>1862</v>
      </c>
      <c r="U91" s="28" t="s">
        <v>109</v>
      </c>
      <c r="V91" s="28" t="s">
        <v>1816</v>
      </c>
    </row>
    <row r="92" spans="1:22" x14ac:dyDescent="0.3">
      <c r="A92" s="7">
        <v>91</v>
      </c>
      <c r="B92" s="28" t="s">
        <v>23</v>
      </c>
      <c r="C92" s="28" t="s">
        <v>1863</v>
      </c>
      <c r="D92" s="28">
        <v>50226007</v>
      </c>
      <c r="E92" s="28">
        <v>95</v>
      </c>
      <c r="F92" s="28">
        <v>133</v>
      </c>
      <c r="G92" s="28">
        <v>54</v>
      </c>
      <c r="H92" s="28" t="s">
        <v>71</v>
      </c>
      <c r="I92" s="28" t="s">
        <v>109</v>
      </c>
      <c r="J92" s="28" t="s">
        <v>130</v>
      </c>
      <c r="K92" s="28" t="s">
        <v>109</v>
      </c>
      <c r="L92" s="41">
        <v>0.99930555555555556</v>
      </c>
      <c r="M92" s="28" t="s">
        <v>109</v>
      </c>
      <c r="N92" s="28" t="s">
        <v>1861</v>
      </c>
      <c r="O92" s="28" t="s">
        <v>61</v>
      </c>
      <c r="P92" s="28" t="s">
        <v>131</v>
      </c>
      <c r="Q92" s="28" t="s">
        <v>71</v>
      </c>
      <c r="R92" s="6" t="s">
        <v>62</v>
      </c>
      <c r="S92" s="7" t="s">
        <v>1500</v>
      </c>
      <c r="T92" s="28" t="s">
        <v>1862</v>
      </c>
      <c r="U92" s="28" t="s">
        <v>109</v>
      </c>
      <c r="V92" s="28" t="s">
        <v>109</v>
      </c>
    </row>
    <row r="93" spans="1:22" x14ac:dyDescent="0.3">
      <c r="A93" s="7">
        <v>92</v>
      </c>
      <c r="B93" s="28" t="s">
        <v>23</v>
      </c>
      <c r="C93" s="28" t="s">
        <v>1864</v>
      </c>
      <c r="D93" s="28">
        <v>50226009</v>
      </c>
      <c r="E93" s="28">
        <v>50</v>
      </c>
      <c r="F93" s="28">
        <v>124</v>
      </c>
      <c r="G93" s="28">
        <v>42</v>
      </c>
      <c r="H93" s="28" t="s">
        <v>196</v>
      </c>
      <c r="I93" s="28" t="s">
        <v>109</v>
      </c>
      <c r="J93" s="76" t="s">
        <v>130</v>
      </c>
      <c r="K93" s="28" t="s">
        <v>109</v>
      </c>
      <c r="L93" s="41">
        <v>0.93680555555555556</v>
      </c>
      <c r="M93" s="28" t="s">
        <v>109</v>
      </c>
      <c r="N93" s="28" t="s">
        <v>1861</v>
      </c>
      <c r="O93" s="28" t="s">
        <v>61</v>
      </c>
      <c r="P93" s="28" t="s">
        <v>131</v>
      </c>
      <c r="Q93" s="28" t="s">
        <v>196</v>
      </c>
      <c r="R93" s="6" t="s">
        <v>62</v>
      </c>
      <c r="S93" s="7" t="s">
        <v>1500</v>
      </c>
      <c r="T93" s="28" t="s">
        <v>1862</v>
      </c>
      <c r="U93" s="28" t="s">
        <v>109</v>
      </c>
      <c r="V93" s="28" t="s">
        <v>291</v>
      </c>
    </row>
    <row r="94" spans="1:22" x14ac:dyDescent="0.3">
      <c r="A94" s="7">
        <v>93</v>
      </c>
      <c r="B94" s="28" t="s">
        <v>23</v>
      </c>
      <c r="C94" s="28" t="s">
        <v>1865</v>
      </c>
      <c r="D94" s="28">
        <v>50226016</v>
      </c>
      <c r="E94" s="28">
        <v>100</v>
      </c>
      <c r="F94" s="28">
        <v>158</v>
      </c>
      <c r="G94" s="28">
        <v>88</v>
      </c>
      <c r="H94" s="28" t="s">
        <v>527</v>
      </c>
      <c r="I94" s="28" t="s">
        <v>109</v>
      </c>
      <c r="J94" s="28" t="s">
        <v>130</v>
      </c>
      <c r="K94" s="28" t="s">
        <v>109</v>
      </c>
      <c r="L94" s="41">
        <v>0.7729166666666667</v>
      </c>
      <c r="M94" s="28" t="s">
        <v>109</v>
      </c>
      <c r="N94" s="28" t="s">
        <v>109</v>
      </c>
      <c r="O94" s="28" t="s">
        <v>61</v>
      </c>
      <c r="P94" s="28" t="s">
        <v>131</v>
      </c>
      <c r="Q94" s="28" t="s">
        <v>527</v>
      </c>
      <c r="R94" s="6" t="s">
        <v>62</v>
      </c>
      <c r="S94" s="7" t="s">
        <v>1500</v>
      </c>
      <c r="T94" s="28" t="s">
        <v>1341</v>
      </c>
      <c r="U94" s="28" t="s">
        <v>109</v>
      </c>
      <c r="V94" s="28" t="s">
        <v>291</v>
      </c>
    </row>
    <row r="95" spans="1:22" x14ac:dyDescent="0.3">
      <c r="A95" s="28">
        <v>94</v>
      </c>
      <c r="B95" s="28" t="s">
        <v>411</v>
      </c>
      <c r="C95" s="28" t="s">
        <v>1614</v>
      </c>
      <c r="D95" s="28">
        <v>30126019</v>
      </c>
      <c r="E95" s="28">
        <v>148</v>
      </c>
      <c r="F95" s="28">
        <v>67</v>
      </c>
      <c r="G95" s="28">
        <v>29</v>
      </c>
      <c r="H95" s="49" t="s">
        <v>1408</v>
      </c>
      <c r="I95" s="49" t="s">
        <v>297</v>
      </c>
      <c r="J95" s="28" t="s">
        <v>130</v>
      </c>
      <c r="K95" s="41">
        <v>0.99513888888888891</v>
      </c>
      <c r="L95" s="28" t="s">
        <v>109</v>
      </c>
      <c r="M95" s="28" t="s">
        <v>109</v>
      </c>
      <c r="N95" s="28" t="s">
        <v>109</v>
      </c>
      <c r="O95" s="28" t="s">
        <v>145</v>
      </c>
      <c r="P95" s="28" t="s">
        <v>131</v>
      </c>
      <c r="Q95" s="28" t="s">
        <v>90</v>
      </c>
      <c r="R95" s="6" t="s">
        <v>62</v>
      </c>
      <c r="S95" s="28" t="s">
        <v>1866</v>
      </c>
      <c r="T95" s="28" t="s">
        <v>1562</v>
      </c>
      <c r="U95" s="28" t="s">
        <v>109</v>
      </c>
      <c r="V95" s="28" t="s">
        <v>109</v>
      </c>
    </row>
    <row r="96" spans="1:22" x14ac:dyDescent="0.3">
      <c r="A96" s="28">
        <v>95</v>
      </c>
      <c r="B96" s="28" t="s">
        <v>143</v>
      </c>
      <c r="C96" s="89" t="s">
        <v>1867</v>
      </c>
      <c r="D96" s="89">
        <v>10226003</v>
      </c>
      <c r="E96" s="89">
        <v>65</v>
      </c>
      <c r="F96" s="28">
        <v>102</v>
      </c>
      <c r="G96" s="28">
        <v>64</v>
      </c>
      <c r="H96" s="7" t="s">
        <v>196</v>
      </c>
      <c r="I96" s="89" t="s">
        <v>91</v>
      </c>
      <c r="J96" s="28" t="s">
        <v>130</v>
      </c>
      <c r="K96" s="41">
        <v>0.8256944444444444</v>
      </c>
      <c r="L96" s="41">
        <v>0.99236111111111114</v>
      </c>
      <c r="M96" s="28" t="s">
        <v>109</v>
      </c>
      <c r="N96" s="28" t="s">
        <v>109</v>
      </c>
      <c r="O96" s="28" t="s">
        <v>61</v>
      </c>
      <c r="P96" s="28" t="s">
        <v>131</v>
      </c>
      <c r="Q96" s="28" t="s">
        <v>603</v>
      </c>
      <c r="R96" s="6" t="s">
        <v>62</v>
      </c>
      <c r="S96" s="28" t="s">
        <v>1868</v>
      </c>
      <c r="T96" s="28" t="s">
        <v>398</v>
      </c>
      <c r="U96" s="28" t="s">
        <v>109</v>
      </c>
      <c r="V96" s="28" t="s">
        <v>109</v>
      </c>
    </row>
    <row r="97" spans="1:22" x14ac:dyDescent="0.3">
      <c r="A97" s="28">
        <v>96</v>
      </c>
      <c r="B97" s="28" t="s">
        <v>143</v>
      </c>
      <c r="C97" s="89" t="s">
        <v>1869</v>
      </c>
      <c r="D97" s="89">
        <v>10226004</v>
      </c>
      <c r="E97" s="89">
        <v>100</v>
      </c>
      <c r="F97" s="28">
        <v>254</v>
      </c>
      <c r="G97" s="28">
        <v>37</v>
      </c>
      <c r="H97" s="7" t="s">
        <v>1870</v>
      </c>
      <c r="I97" s="89" t="s">
        <v>97</v>
      </c>
      <c r="J97" s="28" t="s">
        <v>130</v>
      </c>
      <c r="K97" s="41">
        <v>0.85138888888888886</v>
      </c>
      <c r="L97" s="28" t="s">
        <v>1882</v>
      </c>
      <c r="M97" s="28" t="s">
        <v>109</v>
      </c>
      <c r="N97" s="28" t="s">
        <v>109</v>
      </c>
      <c r="O97" s="28" t="s">
        <v>61</v>
      </c>
      <c r="P97" s="28" t="s">
        <v>131</v>
      </c>
      <c r="Q97" s="28" t="s">
        <v>787</v>
      </c>
      <c r="R97" s="6" t="s">
        <v>62</v>
      </c>
      <c r="S97" s="28" t="s">
        <v>1868</v>
      </c>
      <c r="T97" s="28" t="s">
        <v>398</v>
      </c>
      <c r="U97" s="28" t="s">
        <v>109</v>
      </c>
      <c r="V97" s="28" t="s">
        <v>109</v>
      </c>
    </row>
    <row r="98" spans="1:22" x14ac:dyDescent="0.3">
      <c r="A98" s="28">
        <v>97</v>
      </c>
      <c r="B98" s="28" t="s">
        <v>143</v>
      </c>
      <c r="C98" s="89" t="s">
        <v>1871</v>
      </c>
      <c r="D98" s="89">
        <v>10226005</v>
      </c>
      <c r="E98" s="89">
        <v>125</v>
      </c>
      <c r="F98" s="28">
        <v>172</v>
      </c>
      <c r="G98" s="28">
        <v>99</v>
      </c>
      <c r="H98" s="7" t="s">
        <v>1242</v>
      </c>
      <c r="I98" s="89" t="s">
        <v>157</v>
      </c>
      <c r="J98" s="28" t="s">
        <v>130</v>
      </c>
      <c r="K98" s="41">
        <v>0.90416666666666667</v>
      </c>
      <c r="L98" s="28" t="s">
        <v>1881</v>
      </c>
      <c r="M98" s="28" t="s">
        <v>109</v>
      </c>
      <c r="N98" s="28" t="s">
        <v>109</v>
      </c>
      <c r="O98" s="28" t="s">
        <v>61</v>
      </c>
      <c r="P98" s="28" t="s">
        <v>131</v>
      </c>
      <c r="Q98" s="28" t="s">
        <v>370</v>
      </c>
      <c r="R98" s="6" t="s">
        <v>62</v>
      </c>
      <c r="S98" s="28" t="s">
        <v>1868</v>
      </c>
      <c r="T98" s="28" t="s">
        <v>398</v>
      </c>
      <c r="U98" s="28" t="s">
        <v>109</v>
      </c>
      <c r="V98" s="28" t="s">
        <v>1873</v>
      </c>
    </row>
  </sheetData>
  <conditionalFormatting sqref="D1">
    <cfRule type="duplicateValues" dxfId="8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CA01-90E5-4881-A182-072D76DBA439}">
  <sheetPr codeName="Sheet25"/>
  <dimension ref="A1:V77"/>
  <sheetViews>
    <sheetView workbookViewId="0">
      <pane ySplit="1" topLeftCell="A2" activePane="bottomLeft" state="frozen"/>
      <selection pane="bottomLeft"/>
    </sheetView>
  </sheetViews>
  <sheetFormatPr defaultRowHeight="14.4" x14ac:dyDescent="0.3"/>
  <cols>
    <col min="1" max="1" width="3.109375" bestFit="1" customWidth="1"/>
    <col min="2" max="2" width="10.44140625" bestFit="1" customWidth="1"/>
    <col min="3" max="3" width="83.6640625" bestFit="1" customWidth="1"/>
    <col min="4" max="4" width="10.44140625" bestFit="1" customWidth="1"/>
    <col min="5" max="5" width="13.88671875" bestFit="1" customWidth="1"/>
    <col min="6" max="6" width="15.109375" bestFit="1" customWidth="1"/>
    <col min="7" max="7" width="8.5546875" bestFit="1" customWidth="1"/>
    <col min="8" max="8" width="69.88671875" bestFit="1" customWidth="1"/>
    <col min="9" max="9" width="31.77734375" bestFit="1" customWidth="1"/>
    <col min="10" max="10" width="8.88671875" bestFit="1" customWidth="1"/>
    <col min="11" max="12" width="15.88671875" bestFit="1" customWidth="1"/>
    <col min="13" max="13" width="3.88671875" bestFit="1" customWidth="1"/>
    <col min="14" max="14" width="38.77734375" bestFit="1" customWidth="1"/>
    <col min="15" max="15" width="8.44140625" bestFit="1" customWidth="1"/>
    <col min="16" max="16" width="14.33203125" bestFit="1" customWidth="1"/>
    <col min="17" max="17" width="11.77734375" customWidth="1"/>
    <col min="18" max="18" width="14.33203125" bestFit="1" customWidth="1"/>
    <col min="19" max="19" width="15.88671875" bestFit="1" customWidth="1"/>
    <col min="20" max="20" width="5.77734375" bestFit="1" customWidth="1"/>
    <col min="21" max="21" width="23.109375" bestFit="1" customWidth="1"/>
    <col min="22" max="22" width="20.77734375" bestFit="1" customWidth="1"/>
  </cols>
  <sheetData>
    <row r="1" spans="1:22"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1942</v>
      </c>
      <c r="V1" s="1" t="s">
        <v>21</v>
      </c>
    </row>
    <row r="2" spans="1:22" x14ac:dyDescent="0.3">
      <c r="A2" s="89">
        <v>1</v>
      </c>
      <c r="B2" s="29" t="s">
        <v>292</v>
      </c>
      <c r="C2" s="29" t="s">
        <v>1883</v>
      </c>
      <c r="D2" s="29">
        <v>40126037</v>
      </c>
      <c r="E2" s="29">
        <v>298</v>
      </c>
      <c r="F2" s="28">
        <v>412</v>
      </c>
      <c r="G2" s="28">
        <v>295</v>
      </c>
      <c r="H2" s="52" t="s">
        <v>1884</v>
      </c>
      <c r="I2" s="7" t="s">
        <v>1885</v>
      </c>
      <c r="J2" s="28" t="s">
        <v>130</v>
      </c>
      <c r="K2" s="41">
        <v>0.70138888888888884</v>
      </c>
      <c r="L2" s="41">
        <v>0.73472222222222217</v>
      </c>
      <c r="M2" s="28" t="s">
        <v>109</v>
      </c>
      <c r="N2" s="29" t="s">
        <v>1833</v>
      </c>
      <c r="O2" s="29" t="s">
        <v>61</v>
      </c>
      <c r="P2" s="28" t="s">
        <v>131</v>
      </c>
      <c r="Q2" s="28" t="s">
        <v>89</v>
      </c>
      <c r="R2" s="28" t="s">
        <v>63</v>
      </c>
      <c r="S2" s="28" t="s">
        <v>109</v>
      </c>
      <c r="T2" s="28" t="s">
        <v>109</v>
      </c>
      <c r="U2" s="106">
        <f>G2/E2</f>
        <v>0.98993288590604023</v>
      </c>
      <c r="V2" s="76" t="s">
        <v>1941</v>
      </c>
    </row>
    <row r="3" spans="1:22" x14ac:dyDescent="0.3">
      <c r="A3" s="89">
        <v>2</v>
      </c>
      <c r="B3" s="29" t="s">
        <v>24</v>
      </c>
      <c r="C3" s="29" t="s">
        <v>1886</v>
      </c>
      <c r="D3" s="29">
        <v>60226007</v>
      </c>
      <c r="E3" s="29">
        <v>254</v>
      </c>
      <c r="F3" s="28">
        <v>175</v>
      </c>
      <c r="G3" s="28">
        <v>66</v>
      </c>
      <c r="H3" s="52" t="s">
        <v>1673</v>
      </c>
      <c r="I3" s="7" t="s">
        <v>1453</v>
      </c>
      <c r="J3" s="28" t="s">
        <v>130</v>
      </c>
      <c r="K3" s="41">
        <v>0.74375000000000002</v>
      </c>
      <c r="L3" s="41">
        <v>0.79513888888888884</v>
      </c>
      <c r="M3" s="28" t="s">
        <v>109</v>
      </c>
      <c r="N3" s="29" t="s">
        <v>1887</v>
      </c>
      <c r="O3" s="29" t="s">
        <v>61</v>
      </c>
      <c r="P3" s="28" t="s">
        <v>131</v>
      </c>
      <c r="Q3" s="28" t="s">
        <v>95</v>
      </c>
      <c r="R3" s="28" t="s">
        <v>63</v>
      </c>
      <c r="S3" s="28" t="s">
        <v>109</v>
      </c>
      <c r="T3" s="28" t="s">
        <v>109</v>
      </c>
      <c r="U3" s="106">
        <f t="shared" ref="U3:U13" si="0">G3/E3</f>
        <v>0.25984251968503935</v>
      </c>
      <c r="V3" s="76" t="s">
        <v>291</v>
      </c>
    </row>
    <row r="4" spans="1:22" x14ac:dyDescent="0.3">
      <c r="A4" s="89">
        <v>3</v>
      </c>
      <c r="B4" s="29" t="s">
        <v>24</v>
      </c>
      <c r="C4" s="29" t="s">
        <v>1888</v>
      </c>
      <c r="D4" s="29">
        <v>60226005</v>
      </c>
      <c r="E4" s="29">
        <v>176</v>
      </c>
      <c r="F4" s="28">
        <v>119</v>
      </c>
      <c r="G4" s="28">
        <v>39</v>
      </c>
      <c r="H4" s="28" t="s">
        <v>73</v>
      </c>
      <c r="I4" s="7" t="s">
        <v>1889</v>
      </c>
      <c r="J4" s="28" t="s">
        <v>130</v>
      </c>
      <c r="K4" s="41">
        <v>0.71319444444444446</v>
      </c>
      <c r="L4" s="41">
        <v>0.7597222222222223</v>
      </c>
      <c r="M4" s="28" t="s">
        <v>109</v>
      </c>
      <c r="N4" s="29" t="s">
        <v>1887</v>
      </c>
      <c r="O4" s="29" t="s">
        <v>61</v>
      </c>
      <c r="P4" s="28" t="s">
        <v>131</v>
      </c>
      <c r="Q4" s="28" t="s">
        <v>86</v>
      </c>
      <c r="R4" s="28" t="s">
        <v>63</v>
      </c>
      <c r="S4" s="28" t="s">
        <v>109</v>
      </c>
      <c r="T4" s="28" t="s">
        <v>109</v>
      </c>
      <c r="U4" s="106">
        <f t="shared" si="0"/>
        <v>0.22159090909090909</v>
      </c>
      <c r="V4" s="76" t="s">
        <v>291</v>
      </c>
    </row>
    <row r="5" spans="1:22" x14ac:dyDescent="0.3">
      <c r="A5" s="89">
        <v>4</v>
      </c>
      <c r="B5" s="29" t="s">
        <v>24</v>
      </c>
      <c r="C5" s="29" t="s">
        <v>1890</v>
      </c>
      <c r="D5" s="29">
        <v>60226004</v>
      </c>
      <c r="E5" s="29">
        <v>356</v>
      </c>
      <c r="F5" s="28">
        <v>283</v>
      </c>
      <c r="G5" s="28">
        <v>135</v>
      </c>
      <c r="H5" s="28" t="s">
        <v>1009</v>
      </c>
      <c r="I5" s="7" t="s">
        <v>1891</v>
      </c>
      <c r="J5" s="28" t="s">
        <v>130</v>
      </c>
      <c r="K5" s="41">
        <v>0.75069444444444444</v>
      </c>
      <c r="L5" s="41">
        <v>0.79861111111111116</v>
      </c>
      <c r="M5" s="28" t="s">
        <v>109</v>
      </c>
      <c r="N5" s="29" t="s">
        <v>1887</v>
      </c>
      <c r="O5" s="29" t="s">
        <v>61</v>
      </c>
      <c r="P5" s="28" t="s">
        <v>131</v>
      </c>
      <c r="Q5" s="28" t="s">
        <v>86</v>
      </c>
      <c r="R5" s="28" t="s">
        <v>63</v>
      </c>
      <c r="S5" s="28" t="s">
        <v>109</v>
      </c>
      <c r="T5" s="28" t="s">
        <v>109</v>
      </c>
      <c r="U5" s="106">
        <f t="shared" si="0"/>
        <v>0.3792134831460674</v>
      </c>
      <c r="V5" s="76" t="s">
        <v>291</v>
      </c>
    </row>
    <row r="6" spans="1:22" x14ac:dyDescent="0.3">
      <c r="A6" s="89">
        <v>5</v>
      </c>
      <c r="B6" s="29" t="s">
        <v>24</v>
      </c>
      <c r="C6" s="29" t="s">
        <v>1892</v>
      </c>
      <c r="D6" s="29">
        <v>60226001</v>
      </c>
      <c r="E6" s="29">
        <v>125</v>
      </c>
      <c r="F6" s="28">
        <v>123</v>
      </c>
      <c r="G6" s="28">
        <v>19</v>
      </c>
      <c r="H6" s="28" t="s">
        <v>1051</v>
      </c>
      <c r="I6" s="7" t="s">
        <v>1889</v>
      </c>
      <c r="J6" s="28" t="s">
        <v>130</v>
      </c>
      <c r="K6" s="41">
        <v>0.73958333333333337</v>
      </c>
      <c r="L6" s="41">
        <v>0.7680555555555556</v>
      </c>
      <c r="M6" s="28" t="s">
        <v>109</v>
      </c>
      <c r="N6" s="29" t="s">
        <v>1887</v>
      </c>
      <c r="O6" s="29" t="s">
        <v>61</v>
      </c>
      <c r="P6" s="28" t="s">
        <v>131</v>
      </c>
      <c r="Q6" s="28" t="s">
        <v>86</v>
      </c>
      <c r="R6" s="28" t="s">
        <v>63</v>
      </c>
      <c r="S6" s="28" t="s">
        <v>109</v>
      </c>
      <c r="T6" s="28" t="s">
        <v>109</v>
      </c>
      <c r="U6" s="106">
        <f t="shared" si="0"/>
        <v>0.152</v>
      </c>
      <c r="V6" s="76" t="s">
        <v>291</v>
      </c>
    </row>
    <row r="7" spans="1:22" x14ac:dyDescent="0.3">
      <c r="A7" s="89">
        <v>6</v>
      </c>
      <c r="B7" s="29" t="s">
        <v>24</v>
      </c>
      <c r="C7" s="29" t="s">
        <v>1893</v>
      </c>
      <c r="D7" s="29">
        <v>60226006</v>
      </c>
      <c r="E7" s="29">
        <v>112</v>
      </c>
      <c r="F7" s="28">
        <v>101</v>
      </c>
      <c r="G7" s="28">
        <v>47</v>
      </c>
      <c r="H7" s="28" t="s">
        <v>257</v>
      </c>
      <c r="I7" s="7" t="s">
        <v>99</v>
      </c>
      <c r="J7" s="28" t="s">
        <v>130</v>
      </c>
      <c r="K7" s="41">
        <v>0.72569444444444453</v>
      </c>
      <c r="L7" s="41">
        <v>0.77638888888888891</v>
      </c>
      <c r="M7" s="28" t="s">
        <v>109</v>
      </c>
      <c r="N7" s="29" t="s">
        <v>1887</v>
      </c>
      <c r="O7" s="29" t="s">
        <v>61</v>
      </c>
      <c r="P7" s="28" t="s">
        <v>131</v>
      </c>
      <c r="Q7" s="28" t="s">
        <v>91</v>
      </c>
      <c r="R7" s="28" t="s">
        <v>63</v>
      </c>
      <c r="S7" s="28" t="s">
        <v>109</v>
      </c>
      <c r="T7" s="28" t="s">
        <v>109</v>
      </c>
      <c r="U7" s="106">
        <f t="shared" si="0"/>
        <v>0.41964285714285715</v>
      </c>
      <c r="V7" s="76" t="s">
        <v>291</v>
      </c>
    </row>
    <row r="8" spans="1:22" x14ac:dyDescent="0.3">
      <c r="A8" s="89">
        <v>7</v>
      </c>
      <c r="B8" s="29" t="s">
        <v>24</v>
      </c>
      <c r="C8" s="29" t="s">
        <v>1894</v>
      </c>
      <c r="D8" s="29">
        <v>60226002</v>
      </c>
      <c r="E8" s="29">
        <v>254</v>
      </c>
      <c r="F8" s="28">
        <v>258</v>
      </c>
      <c r="G8" s="28">
        <v>149</v>
      </c>
      <c r="H8" s="52" t="s">
        <v>1895</v>
      </c>
      <c r="I8" s="7" t="s">
        <v>1896</v>
      </c>
      <c r="J8" s="28" t="s">
        <v>130</v>
      </c>
      <c r="K8" s="41">
        <v>0.75486111111111109</v>
      </c>
      <c r="L8" s="41">
        <v>0.7895833333333333</v>
      </c>
      <c r="M8" s="28" t="s">
        <v>109</v>
      </c>
      <c r="N8" s="29" t="s">
        <v>1887</v>
      </c>
      <c r="O8" s="29" t="s">
        <v>61</v>
      </c>
      <c r="P8" s="28" t="s">
        <v>131</v>
      </c>
      <c r="Q8" s="28" t="s">
        <v>95</v>
      </c>
      <c r="R8" s="28" t="s">
        <v>63</v>
      </c>
      <c r="S8" s="28" t="s">
        <v>109</v>
      </c>
      <c r="T8" s="28" t="s">
        <v>109</v>
      </c>
      <c r="U8" s="106">
        <f t="shared" si="0"/>
        <v>0.58661417322834641</v>
      </c>
      <c r="V8" s="76" t="s">
        <v>291</v>
      </c>
    </row>
    <row r="9" spans="1:22" x14ac:dyDescent="0.3">
      <c r="A9" s="89">
        <v>8</v>
      </c>
      <c r="B9" s="29" t="s">
        <v>24</v>
      </c>
      <c r="C9" s="29" t="s">
        <v>1897</v>
      </c>
      <c r="D9" s="29">
        <v>60226003</v>
      </c>
      <c r="E9" s="29">
        <v>330</v>
      </c>
      <c r="F9" s="28">
        <v>313</v>
      </c>
      <c r="G9" s="28">
        <v>69</v>
      </c>
      <c r="H9" s="28" t="s">
        <v>1016</v>
      </c>
      <c r="I9" s="7" t="s">
        <v>1898</v>
      </c>
      <c r="J9" s="28" t="s">
        <v>130</v>
      </c>
      <c r="K9" s="41">
        <v>0.71736111111111101</v>
      </c>
      <c r="L9" s="41">
        <v>0.77430555555555547</v>
      </c>
      <c r="M9" s="28" t="s">
        <v>109</v>
      </c>
      <c r="N9" s="29" t="s">
        <v>1887</v>
      </c>
      <c r="O9" s="29" t="s">
        <v>61</v>
      </c>
      <c r="P9" s="28" t="s">
        <v>131</v>
      </c>
      <c r="Q9" s="28" t="s">
        <v>88</v>
      </c>
      <c r="R9" s="28" t="s">
        <v>63</v>
      </c>
      <c r="S9" s="28" t="s">
        <v>109</v>
      </c>
      <c r="T9" s="28" t="s">
        <v>109</v>
      </c>
      <c r="U9" s="106">
        <f t="shared" si="0"/>
        <v>0.20909090909090908</v>
      </c>
      <c r="V9" s="76" t="s">
        <v>291</v>
      </c>
    </row>
    <row r="10" spans="1:22" x14ac:dyDescent="0.3">
      <c r="A10" s="89">
        <v>9</v>
      </c>
      <c r="B10" s="29" t="s">
        <v>24</v>
      </c>
      <c r="C10" s="29" t="s">
        <v>1899</v>
      </c>
      <c r="D10" s="29">
        <v>60226008</v>
      </c>
      <c r="E10" s="29">
        <v>41</v>
      </c>
      <c r="F10" s="28">
        <v>40</v>
      </c>
      <c r="G10" s="28">
        <v>16</v>
      </c>
      <c r="H10" s="53" t="s">
        <v>153</v>
      </c>
      <c r="I10" s="77" t="s">
        <v>93</v>
      </c>
      <c r="J10" s="28" t="s">
        <v>130</v>
      </c>
      <c r="K10" s="41">
        <v>0.80138888888888893</v>
      </c>
      <c r="L10" s="41">
        <v>0.8125</v>
      </c>
      <c r="M10" s="28" t="s">
        <v>109</v>
      </c>
      <c r="N10" s="29" t="s">
        <v>1887</v>
      </c>
      <c r="O10" s="29" t="s">
        <v>61</v>
      </c>
      <c r="P10" s="28" t="s">
        <v>131</v>
      </c>
      <c r="Q10" s="28" t="s">
        <v>93</v>
      </c>
      <c r="R10" s="28" t="s">
        <v>63</v>
      </c>
      <c r="S10" s="28" t="s">
        <v>109</v>
      </c>
      <c r="T10" s="28" t="s">
        <v>109</v>
      </c>
      <c r="U10" s="106">
        <f t="shared" si="0"/>
        <v>0.3902439024390244</v>
      </c>
      <c r="V10" s="76" t="s">
        <v>291</v>
      </c>
    </row>
    <row r="11" spans="1:22" x14ac:dyDescent="0.3">
      <c r="A11" s="89">
        <v>10</v>
      </c>
      <c r="B11" s="29" t="s">
        <v>24</v>
      </c>
      <c r="C11" s="29" t="s">
        <v>1900</v>
      </c>
      <c r="D11" s="29">
        <v>60226009</v>
      </c>
      <c r="E11" s="29">
        <v>126</v>
      </c>
      <c r="F11" s="28">
        <v>98</v>
      </c>
      <c r="G11" s="28">
        <v>14</v>
      </c>
      <c r="H11" s="28" t="s">
        <v>186</v>
      </c>
      <c r="I11" s="7" t="s">
        <v>294</v>
      </c>
      <c r="J11" s="28" t="s">
        <v>130</v>
      </c>
      <c r="K11" s="41">
        <v>0.69513888888888886</v>
      </c>
      <c r="L11" s="41">
        <v>0.72013888888888899</v>
      </c>
      <c r="M11" s="28" t="s">
        <v>109</v>
      </c>
      <c r="N11" s="29" t="s">
        <v>1887</v>
      </c>
      <c r="O11" s="29" t="s">
        <v>61</v>
      </c>
      <c r="P11" s="28" t="s">
        <v>131</v>
      </c>
      <c r="Q11" s="28" t="s">
        <v>88</v>
      </c>
      <c r="R11" s="28" t="s">
        <v>63</v>
      </c>
      <c r="S11" s="28" t="s">
        <v>109</v>
      </c>
      <c r="T11" s="28" t="s">
        <v>109</v>
      </c>
      <c r="U11" s="106">
        <f t="shared" si="0"/>
        <v>0.1111111111111111</v>
      </c>
      <c r="V11" s="76" t="s">
        <v>291</v>
      </c>
    </row>
    <row r="12" spans="1:22" x14ac:dyDescent="0.3">
      <c r="A12" s="89">
        <v>11</v>
      </c>
      <c r="B12" s="29" t="s">
        <v>24</v>
      </c>
      <c r="C12" s="29" t="s">
        <v>1901</v>
      </c>
      <c r="D12" s="29">
        <v>60226010</v>
      </c>
      <c r="E12" s="29">
        <v>143</v>
      </c>
      <c r="F12" s="28">
        <v>87</v>
      </c>
      <c r="G12" s="28">
        <v>32</v>
      </c>
      <c r="H12" s="28" t="s">
        <v>73</v>
      </c>
      <c r="I12" s="7" t="s">
        <v>157</v>
      </c>
      <c r="J12" s="28" t="s">
        <v>130</v>
      </c>
      <c r="K12" s="41">
        <v>0.72569444444444453</v>
      </c>
      <c r="L12" s="41">
        <v>0.81527777777777777</v>
      </c>
      <c r="M12" s="28" t="s">
        <v>109</v>
      </c>
      <c r="N12" s="29" t="s">
        <v>1887</v>
      </c>
      <c r="O12" s="29" t="s">
        <v>61</v>
      </c>
      <c r="P12" s="28" t="s">
        <v>131</v>
      </c>
      <c r="Q12" s="28" t="s">
        <v>154</v>
      </c>
      <c r="R12" s="28" t="s">
        <v>63</v>
      </c>
      <c r="S12" s="28" t="s">
        <v>109</v>
      </c>
      <c r="T12" s="28" t="s">
        <v>109</v>
      </c>
      <c r="U12" s="106">
        <f t="shared" si="0"/>
        <v>0.22377622377622378</v>
      </c>
      <c r="V12" s="76" t="s">
        <v>291</v>
      </c>
    </row>
    <row r="13" spans="1:22" x14ac:dyDescent="0.3">
      <c r="A13" s="89">
        <v>12</v>
      </c>
      <c r="B13" s="29" t="s">
        <v>24</v>
      </c>
      <c r="C13" s="29" t="s">
        <v>1902</v>
      </c>
      <c r="D13" s="29">
        <v>60226013</v>
      </c>
      <c r="E13" s="29">
        <v>201</v>
      </c>
      <c r="F13" s="28">
        <v>149</v>
      </c>
      <c r="G13" s="28">
        <v>67</v>
      </c>
      <c r="H13" s="52" t="s">
        <v>1673</v>
      </c>
      <c r="I13" s="7" t="s">
        <v>1903</v>
      </c>
      <c r="J13" s="28" t="s">
        <v>130</v>
      </c>
      <c r="K13" s="41">
        <v>0.71527777777777779</v>
      </c>
      <c r="L13" s="41">
        <v>0.7270833333333333</v>
      </c>
      <c r="M13" s="28" t="s">
        <v>109</v>
      </c>
      <c r="N13" s="29" t="s">
        <v>1833</v>
      </c>
      <c r="O13" s="29" t="s">
        <v>61</v>
      </c>
      <c r="P13" s="28" t="s">
        <v>131</v>
      </c>
      <c r="Q13" s="28" t="s">
        <v>93</v>
      </c>
      <c r="R13" s="28" t="s">
        <v>63</v>
      </c>
      <c r="S13" s="28" t="s">
        <v>109</v>
      </c>
      <c r="T13" s="28" t="s">
        <v>109</v>
      </c>
      <c r="U13" s="106">
        <f t="shared" si="0"/>
        <v>0.33333333333333331</v>
      </c>
      <c r="V13" s="76" t="s">
        <v>291</v>
      </c>
    </row>
    <row r="14" spans="1:22" x14ac:dyDescent="0.3">
      <c r="A14" s="89">
        <v>19</v>
      </c>
      <c r="B14" s="29" t="s">
        <v>143</v>
      </c>
      <c r="C14" s="29" t="s">
        <v>1869</v>
      </c>
      <c r="D14" s="29">
        <v>10226004</v>
      </c>
      <c r="E14" s="29">
        <v>75</v>
      </c>
      <c r="F14" s="28">
        <v>14</v>
      </c>
      <c r="G14" s="28">
        <v>0</v>
      </c>
      <c r="H14" s="53" t="s">
        <v>184</v>
      </c>
      <c r="I14" s="77" t="s">
        <v>90</v>
      </c>
      <c r="J14" s="28" t="s">
        <v>130</v>
      </c>
      <c r="K14" s="41">
        <v>0.94930555555555562</v>
      </c>
      <c r="L14" s="41">
        <v>0.97777777777777775</v>
      </c>
      <c r="M14" s="28" t="s">
        <v>109</v>
      </c>
      <c r="N14" s="29" t="s">
        <v>109</v>
      </c>
      <c r="O14" s="29" t="s">
        <v>61</v>
      </c>
      <c r="P14" s="28" t="s">
        <v>131</v>
      </c>
      <c r="Q14" s="28" t="s">
        <v>90</v>
      </c>
      <c r="R14" s="28" t="s">
        <v>62</v>
      </c>
      <c r="S14" s="28" t="s">
        <v>109</v>
      </c>
      <c r="T14" s="28" t="s">
        <v>109</v>
      </c>
      <c r="U14" s="106">
        <f t="shared" ref="U14:U45" si="1">G14/E14</f>
        <v>0</v>
      </c>
      <c r="V14" s="28" t="s">
        <v>291</v>
      </c>
    </row>
    <row r="15" spans="1:22" x14ac:dyDescent="0.3">
      <c r="A15" s="89">
        <v>75</v>
      </c>
      <c r="B15" s="29" t="s">
        <v>23</v>
      </c>
      <c r="C15" s="29" t="s">
        <v>869</v>
      </c>
      <c r="D15" s="29">
        <v>50126215</v>
      </c>
      <c r="E15" s="29">
        <v>39</v>
      </c>
      <c r="F15" s="28">
        <v>35</v>
      </c>
      <c r="G15" s="28">
        <v>0</v>
      </c>
      <c r="H15" s="52" t="s">
        <v>154</v>
      </c>
      <c r="I15" s="7" t="s">
        <v>109</v>
      </c>
      <c r="J15" s="28" t="s">
        <v>130</v>
      </c>
      <c r="K15" s="41" t="s">
        <v>109</v>
      </c>
      <c r="L15" s="41">
        <v>0.96736111111111101</v>
      </c>
      <c r="M15" s="28" t="s">
        <v>109</v>
      </c>
      <c r="N15" s="29" t="s">
        <v>109</v>
      </c>
      <c r="O15" s="29" t="s">
        <v>145</v>
      </c>
      <c r="P15" s="28" t="s">
        <v>131</v>
      </c>
      <c r="Q15" s="28" t="s">
        <v>154</v>
      </c>
      <c r="R15" s="28" t="s">
        <v>109</v>
      </c>
      <c r="S15" s="28" t="s">
        <v>109</v>
      </c>
      <c r="T15" s="28" t="s">
        <v>109</v>
      </c>
      <c r="U15" s="106">
        <f t="shared" si="1"/>
        <v>0</v>
      </c>
      <c r="V15" s="76" t="s">
        <v>1947</v>
      </c>
    </row>
    <row r="16" spans="1:22" x14ac:dyDescent="0.3">
      <c r="A16" s="89">
        <v>15</v>
      </c>
      <c r="B16" s="29" t="s">
        <v>23</v>
      </c>
      <c r="C16" s="29" t="s">
        <v>1064</v>
      </c>
      <c r="D16" s="29">
        <v>50126306</v>
      </c>
      <c r="E16" s="29">
        <v>50</v>
      </c>
      <c r="F16" s="28">
        <v>76</v>
      </c>
      <c r="G16" s="28">
        <v>52</v>
      </c>
      <c r="H16" s="53" t="s">
        <v>66</v>
      </c>
      <c r="I16" s="7" t="s">
        <v>109</v>
      </c>
      <c r="J16" s="28" t="s">
        <v>130</v>
      </c>
      <c r="K16" s="28" t="s">
        <v>109</v>
      </c>
      <c r="L16" s="41">
        <v>0.79652777777777783</v>
      </c>
      <c r="M16" s="28" t="s">
        <v>109</v>
      </c>
      <c r="N16" s="29" t="s">
        <v>109</v>
      </c>
      <c r="O16" s="29" t="s">
        <v>61</v>
      </c>
      <c r="P16" s="28" t="s">
        <v>131</v>
      </c>
      <c r="Q16" s="28" t="s">
        <v>66</v>
      </c>
      <c r="R16" s="28" t="s">
        <v>62</v>
      </c>
      <c r="S16" s="28" t="s">
        <v>109</v>
      </c>
      <c r="T16" s="28" t="s">
        <v>109</v>
      </c>
      <c r="U16" s="106">
        <f t="shared" si="1"/>
        <v>1.04</v>
      </c>
      <c r="V16" s="76" t="s">
        <v>1941</v>
      </c>
    </row>
    <row r="17" spans="1:22" x14ac:dyDescent="0.3">
      <c r="A17" s="89">
        <v>16</v>
      </c>
      <c r="B17" s="29" t="s">
        <v>23</v>
      </c>
      <c r="C17" s="29" t="s">
        <v>1065</v>
      </c>
      <c r="D17" s="29">
        <v>50126305</v>
      </c>
      <c r="E17" s="29">
        <v>50</v>
      </c>
      <c r="F17" s="28">
        <v>90</v>
      </c>
      <c r="G17" s="28">
        <v>51</v>
      </c>
      <c r="H17" s="53" t="s">
        <v>196</v>
      </c>
      <c r="I17" s="7" t="s">
        <v>109</v>
      </c>
      <c r="J17" s="28" t="s">
        <v>130</v>
      </c>
      <c r="K17" s="28" t="s">
        <v>109</v>
      </c>
      <c r="L17" s="41">
        <v>0.72013888888888899</v>
      </c>
      <c r="M17" s="28" t="s">
        <v>109</v>
      </c>
      <c r="N17" s="29" t="s">
        <v>109</v>
      </c>
      <c r="O17" s="29" t="s">
        <v>61</v>
      </c>
      <c r="P17" s="28" t="s">
        <v>131</v>
      </c>
      <c r="Q17" s="28" t="s">
        <v>196</v>
      </c>
      <c r="R17" s="28" t="s">
        <v>62</v>
      </c>
      <c r="S17" s="28" t="s">
        <v>109</v>
      </c>
      <c r="T17" s="28" t="s">
        <v>109</v>
      </c>
      <c r="U17" s="106">
        <f t="shared" si="1"/>
        <v>1.02</v>
      </c>
      <c r="V17" s="76" t="s">
        <v>1941</v>
      </c>
    </row>
    <row r="18" spans="1:22" x14ac:dyDescent="0.3">
      <c r="A18" s="89">
        <v>17</v>
      </c>
      <c r="B18" s="29" t="s">
        <v>23</v>
      </c>
      <c r="C18" s="29" t="s">
        <v>137</v>
      </c>
      <c r="D18" s="29">
        <v>51225033</v>
      </c>
      <c r="E18" s="29">
        <v>60</v>
      </c>
      <c r="F18" s="28">
        <v>120</v>
      </c>
      <c r="G18" s="28">
        <v>28</v>
      </c>
      <c r="H18" s="53" t="s">
        <v>69</v>
      </c>
      <c r="I18" s="7" t="s">
        <v>109</v>
      </c>
      <c r="J18" s="28" t="s">
        <v>130</v>
      </c>
      <c r="K18" s="28" t="s">
        <v>109</v>
      </c>
      <c r="L18" s="41">
        <v>9.0277777777777787E-3</v>
      </c>
      <c r="M18" s="28" t="s">
        <v>109</v>
      </c>
      <c r="N18" s="29" t="s">
        <v>109</v>
      </c>
      <c r="O18" s="29" t="s">
        <v>61</v>
      </c>
      <c r="P18" s="28" t="s">
        <v>131</v>
      </c>
      <c r="Q18" s="28" t="s">
        <v>69</v>
      </c>
      <c r="R18" s="28" t="s">
        <v>62</v>
      </c>
      <c r="S18" s="28" t="s">
        <v>109</v>
      </c>
      <c r="T18" s="28" t="s">
        <v>109</v>
      </c>
      <c r="U18" s="106">
        <f t="shared" si="1"/>
        <v>0.46666666666666667</v>
      </c>
      <c r="V18" s="28" t="s">
        <v>1940</v>
      </c>
    </row>
    <row r="19" spans="1:22" x14ac:dyDescent="0.3">
      <c r="A19" s="89">
        <v>18</v>
      </c>
      <c r="B19" s="29" t="s">
        <v>143</v>
      </c>
      <c r="C19" s="29" t="s">
        <v>1734</v>
      </c>
      <c r="D19" s="29">
        <v>10126049</v>
      </c>
      <c r="E19" s="29">
        <v>100</v>
      </c>
      <c r="F19" s="28">
        <v>160</v>
      </c>
      <c r="G19" s="28">
        <v>0</v>
      </c>
      <c r="H19" s="53" t="s">
        <v>196</v>
      </c>
      <c r="I19" s="77" t="s">
        <v>87</v>
      </c>
      <c r="J19" s="28" t="s">
        <v>130</v>
      </c>
      <c r="K19" s="41">
        <v>0.92847222222222225</v>
      </c>
      <c r="L19" s="41">
        <v>0.93333333333333324</v>
      </c>
      <c r="M19" s="28" t="s">
        <v>109</v>
      </c>
      <c r="N19" s="29" t="s">
        <v>109</v>
      </c>
      <c r="O19" s="29" t="s">
        <v>61</v>
      </c>
      <c r="P19" s="28" t="s">
        <v>131</v>
      </c>
      <c r="Q19" s="28" t="s">
        <v>603</v>
      </c>
      <c r="R19" s="28" t="s">
        <v>62</v>
      </c>
      <c r="S19" s="28" t="s">
        <v>109</v>
      </c>
      <c r="T19" s="28" t="s">
        <v>109</v>
      </c>
      <c r="U19" s="106">
        <f t="shared" si="1"/>
        <v>0</v>
      </c>
      <c r="V19" s="76" t="s">
        <v>1940</v>
      </c>
    </row>
    <row r="20" spans="1:22" x14ac:dyDescent="0.3">
      <c r="A20" s="89">
        <v>76</v>
      </c>
      <c r="B20" s="29" t="s">
        <v>143</v>
      </c>
      <c r="C20" s="29" t="s">
        <v>1943</v>
      </c>
      <c r="D20" s="29">
        <v>10126006</v>
      </c>
      <c r="E20" s="29">
        <v>10</v>
      </c>
      <c r="F20" s="28">
        <v>25</v>
      </c>
      <c r="G20" s="28">
        <v>1</v>
      </c>
      <c r="H20" s="52" t="s">
        <v>90</v>
      </c>
      <c r="I20" s="7" t="s">
        <v>510</v>
      </c>
      <c r="J20" s="28" t="s">
        <v>130</v>
      </c>
      <c r="K20" s="41" t="s">
        <v>109</v>
      </c>
      <c r="L20" s="41">
        <v>0.98749999999999993</v>
      </c>
      <c r="M20" s="28" t="s">
        <v>109</v>
      </c>
      <c r="N20" s="29" t="s">
        <v>109</v>
      </c>
      <c r="O20" s="29" t="s">
        <v>61</v>
      </c>
      <c r="P20" s="28" t="s">
        <v>131</v>
      </c>
      <c r="Q20" s="28" t="s">
        <v>510</v>
      </c>
      <c r="R20" s="28" t="s">
        <v>109</v>
      </c>
      <c r="S20" s="28" t="s">
        <v>109</v>
      </c>
      <c r="T20" s="28" t="s">
        <v>109</v>
      </c>
      <c r="U20" s="106">
        <f t="shared" si="1"/>
        <v>0.1</v>
      </c>
      <c r="V20" s="76" t="s">
        <v>291</v>
      </c>
    </row>
    <row r="21" spans="1:22" x14ac:dyDescent="0.3">
      <c r="A21" s="89">
        <v>20</v>
      </c>
      <c r="B21" s="29" t="s">
        <v>143</v>
      </c>
      <c r="C21" s="29" t="s">
        <v>1871</v>
      </c>
      <c r="D21" s="29">
        <v>10226005</v>
      </c>
      <c r="E21" s="29">
        <v>40</v>
      </c>
      <c r="F21" s="28">
        <v>69</v>
      </c>
      <c r="G21" s="28">
        <v>45</v>
      </c>
      <c r="H21" s="53" t="s">
        <v>71</v>
      </c>
      <c r="I21" s="77" t="s">
        <v>87</v>
      </c>
      <c r="J21" s="28" t="s">
        <v>130</v>
      </c>
      <c r="K21" s="41">
        <v>0.76111111111111107</v>
      </c>
      <c r="L21" s="41">
        <v>0.84652777777777777</v>
      </c>
      <c r="M21" s="28" t="s">
        <v>109</v>
      </c>
      <c r="N21" s="29" t="s">
        <v>109</v>
      </c>
      <c r="O21" s="29" t="s">
        <v>61</v>
      </c>
      <c r="P21" s="28" t="s">
        <v>131</v>
      </c>
      <c r="Q21" s="28" t="s">
        <v>603</v>
      </c>
      <c r="R21" s="28" t="s">
        <v>62</v>
      </c>
      <c r="S21" s="28" t="s">
        <v>109</v>
      </c>
      <c r="T21" s="28" t="s">
        <v>109</v>
      </c>
      <c r="U21" s="106">
        <f t="shared" si="1"/>
        <v>1.125</v>
      </c>
      <c r="V21" s="76" t="s">
        <v>1941</v>
      </c>
    </row>
    <row r="22" spans="1:22" x14ac:dyDescent="0.3">
      <c r="A22" s="89">
        <v>58</v>
      </c>
      <c r="B22" s="29" t="s">
        <v>23</v>
      </c>
      <c r="C22" s="29" t="s">
        <v>428</v>
      </c>
      <c r="D22" s="29">
        <v>50126024</v>
      </c>
      <c r="E22" s="29">
        <v>60</v>
      </c>
      <c r="F22" s="28">
        <v>61</v>
      </c>
      <c r="G22" s="28">
        <v>7</v>
      </c>
      <c r="H22" s="53" t="s">
        <v>71</v>
      </c>
      <c r="I22" s="7" t="s">
        <v>109</v>
      </c>
      <c r="J22" s="28" t="s">
        <v>130</v>
      </c>
      <c r="K22" s="28" t="s">
        <v>109</v>
      </c>
      <c r="L22" s="41">
        <v>0.99444444444444446</v>
      </c>
      <c r="M22" s="28" t="s">
        <v>109</v>
      </c>
      <c r="N22" s="29" t="s">
        <v>109</v>
      </c>
      <c r="O22" s="29" t="s">
        <v>61</v>
      </c>
      <c r="P22" s="28" t="s">
        <v>131</v>
      </c>
      <c r="Q22" s="28" t="s">
        <v>71</v>
      </c>
      <c r="R22" s="28" t="s">
        <v>62</v>
      </c>
      <c r="S22" s="28" t="s">
        <v>109</v>
      </c>
      <c r="T22" s="28" t="s">
        <v>109</v>
      </c>
      <c r="U22" s="106">
        <f t="shared" si="1"/>
        <v>0.11666666666666667</v>
      </c>
      <c r="V22" s="76" t="s">
        <v>291</v>
      </c>
    </row>
    <row r="23" spans="1:22" x14ac:dyDescent="0.3">
      <c r="A23" s="89">
        <v>22</v>
      </c>
      <c r="B23" s="29" t="s">
        <v>143</v>
      </c>
      <c r="C23" s="29" t="s">
        <v>1789</v>
      </c>
      <c r="D23" s="29">
        <v>10226002</v>
      </c>
      <c r="E23" s="29">
        <v>40</v>
      </c>
      <c r="F23" s="28">
        <v>122</v>
      </c>
      <c r="G23" s="28">
        <v>16</v>
      </c>
      <c r="H23" s="53" t="s">
        <v>200</v>
      </c>
      <c r="I23" s="77" t="s">
        <v>91</v>
      </c>
      <c r="J23" s="28" t="s">
        <v>130</v>
      </c>
      <c r="K23" s="28" t="s">
        <v>109</v>
      </c>
      <c r="L23" s="41">
        <v>0</v>
      </c>
      <c r="M23" s="28" t="s">
        <v>109</v>
      </c>
      <c r="N23" s="29" t="s">
        <v>109</v>
      </c>
      <c r="O23" s="29" t="s">
        <v>61</v>
      </c>
      <c r="P23" s="28" t="s">
        <v>131</v>
      </c>
      <c r="Q23" s="28" t="s">
        <v>603</v>
      </c>
      <c r="R23" s="28" t="s">
        <v>62</v>
      </c>
      <c r="S23" s="28" t="s">
        <v>109</v>
      </c>
      <c r="T23" s="28" t="s">
        <v>109</v>
      </c>
      <c r="U23" s="106">
        <f t="shared" si="1"/>
        <v>0.4</v>
      </c>
      <c r="V23" s="28" t="s">
        <v>1940</v>
      </c>
    </row>
    <row r="24" spans="1:22" x14ac:dyDescent="0.3">
      <c r="A24" s="89">
        <v>23</v>
      </c>
      <c r="B24" s="29" t="s">
        <v>143</v>
      </c>
      <c r="C24" s="29" t="s">
        <v>183</v>
      </c>
      <c r="D24" s="29">
        <v>11225027</v>
      </c>
      <c r="E24" s="29">
        <v>100</v>
      </c>
      <c r="F24" s="28">
        <v>209</v>
      </c>
      <c r="G24" s="28">
        <v>67</v>
      </c>
      <c r="H24" s="53" t="s">
        <v>70</v>
      </c>
      <c r="I24" s="77" t="s">
        <v>90</v>
      </c>
      <c r="J24" s="28" t="s">
        <v>130</v>
      </c>
      <c r="K24" s="41">
        <v>0.85277777777777775</v>
      </c>
      <c r="L24" s="41">
        <v>0.88958333333333339</v>
      </c>
      <c r="M24" s="28" t="s">
        <v>109</v>
      </c>
      <c r="N24" s="29" t="s">
        <v>109</v>
      </c>
      <c r="O24" s="29" t="s">
        <v>61</v>
      </c>
      <c r="P24" s="28" t="s">
        <v>131</v>
      </c>
      <c r="Q24" s="28" t="s">
        <v>90</v>
      </c>
      <c r="R24" s="28" t="s">
        <v>62</v>
      </c>
      <c r="S24" s="28" t="s">
        <v>109</v>
      </c>
      <c r="T24" s="28" t="s">
        <v>109</v>
      </c>
      <c r="U24" s="106">
        <f t="shared" si="1"/>
        <v>0.67</v>
      </c>
      <c r="V24" s="76" t="s">
        <v>1940</v>
      </c>
    </row>
    <row r="25" spans="1:22" x14ac:dyDescent="0.3">
      <c r="A25" s="89">
        <v>54</v>
      </c>
      <c r="B25" s="29" t="s">
        <v>23</v>
      </c>
      <c r="C25" s="29" t="s">
        <v>837</v>
      </c>
      <c r="D25" s="29">
        <v>50126110</v>
      </c>
      <c r="E25" s="29">
        <v>50</v>
      </c>
      <c r="F25" s="28">
        <v>108</v>
      </c>
      <c r="G25" s="28">
        <v>6</v>
      </c>
      <c r="H25" s="53" t="s">
        <v>67</v>
      </c>
      <c r="I25" s="7" t="s">
        <v>109</v>
      </c>
      <c r="J25" s="28" t="s">
        <v>130</v>
      </c>
      <c r="K25" s="28" t="s">
        <v>109</v>
      </c>
      <c r="L25" s="41">
        <v>0.97638888888888886</v>
      </c>
      <c r="M25" s="28" t="s">
        <v>109</v>
      </c>
      <c r="N25" s="29" t="s">
        <v>109</v>
      </c>
      <c r="O25" s="29" t="s">
        <v>61</v>
      </c>
      <c r="P25" s="28" t="s">
        <v>131</v>
      </c>
      <c r="Q25" s="28" t="s">
        <v>67</v>
      </c>
      <c r="R25" s="28" t="s">
        <v>62</v>
      </c>
      <c r="S25" s="28" t="s">
        <v>109</v>
      </c>
      <c r="T25" s="28" t="s">
        <v>109</v>
      </c>
      <c r="U25" s="106">
        <f t="shared" si="1"/>
        <v>0.12</v>
      </c>
      <c r="V25" s="76" t="s">
        <v>291</v>
      </c>
    </row>
    <row r="26" spans="1:22" x14ac:dyDescent="0.3">
      <c r="A26" s="89">
        <v>25</v>
      </c>
      <c r="B26" s="29" t="s">
        <v>23</v>
      </c>
      <c r="C26" s="29" t="s">
        <v>980</v>
      </c>
      <c r="D26" s="29">
        <v>50126278</v>
      </c>
      <c r="E26" s="29">
        <v>200</v>
      </c>
      <c r="F26" s="28">
        <v>302</v>
      </c>
      <c r="G26" s="28">
        <v>220</v>
      </c>
      <c r="H26" s="28" t="s">
        <v>1904</v>
      </c>
      <c r="I26" s="7" t="s">
        <v>109</v>
      </c>
      <c r="J26" s="28" t="s">
        <v>130</v>
      </c>
      <c r="K26" s="28" t="s">
        <v>109</v>
      </c>
      <c r="L26" s="41">
        <v>0.79027777777777775</v>
      </c>
      <c r="M26" s="28" t="s">
        <v>109</v>
      </c>
      <c r="N26" s="29" t="s">
        <v>109</v>
      </c>
      <c r="O26" s="29" t="s">
        <v>61</v>
      </c>
      <c r="P26" s="28" t="s">
        <v>131</v>
      </c>
      <c r="Q26" s="28" t="s">
        <v>153</v>
      </c>
      <c r="R26" s="28" t="s">
        <v>62</v>
      </c>
      <c r="S26" s="28" t="s">
        <v>109</v>
      </c>
      <c r="T26" s="28" t="s">
        <v>109</v>
      </c>
      <c r="U26" s="106">
        <f t="shared" si="1"/>
        <v>1.1000000000000001</v>
      </c>
      <c r="V26" s="76" t="s">
        <v>1941</v>
      </c>
    </row>
    <row r="27" spans="1:22" x14ac:dyDescent="0.3">
      <c r="A27" s="89">
        <v>48</v>
      </c>
      <c r="B27" s="29" t="s">
        <v>23</v>
      </c>
      <c r="C27" s="29" t="s">
        <v>712</v>
      </c>
      <c r="D27" s="29">
        <v>50126170</v>
      </c>
      <c r="E27" s="29">
        <v>90</v>
      </c>
      <c r="F27" s="28">
        <v>183</v>
      </c>
      <c r="G27" s="28">
        <v>5</v>
      </c>
      <c r="H27" s="53" t="s">
        <v>64</v>
      </c>
      <c r="I27" s="7" t="s">
        <v>109</v>
      </c>
      <c r="J27" s="28" t="s">
        <v>130</v>
      </c>
      <c r="K27" s="28" t="s">
        <v>109</v>
      </c>
      <c r="L27" s="41">
        <v>0.90277777777777779</v>
      </c>
      <c r="M27" s="28" t="s">
        <v>109</v>
      </c>
      <c r="N27" s="29" t="s">
        <v>109</v>
      </c>
      <c r="O27" s="29" t="s">
        <v>61</v>
      </c>
      <c r="P27" s="28" t="s">
        <v>131</v>
      </c>
      <c r="Q27" s="28" t="s">
        <v>364</v>
      </c>
      <c r="R27" s="28" t="s">
        <v>62</v>
      </c>
      <c r="S27" s="28" t="s">
        <v>109</v>
      </c>
      <c r="T27" s="28" t="s">
        <v>109</v>
      </c>
      <c r="U27" s="106">
        <f t="shared" si="1"/>
        <v>5.5555555555555552E-2</v>
      </c>
      <c r="V27" s="76" t="s">
        <v>1940</v>
      </c>
    </row>
    <row r="28" spans="1:22" x14ac:dyDescent="0.3">
      <c r="A28" s="89">
        <v>24</v>
      </c>
      <c r="B28" s="29" t="s">
        <v>23</v>
      </c>
      <c r="C28" s="29" t="s">
        <v>1378</v>
      </c>
      <c r="D28" s="29">
        <v>50126346</v>
      </c>
      <c r="E28" s="29">
        <v>20</v>
      </c>
      <c r="F28" s="28">
        <v>25</v>
      </c>
      <c r="G28" s="28">
        <v>3</v>
      </c>
      <c r="H28" s="53" t="s">
        <v>69</v>
      </c>
      <c r="I28" s="7" t="s">
        <v>109</v>
      </c>
      <c r="J28" s="28" t="s">
        <v>130</v>
      </c>
      <c r="K28" s="28" t="s">
        <v>109</v>
      </c>
      <c r="L28" s="41">
        <v>0.97291666666666676</v>
      </c>
      <c r="M28" s="28" t="s">
        <v>109</v>
      </c>
      <c r="N28" s="29" t="s">
        <v>109</v>
      </c>
      <c r="O28" s="29" t="s">
        <v>61</v>
      </c>
      <c r="P28" s="28" t="s">
        <v>131</v>
      </c>
      <c r="Q28" s="28" t="s">
        <v>69</v>
      </c>
      <c r="R28" s="28" t="s">
        <v>62</v>
      </c>
      <c r="S28" s="28" t="s">
        <v>109</v>
      </c>
      <c r="T28" s="28" t="s">
        <v>109</v>
      </c>
      <c r="U28" s="106">
        <f t="shared" si="1"/>
        <v>0.15</v>
      </c>
      <c r="V28" s="28" t="s">
        <v>291</v>
      </c>
    </row>
    <row r="29" spans="1:22" x14ac:dyDescent="0.3">
      <c r="A29" s="89">
        <v>14</v>
      </c>
      <c r="B29" s="29" t="s">
        <v>23</v>
      </c>
      <c r="C29" s="29" t="s">
        <v>1062</v>
      </c>
      <c r="D29" s="29">
        <v>50126304</v>
      </c>
      <c r="E29" s="29">
        <v>50</v>
      </c>
      <c r="F29" s="28">
        <v>95</v>
      </c>
      <c r="G29" s="28">
        <v>13</v>
      </c>
      <c r="H29" s="53" t="s">
        <v>64</v>
      </c>
      <c r="I29" s="7" t="s">
        <v>109</v>
      </c>
      <c r="J29" s="28" t="s">
        <v>130</v>
      </c>
      <c r="K29" s="28" t="s">
        <v>109</v>
      </c>
      <c r="L29" s="41">
        <v>0.9472222222222223</v>
      </c>
      <c r="M29" s="28" t="s">
        <v>109</v>
      </c>
      <c r="N29" s="29" t="s">
        <v>109</v>
      </c>
      <c r="O29" s="29" t="s">
        <v>61</v>
      </c>
      <c r="P29" s="28" t="s">
        <v>131</v>
      </c>
      <c r="Q29" s="28" t="s">
        <v>364</v>
      </c>
      <c r="R29" s="28" t="s">
        <v>62</v>
      </c>
      <c r="S29" s="28" t="s">
        <v>109</v>
      </c>
      <c r="T29" s="28" t="s">
        <v>109</v>
      </c>
      <c r="U29" s="106">
        <f t="shared" si="1"/>
        <v>0.26</v>
      </c>
      <c r="V29" s="28" t="s">
        <v>1940</v>
      </c>
    </row>
    <row r="30" spans="1:22" x14ac:dyDescent="0.3">
      <c r="A30" s="89">
        <v>29</v>
      </c>
      <c r="B30" s="29" t="s">
        <v>23</v>
      </c>
      <c r="C30" s="29" t="s">
        <v>1729</v>
      </c>
      <c r="D30" s="29">
        <v>50126400</v>
      </c>
      <c r="E30" s="29">
        <v>50</v>
      </c>
      <c r="F30" s="28">
        <v>84</v>
      </c>
      <c r="G30" s="28">
        <v>12</v>
      </c>
      <c r="H30" s="53" t="s">
        <v>70</v>
      </c>
      <c r="I30" s="7" t="s">
        <v>109</v>
      </c>
      <c r="J30" s="28" t="s">
        <v>130</v>
      </c>
      <c r="K30" s="28" t="s">
        <v>109</v>
      </c>
      <c r="L30" s="41">
        <v>0.68472222222222223</v>
      </c>
      <c r="M30" s="28" t="s">
        <v>109</v>
      </c>
      <c r="N30" s="29" t="s">
        <v>109</v>
      </c>
      <c r="O30" s="29" t="s">
        <v>61</v>
      </c>
      <c r="P30" s="28" t="s">
        <v>131</v>
      </c>
      <c r="Q30" s="28" t="s">
        <v>70</v>
      </c>
      <c r="R30" s="28" t="s">
        <v>62</v>
      </c>
      <c r="S30" s="28" t="s">
        <v>109</v>
      </c>
      <c r="T30" s="28" t="s">
        <v>109</v>
      </c>
      <c r="U30" s="106">
        <f t="shared" si="1"/>
        <v>0.24</v>
      </c>
      <c r="V30" s="76" t="s">
        <v>291</v>
      </c>
    </row>
    <row r="31" spans="1:22" x14ac:dyDescent="0.3">
      <c r="A31" s="89">
        <v>30</v>
      </c>
      <c r="B31" s="29" t="s">
        <v>23</v>
      </c>
      <c r="C31" s="29" t="s">
        <v>686</v>
      </c>
      <c r="D31" s="29">
        <v>50126137</v>
      </c>
      <c r="E31" s="29">
        <v>150</v>
      </c>
      <c r="F31" s="28">
        <v>288</v>
      </c>
      <c r="G31" s="28">
        <v>124</v>
      </c>
      <c r="H31" s="28" t="s">
        <v>1019</v>
      </c>
      <c r="I31" s="7" t="s">
        <v>109</v>
      </c>
      <c r="J31" s="28" t="s">
        <v>130</v>
      </c>
      <c r="K31" s="28" t="s">
        <v>109</v>
      </c>
      <c r="L31" s="41">
        <v>6.2499999999999995E-3</v>
      </c>
      <c r="M31" s="28" t="s">
        <v>109</v>
      </c>
      <c r="N31" s="29" t="s">
        <v>109</v>
      </c>
      <c r="O31" s="29" t="s">
        <v>61</v>
      </c>
      <c r="P31" s="28" t="s">
        <v>131</v>
      </c>
      <c r="Q31" s="28" t="s">
        <v>71</v>
      </c>
      <c r="R31" s="28" t="s">
        <v>62</v>
      </c>
      <c r="S31" s="28" t="s">
        <v>109</v>
      </c>
      <c r="T31" s="28" t="s">
        <v>109</v>
      </c>
      <c r="U31" s="106">
        <f t="shared" si="1"/>
        <v>0.82666666666666666</v>
      </c>
      <c r="V31" s="28" t="s">
        <v>1940</v>
      </c>
    </row>
    <row r="32" spans="1:22" x14ac:dyDescent="0.3">
      <c r="A32" s="89">
        <v>31</v>
      </c>
      <c r="B32" s="29" t="s">
        <v>23</v>
      </c>
      <c r="C32" s="29" t="s">
        <v>1905</v>
      </c>
      <c r="D32" s="29">
        <v>50226024</v>
      </c>
      <c r="E32" s="29">
        <v>150</v>
      </c>
      <c r="F32" s="28">
        <v>255</v>
      </c>
      <c r="G32" s="28">
        <v>136</v>
      </c>
      <c r="H32" s="28" t="s">
        <v>262</v>
      </c>
      <c r="I32" s="7" t="s">
        <v>294</v>
      </c>
      <c r="J32" s="28" t="s">
        <v>130</v>
      </c>
      <c r="K32" s="41">
        <v>0.9868055555555556</v>
      </c>
      <c r="L32" s="41">
        <v>5.5555555555555558E-3</v>
      </c>
      <c r="M32" s="28" t="s">
        <v>109</v>
      </c>
      <c r="N32" s="29" t="s">
        <v>109</v>
      </c>
      <c r="O32" s="29" t="s">
        <v>61</v>
      </c>
      <c r="P32" s="28" t="s">
        <v>131</v>
      </c>
      <c r="Q32" s="28" t="s">
        <v>88</v>
      </c>
      <c r="R32" s="28" t="s">
        <v>62</v>
      </c>
      <c r="S32" s="28" t="s">
        <v>109</v>
      </c>
      <c r="T32" s="28" t="s">
        <v>109</v>
      </c>
      <c r="U32" s="106">
        <f t="shared" si="1"/>
        <v>0.90666666666666662</v>
      </c>
      <c r="V32" s="28" t="s">
        <v>1941</v>
      </c>
    </row>
    <row r="33" spans="1:22" x14ac:dyDescent="0.3">
      <c r="A33" s="89">
        <v>32</v>
      </c>
      <c r="B33" s="29" t="s">
        <v>23</v>
      </c>
      <c r="C33" s="29" t="s">
        <v>1906</v>
      </c>
      <c r="D33" s="29">
        <v>50226027</v>
      </c>
      <c r="E33" s="29">
        <v>400</v>
      </c>
      <c r="F33" s="28">
        <v>746</v>
      </c>
      <c r="G33" s="28">
        <v>335</v>
      </c>
      <c r="H33" s="29" t="s">
        <v>1907</v>
      </c>
      <c r="I33" s="7" t="s">
        <v>1908</v>
      </c>
      <c r="J33" s="28" t="s">
        <v>130</v>
      </c>
      <c r="K33" s="41">
        <v>0.98333333333333339</v>
      </c>
      <c r="L33" s="41">
        <v>6.2499999999999995E-3</v>
      </c>
      <c r="M33" s="28" t="s">
        <v>109</v>
      </c>
      <c r="N33" s="29" t="s">
        <v>109</v>
      </c>
      <c r="O33" s="29" t="s">
        <v>61</v>
      </c>
      <c r="P33" s="28" t="s">
        <v>131</v>
      </c>
      <c r="Q33" s="28" t="s">
        <v>93</v>
      </c>
      <c r="R33" s="28" t="s">
        <v>62</v>
      </c>
      <c r="S33" s="28" t="s">
        <v>109</v>
      </c>
      <c r="T33" s="28" t="s">
        <v>109</v>
      </c>
      <c r="U33" s="106">
        <f t="shared" si="1"/>
        <v>0.83750000000000002</v>
      </c>
      <c r="V33" s="28" t="s">
        <v>1940</v>
      </c>
    </row>
    <row r="34" spans="1:22" x14ac:dyDescent="0.3">
      <c r="A34" s="89">
        <v>33</v>
      </c>
      <c r="B34" s="29" t="s">
        <v>23</v>
      </c>
      <c r="C34" s="29" t="s">
        <v>1909</v>
      </c>
      <c r="D34" s="29">
        <v>50226025</v>
      </c>
      <c r="E34" s="29">
        <v>350</v>
      </c>
      <c r="F34" s="28">
        <v>750</v>
      </c>
      <c r="G34" s="28">
        <v>267</v>
      </c>
      <c r="H34" s="28" t="s">
        <v>1020</v>
      </c>
      <c r="I34" s="7" t="s">
        <v>1910</v>
      </c>
      <c r="J34" s="28" t="s">
        <v>130</v>
      </c>
      <c r="K34" s="41">
        <v>4.1666666666666666E-3</v>
      </c>
      <c r="L34" s="41">
        <v>4.0972222222222222E-2</v>
      </c>
      <c r="M34" s="28" t="s">
        <v>109</v>
      </c>
      <c r="N34" s="29" t="s">
        <v>109</v>
      </c>
      <c r="O34" s="29" t="s">
        <v>61</v>
      </c>
      <c r="P34" s="28" t="s">
        <v>131</v>
      </c>
      <c r="Q34" s="28" t="s">
        <v>91</v>
      </c>
      <c r="R34" s="28" t="s">
        <v>62</v>
      </c>
      <c r="S34" s="28" t="s">
        <v>109</v>
      </c>
      <c r="T34" s="28" t="s">
        <v>109</v>
      </c>
      <c r="U34" s="106">
        <f t="shared" si="1"/>
        <v>0.7628571428571429</v>
      </c>
      <c r="V34" s="28" t="s">
        <v>1940</v>
      </c>
    </row>
    <row r="35" spans="1:22" x14ac:dyDescent="0.3">
      <c r="A35" s="89">
        <v>27</v>
      </c>
      <c r="B35" s="29" t="s">
        <v>23</v>
      </c>
      <c r="C35" s="29" t="s">
        <v>982</v>
      </c>
      <c r="D35" s="29">
        <v>50126277</v>
      </c>
      <c r="E35" s="29">
        <v>200</v>
      </c>
      <c r="F35" s="28">
        <v>402</v>
      </c>
      <c r="G35" s="28">
        <v>103</v>
      </c>
      <c r="H35" s="28" t="s">
        <v>1051</v>
      </c>
      <c r="I35" s="7" t="s">
        <v>109</v>
      </c>
      <c r="J35" s="28" t="s">
        <v>130</v>
      </c>
      <c r="K35" s="28" t="s">
        <v>109</v>
      </c>
      <c r="L35" s="41">
        <v>0.95000000000000007</v>
      </c>
      <c r="M35" s="28" t="s">
        <v>109</v>
      </c>
      <c r="N35" s="29" t="s">
        <v>109</v>
      </c>
      <c r="O35" s="29" t="s">
        <v>61</v>
      </c>
      <c r="P35" s="28" t="s">
        <v>131</v>
      </c>
      <c r="Q35" s="28" t="s">
        <v>69</v>
      </c>
      <c r="R35" s="28" t="s">
        <v>62</v>
      </c>
      <c r="S35" s="28" t="s">
        <v>109</v>
      </c>
      <c r="T35" s="28" t="s">
        <v>109</v>
      </c>
      <c r="U35" s="106">
        <f t="shared" si="1"/>
        <v>0.51500000000000001</v>
      </c>
      <c r="V35" s="28" t="s">
        <v>1940</v>
      </c>
    </row>
    <row r="36" spans="1:22" x14ac:dyDescent="0.3">
      <c r="A36" s="89">
        <v>35</v>
      </c>
      <c r="B36" s="29" t="s">
        <v>23</v>
      </c>
      <c r="C36" s="29" t="s">
        <v>1913</v>
      </c>
      <c r="D36" s="29">
        <v>50226029</v>
      </c>
      <c r="E36" s="29">
        <v>60</v>
      </c>
      <c r="F36" s="28">
        <v>92</v>
      </c>
      <c r="G36" s="28">
        <v>36</v>
      </c>
      <c r="H36" s="53" t="s">
        <v>65</v>
      </c>
      <c r="I36" s="7" t="s">
        <v>109</v>
      </c>
      <c r="J36" s="28" t="s">
        <v>130</v>
      </c>
      <c r="K36" s="28" t="s">
        <v>109</v>
      </c>
      <c r="L36" s="41">
        <v>0.81388888888888899</v>
      </c>
      <c r="M36" s="28" t="s">
        <v>109</v>
      </c>
      <c r="N36" s="29" t="s">
        <v>1914</v>
      </c>
      <c r="O36" s="29" t="s">
        <v>61</v>
      </c>
      <c r="P36" s="28" t="s">
        <v>131</v>
      </c>
      <c r="Q36" s="28" t="s">
        <v>65</v>
      </c>
      <c r="R36" s="28" t="s">
        <v>62</v>
      </c>
      <c r="S36" s="28" t="s">
        <v>109</v>
      </c>
      <c r="T36" s="28" t="s">
        <v>109</v>
      </c>
      <c r="U36" s="106">
        <f t="shared" si="1"/>
        <v>0.6</v>
      </c>
      <c r="V36" s="76" t="s">
        <v>291</v>
      </c>
    </row>
    <row r="37" spans="1:22" x14ac:dyDescent="0.3">
      <c r="A37" s="89">
        <v>36</v>
      </c>
      <c r="B37" s="29" t="s">
        <v>23</v>
      </c>
      <c r="C37" s="29" t="s">
        <v>1915</v>
      </c>
      <c r="D37" s="29">
        <v>50226019</v>
      </c>
      <c r="E37" s="29">
        <v>150</v>
      </c>
      <c r="F37" s="28">
        <v>177</v>
      </c>
      <c r="G37" s="28">
        <v>160</v>
      </c>
      <c r="H37" s="28" t="s">
        <v>1904</v>
      </c>
      <c r="I37" s="7" t="s">
        <v>109</v>
      </c>
      <c r="J37" s="28" t="s">
        <v>130</v>
      </c>
      <c r="K37" s="28" t="s">
        <v>109</v>
      </c>
      <c r="L37" s="41">
        <v>0.73958333333333337</v>
      </c>
      <c r="M37" s="28" t="s">
        <v>109</v>
      </c>
      <c r="N37" s="29" t="s">
        <v>1916</v>
      </c>
      <c r="O37" s="29" t="s">
        <v>61</v>
      </c>
      <c r="P37" s="28" t="s">
        <v>131</v>
      </c>
      <c r="Q37" s="28" t="s">
        <v>153</v>
      </c>
      <c r="R37" s="28" t="s">
        <v>62</v>
      </c>
      <c r="S37" s="28" t="s">
        <v>109</v>
      </c>
      <c r="T37" s="28" t="s">
        <v>109</v>
      </c>
      <c r="U37" s="106">
        <f t="shared" si="1"/>
        <v>1.0666666666666667</v>
      </c>
      <c r="V37" s="76" t="s">
        <v>1941</v>
      </c>
    </row>
    <row r="38" spans="1:22" x14ac:dyDescent="0.3">
      <c r="A38" s="89">
        <v>37</v>
      </c>
      <c r="B38" s="29" t="s">
        <v>23</v>
      </c>
      <c r="C38" s="29" t="s">
        <v>1917</v>
      </c>
      <c r="D38" s="29">
        <v>50226023</v>
      </c>
      <c r="E38" s="29">
        <v>150</v>
      </c>
      <c r="F38" s="28">
        <v>174</v>
      </c>
      <c r="G38" s="28">
        <v>154</v>
      </c>
      <c r="H38" s="28" t="s">
        <v>1051</v>
      </c>
      <c r="I38" s="7" t="s">
        <v>109</v>
      </c>
      <c r="J38" s="28" t="s">
        <v>130</v>
      </c>
      <c r="K38" s="28" t="s">
        <v>109</v>
      </c>
      <c r="L38" s="41">
        <v>0.80347222222222225</v>
      </c>
      <c r="M38" s="28" t="s">
        <v>109</v>
      </c>
      <c r="N38" s="29" t="s">
        <v>110</v>
      </c>
      <c r="O38" s="29" t="s">
        <v>61</v>
      </c>
      <c r="P38" s="28" t="s">
        <v>131</v>
      </c>
      <c r="Q38" s="28" t="s">
        <v>69</v>
      </c>
      <c r="R38" s="28" t="s">
        <v>62</v>
      </c>
      <c r="S38" s="28" t="s">
        <v>109</v>
      </c>
      <c r="T38" s="28" t="s">
        <v>109</v>
      </c>
      <c r="U38" s="106">
        <f t="shared" si="1"/>
        <v>1.0266666666666666</v>
      </c>
      <c r="V38" s="76" t="s">
        <v>1941</v>
      </c>
    </row>
    <row r="39" spans="1:22" x14ac:dyDescent="0.3">
      <c r="A39" s="89">
        <v>64</v>
      </c>
      <c r="B39" s="29" t="s">
        <v>411</v>
      </c>
      <c r="C39" s="29" t="s">
        <v>1742</v>
      </c>
      <c r="D39" s="29">
        <v>30126022</v>
      </c>
      <c r="E39" s="29">
        <v>84</v>
      </c>
      <c r="F39" s="28">
        <v>73</v>
      </c>
      <c r="G39" s="28">
        <v>26</v>
      </c>
      <c r="H39" s="53" t="s">
        <v>153</v>
      </c>
      <c r="I39" s="77" t="s">
        <v>154</v>
      </c>
      <c r="J39" s="28" t="s">
        <v>130</v>
      </c>
      <c r="K39" s="41">
        <v>0.82013888888888886</v>
      </c>
      <c r="L39" s="41">
        <v>0.8618055555555556</v>
      </c>
      <c r="M39" s="28" t="s">
        <v>109</v>
      </c>
      <c r="N39" s="29" t="s">
        <v>1850</v>
      </c>
      <c r="O39" s="29" t="s">
        <v>61</v>
      </c>
      <c r="P39" s="28" t="s">
        <v>131</v>
      </c>
      <c r="Q39" s="28" t="s">
        <v>154</v>
      </c>
      <c r="R39" s="28" t="s">
        <v>62</v>
      </c>
      <c r="S39" s="28" t="s">
        <v>109</v>
      </c>
      <c r="T39" s="28" t="s">
        <v>109</v>
      </c>
      <c r="U39" s="106">
        <f t="shared" si="1"/>
        <v>0.30952380952380953</v>
      </c>
      <c r="V39" s="76" t="s">
        <v>291</v>
      </c>
    </row>
    <row r="40" spans="1:22" x14ac:dyDescent="0.3">
      <c r="A40" s="89">
        <v>46</v>
      </c>
      <c r="B40" s="29" t="s">
        <v>23</v>
      </c>
      <c r="C40" s="29" t="s">
        <v>798</v>
      </c>
      <c r="D40" s="29">
        <v>50126186</v>
      </c>
      <c r="E40" s="29">
        <v>40</v>
      </c>
      <c r="F40" s="28">
        <v>39</v>
      </c>
      <c r="G40" s="28">
        <v>24</v>
      </c>
      <c r="H40" s="53" t="s">
        <v>184</v>
      </c>
      <c r="I40" s="7" t="s">
        <v>109</v>
      </c>
      <c r="J40" s="28" t="s">
        <v>130</v>
      </c>
      <c r="K40" s="28" t="s">
        <v>109</v>
      </c>
      <c r="L40" s="41">
        <v>0.96875</v>
      </c>
      <c r="M40" s="28" t="s">
        <v>109</v>
      </c>
      <c r="N40" s="29" t="s">
        <v>109</v>
      </c>
      <c r="O40" s="29" t="s">
        <v>61</v>
      </c>
      <c r="P40" s="28" t="s">
        <v>131</v>
      </c>
      <c r="Q40" s="28" t="s">
        <v>1944</v>
      </c>
      <c r="R40" s="28" t="s">
        <v>62</v>
      </c>
      <c r="S40" s="28" t="s">
        <v>109</v>
      </c>
      <c r="T40" s="28" t="s">
        <v>109</v>
      </c>
      <c r="U40" s="106">
        <f t="shared" si="1"/>
        <v>0.6</v>
      </c>
      <c r="V40" s="28" t="s">
        <v>291</v>
      </c>
    </row>
    <row r="41" spans="1:22" x14ac:dyDescent="0.3">
      <c r="A41" s="89">
        <v>40</v>
      </c>
      <c r="B41" s="29" t="s">
        <v>23</v>
      </c>
      <c r="C41" s="29" t="s">
        <v>838</v>
      </c>
      <c r="D41" s="29">
        <v>50126105</v>
      </c>
      <c r="E41" s="29">
        <v>120</v>
      </c>
      <c r="F41" s="28">
        <v>136</v>
      </c>
      <c r="G41" s="28">
        <v>20</v>
      </c>
      <c r="H41" s="28" t="s">
        <v>73</v>
      </c>
      <c r="I41" s="7" t="s">
        <v>109</v>
      </c>
      <c r="J41" s="28" t="s">
        <v>130</v>
      </c>
      <c r="K41" s="28" t="s">
        <v>109</v>
      </c>
      <c r="L41" s="41">
        <v>0.8534722222222223</v>
      </c>
      <c r="M41" s="28" t="s">
        <v>109</v>
      </c>
      <c r="N41" s="29" t="s">
        <v>110</v>
      </c>
      <c r="O41" s="29" t="s">
        <v>61</v>
      </c>
      <c r="P41" s="28" t="s">
        <v>131</v>
      </c>
      <c r="Q41" s="28" t="s">
        <v>364</v>
      </c>
      <c r="R41" s="28" t="s">
        <v>62</v>
      </c>
      <c r="S41" s="28" t="s">
        <v>109</v>
      </c>
      <c r="T41" s="28" t="s">
        <v>109</v>
      </c>
      <c r="U41" s="106">
        <f t="shared" si="1"/>
        <v>0.16666666666666666</v>
      </c>
      <c r="V41" s="76" t="s">
        <v>291</v>
      </c>
    </row>
    <row r="42" spans="1:22" x14ac:dyDescent="0.3">
      <c r="A42" s="89">
        <v>41</v>
      </c>
      <c r="B42" s="29" t="s">
        <v>23</v>
      </c>
      <c r="C42" s="29" t="s">
        <v>939</v>
      </c>
      <c r="D42" s="29">
        <v>50126270</v>
      </c>
      <c r="E42" s="29">
        <v>400</v>
      </c>
      <c r="F42" s="28">
        <v>85</v>
      </c>
      <c r="G42" s="28">
        <v>58</v>
      </c>
      <c r="H42" s="28" t="s">
        <v>1020</v>
      </c>
      <c r="I42" s="7" t="s">
        <v>109</v>
      </c>
      <c r="J42" s="28" t="s">
        <v>130</v>
      </c>
      <c r="K42" s="28" t="s">
        <v>109</v>
      </c>
      <c r="L42" s="41">
        <v>0.85902777777777783</v>
      </c>
      <c r="M42" s="28" t="s">
        <v>109</v>
      </c>
      <c r="N42" s="29" t="s">
        <v>110</v>
      </c>
      <c r="O42" s="29" t="s">
        <v>61</v>
      </c>
      <c r="P42" s="28" t="s">
        <v>131</v>
      </c>
      <c r="Q42" s="28" t="s">
        <v>200</v>
      </c>
      <c r="R42" s="28" t="s">
        <v>62</v>
      </c>
      <c r="S42" s="28" t="s">
        <v>109</v>
      </c>
      <c r="T42" s="28" t="s">
        <v>109</v>
      </c>
      <c r="U42" s="106">
        <f t="shared" si="1"/>
        <v>0.14499999999999999</v>
      </c>
      <c r="V42" s="18" t="s">
        <v>1315</v>
      </c>
    </row>
    <row r="43" spans="1:22" x14ac:dyDescent="0.3">
      <c r="A43" s="89">
        <v>42</v>
      </c>
      <c r="B43" s="29" t="s">
        <v>23</v>
      </c>
      <c r="C43" s="29" t="s">
        <v>1123</v>
      </c>
      <c r="D43" s="29">
        <v>50126211</v>
      </c>
      <c r="E43" s="29">
        <v>200</v>
      </c>
      <c r="F43" s="28">
        <v>338</v>
      </c>
      <c r="G43" s="28">
        <v>118</v>
      </c>
      <c r="H43" s="28" t="s">
        <v>79</v>
      </c>
      <c r="I43" s="7" t="s">
        <v>109</v>
      </c>
      <c r="J43" s="28" t="s">
        <v>130</v>
      </c>
      <c r="K43" s="28" t="s">
        <v>109</v>
      </c>
      <c r="L43" s="41">
        <v>1.8749999999999999E-2</v>
      </c>
      <c r="M43" s="28" t="s">
        <v>109</v>
      </c>
      <c r="N43" s="29" t="s">
        <v>110</v>
      </c>
      <c r="O43" s="29" t="s">
        <v>61</v>
      </c>
      <c r="P43" s="28" t="s">
        <v>131</v>
      </c>
      <c r="Q43" s="28" t="s">
        <v>82</v>
      </c>
      <c r="R43" s="28" t="s">
        <v>62</v>
      </c>
      <c r="S43" s="28" t="s">
        <v>109</v>
      </c>
      <c r="T43" s="28" t="s">
        <v>109</v>
      </c>
      <c r="U43" s="106">
        <f t="shared" si="1"/>
        <v>0.59</v>
      </c>
      <c r="V43" s="107" t="s">
        <v>1946</v>
      </c>
    </row>
    <row r="44" spans="1:22" x14ac:dyDescent="0.3">
      <c r="A44" s="89">
        <v>43</v>
      </c>
      <c r="B44" s="29" t="s">
        <v>23</v>
      </c>
      <c r="C44" s="29" t="s">
        <v>849</v>
      </c>
      <c r="D44" s="29">
        <v>50126213</v>
      </c>
      <c r="E44" s="29">
        <v>750</v>
      </c>
      <c r="F44" s="28">
        <v>1145</v>
      </c>
      <c r="G44" s="28">
        <v>685</v>
      </c>
      <c r="H44" s="28" t="s">
        <v>1920</v>
      </c>
      <c r="I44" s="7" t="s">
        <v>109</v>
      </c>
      <c r="J44" s="28" t="s">
        <v>130</v>
      </c>
      <c r="K44" s="28" t="s">
        <v>109</v>
      </c>
      <c r="L44" s="41">
        <v>0.84236111111111101</v>
      </c>
      <c r="M44" s="28" t="s">
        <v>109</v>
      </c>
      <c r="N44" s="29" t="s">
        <v>110</v>
      </c>
      <c r="O44" s="29" t="s">
        <v>61</v>
      </c>
      <c r="P44" s="28" t="s">
        <v>131</v>
      </c>
      <c r="Q44" s="28" t="s">
        <v>66</v>
      </c>
      <c r="R44" s="28" t="s">
        <v>62</v>
      </c>
      <c r="S44" s="28" t="s">
        <v>109</v>
      </c>
      <c r="T44" s="28" t="s">
        <v>109</v>
      </c>
      <c r="U44" s="106">
        <f t="shared" si="1"/>
        <v>0.91333333333333333</v>
      </c>
      <c r="V44" s="76" t="s">
        <v>1941</v>
      </c>
    </row>
    <row r="45" spans="1:22" x14ac:dyDescent="0.3">
      <c r="A45" s="89">
        <v>38</v>
      </c>
      <c r="B45" s="29" t="s">
        <v>23</v>
      </c>
      <c r="C45" s="29" t="s">
        <v>1918</v>
      </c>
      <c r="D45" s="29">
        <v>50226022</v>
      </c>
      <c r="E45" s="29">
        <v>150</v>
      </c>
      <c r="F45" s="28">
        <v>230</v>
      </c>
      <c r="G45" s="28">
        <v>88</v>
      </c>
      <c r="H45" s="28" t="s">
        <v>1052</v>
      </c>
      <c r="I45" s="7" t="s">
        <v>109</v>
      </c>
      <c r="J45" s="28" t="s">
        <v>130</v>
      </c>
      <c r="K45" s="28" t="s">
        <v>109</v>
      </c>
      <c r="L45" s="41">
        <v>0.86458333333333337</v>
      </c>
      <c r="M45" s="28" t="s">
        <v>109</v>
      </c>
      <c r="N45" s="29" t="s">
        <v>110</v>
      </c>
      <c r="O45" s="29" t="s">
        <v>61</v>
      </c>
      <c r="P45" s="28" t="s">
        <v>131</v>
      </c>
      <c r="Q45" s="28" t="s">
        <v>84</v>
      </c>
      <c r="R45" s="28" t="s">
        <v>62</v>
      </c>
      <c r="S45" s="28" t="s">
        <v>109</v>
      </c>
      <c r="T45" s="28" t="s">
        <v>109</v>
      </c>
      <c r="U45" s="106">
        <f t="shared" si="1"/>
        <v>0.58666666666666667</v>
      </c>
      <c r="V45" s="76" t="s">
        <v>291</v>
      </c>
    </row>
    <row r="46" spans="1:22" x14ac:dyDescent="0.3">
      <c r="A46" s="89">
        <v>60</v>
      </c>
      <c r="B46" s="29" t="s">
        <v>170</v>
      </c>
      <c r="C46" s="29" t="s">
        <v>1350</v>
      </c>
      <c r="D46" s="29">
        <v>40126025</v>
      </c>
      <c r="E46" s="29">
        <v>110</v>
      </c>
      <c r="F46" s="28">
        <v>233</v>
      </c>
      <c r="G46" s="28">
        <v>75</v>
      </c>
      <c r="H46" s="28" t="s">
        <v>262</v>
      </c>
      <c r="I46" s="7" t="s">
        <v>294</v>
      </c>
      <c r="J46" s="28" t="s">
        <v>130</v>
      </c>
      <c r="K46" s="41">
        <v>0.87291666666666667</v>
      </c>
      <c r="L46" s="41">
        <v>0.89374999999999993</v>
      </c>
      <c r="M46" s="28" t="s">
        <v>109</v>
      </c>
      <c r="N46" s="29" t="s">
        <v>1924</v>
      </c>
      <c r="O46" s="29" t="s">
        <v>61</v>
      </c>
      <c r="P46" s="28" t="s">
        <v>131</v>
      </c>
      <c r="Q46" s="28" t="s">
        <v>88</v>
      </c>
      <c r="R46" s="28" t="s">
        <v>62</v>
      </c>
      <c r="S46" s="28" t="s">
        <v>109</v>
      </c>
      <c r="T46" s="28" t="s">
        <v>109</v>
      </c>
      <c r="U46" s="106">
        <f t="shared" ref="U46:U77" si="2">G46/E46</f>
        <v>0.68181818181818177</v>
      </c>
      <c r="V46" s="76" t="s">
        <v>291</v>
      </c>
    </row>
    <row r="47" spans="1:22" x14ac:dyDescent="0.3">
      <c r="A47" s="89">
        <v>55</v>
      </c>
      <c r="B47" s="29" t="s">
        <v>23</v>
      </c>
      <c r="C47" s="29" t="s">
        <v>840</v>
      </c>
      <c r="D47" s="29">
        <v>50126075</v>
      </c>
      <c r="E47" s="29">
        <v>90</v>
      </c>
      <c r="F47" s="28">
        <v>181</v>
      </c>
      <c r="G47" s="28">
        <v>61</v>
      </c>
      <c r="H47" s="53" t="s">
        <v>66</v>
      </c>
      <c r="I47" s="7" t="s">
        <v>109</v>
      </c>
      <c r="J47" s="28" t="s">
        <v>130</v>
      </c>
      <c r="K47" s="28" t="s">
        <v>109</v>
      </c>
      <c r="L47" s="41">
        <v>0.97430555555555554</v>
      </c>
      <c r="M47" s="28" t="s">
        <v>109</v>
      </c>
      <c r="N47" s="29" t="s">
        <v>109</v>
      </c>
      <c r="O47" s="29" t="s">
        <v>61</v>
      </c>
      <c r="P47" s="28" t="s">
        <v>131</v>
      </c>
      <c r="Q47" s="28" t="s">
        <v>66</v>
      </c>
      <c r="R47" s="28" t="s">
        <v>62</v>
      </c>
      <c r="S47" s="28" t="s">
        <v>109</v>
      </c>
      <c r="T47" s="28" t="s">
        <v>109</v>
      </c>
      <c r="U47" s="106">
        <f t="shared" si="2"/>
        <v>0.67777777777777781</v>
      </c>
      <c r="V47" s="28" t="s">
        <v>1940</v>
      </c>
    </row>
    <row r="48" spans="1:22" x14ac:dyDescent="0.3">
      <c r="A48" s="89">
        <v>47</v>
      </c>
      <c r="B48" s="29" t="s">
        <v>23</v>
      </c>
      <c r="C48" s="29" t="s">
        <v>810</v>
      </c>
      <c r="D48" s="29">
        <v>50126200</v>
      </c>
      <c r="E48" s="29">
        <v>40</v>
      </c>
      <c r="F48" s="28" t="s">
        <v>109</v>
      </c>
      <c r="G48" s="28" t="s">
        <v>109</v>
      </c>
      <c r="H48" s="53" t="s">
        <v>84</v>
      </c>
      <c r="I48" s="7" t="s">
        <v>109</v>
      </c>
      <c r="J48" s="28" t="s">
        <v>109</v>
      </c>
      <c r="K48" s="28" t="s">
        <v>109</v>
      </c>
      <c r="L48" s="28" t="s">
        <v>109</v>
      </c>
      <c r="M48" s="28" t="s">
        <v>109</v>
      </c>
      <c r="N48" s="29" t="s">
        <v>109</v>
      </c>
      <c r="O48" s="29" t="s">
        <v>61</v>
      </c>
      <c r="P48" s="28" t="s">
        <v>109</v>
      </c>
      <c r="Q48" s="28" t="s">
        <v>109</v>
      </c>
      <c r="R48" s="28" t="s">
        <v>62</v>
      </c>
      <c r="S48" s="28" t="s">
        <v>109</v>
      </c>
      <c r="T48" s="28" t="s">
        <v>109</v>
      </c>
      <c r="U48" s="106" t="e">
        <f t="shared" si="2"/>
        <v>#VALUE!</v>
      </c>
      <c r="V48" s="28" t="s">
        <v>109</v>
      </c>
    </row>
    <row r="49" spans="1:22" x14ac:dyDescent="0.3">
      <c r="A49" s="89">
        <v>26</v>
      </c>
      <c r="B49" s="29" t="s">
        <v>23</v>
      </c>
      <c r="C49" s="29" t="s">
        <v>1366</v>
      </c>
      <c r="D49" s="29">
        <v>50126343</v>
      </c>
      <c r="E49" s="29">
        <v>1000</v>
      </c>
      <c r="F49" s="28">
        <v>1925</v>
      </c>
      <c r="G49" s="28">
        <v>976</v>
      </c>
      <c r="H49" s="28" t="s">
        <v>1154</v>
      </c>
      <c r="I49" s="7" t="s">
        <v>109</v>
      </c>
      <c r="J49" s="28" t="s">
        <v>130</v>
      </c>
      <c r="K49" s="28" t="s">
        <v>109</v>
      </c>
      <c r="L49" s="41">
        <v>0.90902777777777777</v>
      </c>
      <c r="M49" s="28" t="s">
        <v>109</v>
      </c>
      <c r="N49" s="29" t="s">
        <v>109</v>
      </c>
      <c r="O49" s="29" t="s">
        <v>61</v>
      </c>
      <c r="P49" s="28" t="s">
        <v>131</v>
      </c>
      <c r="Q49" s="28" t="s">
        <v>91</v>
      </c>
      <c r="R49" s="28" t="s">
        <v>62</v>
      </c>
      <c r="S49" s="28" t="s">
        <v>109</v>
      </c>
      <c r="T49" s="28" t="s">
        <v>109</v>
      </c>
      <c r="U49" s="106">
        <f t="shared" si="2"/>
        <v>0.97599999999999998</v>
      </c>
      <c r="V49" s="76" t="s">
        <v>1941</v>
      </c>
    </row>
    <row r="50" spans="1:22" x14ac:dyDescent="0.3">
      <c r="A50" s="89">
        <v>34</v>
      </c>
      <c r="B50" s="29" t="s">
        <v>23</v>
      </c>
      <c r="C50" s="29" t="s">
        <v>1911</v>
      </c>
      <c r="D50" s="29">
        <v>50226026</v>
      </c>
      <c r="E50" s="29">
        <v>300</v>
      </c>
      <c r="F50" s="28">
        <v>611</v>
      </c>
      <c r="G50" s="28">
        <v>224</v>
      </c>
      <c r="H50" s="52" t="s">
        <v>1673</v>
      </c>
      <c r="I50" s="7" t="s">
        <v>1912</v>
      </c>
      <c r="J50" s="28" t="s">
        <v>130</v>
      </c>
      <c r="K50" s="41">
        <v>0.95972222222222225</v>
      </c>
      <c r="L50" s="41">
        <v>0.98819444444444438</v>
      </c>
      <c r="M50" s="28" t="s">
        <v>109</v>
      </c>
      <c r="N50" s="29" t="s">
        <v>109</v>
      </c>
      <c r="O50" s="29" t="s">
        <v>61</v>
      </c>
      <c r="P50" s="28" t="s">
        <v>131</v>
      </c>
      <c r="Q50" s="28" t="s">
        <v>93</v>
      </c>
      <c r="R50" s="28" t="s">
        <v>62</v>
      </c>
      <c r="S50" s="28" t="s">
        <v>109</v>
      </c>
      <c r="T50" s="28" t="s">
        <v>109</v>
      </c>
      <c r="U50" s="106">
        <f t="shared" si="2"/>
        <v>0.7466666666666667</v>
      </c>
      <c r="V50" s="28" t="s">
        <v>1940</v>
      </c>
    </row>
    <row r="51" spans="1:22" x14ac:dyDescent="0.3">
      <c r="A51" s="89">
        <v>70</v>
      </c>
      <c r="B51" s="29" t="s">
        <v>414</v>
      </c>
      <c r="C51" s="29" t="s">
        <v>1932</v>
      </c>
      <c r="D51" s="29">
        <v>40126013</v>
      </c>
      <c r="E51" s="29">
        <v>125</v>
      </c>
      <c r="F51" s="28">
        <v>153</v>
      </c>
      <c r="G51" s="28">
        <v>113</v>
      </c>
      <c r="H51" s="28" t="s">
        <v>1052</v>
      </c>
      <c r="I51" s="7" t="s">
        <v>1889</v>
      </c>
      <c r="J51" s="28" t="s">
        <v>130</v>
      </c>
      <c r="K51" s="41">
        <v>0.96458333333333324</v>
      </c>
      <c r="L51" s="41">
        <v>0.9868055555555556</v>
      </c>
      <c r="M51" s="28" t="s">
        <v>109</v>
      </c>
      <c r="N51" s="29" t="s">
        <v>1930</v>
      </c>
      <c r="O51" s="29" t="s">
        <v>61</v>
      </c>
      <c r="P51" s="28" t="s">
        <v>131</v>
      </c>
      <c r="Q51" s="28" t="s">
        <v>86</v>
      </c>
      <c r="R51" s="28" t="s">
        <v>62</v>
      </c>
      <c r="S51" s="28" t="s">
        <v>109</v>
      </c>
      <c r="T51" s="28" t="s">
        <v>109</v>
      </c>
      <c r="U51" s="106">
        <f t="shared" si="2"/>
        <v>0.90400000000000003</v>
      </c>
      <c r="V51" s="28" t="s">
        <v>1941</v>
      </c>
    </row>
    <row r="52" spans="1:22" x14ac:dyDescent="0.3">
      <c r="A52" s="89">
        <v>51</v>
      </c>
      <c r="B52" s="29" t="s">
        <v>23</v>
      </c>
      <c r="C52" s="29" t="s">
        <v>1656</v>
      </c>
      <c r="D52" s="29">
        <v>50126379</v>
      </c>
      <c r="E52" s="29">
        <v>45</v>
      </c>
      <c r="F52" s="28">
        <v>90</v>
      </c>
      <c r="G52" s="28">
        <v>50</v>
      </c>
      <c r="H52" s="53" t="s">
        <v>82</v>
      </c>
      <c r="I52" s="7" t="s">
        <v>109</v>
      </c>
      <c r="J52" s="28" t="s">
        <v>130</v>
      </c>
      <c r="K52" s="28" t="s">
        <v>109</v>
      </c>
      <c r="L52" s="41">
        <v>2.0833333333333332E-2</v>
      </c>
      <c r="M52" s="28" t="s">
        <v>109</v>
      </c>
      <c r="N52" s="29" t="s">
        <v>109</v>
      </c>
      <c r="O52" s="29" t="s">
        <v>61</v>
      </c>
      <c r="P52" s="28" t="s">
        <v>131</v>
      </c>
      <c r="Q52" s="28" t="s">
        <v>82</v>
      </c>
      <c r="R52" s="28" t="s">
        <v>62</v>
      </c>
      <c r="S52" s="28" t="s">
        <v>109</v>
      </c>
      <c r="T52" s="28" t="s">
        <v>109</v>
      </c>
      <c r="U52" s="106">
        <f t="shared" si="2"/>
        <v>1.1111111111111112</v>
      </c>
      <c r="V52" s="28" t="s">
        <v>1945</v>
      </c>
    </row>
    <row r="53" spans="1:22" x14ac:dyDescent="0.3">
      <c r="A53" s="89">
        <v>52</v>
      </c>
      <c r="B53" s="29" t="s">
        <v>23</v>
      </c>
      <c r="C53" s="29" t="s">
        <v>1663</v>
      </c>
      <c r="D53" s="29">
        <v>50126389</v>
      </c>
      <c r="E53" s="29">
        <v>65</v>
      </c>
      <c r="F53" s="28">
        <v>94</v>
      </c>
      <c r="G53" s="28">
        <v>38</v>
      </c>
      <c r="H53" s="53" t="s">
        <v>214</v>
      </c>
      <c r="I53" s="7" t="s">
        <v>109</v>
      </c>
      <c r="J53" s="28" t="s">
        <v>130</v>
      </c>
      <c r="K53" s="28" t="s">
        <v>109</v>
      </c>
      <c r="L53" s="41">
        <v>0.67291666666666661</v>
      </c>
      <c r="M53" s="28" t="s">
        <v>109</v>
      </c>
      <c r="N53" s="29" t="s">
        <v>109</v>
      </c>
      <c r="O53" s="29" t="s">
        <v>61</v>
      </c>
      <c r="P53" s="28" t="s">
        <v>131</v>
      </c>
      <c r="Q53" s="28" t="s">
        <v>214</v>
      </c>
      <c r="R53" s="28" t="s">
        <v>62</v>
      </c>
      <c r="S53" s="28" t="s">
        <v>109</v>
      </c>
      <c r="T53" s="28" t="s">
        <v>109</v>
      </c>
      <c r="U53" s="106">
        <f t="shared" si="2"/>
        <v>0.58461538461538465</v>
      </c>
      <c r="V53" s="76" t="s">
        <v>291</v>
      </c>
    </row>
    <row r="54" spans="1:22" x14ac:dyDescent="0.3">
      <c r="A54" s="89">
        <v>53</v>
      </c>
      <c r="B54" s="29" t="s">
        <v>23</v>
      </c>
      <c r="C54" s="29" t="s">
        <v>1221</v>
      </c>
      <c r="D54" s="29">
        <v>50126329</v>
      </c>
      <c r="E54" s="29">
        <v>45</v>
      </c>
      <c r="F54" s="28">
        <v>90</v>
      </c>
      <c r="G54" s="28">
        <v>41</v>
      </c>
      <c r="H54" s="53" t="s">
        <v>68</v>
      </c>
      <c r="I54" s="7" t="s">
        <v>109</v>
      </c>
      <c r="J54" s="28" t="s">
        <v>130</v>
      </c>
      <c r="K54" s="28" t="s">
        <v>109</v>
      </c>
      <c r="L54" s="41">
        <v>6.9444444444444441E-3</v>
      </c>
      <c r="M54" s="28" t="s">
        <v>109</v>
      </c>
      <c r="N54" s="29" t="s">
        <v>109</v>
      </c>
      <c r="O54" s="29" t="s">
        <v>61</v>
      </c>
      <c r="P54" s="28" t="s">
        <v>131</v>
      </c>
      <c r="Q54" s="28" t="s">
        <v>68</v>
      </c>
      <c r="R54" s="28" t="s">
        <v>62</v>
      </c>
      <c r="S54" s="28" t="s">
        <v>109</v>
      </c>
      <c r="T54" s="28" t="s">
        <v>109</v>
      </c>
      <c r="U54" s="106">
        <f t="shared" si="2"/>
        <v>0.91111111111111109</v>
      </c>
      <c r="V54" s="28" t="s">
        <v>1941</v>
      </c>
    </row>
    <row r="55" spans="1:22" x14ac:dyDescent="0.3">
      <c r="A55" s="89">
        <v>21</v>
      </c>
      <c r="B55" s="29" t="s">
        <v>143</v>
      </c>
      <c r="C55" s="29" t="s">
        <v>1788</v>
      </c>
      <c r="D55" s="29">
        <v>10226001</v>
      </c>
      <c r="E55" s="29">
        <v>40</v>
      </c>
      <c r="F55" s="28">
        <v>67</v>
      </c>
      <c r="G55" s="28">
        <v>37</v>
      </c>
      <c r="H55" s="53" t="s">
        <v>214</v>
      </c>
      <c r="I55" s="53" t="s">
        <v>209</v>
      </c>
      <c r="J55" s="28" t="s">
        <v>130</v>
      </c>
      <c r="K55" s="41">
        <v>0.85486111111111107</v>
      </c>
      <c r="L55" s="41">
        <v>0.96805555555555556</v>
      </c>
      <c r="M55" s="28" t="s">
        <v>109</v>
      </c>
      <c r="N55" s="29" t="s">
        <v>109</v>
      </c>
      <c r="O55" s="29" t="s">
        <v>61</v>
      </c>
      <c r="P55" s="41" t="s">
        <v>131</v>
      </c>
      <c r="Q55" s="28" t="s">
        <v>605</v>
      </c>
      <c r="R55" s="28" t="s">
        <v>62</v>
      </c>
      <c r="S55" s="28" t="s">
        <v>109</v>
      </c>
      <c r="T55" s="28" t="s">
        <v>109</v>
      </c>
      <c r="U55" s="106">
        <f t="shared" si="2"/>
        <v>0.92500000000000004</v>
      </c>
      <c r="V55" s="28" t="s">
        <v>1941</v>
      </c>
    </row>
    <row r="56" spans="1:22" x14ac:dyDescent="0.3">
      <c r="A56" s="89">
        <v>28</v>
      </c>
      <c r="B56" s="29" t="s">
        <v>23</v>
      </c>
      <c r="C56" s="29" t="s">
        <v>985</v>
      </c>
      <c r="D56" s="29">
        <v>50126273</v>
      </c>
      <c r="E56" s="29">
        <v>200</v>
      </c>
      <c r="F56" s="28">
        <v>347</v>
      </c>
      <c r="G56" s="28">
        <v>193</v>
      </c>
      <c r="H56" s="28" t="s">
        <v>1052</v>
      </c>
      <c r="I56" s="7" t="s">
        <v>109</v>
      </c>
      <c r="J56" s="28" t="s">
        <v>130</v>
      </c>
      <c r="K56" s="28" t="s">
        <v>109</v>
      </c>
      <c r="L56" s="41">
        <v>0.93888888888888899</v>
      </c>
      <c r="M56" s="28" t="s">
        <v>109</v>
      </c>
      <c r="N56" s="29" t="s">
        <v>109</v>
      </c>
      <c r="O56" s="29" t="s">
        <v>61</v>
      </c>
      <c r="P56" s="28" t="s">
        <v>131</v>
      </c>
      <c r="Q56" s="28" t="s">
        <v>84</v>
      </c>
      <c r="R56" s="28" t="s">
        <v>62</v>
      </c>
      <c r="S56" s="28" t="s">
        <v>109</v>
      </c>
      <c r="T56" s="28" t="s">
        <v>109</v>
      </c>
      <c r="U56" s="106">
        <f t="shared" si="2"/>
        <v>0.96499999999999997</v>
      </c>
      <c r="V56" s="28" t="s">
        <v>1941</v>
      </c>
    </row>
    <row r="57" spans="1:22" x14ac:dyDescent="0.3">
      <c r="A57" s="89">
        <v>56</v>
      </c>
      <c r="B57" s="29" t="s">
        <v>23</v>
      </c>
      <c r="C57" s="29" t="s">
        <v>925</v>
      </c>
      <c r="D57" s="29">
        <v>50126261</v>
      </c>
      <c r="E57" s="29">
        <v>25</v>
      </c>
      <c r="F57" s="28">
        <v>28</v>
      </c>
      <c r="G57" s="28">
        <v>5</v>
      </c>
      <c r="H57" s="53" t="s">
        <v>65</v>
      </c>
      <c r="I57" s="7" t="s">
        <v>109</v>
      </c>
      <c r="J57" s="28" t="s">
        <v>130</v>
      </c>
      <c r="K57" s="28" t="s">
        <v>109</v>
      </c>
      <c r="L57" s="41">
        <v>0.66666666666666663</v>
      </c>
      <c r="M57" s="28" t="s">
        <v>109</v>
      </c>
      <c r="N57" s="29" t="s">
        <v>109</v>
      </c>
      <c r="O57" s="29" t="s">
        <v>61</v>
      </c>
      <c r="P57" s="28" t="s">
        <v>131</v>
      </c>
      <c r="Q57" s="28" t="s">
        <v>65</v>
      </c>
      <c r="R57" s="28" t="s">
        <v>62</v>
      </c>
      <c r="S57" s="28" t="s">
        <v>109</v>
      </c>
      <c r="T57" s="28" t="s">
        <v>109</v>
      </c>
      <c r="U57" s="106">
        <f t="shared" si="2"/>
        <v>0.2</v>
      </c>
      <c r="V57" s="76" t="s">
        <v>291</v>
      </c>
    </row>
    <row r="58" spans="1:22" x14ac:dyDescent="0.3">
      <c r="A58" s="89">
        <v>57</v>
      </c>
      <c r="B58" s="29" t="s">
        <v>23</v>
      </c>
      <c r="C58" s="29" t="s">
        <v>934</v>
      </c>
      <c r="D58" s="29">
        <v>50126262</v>
      </c>
      <c r="E58" s="29">
        <v>65</v>
      </c>
      <c r="F58" s="28">
        <v>130</v>
      </c>
      <c r="G58" s="28">
        <v>21</v>
      </c>
      <c r="H58" s="53" t="s">
        <v>200</v>
      </c>
      <c r="I58" s="7" t="s">
        <v>109</v>
      </c>
      <c r="J58" s="28" t="s">
        <v>130</v>
      </c>
      <c r="K58" s="28" t="s">
        <v>109</v>
      </c>
      <c r="L58" s="41">
        <v>0.69374999999999998</v>
      </c>
      <c r="M58" s="28" t="s">
        <v>109</v>
      </c>
      <c r="N58" s="29" t="s">
        <v>109</v>
      </c>
      <c r="O58" s="29" t="s">
        <v>61</v>
      </c>
      <c r="P58" s="28" t="s">
        <v>131</v>
      </c>
      <c r="Q58" s="28" t="s">
        <v>200</v>
      </c>
      <c r="R58" s="28" t="s">
        <v>62</v>
      </c>
      <c r="S58" s="28" t="s">
        <v>109</v>
      </c>
      <c r="T58" s="28" t="s">
        <v>109</v>
      </c>
      <c r="U58" s="106">
        <f t="shared" si="2"/>
        <v>0.32307692307692309</v>
      </c>
      <c r="V58" s="18" t="s">
        <v>1940</v>
      </c>
    </row>
    <row r="59" spans="1:22" x14ac:dyDescent="0.3">
      <c r="A59" s="89">
        <v>49</v>
      </c>
      <c r="B59" s="29" t="s">
        <v>23</v>
      </c>
      <c r="C59" s="29" t="s">
        <v>1650</v>
      </c>
      <c r="D59" s="29">
        <v>50126374</v>
      </c>
      <c r="E59" s="29">
        <v>45</v>
      </c>
      <c r="F59" s="28">
        <v>92</v>
      </c>
      <c r="G59" s="28">
        <v>45</v>
      </c>
      <c r="H59" s="53" t="s">
        <v>274</v>
      </c>
      <c r="I59" s="7" t="s">
        <v>109</v>
      </c>
      <c r="J59" s="28" t="s">
        <v>130</v>
      </c>
      <c r="K59" s="28" t="s">
        <v>109</v>
      </c>
      <c r="L59" s="41">
        <v>0.9555555555555556</v>
      </c>
      <c r="M59" s="28" t="s">
        <v>109</v>
      </c>
      <c r="N59" s="29" t="s">
        <v>109</v>
      </c>
      <c r="O59" s="29" t="s">
        <v>61</v>
      </c>
      <c r="P59" s="28" t="s">
        <v>131</v>
      </c>
      <c r="Q59" s="28" t="s">
        <v>274</v>
      </c>
      <c r="R59" s="28" t="s">
        <v>62</v>
      </c>
      <c r="S59" s="28" t="s">
        <v>109</v>
      </c>
      <c r="T59" s="28" t="s">
        <v>109</v>
      </c>
      <c r="U59" s="106">
        <f t="shared" si="2"/>
        <v>1</v>
      </c>
      <c r="V59" s="28" t="s">
        <v>1941</v>
      </c>
    </row>
    <row r="60" spans="1:22" x14ac:dyDescent="0.3">
      <c r="A60" s="89">
        <v>59</v>
      </c>
      <c r="B60" s="29" t="s">
        <v>23</v>
      </c>
      <c r="C60" s="29" t="s">
        <v>726</v>
      </c>
      <c r="D60" s="29">
        <v>50126114</v>
      </c>
      <c r="E60" s="29">
        <v>50</v>
      </c>
      <c r="F60" s="28">
        <v>82</v>
      </c>
      <c r="G60" s="28">
        <v>45</v>
      </c>
      <c r="H60" s="53" t="s">
        <v>222</v>
      </c>
      <c r="I60" s="7" t="s">
        <v>109</v>
      </c>
      <c r="J60" s="28" t="s">
        <v>130</v>
      </c>
      <c r="K60" s="28" t="s">
        <v>109</v>
      </c>
      <c r="L60" s="41">
        <v>0.74444444444444446</v>
      </c>
      <c r="M60" s="28" t="s">
        <v>109</v>
      </c>
      <c r="N60" s="29" t="s">
        <v>109</v>
      </c>
      <c r="O60" s="29" t="s">
        <v>61</v>
      </c>
      <c r="P60" s="28" t="s">
        <v>131</v>
      </c>
      <c r="Q60" s="28" t="s">
        <v>222</v>
      </c>
      <c r="R60" s="28" t="s">
        <v>62</v>
      </c>
      <c r="S60" s="28" t="s">
        <v>109</v>
      </c>
      <c r="T60" s="28" t="s">
        <v>109</v>
      </c>
      <c r="U60" s="106">
        <f t="shared" si="2"/>
        <v>0.9</v>
      </c>
      <c r="V60" s="76" t="s">
        <v>291</v>
      </c>
    </row>
    <row r="61" spans="1:22" x14ac:dyDescent="0.3">
      <c r="A61" s="89">
        <v>45</v>
      </c>
      <c r="B61" s="29" t="s">
        <v>23</v>
      </c>
      <c r="C61" s="29" t="s">
        <v>1923</v>
      </c>
      <c r="D61" s="29">
        <v>50226028</v>
      </c>
      <c r="E61" s="29">
        <v>85</v>
      </c>
      <c r="F61" s="28">
        <v>127</v>
      </c>
      <c r="G61" s="28">
        <v>87</v>
      </c>
      <c r="H61" s="53" t="s">
        <v>274</v>
      </c>
      <c r="I61" s="7" t="s">
        <v>109</v>
      </c>
      <c r="J61" s="28" t="s">
        <v>130</v>
      </c>
      <c r="K61" s="28" t="s">
        <v>109</v>
      </c>
      <c r="L61" s="41">
        <v>0.91111111111111109</v>
      </c>
      <c r="M61" s="28" t="s">
        <v>109</v>
      </c>
      <c r="N61" s="29" t="s">
        <v>110</v>
      </c>
      <c r="O61" s="29" t="s">
        <v>61</v>
      </c>
      <c r="P61" s="28" t="s">
        <v>131</v>
      </c>
      <c r="Q61" s="28" t="s">
        <v>274</v>
      </c>
      <c r="R61" s="28" t="s">
        <v>62</v>
      </c>
      <c r="S61" s="28" t="s">
        <v>109</v>
      </c>
      <c r="T61" s="28" t="s">
        <v>109</v>
      </c>
      <c r="U61" s="106">
        <f t="shared" si="2"/>
        <v>1.0235294117647058</v>
      </c>
      <c r="V61" s="76" t="s">
        <v>1941</v>
      </c>
    </row>
    <row r="62" spans="1:22" x14ac:dyDescent="0.3">
      <c r="A62" s="89">
        <v>61</v>
      </c>
      <c r="B62" s="29" t="s">
        <v>411</v>
      </c>
      <c r="C62" s="29" t="s">
        <v>1357</v>
      </c>
      <c r="D62" s="29">
        <v>30126010</v>
      </c>
      <c r="E62" s="29">
        <v>367</v>
      </c>
      <c r="F62" s="28">
        <v>868</v>
      </c>
      <c r="G62" s="28">
        <v>174</v>
      </c>
      <c r="H62" s="29" t="s">
        <v>1907</v>
      </c>
      <c r="I62" s="7" t="s">
        <v>1925</v>
      </c>
      <c r="J62" s="28" t="s">
        <v>130</v>
      </c>
      <c r="K62" s="41">
        <v>0.99444444444444446</v>
      </c>
      <c r="L62" s="41">
        <v>6.9444444444444447E-4</v>
      </c>
      <c r="M62" s="28" t="s">
        <v>109</v>
      </c>
      <c r="N62" s="29" t="s">
        <v>1845</v>
      </c>
      <c r="O62" s="29" t="s">
        <v>61</v>
      </c>
      <c r="P62" s="28" t="s">
        <v>131</v>
      </c>
      <c r="Q62" s="28" t="s">
        <v>86</v>
      </c>
      <c r="R62" s="28" t="s">
        <v>62</v>
      </c>
      <c r="S62" s="28" t="s">
        <v>109</v>
      </c>
      <c r="T62" s="28" t="s">
        <v>109</v>
      </c>
      <c r="U62" s="106">
        <f t="shared" si="2"/>
        <v>0.47411444141689374</v>
      </c>
      <c r="V62" s="28" t="s">
        <v>1940</v>
      </c>
    </row>
    <row r="63" spans="1:22" x14ac:dyDescent="0.3">
      <c r="A63" s="89">
        <v>62</v>
      </c>
      <c r="B63" s="29" t="s">
        <v>411</v>
      </c>
      <c r="C63" s="29" t="s">
        <v>1360</v>
      </c>
      <c r="D63" s="29">
        <v>30126011</v>
      </c>
      <c r="E63" s="29">
        <v>286</v>
      </c>
      <c r="F63" s="28">
        <v>534</v>
      </c>
      <c r="G63" s="28">
        <v>31</v>
      </c>
      <c r="H63" s="52" t="s">
        <v>1938</v>
      </c>
      <c r="I63" s="7" t="s">
        <v>106</v>
      </c>
      <c r="J63" s="28" t="s">
        <v>130</v>
      </c>
      <c r="K63" s="41">
        <v>0.9770833333333333</v>
      </c>
      <c r="L63" s="41">
        <v>3.6805555555555557E-2</v>
      </c>
      <c r="M63" s="28" t="s">
        <v>109</v>
      </c>
      <c r="N63" s="29" t="s">
        <v>1926</v>
      </c>
      <c r="O63" s="29" t="s">
        <v>61</v>
      </c>
      <c r="P63" s="28" t="s">
        <v>131</v>
      </c>
      <c r="Q63" s="28" t="s">
        <v>87</v>
      </c>
      <c r="R63" s="28" t="s">
        <v>62</v>
      </c>
      <c r="S63" s="28" t="s">
        <v>109</v>
      </c>
      <c r="T63" s="28" t="s">
        <v>109</v>
      </c>
      <c r="U63" s="106">
        <f t="shared" si="2"/>
        <v>0.10839160839160839</v>
      </c>
      <c r="V63" s="28" t="s">
        <v>1940</v>
      </c>
    </row>
    <row r="64" spans="1:22" x14ac:dyDescent="0.3">
      <c r="A64" s="89">
        <v>63</v>
      </c>
      <c r="B64" s="29" t="s">
        <v>411</v>
      </c>
      <c r="C64" s="29" t="s">
        <v>1361</v>
      </c>
      <c r="D64" s="29">
        <v>30126012</v>
      </c>
      <c r="E64" s="29">
        <v>263</v>
      </c>
      <c r="F64" s="28">
        <v>621</v>
      </c>
      <c r="G64" s="28">
        <v>64</v>
      </c>
      <c r="H64" s="52" t="s">
        <v>1927</v>
      </c>
      <c r="I64" s="7" t="s">
        <v>1928</v>
      </c>
      <c r="J64" s="28" t="s">
        <v>130</v>
      </c>
      <c r="K64" s="41">
        <v>1.1805555555555555E-2</v>
      </c>
      <c r="L64" s="41">
        <v>2.9166666666666664E-2</v>
      </c>
      <c r="M64" s="28" t="s">
        <v>109</v>
      </c>
      <c r="N64" s="29" t="s">
        <v>1845</v>
      </c>
      <c r="O64" s="29" t="s">
        <v>61</v>
      </c>
      <c r="P64" s="28" t="s">
        <v>131</v>
      </c>
      <c r="Q64" s="28" t="s">
        <v>154</v>
      </c>
      <c r="R64" s="28" t="s">
        <v>62</v>
      </c>
      <c r="S64" s="28" t="s">
        <v>109</v>
      </c>
      <c r="T64" s="28" t="s">
        <v>109</v>
      </c>
      <c r="U64" s="106">
        <f t="shared" si="2"/>
        <v>0.24334600760456274</v>
      </c>
      <c r="V64" s="28" t="s">
        <v>291</v>
      </c>
    </row>
    <row r="65" spans="1:22" x14ac:dyDescent="0.3">
      <c r="A65" s="89">
        <v>44</v>
      </c>
      <c r="B65" s="29" t="s">
        <v>23</v>
      </c>
      <c r="C65" s="29" t="s">
        <v>1921</v>
      </c>
      <c r="D65" s="29">
        <v>50226017</v>
      </c>
      <c r="E65" s="29">
        <v>200</v>
      </c>
      <c r="F65" s="28">
        <v>229</v>
      </c>
      <c r="G65" s="28">
        <v>214</v>
      </c>
      <c r="H65" s="28" t="s">
        <v>1922</v>
      </c>
      <c r="I65" s="7" t="s">
        <v>109</v>
      </c>
      <c r="J65" s="28" t="s">
        <v>130</v>
      </c>
      <c r="K65" s="28" t="s">
        <v>109</v>
      </c>
      <c r="L65" s="41">
        <v>0.86597222222222225</v>
      </c>
      <c r="M65" s="28" t="s">
        <v>109</v>
      </c>
      <c r="N65" s="29" t="s">
        <v>110</v>
      </c>
      <c r="O65" s="29" t="s">
        <v>61</v>
      </c>
      <c r="P65" s="28" t="s">
        <v>131</v>
      </c>
      <c r="Q65" s="28" t="s">
        <v>67</v>
      </c>
      <c r="R65" s="28" t="s">
        <v>62</v>
      </c>
      <c r="S65" s="28" t="s">
        <v>109</v>
      </c>
      <c r="T65" s="28" t="s">
        <v>109</v>
      </c>
      <c r="U65" s="106">
        <f t="shared" si="2"/>
        <v>1.07</v>
      </c>
      <c r="V65" s="76" t="s">
        <v>1941</v>
      </c>
    </row>
    <row r="66" spans="1:22" x14ac:dyDescent="0.3">
      <c r="A66" s="89">
        <v>65</v>
      </c>
      <c r="B66" s="29" t="s">
        <v>411</v>
      </c>
      <c r="C66" s="29" t="s">
        <v>1743</v>
      </c>
      <c r="D66" s="29">
        <v>30126023</v>
      </c>
      <c r="E66" s="29">
        <v>75</v>
      </c>
      <c r="F66" s="28" t="s">
        <v>109</v>
      </c>
      <c r="G66" s="28" t="s">
        <v>109</v>
      </c>
      <c r="H66" s="53" t="s">
        <v>84</v>
      </c>
      <c r="I66" s="77" t="s">
        <v>90</v>
      </c>
      <c r="J66" s="28" t="s">
        <v>109</v>
      </c>
      <c r="K66" s="28" t="s">
        <v>109</v>
      </c>
      <c r="L66" s="28" t="s">
        <v>109</v>
      </c>
      <c r="M66" s="28" t="s">
        <v>109</v>
      </c>
      <c r="N66" s="29" t="s">
        <v>1850</v>
      </c>
      <c r="O66" s="29" t="s">
        <v>61</v>
      </c>
      <c r="P66" s="28" t="s">
        <v>109</v>
      </c>
      <c r="Q66" s="28" t="s">
        <v>109</v>
      </c>
      <c r="R66" s="28" t="s">
        <v>62</v>
      </c>
      <c r="S66" s="28" t="s">
        <v>109</v>
      </c>
      <c r="T66" s="28" t="s">
        <v>109</v>
      </c>
      <c r="U66" s="106" t="e">
        <f t="shared" si="2"/>
        <v>#VALUE!</v>
      </c>
      <c r="V66" s="28" t="s">
        <v>109</v>
      </c>
    </row>
    <row r="67" spans="1:22" x14ac:dyDescent="0.3">
      <c r="A67" s="89">
        <v>66</v>
      </c>
      <c r="B67" s="29" t="s">
        <v>411</v>
      </c>
      <c r="C67" s="29" t="s">
        <v>1849</v>
      </c>
      <c r="D67" s="29">
        <v>30126026</v>
      </c>
      <c r="E67" s="29">
        <v>100</v>
      </c>
      <c r="F67" s="28">
        <v>21</v>
      </c>
      <c r="G67" s="28">
        <v>10</v>
      </c>
      <c r="H67" s="53" t="s">
        <v>67</v>
      </c>
      <c r="I67" s="77" t="s">
        <v>89</v>
      </c>
      <c r="J67" s="28" t="s">
        <v>130</v>
      </c>
      <c r="K67" s="41">
        <v>0.99236111111111114</v>
      </c>
      <c r="L67" s="41">
        <v>1.1805555555555555E-2</v>
      </c>
      <c r="M67" s="28" t="s">
        <v>109</v>
      </c>
      <c r="N67" s="29" t="s">
        <v>1850</v>
      </c>
      <c r="O67" s="29" t="s">
        <v>61</v>
      </c>
      <c r="P67" s="28" t="s">
        <v>131</v>
      </c>
      <c r="Q67" s="28" t="s">
        <v>89</v>
      </c>
      <c r="R67" s="28" t="s">
        <v>62</v>
      </c>
      <c r="S67" s="28" t="s">
        <v>109</v>
      </c>
      <c r="T67" s="28" t="s">
        <v>109</v>
      </c>
      <c r="U67" s="106">
        <f t="shared" si="2"/>
        <v>0.1</v>
      </c>
      <c r="V67" s="76" t="s">
        <v>291</v>
      </c>
    </row>
    <row r="68" spans="1:22" x14ac:dyDescent="0.3">
      <c r="A68" s="89">
        <v>67</v>
      </c>
      <c r="B68" s="29" t="s">
        <v>411</v>
      </c>
      <c r="C68" s="29" t="s">
        <v>1851</v>
      </c>
      <c r="D68" s="29">
        <v>30126027</v>
      </c>
      <c r="E68" s="29">
        <v>87</v>
      </c>
      <c r="F68" s="28">
        <v>47</v>
      </c>
      <c r="G68" s="28">
        <v>1</v>
      </c>
      <c r="H68" s="53" t="s">
        <v>68</v>
      </c>
      <c r="I68" s="53" t="s">
        <v>86</v>
      </c>
      <c r="J68" s="28" t="s">
        <v>130</v>
      </c>
      <c r="K68" s="41">
        <v>7.6388888888888886E-3</v>
      </c>
      <c r="L68" s="41">
        <v>1.5277777777777777E-2</v>
      </c>
      <c r="M68" s="28" t="s">
        <v>109</v>
      </c>
      <c r="N68" s="29" t="s">
        <v>1850</v>
      </c>
      <c r="O68" s="29" t="s">
        <v>61</v>
      </c>
      <c r="P68" s="28" t="s">
        <v>109</v>
      </c>
      <c r="Q68" s="28" t="s">
        <v>109</v>
      </c>
      <c r="R68" s="28" t="s">
        <v>62</v>
      </c>
      <c r="S68" s="28" t="s">
        <v>109</v>
      </c>
      <c r="T68" s="28" t="s">
        <v>109</v>
      </c>
      <c r="U68" s="106">
        <f t="shared" si="2"/>
        <v>1.1494252873563218E-2</v>
      </c>
      <c r="V68" s="76" t="s">
        <v>291</v>
      </c>
    </row>
    <row r="69" spans="1:22" x14ac:dyDescent="0.3">
      <c r="A69" s="89">
        <v>68</v>
      </c>
      <c r="B69" s="29" t="s">
        <v>414</v>
      </c>
      <c r="C69" s="29" t="s">
        <v>1929</v>
      </c>
      <c r="D69" s="29">
        <v>40126011</v>
      </c>
      <c r="E69" s="29">
        <v>120</v>
      </c>
      <c r="F69" s="28">
        <v>159</v>
      </c>
      <c r="G69" s="28">
        <v>126</v>
      </c>
      <c r="H69" s="28" t="s">
        <v>1904</v>
      </c>
      <c r="I69" s="7" t="s">
        <v>97</v>
      </c>
      <c r="J69" s="28" t="s">
        <v>130</v>
      </c>
      <c r="K69" s="41">
        <v>0.9555555555555556</v>
      </c>
      <c r="L69" s="41">
        <v>2.7777777777777779E-3</v>
      </c>
      <c r="M69" s="28" t="s">
        <v>109</v>
      </c>
      <c r="N69" s="29" t="s">
        <v>1930</v>
      </c>
      <c r="O69" s="29" t="s">
        <v>61</v>
      </c>
      <c r="P69" s="28" t="s">
        <v>131</v>
      </c>
      <c r="Q69" s="28" t="s">
        <v>89</v>
      </c>
      <c r="R69" s="28" t="s">
        <v>62</v>
      </c>
      <c r="S69" s="28" t="s">
        <v>109</v>
      </c>
      <c r="T69" s="28" t="s">
        <v>109</v>
      </c>
      <c r="U69" s="106">
        <f t="shared" si="2"/>
        <v>1.05</v>
      </c>
      <c r="V69" s="28" t="s">
        <v>1945</v>
      </c>
    </row>
    <row r="70" spans="1:22" x14ac:dyDescent="0.3">
      <c r="A70" s="89">
        <v>69</v>
      </c>
      <c r="B70" s="29" t="s">
        <v>414</v>
      </c>
      <c r="C70" s="29" t="s">
        <v>1931</v>
      </c>
      <c r="D70" s="29">
        <v>40126012</v>
      </c>
      <c r="E70" s="29">
        <v>105</v>
      </c>
      <c r="F70" s="28">
        <v>99</v>
      </c>
      <c r="G70" s="28">
        <v>38</v>
      </c>
      <c r="H70" s="28" t="s">
        <v>186</v>
      </c>
      <c r="I70" s="7" t="s">
        <v>294</v>
      </c>
      <c r="J70" s="28" t="s">
        <v>130</v>
      </c>
      <c r="K70" s="41">
        <v>0.8881944444444444</v>
      </c>
      <c r="L70" s="41">
        <v>0.96111111111111114</v>
      </c>
      <c r="M70" s="28" t="s">
        <v>109</v>
      </c>
      <c r="N70" s="29" t="s">
        <v>1930</v>
      </c>
      <c r="O70" s="29" t="s">
        <v>61</v>
      </c>
      <c r="P70" s="28" t="s">
        <v>131</v>
      </c>
      <c r="Q70" s="28" t="s">
        <v>209</v>
      </c>
      <c r="R70" s="28" t="s">
        <v>62</v>
      </c>
      <c r="S70" s="28" t="s">
        <v>109</v>
      </c>
      <c r="T70" s="28" t="s">
        <v>109</v>
      </c>
      <c r="U70" s="106">
        <f t="shared" si="2"/>
        <v>0.3619047619047619</v>
      </c>
      <c r="V70" s="76" t="s">
        <v>291</v>
      </c>
    </row>
    <row r="71" spans="1:22" x14ac:dyDescent="0.3">
      <c r="A71" s="89">
        <v>39</v>
      </c>
      <c r="B71" s="29" t="s">
        <v>23</v>
      </c>
      <c r="C71" s="29" t="s">
        <v>1919</v>
      </c>
      <c r="D71" s="29">
        <v>50226021</v>
      </c>
      <c r="E71" s="29">
        <v>150</v>
      </c>
      <c r="F71" s="28">
        <v>167</v>
      </c>
      <c r="G71" s="28">
        <v>155</v>
      </c>
      <c r="H71" s="28" t="s">
        <v>186</v>
      </c>
      <c r="I71" s="7" t="s">
        <v>109</v>
      </c>
      <c r="J71" s="28" t="s">
        <v>130</v>
      </c>
      <c r="K71" s="28" t="s">
        <v>109</v>
      </c>
      <c r="L71" s="41">
        <v>0.98125000000000007</v>
      </c>
      <c r="M71" s="28" t="s">
        <v>109</v>
      </c>
      <c r="N71" s="29" t="s">
        <v>110</v>
      </c>
      <c r="O71" s="29" t="s">
        <v>61</v>
      </c>
      <c r="P71" s="28" t="s">
        <v>131</v>
      </c>
      <c r="Q71" s="28" t="s">
        <v>214</v>
      </c>
      <c r="R71" s="28" t="s">
        <v>62</v>
      </c>
      <c r="S71" s="28" t="s">
        <v>109</v>
      </c>
      <c r="T71" s="28" t="s">
        <v>109</v>
      </c>
      <c r="U71" s="106">
        <f t="shared" si="2"/>
        <v>1.0333333333333334</v>
      </c>
      <c r="V71" s="28" t="s">
        <v>1941</v>
      </c>
    </row>
    <row r="72" spans="1:22" x14ac:dyDescent="0.3">
      <c r="A72" s="89">
        <v>50</v>
      </c>
      <c r="B72" s="29" t="s">
        <v>23</v>
      </c>
      <c r="C72" s="29" t="s">
        <v>1651</v>
      </c>
      <c r="D72" s="29">
        <v>50126375</v>
      </c>
      <c r="E72" s="29">
        <v>85</v>
      </c>
      <c r="F72" s="28">
        <v>154</v>
      </c>
      <c r="G72" s="28">
        <v>88</v>
      </c>
      <c r="H72" s="53" t="s">
        <v>82</v>
      </c>
      <c r="I72" s="7" t="s">
        <v>109</v>
      </c>
      <c r="J72" s="28" t="s">
        <v>130</v>
      </c>
      <c r="K72" s="28" t="s">
        <v>109</v>
      </c>
      <c r="L72" s="41">
        <v>0.99305555555555547</v>
      </c>
      <c r="M72" s="28" t="s">
        <v>109</v>
      </c>
      <c r="N72" s="29" t="s">
        <v>109</v>
      </c>
      <c r="O72" s="29" t="s">
        <v>61</v>
      </c>
      <c r="P72" s="28" t="s">
        <v>131</v>
      </c>
      <c r="Q72" s="28" t="s">
        <v>82</v>
      </c>
      <c r="R72" s="28" t="s">
        <v>62</v>
      </c>
      <c r="S72" s="28" t="s">
        <v>109</v>
      </c>
      <c r="T72" s="28" t="s">
        <v>109</v>
      </c>
      <c r="U72" s="106">
        <f t="shared" si="2"/>
        <v>1.0352941176470589</v>
      </c>
      <c r="V72" s="28" t="s">
        <v>1941</v>
      </c>
    </row>
    <row r="73" spans="1:22" x14ac:dyDescent="0.3">
      <c r="A73" s="89">
        <v>72</v>
      </c>
      <c r="B73" s="29" t="s">
        <v>414</v>
      </c>
      <c r="C73" s="29" t="s">
        <v>1934</v>
      </c>
      <c r="D73" s="29">
        <v>40126014</v>
      </c>
      <c r="E73" s="29">
        <v>175</v>
      </c>
      <c r="F73" s="28">
        <v>209</v>
      </c>
      <c r="G73" s="28">
        <v>163</v>
      </c>
      <c r="H73" s="28" t="s">
        <v>1935</v>
      </c>
      <c r="I73" s="7" t="s">
        <v>99</v>
      </c>
      <c r="J73" s="28" t="s">
        <v>130</v>
      </c>
      <c r="K73" s="41">
        <v>0.89930555555555547</v>
      </c>
      <c r="L73" s="41">
        <v>2.4305555555555556E-2</v>
      </c>
      <c r="M73" s="28" t="s">
        <v>109</v>
      </c>
      <c r="N73" s="29" t="s">
        <v>1930</v>
      </c>
      <c r="O73" s="29" t="s">
        <v>61</v>
      </c>
      <c r="P73" s="28" t="s">
        <v>131</v>
      </c>
      <c r="Q73" s="28" t="s">
        <v>91</v>
      </c>
      <c r="R73" s="28" t="s">
        <v>62</v>
      </c>
      <c r="S73" s="28" t="s">
        <v>109</v>
      </c>
      <c r="T73" s="28" t="s">
        <v>109</v>
      </c>
      <c r="U73" s="106">
        <f t="shared" si="2"/>
        <v>0.93142857142857138</v>
      </c>
      <c r="V73" s="28" t="s">
        <v>1941</v>
      </c>
    </row>
    <row r="74" spans="1:22" x14ac:dyDescent="0.3">
      <c r="A74" s="89">
        <v>73</v>
      </c>
      <c r="B74" s="29" t="s">
        <v>414</v>
      </c>
      <c r="C74" s="29" t="s">
        <v>1936</v>
      </c>
      <c r="D74" s="29">
        <v>40126010</v>
      </c>
      <c r="E74" s="29">
        <v>210</v>
      </c>
      <c r="F74" s="28">
        <v>251</v>
      </c>
      <c r="G74" s="28">
        <v>126</v>
      </c>
      <c r="H74" s="52" t="s">
        <v>1358</v>
      </c>
      <c r="I74" s="7" t="s">
        <v>1937</v>
      </c>
      <c r="J74" s="28" t="s">
        <v>130</v>
      </c>
      <c r="K74" s="41">
        <v>0.91111111111111109</v>
      </c>
      <c r="L74" s="41">
        <v>0.98749999999999993</v>
      </c>
      <c r="M74" s="28" t="s">
        <v>109</v>
      </c>
      <c r="N74" s="29" t="s">
        <v>1930</v>
      </c>
      <c r="O74" s="29" t="s">
        <v>61</v>
      </c>
      <c r="P74" s="28" t="s">
        <v>131</v>
      </c>
      <c r="Q74" s="28" t="s">
        <v>154</v>
      </c>
      <c r="R74" s="28" t="s">
        <v>62</v>
      </c>
      <c r="S74" s="28" t="s">
        <v>109</v>
      </c>
      <c r="T74" s="28" t="s">
        <v>109</v>
      </c>
      <c r="U74" s="106">
        <f t="shared" si="2"/>
        <v>0.6</v>
      </c>
      <c r="V74" s="76" t="s">
        <v>291</v>
      </c>
    </row>
    <row r="75" spans="1:22" x14ac:dyDescent="0.3">
      <c r="A75" s="89">
        <v>74</v>
      </c>
      <c r="B75" s="29" t="s">
        <v>23</v>
      </c>
      <c r="C75" s="29" t="s">
        <v>1110</v>
      </c>
      <c r="D75" s="29">
        <v>50126322</v>
      </c>
      <c r="E75" s="29">
        <v>200</v>
      </c>
      <c r="F75" s="28">
        <v>549</v>
      </c>
      <c r="G75" s="28">
        <v>198</v>
      </c>
      <c r="H75" s="52" t="s">
        <v>1939</v>
      </c>
      <c r="I75" s="7" t="s">
        <v>109</v>
      </c>
      <c r="J75" s="28" t="s">
        <v>130</v>
      </c>
      <c r="K75" s="41" t="s">
        <v>109</v>
      </c>
      <c r="L75" s="41">
        <v>0.99930555555555556</v>
      </c>
      <c r="M75" s="28" t="s">
        <v>109</v>
      </c>
      <c r="N75" s="29" t="s">
        <v>109</v>
      </c>
      <c r="O75" s="29" t="s">
        <v>61</v>
      </c>
      <c r="P75" s="28" t="s">
        <v>131</v>
      </c>
      <c r="Q75" s="28" t="s">
        <v>209</v>
      </c>
      <c r="R75" s="28" t="s">
        <v>62</v>
      </c>
      <c r="S75" s="28" t="s">
        <v>109</v>
      </c>
      <c r="T75" s="28" t="s">
        <v>109</v>
      </c>
      <c r="U75" s="106">
        <f t="shared" si="2"/>
        <v>0.99</v>
      </c>
      <c r="V75" s="28" t="s">
        <v>1941</v>
      </c>
    </row>
    <row r="76" spans="1:22" x14ac:dyDescent="0.3">
      <c r="A76" s="89">
        <v>13</v>
      </c>
      <c r="B76" s="29" t="s">
        <v>26</v>
      </c>
      <c r="C76" s="29" t="s">
        <v>1394</v>
      </c>
      <c r="D76" s="29">
        <v>40126021</v>
      </c>
      <c r="E76" s="29">
        <v>151</v>
      </c>
      <c r="F76" s="28">
        <v>231</v>
      </c>
      <c r="G76" s="28">
        <v>164</v>
      </c>
      <c r="H76" s="28" t="s">
        <v>262</v>
      </c>
      <c r="I76" s="7" t="s">
        <v>294</v>
      </c>
      <c r="J76" s="28" t="s">
        <v>130</v>
      </c>
      <c r="K76" s="41">
        <v>0.93541666666666667</v>
      </c>
      <c r="L76" s="41">
        <v>0.9868055555555556</v>
      </c>
      <c r="M76" s="28" t="s">
        <v>109</v>
      </c>
      <c r="N76" s="29" t="s">
        <v>109</v>
      </c>
      <c r="O76" s="29" t="s">
        <v>61</v>
      </c>
      <c r="P76" s="28" t="s">
        <v>131</v>
      </c>
      <c r="Q76" s="28" t="s">
        <v>209</v>
      </c>
      <c r="R76" s="28" t="s">
        <v>62</v>
      </c>
      <c r="S76" s="28" t="s">
        <v>109</v>
      </c>
      <c r="T76" s="28" t="s">
        <v>109</v>
      </c>
      <c r="U76" s="106">
        <f t="shared" si="2"/>
        <v>1.0860927152317881</v>
      </c>
      <c r="V76" s="28" t="s">
        <v>1941</v>
      </c>
    </row>
    <row r="77" spans="1:22" x14ac:dyDescent="0.3">
      <c r="A77" s="89">
        <v>71</v>
      </c>
      <c r="B77" s="29" t="s">
        <v>414</v>
      </c>
      <c r="C77" s="29" t="s">
        <v>1933</v>
      </c>
      <c r="D77" s="29">
        <v>40126009</v>
      </c>
      <c r="E77" s="29">
        <v>100</v>
      </c>
      <c r="F77" s="28">
        <v>129</v>
      </c>
      <c r="G77" s="28">
        <v>118</v>
      </c>
      <c r="H77" s="53" t="s">
        <v>222</v>
      </c>
      <c r="I77" s="77" t="s">
        <v>88</v>
      </c>
      <c r="J77" s="28" t="s">
        <v>130</v>
      </c>
      <c r="K77" s="41">
        <v>0.94513888888888886</v>
      </c>
      <c r="L77" s="41">
        <v>0.98958333333333337</v>
      </c>
      <c r="M77" s="28" t="s">
        <v>109</v>
      </c>
      <c r="N77" s="29" t="s">
        <v>1930</v>
      </c>
      <c r="O77" s="29" t="s">
        <v>61</v>
      </c>
      <c r="P77" s="28" t="s">
        <v>131</v>
      </c>
      <c r="Q77" s="28" t="s">
        <v>88</v>
      </c>
      <c r="R77" s="28" t="s">
        <v>62</v>
      </c>
      <c r="S77" s="28" t="s">
        <v>109</v>
      </c>
      <c r="T77" s="28" t="s">
        <v>109</v>
      </c>
      <c r="U77" s="106">
        <f t="shared" si="2"/>
        <v>1.18</v>
      </c>
      <c r="V77" s="28" t="s">
        <v>1941</v>
      </c>
    </row>
  </sheetData>
  <conditionalFormatting sqref="D1">
    <cfRule type="duplicateValues" dxfId="86" priority="3"/>
  </conditionalFormatting>
  <conditionalFormatting sqref="D1:D76">
    <cfRule type="duplicateValues" dxfId="85" priority="2"/>
  </conditionalFormatting>
  <conditionalFormatting sqref="D77">
    <cfRule type="duplicateValues" dxfId="84" priority="1"/>
  </conditionalFormatting>
  <conditionalFormatting sqref="D78:D1048576">
    <cfRule type="duplicateValues" dxfId="83" priority="5"/>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60AE1-8107-4F03-9AE9-A5F882BC9543}">
  <sheetPr codeName="Sheet26"/>
  <dimension ref="A1:V75"/>
  <sheetViews>
    <sheetView topLeftCell="E1" workbookViewId="0">
      <pane ySplit="1" topLeftCell="A2" activePane="bottomLeft" state="frozen"/>
      <selection pane="bottomLeft" activeCell="U2" sqref="U2"/>
    </sheetView>
  </sheetViews>
  <sheetFormatPr defaultRowHeight="14.4" x14ac:dyDescent="0.3"/>
  <cols>
    <col min="6" max="7" width="8.88671875" customWidth="1"/>
    <col min="8" max="8" width="50" customWidth="1"/>
  </cols>
  <sheetData>
    <row r="1" spans="1:22"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row>
    <row r="2" spans="1:22" x14ac:dyDescent="0.3">
      <c r="A2" s="7">
        <v>1</v>
      </c>
      <c r="B2" s="6" t="s">
        <v>23</v>
      </c>
      <c r="C2" s="6" t="s">
        <v>1702</v>
      </c>
      <c r="D2" s="6">
        <v>50126360</v>
      </c>
      <c r="E2" s="6">
        <v>210</v>
      </c>
      <c r="F2" s="7">
        <v>308</v>
      </c>
      <c r="G2" s="7">
        <v>216</v>
      </c>
      <c r="H2" s="7" t="s">
        <v>1410</v>
      </c>
      <c r="I2" s="7" t="s">
        <v>109</v>
      </c>
      <c r="J2" s="7" t="s">
        <v>130</v>
      </c>
      <c r="K2" s="7" t="s">
        <v>1999</v>
      </c>
      <c r="L2" s="7" t="s">
        <v>109</v>
      </c>
      <c r="M2" s="7" t="s">
        <v>109</v>
      </c>
      <c r="N2" s="6" t="s">
        <v>1982</v>
      </c>
      <c r="O2" s="6" t="s">
        <v>61</v>
      </c>
      <c r="P2" s="7" t="s">
        <v>131</v>
      </c>
      <c r="Q2" s="7" t="s">
        <v>89</v>
      </c>
      <c r="R2" s="7" t="s">
        <v>109</v>
      </c>
      <c r="S2" s="7" t="s">
        <v>109</v>
      </c>
      <c r="T2" s="7" t="s">
        <v>109</v>
      </c>
      <c r="U2" s="108">
        <f t="shared" ref="U2:U33" si="0">G2/E2</f>
        <v>1.0285714285714285</v>
      </c>
      <c r="V2" s="7" t="s">
        <v>1945</v>
      </c>
    </row>
    <row r="3" spans="1:22" x14ac:dyDescent="0.3">
      <c r="A3" s="7">
        <v>2</v>
      </c>
      <c r="B3" s="6" t="s">
        <v>23</v>
      </c>
      <c r="C3" s="6" t="s">
        <v>1293</v>
      </c>
      <c r="D3" s="6">
        <v>50126333</v>
      </c>
      <c r="E3" s="6">
        <v>150</v>
      </c>
      <c r="F3" s="7">
        <v>10</v>
      </c>
      <c r="G3" s="7">
        <v>2</v>
      </c>
      <c r="H3" s="7" t="s">
        <v>172</v>
      </c>
      <c r="I3" s="7" t="s">
        <v>109</v>
      </c>
      <c r="J3" s="7" t="s">
        <v>130</v>
      </c>
      <c r="K3" s="11">
        <v>0.90833333333333333</v>
      </c>
      <c r="L3" s="7" t="s">
        <v>109</v>
      </c>
      <c r="M3" s="7" t="s">
        <v>109</v>
      </c>
      <c r="N3" s="6" t="s">
        <v>110</v>
      </c>
      <c r="O3" s="6" t="s">
        <v>61</v>
      </c>
      <c r="P3" s="7" t="s">
        <v>131</v>
      </c>
      <c r="Q3" s="7" t="s">
        <v>71</v>
      </c>
      <c r="R3" s="7" t="s">
        <v>109</v>
      </c>
      <c r="S3" s="7" t="s">
        <v>109</v>
      </c>
      <c r="T3" s="7" t="s">
        <v>109</v>
      </c>
      <c r="U3" s="108">
        <f t="shared" si="0"/>
        <v>1.3333333333333334E-2</v>
      </c>
      <c r="V3" s="7" t="s">
        <v>291</v>
      </c>
    </row>
    <row r="4" spans="1:22" x14ac:dyDescent="0.3">
      <c r="A4" s="7">
        <v>3</v>
      </c>
      <c r="B4" s="6" t="s">
        <v>23</v>
      </c>
      <c r="C4" s="6" t="s">
        <v>659</v>
      </c>
      <c r="D4" s="6">
        <v>50126153</v>
      </c>
      <c r="E4" s="6">
        <v>100</v>
      </c>
      <c r="F4" s="7">
        <v>132</v>
      </c>
      <c r="G4" s="7">
        <v>107</v>
      </c>
      <c r="H4" s="7" t="s">
        <v>67</v>
      </c>
      <c r="I4" s="7" t="s">
        <v>109</v>
      </c>
      <c r="J4" s="7" t="s">
        <v>130</v>
      </c>
      <c r="K4" s="11">
        <v>0.82291666666666663</v>
      </c>
      <c r="L4" s="7" t="s">
        <v>109</v>
      </c>
      <c r="M4" s="7" t="s">
        <v>109</v>
      </c>
      <c r="N4" s="6" t="s">
        <v>1956</v>
      </c>
      <c r="O4" s="6" t="s">
        <v>61</v>
      </c>
      <c r="P4" s="7" t="s">
        <v>131</v>
      </c>
      <c r="Q4" s="7" t="s">
        <v>67</v>
      </c>
      <c r="R4" s="7" t="s">
        <v>109</v>
      </c>
      <c r="S4" s="7" t="s">
        <v>109</v>
      </c>
      <c r="T4" s="7" t="s">
        <v>109</v>
      </c>
      <c r="U4" s="108">
        <f t="shared" si="0"/>
        <v>1.07</v>
      </c>
      <c r="V4" s="7" t="s">
        <v>1945</v>
      </c>
    </row>
    <row r="5" spans="1:22" x14ac:dyDescent="0.3">
      <c r="A5" s="7">
        <v>4</v>
      </c>
      <c r="B5" s="6" t="s">
        <v>23</v>
      </c>
      <c r="C5" s="6" t="s">
        <v>662</v>
      </c>
      <c r="D5" s="6">
        <v>50126152</v>
      </c>
      <c r="E5" s="6">
        <v>100</v>
      </c>
      <c r="F5" s="7">
        <v>142</v>
      </c>
      <c r="G5" s="7">
        <v>104</v>
      </c>
      <c r="H5" s="7" t="s">
        <v>196</v>
      </c>
      <c r="I5" s="7" t="s">
        <v>109</v>
      </c>
      <c r="J5" s="7" t="s">
        <v>130</v>
      </c>
      <c r="K5" s="11">
        <v>0.81527777777777777</v>
      </c>
      <c r="L5" s="7" t="s">
        <v>109</v>
      </c>
      <c r="M5" s="7" t="s">
        <v>109</v>
      </c>
      <c r="N5" s="6" t="s">
        <v>1956</v>
      </c>
      <c r="O5" s="6" t="s">
        <v>61</v>
      </c>
      <c r="P5" s="7" t="s">
        <v>131</v>
      </c>
      <c r="Q5" s="7" t="s">
        <v>196</v>
      </c>
      <c r="R5" s="7" t="s">
        <v>109</v>
      </c>
      <c r="S5" s="7" t="s">
        <v>109</v>
      </c>
      <c r="T5" s="7" t="s">
        <v>109</v>
      </c>
      <c r="U5" s="108">
        <f t="shared" si="0"/>
        <v>1.04</v>
      </c>
      <c r="V5" s="7" t="s">
        <v>1945</v>
      </c>
    </row>
    <row r="6" spans="1:22" x14ac:dyDescent="0.3">
      <c r="A6" s="7">
        <v>5</v>
      </c>
      <c r="B6" s="6" t="s">
        <v>23</v>
      </c>
      <c r="C6" s="6" t="s">
        <v>1961</v>
      </c>
      <c r="D6" s="6">
        <v>50226031</v>
      </c>
      <c r="E6" s="6">
        <v>150</v>
      </c>
      <c r="F6" s="7">
        <v>300</v>
      </c>
      <c r="G6" s="7">
        <v>115</v>
      </c>
      <c r="H6" s="7" t="s">
        <v>750</v>
      </c>
      <c r="I6" s="7" t="s">
        <v>109</v>
      </c>
      <c r="J6" s="7" t="s">
        <v>130</v>
      </c>
      <c r="K6" s="11">
        <v>0.89652777777777781</v>
      </c>
      <c r="L6" s="7" t="s">
        <v>109</v>
      </c>
      <c r="M6" s="7" t="s">
        <v>109</v>
      </c>
      <c r="N6" s="6" t="s">
        <v>109</v>
      </c>
      <c r="O6" s="6" t="s">
        <v>61</v>
      </c>
      <c r="P6" s="7" t="s">
        <v>131</v>
      </c>
      <c r="Q6" s="7" t="s">
        <v>91</v>
      </c>
      <c r="R6" s="7" t="s">
        <v>109</v>
      </c>
      <c r="S6" s="7" t="s">
        <v>109</v>
      </c>
      <c r="T6" s="7" t="s">
        <v>109</v>
      </c>
      <c r="U6" s="108">
        <f t="shared" si="0"/>
        <v>0.76666666666666672</v>
      </c>
      <c r="V6" s="7" t="s">
        <v>1954</v>
      </c>
    </row>
    <row r="7" spans="1:22" x14ac:dyDescent="0.3">
      <c r="A7" s="7">
        <v>6</v>
      </c>
      <c r="B7" s="6" t="s">
        <v>23</v>
      </c>
      <c r="C7" s="6" t="s">
        <v>1977</v>
      </c>
      <c r="D7" s="6">
        <v>50226032</v>
      </c>
      <c r="E7" s="6">
        <v>200</v>
      </c>
      <c r="F7" s="7">
        <v>320</v>
      </c>
      <c r="G7" s="7">
        <v>122</v>
      </c>
      <c r="H7" s="7" t="s">
        <v>1195</v>
      </c>
      <c r="I7" s="7" t="s">
        <v>109</v>
      </c>
      <c r="J7" s="7" t="s">
        <v>130</v>
      </c>
      <c r="K7" s="11">
        <v>2.1527777777777778E-2</v>
      </c>
      <c r="L7" s="7" t="s">
        <v>109</v>
      </c>
      <c r="M7" s="7" t="s">
        <v>109</v>
      </c>
      <c r="N7" s="6" t="s">
        <v>109</v>
      </c>
      <c r="O7" s="6" t="s">
        <v>61</v>
      </c>
      <c r="P7" s="7" t="s">
        <v>131</v>
      </c>
      <c r="Q7" s="7" t="s">
        <v>196</v>
      </c>
      <c r="R7" s="7" t="s">
        <v>109</v>
      </c>
      <c r="S7" s="7" t="s">
        <v>109</v>
      </c>
      <c r="T7" s="7" t="s">
        <v>109</v>
      </c>
      <c r="U7" s="108">
        <f t="shared" si="0"/>
        <v>0.61</v>
      </c>
      <c r="V7" s="7" t="s">
        <v>1954</v>
      </c>
    </row>
    <row r="8" spans="1:22" x14ac:dyDescent="0.3">
      <c r="A8" s="7">
        <v>7</v>
      </c>
      <c r="B8" s="6" t="s">
        <v>143</v>
      </c>
      <c r="C8" s="6" t="s">
        <v>1992</v>
      </c>
      <c r="D8" s="6">
        <v>10126006</v>
      </c>
      <c r="E8" s="6">
        <v>40</v>
      </c>
      <c r="F8" s="7">
        <v>40</v>
      </c>
      <c r="G8" s="7">
        <v>0</v>
      </c>
      <c r="H8" s="7" t="s">
        <v>184</v>
      </c>
      <c r="I8" s="7" t="s">
        <v>90</v>
      </c>
      <c r="J8" s="7" t="s">
        <v>130</v>
      </c>
      <c r="K8" s="11">
        <v>0.92361111111111116</v>
      </c>
      <c r="L8" s="7" t="s">
        <v>2001</v>
      </c>
      <c r="M8" s="7" t="s">
        <v>109</v>
      </c>
      <c r="N8" s="6" t="s">
        <v>109</v>
      </c>
      <c r="O8" s="6" t="s">
        <v>61</v>
      </c>
      <c r="P8" s="7" t="s">
        <v>131</v>
      </c>
      <c r="Q8" s="7" t="s">
        <v>90</v>
      </c>
      <c r="R8" s="7" t="s">
        <v>109</v>
      </c>
      <c r="S8" s="7" t="s">
        <v>109</v>
      </c>
      <c r="T8" s="7" t="s">
        <v>109</v>
      </c>
      <c r="U8" s="108">
        <f t="shared" si="0"/>
        <v>0</v>
      </c>
      <c r="V8" s="7" t="s">
        <v>291</v>
      </c>
    </row>
    <row r="9" spans="1:22" x14ac:dyDescent="0.3">
      <c r="A9" s="7">
        <v>8</v>
      </c>
      <c r="B9" s="6" t="s">
        <v>143</v>
      </c>
      <c r="C9" s="6" t="s">
        <v>1598</v>
      </c>
      <c r="D9" s="6">
        <v>10126044</v>
      </c>
      <c r="E9" s="6">
        <v>100</v>
      </c>
      <c r="F9" s="7">
        <v>163</v>
      </c>
      <c r="G9" s="7">
        <v>73</v>
      </c>
      <c r="H9" s="7" t="s">
        <v>66</v>
      </c>
      <c r="I9" s="7" t="s">
        <v>86</v>
      </c>
      <c r="J9" s="7" t="s">
        <v>130</v>
      </c>
      <c r="K9" s="11">
        <v>0.73263888888888884</v>
      </c>
      <c r="L9" s="11">
        <v>0.80208333333333337</v>
      </c>
      <c r="M9" s="7" t="s">
        <v>109</v>
      </c>
      <c r="N9" s="6" t="s">
        <v>109</v>
      </c>
      <c r="O9" s="6" t="s">
        <v>61</v>
      </c>
      <c r="P9" s="7" t="s">
        <v>131</v>
      </c>
      <c r="Q9" s="7" t="s">
        <v>86</v>
      </c>
      <c r="R9" s="7" t="s">
        <v>109</v>
      </c>
      <c r="S9" s="7" t="s">
        <v>109</v>
      </c>
      <c r="T9" s="7" t="s">
        <v>109</v>
      </c>
      <c r="U9" s="108">
        <f t="shared" si="0"/>
        <v>0.73</v>
      </c>
      <c r="V9" s="7" t="s">
        <v>291</v>
      </c>
    </row>
    <row r="10" spans="1:22" x14ac:dyDescent="0.3">
      <c r="A10" s="7">
        <v>9</v>
      </c>
      <c r="B10" s="6" t="s">
        <v>143</v>
      </c>
      <c r="C10" s="6" t="s">
        <v>1599</v>
      </c>
      <c r="D10" s="6">
        <v>10126043</v>
      </c>
      <c r="E10" s="6">
        <v>100</v>
      </c>
      <c r="F10" s="7">
        <v>201</v>
      </c>
      <c r="G10" s="7">
        <v>48</v>
      </c>
      <c r="H10" s="7" t="s">
        <v>214</v>
      </c>
      <c r="I10" s="7" t="s">
        <v>88</v>
      </c>
      <c r="J10" s="7" t="s">
        <v>130</v>
      </c>
      <c r="K10" s="11">
        <v>0.74305555555555558</v>
      </c>
      <c r="L10" s="11">
        <v>0.96319444444444446</v>
      </c>
      <c r="M10" s="7" t="s">
        <v>109</v>
      </c>
      <c r="N10" s="6" t="s">
        <v>109</v>
      </c>
      <c r="O10" s="6" t="s">
        <v>61</v>
      </c>
      <c r="P10" s="7" t="s">
        <v>131</v>
      </c>
      <c r="Q10" s="7" t="s">
        <v>88</v>
      </c>
      <c r="R10" s="7" t="s">
        <v>109</v>
      </c>
      <c r="S10" s="7" t="s">
        <v>109</v>
      </c>
      <c r="T10" s="7" t="s">
        <v>109</v>
      </c>
      <c r="U10" s="108">
        <f t="shared" si="0"/>
        <v>0.48</v>
      </c>
      <c r="V10" s="7" t="s">
        <v>1954</v>
      </c>
    </row>
    <row r="11" spans="1:22" x14ac:dyDescent="0.3">
      <c r="A11" s="7">
        <v>10</v>
      </c>
      <c r="B11" s="6" t="s">
        <v>143</v>
      </c>
      <c r="C11" s="6" t="s">
        <v>1250</v>
      </c>
      <c r="D11" s="6">
        <v>10126022</v>
      </c>
      <c r="E11" s="6">
        <v>40</v>
      </c>
      <c r="F11" s="7">
        <v>31</v>
      </c>
      <c r="G11" s="7">
        <v>8</v>
      </c>
      <c r="H11" s="7" t="s">
        <v>274</v>
      </c>
      <c r="I11" s="7" t="s">
        <v>91</v>
      </c>
      <c r="J11" s="7" t="s">
        <v>130</v>
      </c>
      <c r="K11" s="11">
        <v>1.1805555555555555E-2</v>
      </c>
      <c r="L11" s="11">
        <v>2.5000000000000001E-2</v>
      </c>
      <c r="M11" s="7" t="s">
        <v>109</v>
      </c>
      <c r="N11" s="6" t="s">
        <v>109</v>
      </c>
      <c r="O11" s="6" t="s">
        <v>61</v>
      </c>
      <c r="P11" s="7" t="s">
        <v>131</v>
      </c>
      <c r="Q11" s="7" t="s">
        <v>91</v>
      </c>
      <c r="R11" s="7" t="s">
        <v>109</v>
      </c>
      <c r="S11" s="7" t="s">
        <v>109</v>
      </c>
      <c r="T11" s="7" t="s">
        <v>109</v>
      </c>
      <c r="U11" s="108">
        <f t="shared" si="0"/>
        <v>0.2</v>
      </c>
      <c r="V11" s="7" t="s">
        <v>291</v>
      </c>
    </row>
    <row r="12" spans="1:22" x14ac:dyDescent="0.3">
      <c r="A12" s="7">
        <v>11</v>
      </c>
      <c r="B12" s="6" t="s">
        <v>143</v>
      </c>
      <c r="C12" s="6" t="s">
        <v>1959</v>
      </c>
      <c r="D12" s="6">
        <v>10226006</v>
      </c>
      <c r="E12" s="6">
        <v>140</v>
      </c>
      <c r="F12" s="7">
        <v>221</v>
      </c>
      <c r="G12" s="7">
        <v>160</v>
      </c>
      <c r="H12" s="7" t="s">
        <v>159</v>
      </c>
      <c r="I12" s="7" t="s">
        <v>1960</v>
      </c>
      <c r="J12" s="7" t="s">
        <v>130</v>
      </c>
      <c r="K12" s="11">
        <v>0.68958333333333333</v>
      </c>
      <c r="L12" s="11">
        <v>0.80972222222222223</v>
      </c>
      <c r="M12" s="7" t="s">
        <v>109</v>
      </c>
      <c r="N12" s="6" t="s">
        <v>109</v>
      </c>
      <c r="O12" s="6" t="s">
        <v>61</v>
      </c>
      <c r="P12" s="7" t="s">
        <v>131</v>
      </c>
      <c r="Q12" s="7" t="s">
        <v>603</v>
      </c>
      <c r="R12" s="7" t="s">
        <v>109</v>
      </c>
      <c r="S12" s="7" t="s">
        <v>109</v>
      </c>
      <c r="T12" s="7" t="s">
        <v>109</v>
      </c>
      <c r="U12" s="108">
        <f t="shared" si="0"/>
        <v>1.1428571428571428</v>
      </c>
      <c r="V12" s="7" t="s">
        <v>1945</v>
      </c>
    </row>
    <row r="13" spans="1:22" x14ac:dyDescent="0.3">
      <c r="A13" s="7">
        <v>12</v>
      </c>
      <c r="B13" s="6" t="s">
        <v>143</v>
      </c>
      <c r="C13" s="6" t="s">
        <v>1950</v>
      </c>
      <c r="D13" s="6">
        <v>10226007</v>
      </c>
      <c r="E13" s="6">
        <v>50</v>
      </c>
      <c r="F13" s="7">
        <v>89</v>
      </c>
      <c r="G13" s="7">
        <v>50</v>
      </c>
      <c r="H13" s="7" t="s">
        <v>69</v>
      </c>
      <c r="I13" s="7" t="s">
        <v>95</v>
      </c>
      <c r="J13" s="7" t="s">
        <v>130</v>
      </c>
      <c r="K13" s="11">
        <v>2.0833333333333333E-3</v>
      </c>
      <c r="L13" s="11">
        <v>1.8749999999999999E-2</v>
      </c>
      <c r="M13" s="7" t="s">
        <v>109</v>
      </c>
      <c r="N13" s="6" t="s">
        <v>109</v>
      </c>
      <c r="O13" s="6" t="s">
        <v>61</v>
      </c>
      <c r="P13" s="7" t="s">
        <v>131</v>
      </c>
      <c r="Q13" s="7" t="s">
        <v>95</v>
      </c>
      <c r="R13" s="7" t="s">
        <v>109</v>
      </c>
      <c r="S13" s="7" t="s">
        <v>109</v>
      </c>
      <c r="T13" s="7" t="s">
        <v>109</v>
      </c>
      <c r="U13" s="108">
        <f t="shared" si="0"/>
        <v>1</v>
      </c>
      <c r="V13" s="7" t="s">
        <v>1945</v>
      </c>
    </row>
    <row r="14" spans="1:22" x14ac:dyDescent="0.3">
      <c r="A14" s="7">
        <v>13</v>
      </c>
      <c r="B14" s="6" t="s">
        <v>143</v>
      </c>
      <c r="C14" s="6" t="s">
        <v>1734</v>
      </c>
      <c r="D14" s="6">
        <v>10126049</v>
      </c>
      <c r="E14" s="6">
        <v>50</v>
      </c>
      <c r="F14" s="7">
        <v>130</v>
      </c>
      <c r="G14" s="7">
        <v>5</v>
      </c>
      <c r="H14" s="7" t="s">
        <v>84</v>
      </c>
      <c r="I14" s="7" t="s">
        <v>90</v>
      </c>
      <c r="J14" s="7" t="s">
        <v>130</v>
      </c>
      <c r="K14" s="11">
        <v>0.93819444444444444</v>
      </c>
      <c r="L14" s="11">
        <v>2.0833333333333333E-3</v>
      </c>
      <c r="M14" s="7" t="s">
        <v>109</v>
      </c>
      <c r="N14" s="6" t="s">
        <v>1951</v>
      </c>
      <c r="O14" s="6" t="s">
        <v>61</v>
      </c>
      <c r="P14" s="7" t="s">
        <v>131</v>
      </c>
      <c r="Q14" s="7" t="s">
        <v>90</v>
      </c>
      <c r="R14" s="7" t="s">
        <v>109</v>
      </c>
      <c r="S14" s="7" t="s">
        <v>109</v>
      </c>
      <c r="T14" s="7" t="s">
        <v>109</v>
      </c>
      <c r="U14" s="108">
        <f t="shared" si="0"/>
        <v>0.1</v>
      </c>
      <c r="V14" s="7" t="s">
        <v>291</v>
      </c>
    </row>
    <row r="15" spans="1:22" x14ac:dyDescent="0.3">
      <c r="A15" s="7">
        <v>14</v>
      </c>
      <c r="B15" s="6" t="s">
        <v>143</v>
      </c>
      <c r="C15" s="6" t="s">
        <v>779</v>
      </c>
      <c r="D15" s="6">
        <v>10126010</v>
      </c>
      <c r="E15" s="6">
        <v>75</v>
      </c>
      <c r="F15" s="7">
        <v>120</v>
      </c>
      <c r="G15" s="7">
        <v>20</v>
      </c>
      <c r="H15" s="7" t="s">
        <v>153</v>
      </c>
      <c r="I15" s="7" t="s">
        <v>154</v>
      </c>
      <c r="J15" s="7" t="s">
        <v>130</v>
      </c>
      <c r="K15" s="7" t="s">
        <v>1955</v>
      </c>
      <c r="L15" s="11">
        <v>0.72777777777777775</v>
      </c>
      <c r="M15" s="7" t="s">
        <v>109</v>
      </c>
      <c r="N15" s="6" t="s">
        <v>109</v>
      </c>
      <c r="O15" s="6" t="s">
        <v>61</v>
      </c>
      <c r="P15" s="7" t="s">
        <v>131</v>
      </c>
      <c r="Q15" s="7" t="s">
        <v>154</v>
      </c>
      <c r="R15" s="7" t="s">
        <v>109</v>
      </c>
      <c r="S15" s="7" t="s">
        <v>109</v>
      </c>
      <c r="T15" s="7" t="s">
        <v>109</v>
      </c>
      <c r="U15" s="108">
        <f t="shared" si="0"/>
        <v>0.26666666666666666</v>
      </c>
      <c r="V15" s="7" t="s">
        <v>291</v>
      </c>
    </row>
    <row r="16" spans="1:22" x14ac:dyDescent="0.3">
      <c r="A16" s="7">
        <v>15</v>
      </c>
      <c r="B16" s="6" t="s">
        <v>143</v>
      </c>
      <c r="C16" s="6" t="s">
        <v>1871</v>
      </c>
      <c r="D16" s="6">
        <v>10226005</v>
      </c>
      <c r="E16" s="6">
        <v>100</v>
      </c>
      <c r="F16" s="7">
        <v>210</v>
      </c>
      <c r="G16" s="7">
        <v>81</v>
      </c>
      <c r="H16" s="7" t="s">
        <v>65</v>
      </c>
      <c r="I16" s="7" t="s">
        <v>209</v>
      </c>
      <c r="J16" s="7" t="s">
        <v>130</v>
      </c>
      <c r="K16" s="7" t="s">
        <v>1997</v>
      </c>
      <c r="L16" s="11">
        <v>0.99097222222222225</v>
      </c>
      <c r="M16" s="7" t="s">
        <v>109</v>
      </c>
      <c r="N16" s="6" t="s">
        <v>109</v>
      </c>
      <c r="O16" s="6" t="s">
        <v>61</v>
      </c>
      <c r="P16" s="7" t="s">
        <v>131</v>
      </c>
      <c r="Q16" s="7" t="s">
        <v>605</v>
      </c>
      <c r="R16" s="7" t="s">
        <v>109</v>
      </c>
      <c r="S16" s="7" t="s">
        <v>109</v>
      </c>
      <c r="T16" s="7" t="s">
        <v>109</v>
      </c>
      <c r="U16" s="108">
        <f t="shared" si="0"/>
        <v>0.81</v>
      </c>
      <c r="V16" s="7" t="s">
        <v>1954</v>
      </c>
    </row>
    <row r="17" spans="1:22" x14ac:dyDescent="0.3">
      <c r="A17" s="7">
        <v>16</v>
      </c>
      <c r="B17" s="6" t="s">
        <v>23</v>
      </c>
      <c r="C17" s="6" t="s">
        <v>1905</v>
      </c>
      <c r="D17" s="6">
        <v>50226024</v>
      </c>
      <c r="E17" s="6">
        <v>125</v>
      </c>
      <c r="F17" s="7">
        <v>243</v>
      </c>
      <c r="G17" s="7">
        <v>85</v>
      </c>
      <c r="H17" s="7" t="s">
        <v>1957</v>
      </c>
      <c r="I17" s="7" t="s">
        <v>1958</v>
      </c>
      <c r="J17" s="7" t="s">
        <v>130</v>
      </c>
      <c r="K17" s="11">
        <v>0.69652777777777775</v>
      </c>
      <c r="L17" s="11">
        <v>0.73611111111111116</v>
      </c>
      <c r="M17" s="7" t="s">
        <v>109</v>
      </c>
      <c r="N17" s="6" t="s">
        <v>109</v>
      </c>
      <c r="O17" s="6" t="s">
        <v>61</v>
      </c>
      <c r="P17" s="6" t="s">
        <v>131</v>
      </c>
      <c r="Q17" s="6" t="s">
        <v>154</v>
      </c>
      <c r="R17" s="7" t="s">
        <v>109</v>
      </c>
      <c r="S17" s="7" t="s">
        <v>109</v>
      </c>
      <c r="T17" s="7" t="s">
        <v>109</v>
      </c>
      <c r="U17" s="108">
        <f t="shared" si="0"/>
        <v>0.68</v>
      </c>
      <c r="V17" s="7" t="s">
        <v>1954</v>
      </c>
    </row>
    <row r="18" spans="1:22" x14ac:dyDescent="0.3">
      <c r="A18" s="7">
        <v>17</v>
      </c>
      <c r="B18" s="6" t="s">
        <v>23</v>
      </c>
      <c r="C18" s="6" t="s">
        <v>1906</v>
      </c>
      <c r="D18" s="6">
        <v>50226027</v>
      </c>
      <c r="E18" s="6">
        <v>200</v>
      </c>
      <c r="F18" s="7">
        <v>354</v>
      </c>
      <c r="G18" s="7">
        <v>209</v>
      </c>
      <c r="H18" s="7" t="s">
        <v>691</v>
      </c>
      <c r="I18" s="7" t="s">
        <v>87</v>
      </c>
      <c r="J18" s="7" t="s">
        <v>130</v>
      </c>
      <c r="K18" s="11">
        <v>0.70347222222222228</v>
      </c>
      <c r="L18" s="11">
        <v>0.78402777777777777</v>
      </c>
      <c r="M18" s="7" t="s">
        <v>109</v>
      </c>
      <c r="N18" s="6" t="s">
        <v>109</v>
      </c>
      <c r="O18" s="6" t="s">
        <v>61</v>
      </c>
      <c r="P18" s="7" t="s">
        <v>131</v>
      </c>
      <c r="Q18" s="7" t="s">
        <v>87</v>
      </c>
      <c r="R18" s="7" t="s">
        <v>109</v>
      </c>
      <c r="S18" s="7" t="s">
        <v>109</v>
      </c>
      <c r="T18" s="7" t="s">
        <v>109</v>
      </c>
      <c r="U18" s="108">
        <f t="shared" si="0"/>
        <v>1.0449999999999999</v>
      </c>
      <c r="V18" s="7" t="s">
        <v>1945</v>
      </c>
    </row>
    <row r="19" spans="1:22" x14ac:dyDescent="0.3">
      <c r="A19" s="7">
        <v>18</v>
      </c>
      <c r="B19" s="6" t="s">
        <v>23</v>
      </c>
      <c r="C19" s="6" t="s">
        <v>1911</v>
      </c>
      <c r="D19" s="6">
        <v>50226026</v>
      </c>
      <c r="E19" s="6">
        <v>200</v>
      </c>
      <c r="F19" s="7">
        <v>357</v>
      </c>
      <c r="G19" s="7">
        <v>143</v>
      </c>
      <c r="H19" s="7" t="s">
        <v>1978</v>
      </c>
      <c r="I19" s="7" t="s">
        <v>86</v>
      </c>
      <c r="J19" s="7" t="s">
        <v>130</v>
      </c>
      <c r="K19" s="11">
        <v>0.70763888888888893</v>
      </c>
      <c r="L19" s="11">
        <v>0.77708333333333335</v>
      </c>
      <c r="M19" s="7" t="s">
        <v>109</v>
      </c>
      <c r="N19" s="6" t="s">
        <v>109</v>
      </c>
      <c r="O19" s="6" t="s">
        <v>61</v>
      </c>
      <c r="P19" s="7" t="s">
        <v>131</v>
      </c>
      <c r="Q19" s="7" t="s">
        <v>86</v>
      </c>
      <c r="R19" s="7" t="s">
        <v>109</v>
      </c>
      <c r="S19" s="7" t="s">
        <v>109</v>
      </c>
      <c r="T19" s="7" t="s">
        <v>109</v>
      </c>
      <c r="U19" s="108">
        <f t="shared" si="0"/>
        <v>0.71499999999999997</v>
      </c>
      <c r="V19" s="7" t="s">
        <v>1954</v>
      </c>
    </row>
    <row r="20" spans="1:22" x14ac:dyDescent="0.3">
      <c r="A20" s="7">
        <v>19</v>
      </c>
      <c r="B20" s="6" t="s">
        <v>23</v>
      </c>
      <c r="C20" s="6" t="s">
        <v>1909</v>
      </c>
      <c r="D20" s="6">
        <v>50226025</v>
      </c>
      <c r="E20" s="6">
        <v>400</v>
      </c>
      <c r="F20" s="7">
        <v>669</v>
      </c>
      <c r="G20" s="7">
        <v>321</v>
      </c>
      <c r="H20" s="7" t="s">
        <v>332</v>
      </c>
      <c r="I20" s="7" t="s">
        <v>1990</v>
      </c>
      <c r="J20" s="7" t="s">
        <v>130</v>
      </c>
      <c r="K20" s="11">
        <v>0.73402777777777772</v>
      </c>
      <c r="L20" s="11">
        <v>0.89444444444444449</v>
      </c>
      <c r="M20" s="7" t="s">
        <v>109</v>
      </c>
      <c r="N20" s="6" t="s">
        <v>109</v>
      </c>
      <c r="O20" s="6" t="s">
        <v>61</v>
      </c>
      <c r="P20" s="7" t="s">
        <v>131</v>
      </c>
      <c r="Q20" s="7" t="s">
        <v>90</v>
      </c>
      <c r="R20" s="7" t="s">
        <v>109</v>
      </c>
      <c r="S20" s="7" t="s">
        <v>109</v>
      </c>
      <c r="T20" s="7" t="s">
        <v>109</v>
      </c>
      <c r="U20" s="108">
        <f t="shared" si="0"/>
        <v>0.80249999999999999</v>
      </c>
      <c r="V20" s="7" t="s">
        <v>291</v>
      </c>
    </row>
    <row r="21" spans="1:22" x14ac:dyDescent="0.3">
      <c r="A21" s="7">
        <v>20</v>
      </c>
      <c r="B21" s="6" t="s">
        <v>23</v>
      </c>
      <c r="C21" s="6" t="s">
        <v>1378</v>
      </c>
      <c r="D21" s="6">
        <v>50126346</v>
      </c>
      <c r="E21" s="6">
        <v>20</v>
      </c>
      <c r="F21" s="7">
        <v>18</v>
      </c>
      <c r="G21" s="7">
        <v>9</v>
      </c>
      <c r="H21" s="7" t="s">
        <v>82</v>
      </c>
      <c r="I21" s="7" t="s">
        <v>109</v>
      </c>
      <c r="J21" s="7" t="s">
        <v>130</v>
      </c>
      <c r="K21" s="11">
        <v>0.67083333333333328</v>
      </c>
      <c r="L21" s="7" t="s">
        <v>109</v>
      </c>
      <c r="M21" s="7" t="s">
        <v>109</v>
      </c>
      <c r="N21" s="6" t="s">
        <v>109</v>
      </c>
      <c r="O21" s="6" t="s">
        <v>61</v>
      </c>
      <c r="P21" s="7" t="s">
        <v>131</v>
      </c>
      <c r="Q21" s="7" t="s">
        <v>82</v>
      </c>
      <c r="R21" s="7" t="s">
        <v>109</v>
      </c>
      <c r="S21" s="7" t="s">
        <v>109</v>
      </c>
      <c r="T21" s="7" t="s">
        <v>109</v>
      </c>
      <c r="U21" s="108">
        <f t="shared" si="0"/>
        <v>0.45</v>
      </c>
      <c r="V21" s="7" t="s">
        <v>291</v>
      </c>
    </row>
    <row r="22" spans="1:22" x14ac:dyDescent="0.3">
      <c r="A22" s="7">
        <v>21</v>
      </c>
      <c r="B22" s="6" t="s">
        <v>23</v>
      </c>
      <c r="C22" s="6" t="s">
        <v>1366</v>
      </c>
      <c r="D22" s="6">
        <v>50126343</v>
      </c>
      <c r="E22" s="6">
        <v>1000</v>
      </c>
      <c r="F22" s="7">
        <v>2269</v>
      </c>
      <c r="G22" s="7">
        <v>872</v>
      </c>
      <c r="H22" s="7" t="s">
        <v>1991</v>
      </c>
      <c r="I22" s="7" t="s">
        <v>109</v>
      </c>
      <c r="J22" s="7" t="s">
        <v>130</v>
      </c>
      <c r="K22" s="11">
        <v>3.5416666666666666E-2</v>
      </c>
      <c r="L22" s="7" t="s">
        <v>109</v>
      </c>
      <c r="M22" s="7" t="s">
        <v>109</v>
      </c>
      <c r="N22" s="6" t="s">
        <v>109</v>
      </c>
      <c r="O22" s="6" t="s">
        <v>61</v>
      </c>
      <c r="P22" s="7" t="s">
        <v>131</v>
      </c>
      <c r="Q22" s="7" t="s">
        <v>603</v>
      </c>
      <c r="R22" s="7" t="s">
        <v>109</v>
      </c>
      <c r="S22" s="7" t="s">
        <v>109</v>
      </c>
      <c r="T22" s="7" t="s">
        <v>109</v>
      </c>
      <c r="U22" s="108">
        <f t="shared" si="0"/>
        <v>0.872</v>
      </c>
      <c r="V22" s="7" t="s">
        <v>1954</v>
      </c>
    </row>
    <row r="23" spans="1:22" x14ac:dyDescent="0.3">
      <c r="A23" s="7">
        <v>22</v>
      </c>
      <c r="B23" s="6" t="s">
        <v>23</v>
      </c>
      <c r="C23" s="6" t="s">
        <v>1812</v>
      </c>
      <c r="D23" s="6">
        <v>50226002</v>
      </c>
      <c r="E23" s="6">
        <v>120</v>
      </c>
      <c r="F23" s="7">
        <v>159</v>
      </c>
      <c r="G23" s="7">
        <v>126</v>
      </c>
      <c r="H23" s="7" t="s">
        <v>186</v>
      </c>
      <c r="I23" s="7" t="s">
        <v>109</v>
      </c>
      <c r="J23" s="7" t="s">
        <v>130</v>
      </c>
      <c r="K23" s="11">
        <v>0.92291666666666672</v>
      </c>
      <c r="L23" s="7" t="s">
        <v>109</v>
      </c>
      <c r="M23" s="7" t="s">
        <v>109</v>
      </c>
      <c r="N23" s="6" t="s">
        <v>1948</v>
      </c>
      <c r="O23" s="6" t="s">
        <v>61</v>
      </c>
      <c r="P23" s="7" t="s">
        <v>131</v>
      </c>
      <c r="Q23" s="7" t="s">
        <v>214</v>
      </c>
      <c r="R23" s="7" t="s">
        <v>109</v>
      </c>
      <c r="S23" s="7" t="s">
        <v>109</v>
      </c>
      <c r="T23" s="7" t="s">
        <v>109</v>
      </c>
      <c r="U23" s="108">
        <f t="shared" si="0"/>
        <v>1.05</v>
      </c>
      <c r="V23" s="7" t="s">
        <v>1945</v>
      </c>
    </row>
    <row r="24" spans="1:22" x14ac:dyDescent="0.3">
      <c r="A24" s="7">
        <v>23</v>
      </c>
      <c r="B24" s="6" t="s">
        <v>23</v>
      </c>
      <c r="C24" s="6" t="s">
        <v>1814</v>
      </c>
      <c r="D24" s="6">
        <v>50226003</v>
      </c>
      <c r="E24" s="6">
        <v>30</v>
      </c>
      <c r="F24" s="7">
        <v>80</v>
      </c>
      <c r="G24" s="7">
        <v>30</v>
      </c>
      <c r="H24" s="7" t="s">
        <v>184</v>
      </c>
      <c r="I24" s="7" t="s">
        <v>109</v>
      </c>
      <c r="J24" s="7" t="s">
        <v>130</v>
      </c>
      <c r="K24" s="11">
        <v>0.96527777777777779</v>
      </c>
      <c r="L24" s="7" t="s">
        <v>109</v>
      </c>
      <c r="M24" s="7" t="s">
        <v>109</v>
      </c>
      <c r="N24" s="6" t="s">
        <v>1948</v>
      </c>
      <c r="O24" s="6" t="s">
        <v>61</v>
      </c>
      <c r="P24" s="7" t="s">
        <v>131</v>
      </c>
      <c r="Q24" s="7" t="s">
        <v>184</v>
      </c>
      <c r="R24" s="7" t="s">
        <v>109</v>
      </c>
      <c r="S24" s="7" t="s">
        <v>109</v>
      </c>
      <c r="T24" s="7" t="s">
        <v>109</v>
      </c>
      <c r="U24" s="108">
        <f t="shared" si="0"/>
        <v>1</v>
      </c>
      <c r="V24" s="7" t="s">
        <v>1945</v>
      </c>
    </row>
    <row r="25" spans="1:22" x14ac:dyDescent="0.3">
      <c r="A25" s="7">
        <v>24</v>
      </c>
      <c r="B25" s="6" t="s">
        <v>23</v>
      </c>
      <c r="C25" s="6" t="s">
        <v>1815</v>
      </c>
      <c r="D25" s="6">
        <v>50226001</v>
      </c>
      <c r="E25" s="6">
        <v>100</v>
      </c>
      <c r="F25" s="7">
        <v>142</v>
      </c>
      <c r="G25" s="7">
        <v>97</v>
      </c>
      <c r="H25" s="7" t="s">
        <v>222</v>
      </c>
      <c r="I25" s="7" t="s">
        <v>109</v>
      </c>
      <c r="J25" s="7" t="s">
        <v>130</v>
      </c>
      <c r="K25" s="11">
        <v>0.7319444444444444</v>
      </c>
      <c r="L25" s="7" t="s">
        <v>109</v>
      </c>
      <c r="M25" s="7" t="s">
        <v>109</v>
      </c>
      <c r="N25" s="6" t="s">
        <v>1948</v>
      </c>
      <c r="O25" s="6" t="s">
        <v>61</v>
      </c>
      <c r="P25" s="7" t="s">
        <v>131</v>
      </c>
      <c r="Q25" s="7" t="s">
        <v>222</v>
      </c>
      <c r="R25" s="7" t="s">
        <v>109</v>
      </c>
      <c r="S25" s="7" t="s">
        <v>109</v>
      </c>
      <c r="T25" s="7" t="s">
        <v>109</v>
      </c>
      <c r="U25" s="108">
        <f t="shared" si="0"/>
        <v>0.97</v>
      </c>
      <c r="V25" s="7" t="s">
        <v>1945</v>
      </c>
    </row>
    <row r="26" spans="1:22" x14ac:dyDescent="0.3">
      <c r="A26" s="7">
        <v>25</v>
      </c>
      <c r="B26" s="6" t="s">
        <v>23</v>
      </c>
      <c r="C26" s="6" t="s">
        <v>1519</v>
      </c>
      <c r="D26" s="6">
        <v>50126353</v>
      </c>
      <c r="E26" s="6">
        <v>125</v>
      </c>
      <c r="F26" s="7">
        <v>209</v>
      </c>
      <c r="G26" s="7">
        <v>128</v>
      </c>
      <c r="H26" s="7" t="s">
        <v>294</v>
      </c>
      <c r="I26" s="7" t="s">
        <v>109</v>
      </c>
      <c r="J26" s="7" t="s">
        <v>130</v>
      </c>
      <c r="K26" s="11">
        <v>0.72430555555555554</v>
      </c>
      <c r="L26" s="7" t="s">
        <v>109</v>
      </c>
      <c r="M26" s="7" t="s">
        <v>109</v>
      </c>
      <c r="N26" s="6" t="s">
        <v>109</v>
      </c>
      <c r="O26" s="6" t="s">
        <v>61</v>
      </c>
      <c r="P26" s="7" t="s">
        <v>131</v>
      </c>
      <c r="Q26" s="7" t="s">
        <v>209</v>
      </c>
      <c r="R26" s="7" t="s">
        <v>109</v>
      </c>
      <c r="S26" s="7" t="s">
        <v>109</v>
      </c>
      <c r="T26" s="7" t="s">
        <v>109</v>
      </c>
      <c r="U26" s="108">
        <f t="shared" si="0"/>
        <v>1.024</v>
      </c>
      <c r="V26" s="7" t="s">
        <v>1945</v>
      </c>
    </row>
    <row r="27" spans="1:22" x14ac:dyDescent="0.3">
      <c r="A27" s="7">
        <v>26</v>
      </c>
      <c r="B27" s="6" t="s">
        <v>23</v>
      </c>
      <c r="C27" s="6" t="s">
        <v>1962</v>
      </c>
      <c r="D27" s="6">
        <v>50226036</v>
      </c>
      <c r="E27" s="6">
        <v>150</v>
      </c>
      <c r="F27" s="7">
        <v>264</v>
      </c>
      <c r="G27" s="7">
        <v>132</v>
      </c>
      <c r="H27" s="7" t="s">
        <v>1963</v>
      </c>
      <c r="I27" s="7" t="s">
        <v>109</v>
      </c>
      <c r="J27" s="7" t="s">
        <v>130</v>
      </c>
      <c r="K27" s="11">
        <v>0.85</v>
      </c>
      <c r="L27" s="7" t="s">
        <v>109</v>
      </c>
      <c r="M27" s="7" t="s">
        <v>109</v>
      </c>
      <c r="N27" s="6" t="s">
        <v>109</v>
      </c>
      <c r="O27" s="6" t="s">
        <v>61</v>
      </c>
      <c r="P27" s="7" t="s">
        <v>131</v>
      </c>
      <c r="Q27" s="7" t="s">
        <v>86</v>
      </c>
      <c r="R27" s="7" t="s">
        <v>109</v>
      </c>
      <c r="S27" s="7" t="s">
        <v>109</v>
      </c>
      <c r="T27" s="7" t="s">
        <v>109</v>
      </c>
      <c r="U27" s="108">
        <f t="shared" si="0"/>
        <v>0.88</v>
      </c>
      <c r="V27" s="7" t="s">
        <v>1954</v>
      </c>
    </row>
    <row r="28" spans="1:22" x14ac:dyDescent="0.3">
      <c r="A28" s="7">
        <v>27</v>
      </c>
      <c r="B28" s="6" t="s">
        <v>23</v>
      </c>
      <c r="C28" s="6" t="s">
        <v>1952</v>
      </c>
      <c r="D28" s="6">
        <v>50226035</v>
      </c>
      <c r="E28" s="6">
        <v>50</v>
      </c>
      <c r="F28" s="7">
        <v>46</v>
      </c>
      <c r="G28" s="7">
        <v>19</v>
      </c>
      <c r="H28" s="7" t="s">
        <v>153</v>
      </c>
      <c r="I28" s="7" t="s">
        <v>109</v>
      </c>
      <c r="J28" s="7" t="s">
        <v>130</v>
      </c>
      <c r="K28" s="7" t="s">
        <v>1998</v>
      </c>
      <c r="L28" s="7" t="s">
        <v>109</v>
      </c>
      <c r="M28" s="7" t="s">
        <v>109</v>
      </c>
      <c r="N28" s="6" t="s">
        <v>109</v>
      </c>
      <c r="O28" s="6" t="s">
        <v>61</v>
      </c>
      <c r="P28" s="7" t="s">
        <v>131</v>
      </c>
      <c r="Q28" s="7" t="s">
        <v>153</v>
      </c>
      <c r="R28" s="7" t="s">
        <v>109</v>
      </c>
      <c r="S28" s="7" t="s">
        <v>109</v>
      </c>
      <c r="T28" s="7" t="s">
        <v>109</v>
      </c>
      <c r="U28" s="108">
        <f t="shared" si="0"/>
        <v>0.38</v>
      </c>
      <c r="V28" s="7" t="s">
        <v>291</v>
      </c>
    </row>
    <row r="29" spans="1:22" x14ac:dyDescent="0.3">
      <c r="A29" s="7">
        <v>28</v>
      </c>
      <c r="B29" s="6" t="s">
        <v>23</v>
      </c>
      <c r="C29" s="6" t="s">
        <v>1964</v>
      </c>
      <c r="D29" s="6">
        <v>50226034</v>
      </c>
      <c r="E29" s="6">
        <v>150</v>
      </c>
      <c r="F29" s="7">
        <v>180</v>
      </c>
      <c r="G29" s="7">
        <v>157</v>
      </c>
      <c r="H29" s="7" t="s">
        <v>79</v>
      </c>
      <c r="I29" s="7" t="s">
        <v>109</v>
      </c>
      <c r="J29" s="7" t="s">
        <v>130</v>
      </c>
      <c r="K29" s="7" t="s">
        <v>2006</v>
      </c>
      <c r="L29" s="7" t="s">
        <v>109</v>
      </c>
      <c r="M29" s="7" t="s">
        <v>109</v>
      </c>
      <c r="N29" s="6" t="s">
        <v>109</v>
      </c>
      <c r="O29" s="6" t="s">
        <v>61</v>
      </c>
      <c r="P29" s="7" t="s">
        <v>131</v>
      </c>
      <c r="Q29" s="7" t="s">
        <v>82</v>
      </c>
      <c r="R29" s="7" t="s">
        <v>109</v>
      </c>
      <c r="S29" s="7" t="s">
        <v>109</v>
      </c>
      <c r="T29" s="7" t="s">
        <v>109</v>
      </c>
      <c r="U29" s="108">
        <f t="shared" si="0"/>
        <v>1.0466666666666666</v>
      </c>
      <c r="V29" s="7" t="s">
        <v>1945</v>
      </c>
    </row>
    <row r="30" spans="1:22" x14ac:dyDescent="0.3">
      <c r="A30" s="7">
        <v>29</v>
      </c>
      <c r="B30" s="6" t="s">
        <v>25</v>
      </c>
      <c r="C30" s="6" t="s">
        <v>1435</v>
      </c>
      <c r="D30" s="6">
        <v>40126030</v>
      </c>
      <c r="E30" s="6">
        <v>189</v>
      </c>
      <c r="F30" s="7">
        <v>190</v>
      </c>
      <c r="G30" s="7">
        <v>52</v>
      </c>
      <c r="H30" s="7" t="s">
        <v>368</v>
      </c>
      <c r="I30" s="7" t="s">
        <v>294</v>
      </c>
      <c r="J30" s="7" t="s">
        <v>130</v>
      </c>
      <c r="K30" s="11">
        <v>0.75347222222222221</v>
      </c>
      <c r="L30" s="11">
        <v>0.80486111111111114</v>
      </c>
      <c r="M30" s="7" t="s">
        <v>109</v>
      </c>
      <c r="N30" s="6" t="s">
        <v>109</v>
      </c>
      <c r="O30" s="6" t="s">
        <v>61</v>
      </c>
      <c r="P30" s="7" t="s">
        <v>131</v>
      </c>
      <c r="Q30" s="7" t="s">
        <v>88</v>
      </c>
      <c r="R30" s="7" t="s">
        <v>109</v>
      </c>
      <c r="S30" s="7" t="s">
        <v>109</v>
      </c>
      <c r="T30" s="7" t="s">
        <v>109</v>
      </c>
      <c r="U30" s="108">
        <f t="shared" si="0"/>
        <v>0.27513227513227512</v>
      </c>
      <c r="V30" s="7" t="s">
        <v>291</v>
      </c>
    </row>
    <row r="31" spans="1:22" x14ac:dyDescent="0.3">
      <c r="A31" s="7">
        <v>30</v>
      </c>
      <c r="B31" s="6" t="s">
        <v>25</v>
      </c>
      <c r="C31" s="6" t="s">
        <v>1974</v>
      </c>
      <c r="D31" s="6">
        <v>40226002</v>
      </c>
      <c r="E31" s="6">
        <v>189</v>
      </c>
      <c r="F31" s="7">
        <v>288</v>
      </c>
      <c r="G31" s="7">
        <v>194</v>
      </c>
      <c r="H31" s="7" t="s">
        <v>1975</v>
      </c>
      <c r="I31" s="7" t="s">
        <v>1976</v>
      </c>
      <c r="J31" s="7" t="s">
        <v>130</v>
      </c>
      <c r="K31" s="11">
        <v>0.73124999999999996</v>
      </c>
      <c r="L31" s="11">
        <v>0.96458333333333335</v>
      </c>
      <c r="M31" s="7" t="s">
        <v>109</v>
      </c>
      <c r="N31" s="6" t="s">
        <v>109</v>
      </c>
      <c r="O31" s="6" t="s">
        <v>61</v>
      </c>
      <c r="P31" s="7" t="s">
        <v>131</v>
      </c>
      <c r="Q31" s="7" t="s">
        <v>209</v>
      </c>
      <c r="R31" s="7" t="s">
        <v>109</v>
      </c>
      <c r="S31" s="7" t="s">
        <v>109</v>
      </c>
      <c r="T31" s="7" t="s">
        <v>109</v>
      </c>
      <c r="U31" s="108">
        <f t="shared" si="0"/>
        <v>1.0264550264550265</v>
      </c>
      <c r="V31" s="7" t="s">
        <v>1945</v>
      </c>
    </row>
    <row r="32" spans="1:22" x14ac:dyDescent="0.3">
      <c r="A32" s="7">
        <v>31</v>
      </c>
      <c r="B32" s="6" t="s">
        <v>24</v>
      </c>
      <c r="C32" s="6" t="s">
        <v>1832</v>
      </c>
      <c r="D32" s="6">
        <v>60226011</v>
      </c>
      <c r="E32" s="6">
        <v>200</v>
      </c>
      <c r="F32" s="7">
        <v>352</v>
      </c>
      <c r="G32" s="7">
        <v>148</v>
      </c>
      <c r="H32" s="7" t="s">
        <v>1979</v>
      </c>
      <c r="I32" s="7" t="s">
        <v>1996</v>
      </c>
      <c r="J32" s="7" t="s">
        <v>130</v>
      </c>
      <c r="K32" s="7" t="s">
        <v>2000</v>
      </c>
      <c r="L32" s="11">
        <v>0.99652777777777779</v>
      </c>
      <c r="M32" s="7" t="s">
        <v>109</v>
      </c>
      <c r="N32" s="6" t="s">
        <v>1980</v>
      </c>
      <c r="O32" s="6" t="s">
        <v>61</v>
      </c>
      <c r="P32" s="7" t="s">
        <v>131</v>
      </c>
      <c r="Q32" s="7" t="s">
        <v>744</v>
      </c>
      <c r="R32" s="7" t="s">
        <v>109</v>
      </c>
      <c r="S32" s="7" t="s">
        <v>109</v>
      </c>
      <c r="T32" s="7" t="s">
        <v>109</v>
      </c>
      <c r="U32" s="108">
        <f t="shared" si="0"/>
        <v>0.74</v>
      </c>
      <c r="V32" s="7" t="s">
        <v>1954</v>
      </c>
    </row>
    <row r="33" spans="1:22" x14ac:dyDescent="0.3">
      <c r="A33" s="7">
        <v>32</v>
      </c>
      <c r="B33" s="6" t="s">
        <v>24</v>
      </c>
      <c r="C33" s="6" t="s">
        <v>1834</v>
      </c>
      <c r="D33" s="6">
        <v>60226012</v>
      </c>
      <c r="E33" s="6">
        <v>200</v>
      </c>
      <c r="F33" s="7">
        <v>318</v>
      </c>
      <c r="G33" s="7">
        <v>214</v>
      </c>
      <c r="H33" s="7" t="s">
        <v>1981</v>
      </c>
      <c r="I33" s="7" t="s">
        <v>102</v>
      </c>
      <c r="J33" s="7" t="s">
        <v>130</v>
      </c>
      <c r="K33" s="11">
        <v>0.77430555555555558</v>
      </c>
      <c r="L33" s="11">
        <v>0.83402777777777781</v>
      </c>
      <c r="M33" s="7" t="s">
        <v>109</v>
      </c>
      <c r="N33" s="6" t="s">
        <v>1980</v>
      </c>
      <c r="O33" s="6" t="s">
        <v>61</v>
      </c>
      <c r="P33" s="7" t="s">
        <v>131</v>
      </c>
      <c r="Q33" s="7" t="s">
        <v>95</v>
      </c>
      <c r="R33" s="7" t="s">
        <v>109</v>
      </c>
      <c r="S33" s="7" t="s">
        <v>109</v>
      </c>
      <c r="T33" s="7" t="s">
        <v>109</v>
      </c>
      <c r="U33" s="108">
        <f t="shared" si="0"/>
        <v>1.07</v>
      </c>
      <c r="V33" s="7" t="s">
        <v>1945</v>
      </c>
    </row>
    <row r="34" spans="1:22" x14ac:dyDescent="0.3">
      <c r="A34" s="7">
        <v>33</v>
      </c>
      <c r="B34" s="6" t="s">
        <v>24</v>
      </c>
      <c r="C34" s="6" t="s">
        <v>49</v>
      </c>
      <c r="D34" s="6">
        <v>61225008</v>
      </c>
      <c r="E34" s="6">
        <v>388</v>
      </c>
      <c r="F34" s="7">
        <v>784</v>
      </c>
      <c r="G34" s="7">
        <v>192</v>
      </c>
      <c r="H34" s="7" t="s">
        <v>1988</v>
      </c>
      <c r="I34" s="7" t="s">
        <v>1989</v>
      </c>
      <c r="J34" s="7" t="s">
        <v>130</v>
      </c>
      <c r="K34" s="11">
        <v>0.82708333333333328</v>
      </c>
      <c r="L34" s="11">
        <v>1.2500000000000001E-2</v>
      </c>
      <c r="M34" s="7" t="s">
        <v>109</v>
      </c>
      <c r="N34" s="6" t="s">
        <v>109</v>
      </c>
      <c r="O34" s="6" t="s">
        <v>61</v>
      </c>
      <c r="P34" s="7" t="s">
        <v>131</v>
      </c>
      <c r="Q34" s="7" t="s">
        <v>91</v>
      </c>
      <c r="R34" s="7" t="s">
        <v>109</v>
      </c>
      <c r="S34" s="7" t="s">
        <v>109</v>
      </c>
      <c r="T34" s="7" t="s">
        <v>109</v>
      </c>
      <c r="U34" s="108">
        <f t="shared" ref="U34:U75" si="1">G34/E34</f>
        <v>0.49484536082474229</v>
      </c>
      <c r="V34" s="7" t="s">
        <v>1954</v>
      </c>
    </row>
    <row r="35" spans="1:22" x14ac:dyDescent="0.3">
      <c r="A35" s="7">
        <v>34</v>
      </c>
      <c r="B35" s="6" t="s">
        <v>24</v>
      </c>
      <c r="C35" s="6" t="s">
        <v>1827</v>
      </c>
      <c r="D35" s="6">
        <v>60925008</v>
      </c>
      <c r="E35" s="6">
        <v>66</v>
      </c>
      <c r="F35" s="7">
        <v>116</v>
      </c>
      <c r="G35" s="7">
        <v>12</v>
      </c>
      <c r="H35" s="7" t="s">
        <v>64</v>
      </c>
      <c r="I35" s="7" t="s">
        <v>86</v>
      </c>
      <c r="J35" s="7" t="s">
        <v>130</v>
      </c>
      <c r="K35" s="7" t="s">
        <v>2007</v>
      </c>
      <c r="L35" s="11">
        <v>3.8194444444444448E-2</v>
      </c>
      <c r="M35" s="7" t="s">
        <v>109</v>
      </c>
      <c r="N35" s="6" t="s">
        <v>109</v>
      </c>
      <c r="O35" s="6" t="s">
        <v>61</v>
      </c>
      <c r="P35" s="7" t="s">
        <v>131</v>
      </c>
      <c r="Q35" s="7" t="s">
        <v>744</v>
      </c>
      <c r="R35" s="7" t="s">
        <v>109</v>
      </c>
      <c r="S35" s="7" t="s">
        <v>109</v>
      </c>
      <c r="T35" s="7" t="s">
        <v>109</v>
      </c>
      <c r="U35" s="108">
        <f t="shared" si="1"/>
        <v>0.18181818181818182</v>
      </c>
      <c r="V35" s="7" t="s">
        <v>1954</v>
      </c>
    </row>
    <row r="36" spans="1:22" x14ac:dyDescent="0.3">
      <c r="A36" s="7">
        <v>35</v>
      </c>
      <c r="B36" s="6" t="s">
        <v>24</v>
      </c>
      <c r="C36" s="6" t="s">
        <v>1831</v>
      </c>
      <c r="D36" s="6">
        <v>60925007</v>
      </c>
      <c r="E36" s="6">
        <v>51</v>
      </c>
      <c r="F36" s="7">
        <v>48</v>
      </c>
      <c r="G36" s="7">
        <v>11</v>
      </c>
      <c r="H36" s="7" t="s">
        <v>222</v>
      </c>
      <c r="I36" s="7" t="s">
        <v>95</v>
      </c>
      <c r="J36" s="7" t="s">
        <v>130</v>
      </c>
      <c r="K36" s="11">
        <v>0.97847222222222219</v>
      </c>
      <c r="L36" s="11">
        <v>1.4583333333333334E-2</v>
      </c>
      <c r="M36" s="7" t="s">
        <v>109</v>
      </c>
      <c r="N36" s="6" t="s">
        <v>109</v>
      </c>
      <c r="O36" s="6" t="s">
        <v>61</v>
      </c>
      <c r="P36" s="7" t="s">
        <v>131</v>
      </c>
      <c r="Q36" s="7" t="s">
        <v>787</v>
      </c>
      <c r="R36" s="7" t="s">
        <v>109</v>
      </c>
      <c r="S36" s="7" t="s">
        <v>109</v>
      </c>
      <c r="T36" s="7" t="s">
        <v>109</v>
      </c>
      <c r="U36" s="108">
        <f t="shared" si="1"/>
        <v>0.21568627450980393</v>
      </c>
      <c r="V36" s="7" t="s">
        <v>291</v>
      </c>
    </row>
    <row r="37" spans="1:22" x14ac:dyDescent="0.3">
      <c r="A37" s="7">
        <v>36</v>
      </c>
      <c r="B37" s="6" t="s">
        <v>26</v>
      </c>
      <c r="C37" s="6" t="s">
        <v>1778</v>
      </c>
      <c r="D37" s="6">
        <v>40226001</v>
      </c>
      <c r="E37" s="6">
        <v>346</v>
      </c>
      <c r="F37" s="7">
        <v>593</v>
      </c>
      <c r="G37" s="7">
        <v>28</v>
      </c>
      <c r="H37" s="7" t="s">
        <v>1358</v>
      </c>
      <c r="I37" s="7" t="s">
        <v>1987</v>
      </c>
      <c r="J37" s="7" t="s">
        <v>130</v>
      </c>
      <c r="K37" s="11">
        <v>2.0833333333333333E-3</v>
      </c>
      <c r="L37" s="11">
        <v>1.3194444444444444E-2</v>
      </c>
      <c r="M37" s="7" t="s">
        <v>109</v>
      </c>
      <c r="N37" s="6" t="s">
        <v>109</v>
      </c>
      <c r="O37" s="6" t="s">
        <v>61</v>
      </c>
      <c r="P37" s="7" t="s">
        <v>131</v>
      </c>
      <c r="Q37" s="7" t="s">
        <v>90</v>
      </c>
      <c r="R37" s="7" t="s">
        <v>109</v>
      </c>
      <c r="S37" s="7" t="s">
        <v>109</v>
      </c>
      <c r="T37" s="7" t="s">
        <v>109</v>
      </c>
      <c r="U37" s="108">
        <f t="shared" si="1"/>
        <v>8.0924855491329481E-2</v>
      </c>
      <c r="V37" s="7" t="s">
        <v>2008</v>
      </c>
    </row>
    <row r="38" spans="1:22" x14ac:dyDescent="0.3">
      <c r="A38" s="7">
        <v>37</v>
      </c>
      <c r="B38" s="6" t="s">
        <v>26</v>
      </c>
      <c r="C38" s="6" t="s">
        <v>1391</v>
      </c>
      <c r="D38" s="6">
        <v>40126023</v>
      </c>
      <c r="E38" s="6">
        <v>375</v>
      </c>
      <c r="F38" s="7">
        <v>615</v>
      </c>
      <c r="G38" s="7">
        <v>337</v>
      </c>
      <c r="H38" s="7" t="s">
        <v>1994</v>
      </c>
      <c r="I38" s="7" t="s">
        <v>1995</v>
      </c>
      <c r="J38" s="7" t="s">
        <v>130</v>
      </c>
      <c r="K38" s="11">
        <v>2.0833333333333333E-3</v>
      </c>
      <c r="L38" s="11">
        <v>1.1805555555555555E-2</v>
      </c>
      <c r="M38" s="7" t="s">
        <v>109</v>
      </c>
      <c r="N38" s="6" t="s">
        <v>109</v>
      </c>
      <c r="O38" s="6" t="s">
        <v>61</v>
      </c>
      <c r="P38" s="7" t="s">
        <v>131</v>
      </c>
      <c r="Q38" s="7" t="s">
        <v>87</v>
      </c>
      <c r="R38" s="7" t="s">
        <v>109</v>
      </c>
      <c r="S38" s="7" t="s">
        <v>109</v>
      </c>
      <c r="T38" s="7" t="s">
        <v>109</v>
      </c>
      <c r="U38" s="108">
        <f t="shared" si="1"/>
        <v>0.89866666666666661</v>
      </c>
      <c r="V38" s="7" t="s">
        <v>1954</v>
      </c>
    </row>
    <row r="39" spans="1:22" x14ac:dyDescent="0.3">
      <c r="A39" s="7">
        <v>38</v>
      </c>
      <c r="B39" s="6" t="s">
        <v>163</v>
      </c>
      <c r="C39" s="6" t="s">
        <v>167</v>
      </c>
      <c r="D39" s="6">
        <v>40126007</v>
      </c>
      <c r="E39" s="6">
        <v>48</v>
      </c>
      <c r="F39" s="7">
        <v>112</v>
      </c>
      <c r="G39" s="7">
        <v>54</v>
      </c>
      <c r="H39" s="7" t="s">
        <v>200</v>
      </c>
      <c r="I39" s="7" t="s">
        <v>87</v>
      </c>
      <c r="J39" s="7" t="s">
        <v>130</v>
      </c>
      <c r="K39" s="11">
        <v>0.81597222222222221</v>
      </c>
      <c r="L39" s="11">
        <v>0.8833333333333333</v>
      </c>
      <c r="M39" s="7" t="s">
        <v>109</v>
      </c>
      <c r="N39" s="6" t="s">
        <v>1949</v>
      </c>
      <c r="O39" s="6" t="s">
        <v>61</v>
      </c>
      <c r="P39" s="7" t="s">
        <v>131</v>
      </c>
      <c r="Q39" s="7" t="s">
        <v>87</v>
      </c>
      <c r="R39" s="7" t="s">
        <v>109</v>
      </c>
      <c r="S39" s="7" t="s">
        <v>109</v>
      </c>
      <c r="T39" s="7" t="s">
        <v>109</v>
      </c>
      <c r="U39" s="108">
        <f t="shared" si="1"/>
        <v>1.125</v>
      </c>
      <c r="V39" s="7" t="s">
        <v>1945</v>
      </c>
    </row>
    <row r="40" spans="1:22" x14ac:dyDescent="0.3">
      <c r="A40" s="7">
        <v>39</v>
      </c>
      <c r="B40" s="6" t="s">
        <v>24</v>
      </c>
      <c r="C40" s="6" t="s">
        <v>1970</v>
      </c>
      <c r="D40" s="6">
        <v>60226014</v>
      </c>
      <c r="E40" s="6">
        <v>163</v>
      </c>
      <c r="F40" s="7">
        <v>145</v>
      </c>
      <c r="G40" s="7">
        <v>51</v>
      </c>
      <c r="H40" s="7" t="s">
        <v>1971</v>
      </c>
      <c r="I40" s="7" t="s">
        <v>154</v>
      </c>
      <c r="J40" s="7" t="s">
        <v>130</v>
      </c>
      <c r="K40" s="11">
        <v>0.74791666666666667</v>
      </c>
      <c r="L40" s="11">
        <v>0.79374999999999996</v>
      </c>
      <c r="M40" s="7" t="s">
        <v>109</v>
      </c>
      <c r="N40" s="6" t="s">
        <v>109</v>
      </c>
      <c r="O40" s="6" t="s">
        <v>61</v>
      </c>
      <c r="P40" s="7" t="s">
        <v>131</v>
      </c>
      <c r="Q40" s="7" t="s">
        <v>154</v>
      </c>
      <c r="R40" s="7" t="s">
        <v>109</v>
      </c>
      <c r="S40" s="7" t="s">
        <v>109</v>
      </c>
      <c r="T40" s="7" t="s">
        <v>109</v>
      </c>
      <c r="U40" s="108">
        <f t="shared" si="1"/>
        <v>0.31288343558282211</v>
      </c>
      <c r="V40" s="7" t="s">
        <v>291</v>
      </c>
    </row>
    <row r="41" spans="1:22" x14ac:dyDescent="0.3">
      <c r="A41" s="7">
        <v>40</v>
      </c>
      <c r="B41" s="6" t="s">
        <v>23</v>
      </c>
      <c r="C41" s="6" t="s">
        <v>843</v>
      </c>
      <c r="D41" s="6">
        <v>50126203</v>
      </c>
      <c r="E41" s="6">
        <v>65</v>
      </c>
      <c r="F41" s="7">
        <v>93</v>
      </c>
      <c r="G41" s="7">
        <v>64</v>
      </c>
      <c r="H41" s="7" t="s">
        <v>222</v>
      </c>
      <c r="I41" s="7" t="s">
        <v>109</v>
      </c>
      <c r="J41" s="7" t="s">
        <v>130</v>
      </c>
      <c r="K41" s="11">
        <v>0.67361111111111116</v>
      </c>
      <c r="L41" s="7" t="s">
        <v>109</v>
      </c>
      <c r="M41" s="7" t="s">
        <v>109</v>
      </c>
      <c r="N41" s="6" t="s">
        <v>110</v>
      </c>
      <c r="O41" s="6" t="s">
        <v>61</v>
      </c>
      <c r="P41" s="7" t="s">
        <v>131</v>
      </c>
      <c r="Q41" s="7" t="s">
        <v>222</v>
      </c>
      <c r="R41" s="7" t="s">
        <v>109</v>
      </c>
      <c r="S41" s="7" t="s">
        <v>109</v>
      </c>
      <c r="T41" s="7" t="s">
        <v>109</v>
      </c>
      <c r="U41" s="108">
        <f t="shared" si="1"/>
        <v>0.98461538461538467</v>
      </c>
      <c r="V41" s="7" t="s">
        <v>1945</v>
      </c>
    </row>
    <row r="42" spans="1:22" x14ac:dyDescent="0.3">
      <c r="A42" s="7">
        <v>41</v>
      </c>
      <c r="B42" s="6" t="s">
        <v>23</v>
      </c>
      <c r="C42" s="6" t="s">
        <v>1965</v>
      </c>
      <c r="D42" s="6">
        <v>50226030</v>
      </c>
      <c r="E42" s="6">
        <v>150</v>
      </c>
      <c r="F42" s="7">
        <v>238</v>
      </c>
      <c r="G42" s="7">
        <v>167</v>
      </c>
      <c r="H42" s="7" t="s">
        <v>1966</v>
      </c>
      <c r="I42" s="7" t="s">
        <v>109</v>
      </c>
      <c r="J42" s="7" t="s">
        <v>130</v>
      </c>
      <c r="K42" s="11">
        <v>0.69374999999999998</v>
      </c>
      <c r="L42" s="7" t="s">
        <v>109</v>
      </c>
      <c r="M42" s="7" t="s">
        <v>109</v>
      </c>
      <c r="N42" s="6" t="s">
        <v>110</v>
      </c>
      <c r="O42" s="6" t="s">
        <v>61</v>
      </c>
      <c r="P42" s="7" t="s">
        <v>131</v>
      </c>
      <c r="Q42" s="7" t="s">
        <v>95</v>
      </c>
      <c r="R42" s="7" t="s">
        <v>109</v>
      </c>
      <c r="S42" s="7" t="s">
        <v>109</v>
      </c>
      <c r="T42" s="7" t="s">
        <v>109</v>
      </c>
      <c r="U42" s="108">
        <f t="shared" si="1"/>
        <v>1.1133333333333333</v>
      </c>
      <c r="V42" s="7" t="s">
        <v>1945</v>
      </c>
    </row>
    <row r="43" spans="1:22" x14ac:dyDescent="0.3">
      <c r="A43" s="7">
        <v>42</v>
      </c>
      <c r="B43" s="6" t="s">
        <v>23</v>
      </c>
      <c r="C43" s="6" t="s">
        <v>1921</v>
      </c>
      <c r="D43" s="6">
        <v>50226017</v>
      </c>
      <c r="E43" s="6">
        <v>150</v>
      </c>
      <c r="F43" s="7">
        <v>173</v>
      </c>
      <c r="G43" s="7">
        <v>163</v>
      </c>
      <c r="H43" s="7" t="s">
        <v>1967</v>
      </c>
      <c r="I43" s="7" t="s">
        <v>109</v>
      </c>
      <c r="J43" s="7" t="s">
        <v>130</v>
      </c>
      <c r="K43" s="11">
        <v>0.74861111111111112</v>
      </c>
      <c r="L43" s="7" t="s">
        <v>109</v>
      </c>
      <c r="M43" s="7" t="s">
        <v>109</v>
      </c>
      <c r="N43" s="6" t="s">
        <v>110</v>
      </c>
      <c r="O43" s="6" t="s">
        <v>61</v>
      </c>
      <c r="P43" s="7" t="s">
        <v>131</v>
      </c>
      <c r="Q43" s="7" t="s">
        <v>69</v>
      </c>
      <c r="R43" s="7" t="s">
        <v>109</v>
      </c>
      <c r="S43" s="7" t="s">
        <v>109</v>
      </c>
      <c r="T43" s="7" t="s">
        <v>109</v>
      </c>
      <c r="U43" s="108">
        <f t="shared" si="1"/>
        <v>1.0866666666666667</v>
      </c>
      <c r="V43" s="7" t="s">
        <v>1945</v>
      </c>
    </row>
    <row r="44" spans="1:22" x14ac:dyDescent="0.3">
      <c r="A44" s="7">
        <v>43</v>
      </c>
      <c r="B44" s="6" t="s">
        <v>23</v>
      </c>
      <c r="C44" s="6" t="s">
        <v>1919</v>
      </c>
      <c r="D44" s="6">
        <v>50226021</v>
      </c>
      <c r="E44" s="6">
        <v>150</v>
      </c>
      <c r="F44" s="7">
        <v>194</v>
      </c>
      <c r="G44" s="7">
        <v>165</v>
      </c>
      <c r="H44" s="7" t="s">
        <v>1968</v>
      </c>
      <c r="I44" s="7" t="s">
        <v>109</v>
      </c>
      <c r="J44" s="7" t="s">
        <v>130</v>
      </c>
      <c r="K44" s="11">
        <v>0.77916666666666667</v>
      </c>
      <c r="L44" s="7" t="s">
        <v>109</v>
      </c>
      <c r="M44" s="7" t="s">
        <v>109</v>
      </c>
      <c r="N44" s="6" t="s">
        <v>110</v>
      </c>
      <c r="O44" s="6" t="s">
        <v>61</v>
      </c>
      <c r="P44" s="7" t="s">
        <v>131</v>
      </c>
      <c r="Q44" s="7" t="s">
        <v>65</v>
      </c>
      <c r="R44" s="7" t="s">
        <v>109</v>
      </c>
      <c r="S44" s="7" t="s">
        <v>109</v>
      </c>
      <c r="T44" s="7" t="s">
        <v>109</v>
      </c>
      <c r="U44" s="108">
        <f t="shared" si="1"/>
        <v>1.1000000000000001</v>
      </c>
      <c r="V44" s="7" t="s">
        <v>1945</v>
      </c>
    </row>
    <row r="45" spans="1:22" x14ac:dyDescent="0.3">
      <c r="A45" s="7">
        <v>44</v>
      </c>
      <c r="B45" s="6" t="s">
        <v>23</v>
      </c>
      <c r="C45" s="6" t="s">
        <v>1972</v>
      </c>
      <c r="D45" s="6">
        <v>50226033</v>
      </c>
      <c r="E45" s="6">
        <v>180</v>
      </c>
      <c r="F45" s="7">
        <v>282</v>
      </c>
      <c r="G45" s="7">
        <v>186</v>
      </c>
      <c r="H45" s="7" t="s">
        <v>1973</v>
      </c>
      <c r="I45" s="7" t="s">
        <v>109</v>
      </c>
      <c r="J45" s="7" t="s">
        <v>130</v>
      </c>
      <c r="K45" s="11">
        <v>0.76458333333333328</v>
      </c>
      <c r="L45" s="7" t="s">
        <v>109</v>
      </c>
      <c r="M45" s="7" t="s">
        <v>109</v>
      </c>
      <c r="N45" s="6" t="s">
        <v>110</v>
      </c>
      <c r="O45" s="6" t="s">
        <v>61</v>
      </c>
      <c r="P45" s="7" t="s">
        <v>131</v>
      </c>
      <c r="Q45" s="7" t="s">
        <v>93</v>
      </c>
      <c r="R45" s="7" t="s">
        <v>109</v>
      </c>
      <c r="S45" s="7" t="s">
        <v>109</v>
      </c>
      <c r="T45" s="7" t="s">
        <v>109</v>
      </c>
      <c r="U45" s="108">
        <f t="shared" si="1"/>
        <v>1.0333333333333334</v>
      </c>
      <c r="V45" s="7" t="s">
        <v>1945</v>
      </c>
    </row>
    <row r="46" spans="1:22" x14ac:dyDescent="0.3">
      <c r="A46" s="7">
        <v>45</v>
      </c>
      <c r="B46" s="6" t="s">
        <v>23</v>
      </c>
      <c r="C46" s="6" t="s">
        <v>808</v>
      </c>
      <c r="D46" s="6">
        <v>50126193</v>
      </c>
      <c r="E46" s="6">
        <v>50</v>
      </c>
      <c r="F46" s="7">
        <v>63</v>
      </c>
      <c r="G46" s="7">
        <v>51</v>
      </c>
      <c r="H46" s="7" t="s">
        <v>71</v>
      </c>
      <c r="I46" s="7" t="s">
        <v>109</v>
      </c>
      <c r="J46" s="7" t="s">
        <v>130</v>
      </c>
      <c r="K46" s="11">
        <v>0.68472222222222223</v>
      </c>
      <c r="L46" s="7" t="s">
        <v>109</v>
      </c>
      <c r="M46" s="7" t="s">
        <v>109</v>
      </c>
      <c r="N46" s="6" t="s">
        <v>109</v>
      </c>
      <c r="O46" s="6" t="s">
        <v>61</v>
      </c>
      <c r="P46" s="7" t="s">
        <v>131</v>
      </c>
      <c r="Q46" s="7" t="s">
        <v>71</v>
      </c>
      <c r="R46" s="7" t="s">
        <v>109</v>
      </c>
      <c r="S46" s="7" t="s">
        <v>109</v>
      </c>
      <c r="T46" s="7" t="s">
        <v>109</v>
      </c>
      <c r="U46" s="108">
        <f t="shared" si="1"/>
        <v>1.02</v>
      </c>
      <c r="V46" s="7" t="s">
        <v>1945</v>
      </c>
    </row>
    <row r="47" spans="1:22" x14ac:dyDescent="0.3">
      <c r="A47" s="7">
        <v>46</v>
      </c>
      <c r="B47" s="6" t="s">
        <v>23</v>
      </c>
      <c r="C47" s="6" t="s">
        <v>703</v>
      </c>
      <c r="D47" s="6">
        <v>50126159</v>
      </c>
      <c r="E47" s="6">
        <v>40</v>
      </c>
      <c r="F47" s="7">
        <v>31</v>
      </c>
      <c r="G47" s="7">
        <v>26</v>
      </c>
      <c r="H47" s="7" t="s">
        <v>70</v>
      </c>
      <c r="I47" s="7" t="s">
        <v>109</v>
      </c>
      <c r="J47" s="7" t="s">
        <v>130</v>
      </c>
      <c r="K47" s="11">
        <v>0.89236111111111116</v>
      </c>
      <c r="L47" s="7" t="s">
        <v>109</v>
      </c>
      <c r="M47" s="7" t="s">
        <v>109</v>
      </c>
      <c r="N47" s="6" t="s">
        <v>109</v>
      </c>
      <c r="O47" s="6" t="s">
        <v>61</v>
      </c>
      <c r="P47" s="7" t="s">
        <v>131</v>
      </c>
      <c r="Q47" s="7" t="s">
        <v>70</v>
      </c>
      <c r="R47" s="7" t="s">
        <v>109</v>
      </c>
      <c r="S47" s="7" t="s">
        <v>109</v>
      </c>
      <c r="T47" s="7" t="s">
        <v>109</v>
      </c>
      <c r="U47" s="108">
        <f t="shared" si="1"/>
        <v>0.65</v>
      </c>
      <c r="V47" s="7" t="s">
        <v>291</v>
      </c>
    </row>
    <row r="48" spans="1:22" x14ac:dyDescent="0.3">
      <c r="A48" s="18">
        <v>47</v>
      </c>
      <c r="B48" s="19" t="s">
        <v>23</v>
      </c>
      <c r="C48" s="19" t="s">
        <v>706</v>
      </c>
      <c r="D48" s="19">
        <v>50126162</v>
      </c>
      <c r="E48" s="19">
        <v>40</v>
      </c>
      <c r="F48" s="18" t="s">
        <v>109</v>
      </c>
      <c r="G48" s="18" t="s">
        <v>109</v>
      </c>
      <c r="H48" s="18" t="s">
        <v>64</v>
      </c>
      <c r="I48" s="18" t="s">
        <v>109</v>
      </c>
      <c r="J48" s="18" t="s">
        <v>85</v>
      </c>
      <c r="K48" s="18" t="s">
        <v>109</v>
      </c>
      <c r="L48" s="18" t="s">
        <v>109</v>
      </c>
      <c r="M48" s="18" t="s">
        <v>109</v>
      </c>
      <c r="N48" s="19" t="s">
        <v>109</v>
      </c>
      <c r="O48" s="19" t="s">
        <v>61</v>
      </c>
      <c r="P48" s="18" t="s">
        <v>109</v>
      </c>
      <c r="Q48" s="18" t="s">
        <v>109</v>
      </c>
      <c r="R48" s="18" t="s">
        <v>109</v>
      </c>
      <c r="S48" s="18" t="s">
        <v>109</v>
      </c>
      <c r="T48" s="18" t="s">
        <v>109</v>
      </c>
      <c r="U48" s="109" t="e">
        <f t="shared" si="1"/>
        <v>#VALUE!</v>
      </c>
      <c r="V48" s="18" t="s">
        <v>109</v>
      </c>
    </row>
    <row r="49" spans="1:22" x14ac:dyDescent="0.3">
      <c r="A49" s="7">
        <v>48</v>
      </c>
      <c r="B49" s="6" t="s">
        <v>23</v>
      </c>
      <c r="C49" s="6" t="s">
        <v>707</v>
      </c>
      <c r="D49" s="6">
        <v>50126169</v>
      </c>
      <c r="E49" s="6">
        <v>65</v>
      </c>
      <c r="F49" s="7">
        <v>81</v>
      </c>
      <c r="G49" s="7">
        <v>43</v>
      </c>
      <c r="H49" s="7" t="s">
        <v>274</v>
      </c>
      <c r="I49" s="7" t="s">
        <v>109</v>
      </c>
      <c r="J49" s="7" t="s">
        <v>130</v>
      </c>
      <c r="K49" s="11">
        <v>3.4027777777777775E-2</v>
      </c>
      <c r="L49" s="7" t="s">
        <v>109</v>
      </c>
      <c r="M49" s="7" t="s">
        <v>109</v>
      </c>
      <c r="N49" s="6" t="s">
        <v>109</v>
      </c>
      <c r="O49" s="6" t="s">
        <v>61</v>
      </c>
      <c r="P49" s="7" t="s">
        <v>131</v>
      </c>
      <c r="Q49" s="7" t="s">
        <v>274</v>
      </c>
      <c r="R49" s="7" t="s">
        <v>109</v>
      </c>
      <c r="S49" s="7" t="s">
        <v>109</v>
      </c>
      <c r="T49" s="7" t="s">
        <v>109</v>
      </c>
      <c r="U49" s="108">
        <f t="shared" si="1"/>
        <v>0.66153846153846152</v>
      </c>
      <c r="V49" s="7" t="s">
        <v>1954</v>
      </c>
    </row>
    <row r="50" spans="1:22" x14ac:dyDescent="0.3">
      <c r="A50" s="7">
        <v>49</v>
      </c>
      <c r="B50" s="6" t="s">
        <v>23</v>
      </c>
      <c r="C50" s="6" t="s">
        <v>709</v>
      </c>
      <c r="D50" s="6">
        <v>50126164</v>
      </c>
      <c r="E50" s="6">
        <v>65</v>
      </c>
      <c r="F50" s="7">
        <v>150</v>
      </c>
      <c r="G50" s="7">
        <v>24</v>
      </c>
      <c r="H50" s="7" t="s">
        <v>82</v>
      </c>
      <c r="I50" s="7" t="s">
        <v>109</v>
      </c>
      <c r="J50" s="7" t="s">
        <v>130</v>
      </c>
      <c r="K50" s="11">
        <v>0.70833333333333337</v>
      </c>
      <c r="L50" s="7" t="s">
        <v>109</v>
      </c>
      <c r="M50" s="7" t="s">
        <v>109</v>
      </c>
      <c r="N50" s="6" t="s">
        <v>109</v>
      </c>
      <c r="O50" s="6" t="s">
        <v>61</v>
      </c>
      <c r="P50" s="7" t="s">
        <v>131</v>
      </c>
      <c r="Q50" s="7" t="s">
        <v>82</v>
      </c>
      <c r="R50" s="7" t="s">
        <v>109</v>
      </c>
      <c r="S50" s="7" t="s">
        <v>109</v>
      </c>
      <c r="T50" s="7" t="s">
        <v>109</v>
      </c>
      <c r="U50" s="108">
        <f t="shared" si="1"/>
        <v>0.36923076923076925</v>
      </c>
      <c r="V50" s="7" t="s">
        <v>291</v>
      </c>
    </row>
    <row r="51" spans="1:22" x14ac:dyDescent="0.3">
      <c r="A51" s="7">
        <v>50</v>
      </c>
      <c r="B51" s="6" t="s">
        <v>23</v>
      </c>
      <c r="C51" s="6" t="s">
        <v>710</v>
      </c>
      <c r="D51" s="6">
        <v>50126165</v>
      </c>
      <c r="E51" s="6">
        <v>50</v>
      </c>
      <c r="F51" s="7">
        <v>65</v>
      </c>
      <c r="G51" s="7">
        <v>13</v>
      </c>
      <c r="H51" s="7" t="s">
        <v>67</v>
      </c>
      <c r="I51" s="7" t="s">
        <v>109</v>
      </c>
      <c r="J51" s="7" t="s">
        <v>130</v>
      </c>
      <c r="K51" s="11">
        <v>0.7006944444444444</v>
      </c>
      <c r="L51" s="7" t="s">
        <v>109</v>
      </c>
      <c r="M51" s="7" t="s">
        <v>109</v>
      </c>
      <c r="N51" s="6" t="s">
        <v>109</v>
      </c>
      <c r="O51" s="6" t="s">
        <v>61</v>
      </c>
      <c r="P51" s="7" t="s">
        <v>131</v>
      </c>
      <c r="Q51" s="7" t="s">
        <v>67</v>
      </c>
      <c r="R51" s="7" t="s">
        <v>109</v>
      </c>
      <c r="S51" s="7" t="s">
        <v>109</v>
      </c>
      <c r="T51" s="7" t="s">
        <v>109</v>
      </c>
      <c r="U51" s="108">
        <f t="shared" si="1"/>
        <v>0.26</v>
      </c>
      <c r="V51" s="7" t="s">
        <v>291</v>
      </c>
    </row>
    <row r="52" spans="1:22" x14ac:dyDescent="0.3">
      <c r="A52" s="7">
        <v>51</v>
      </c>
      <c r="B52" s="6" t="s">
        <v>23</v>
      </c>
      <c r="C52" s="6" t="s">
        <v>713</v>
      </c>
      <c r="D52" s="6">
        <v>50126167</v>
      </c>
      <c r="E52" s="6">
        <v>50</v>
      </c>
      <c r="F52" s="7">
        <v>101</v>
      </c>
      <c r="G52" s="7">
        <v>52</v>
      </c>
      <c r="H52" s="7" t="s">
        <v>196</v>
      </c>
      <c r="I52" s="7" t="s">
        <v>109</v>
      </c>
      <c r="J52" s="7" t="s">
        <v>130</v>
      </c>
      <c r="K52" s="11">
        <v>0.67569444444444449</v>
      </c>
      <c r="L52" s="7" t="s">
        <v>109</v>
      </c>
      <c r="M52" s="7" t="s">
        <v>109</v>
      </c>
      <c r="N52" s="6" t="s">
        <v>109</v>
      </c>
      <c r="O52" s="6" t="s">
        <v>61</v>
      </c>
      <c r="P52" s="7" t="s">
        <v>131</v>
      </c>
      <c r="Q52" s="7" t="s">
        <v>196</v>
      </c>
      <c r="R52" s="7" t="s">
        <v>109</v>
      </c>
      <c r="S52" s="7" t="s">
        <v>109</v>
      </c>
      <c r="T52" s="7" t="s">
        <v>109</v>
      </c>
      <c r="U52" s="108">
        <f t="shared" si="1"/>
        <v>1.04</v>
      </c>
      <c r="V52" s="7" t="s">
        <v>1945</v>
      </c>
    </row>
    <row r="53" spans="1:22" x14ac:dyDescent="0.3">
      <c r="A53" s="7">
        <v>52</v>
      </c>
      <c r="B53" s="6" t="s">
        <v>23</v>
      </c>
      <c r="C53" s="6" t="s">
        <v>714</v>
      </c>
      <c r="D53" s="6">
        <v>50126168</v>
      </c>
      <c r="E53" s="6">
        <v>80</v>
      </c>
      <c r="F53" s="7">
        <v>92</v>
      </c>
      <c r="G53" s="7">
        <v>16</v>
      </c>
      <c r="H53" s="7" t="s">
        <v>200</v>
      </c>
      <c r="I53" s="7" t="s">
        <v>109</v>
      </c>
      <c r="J53" s="7" t="s">
        <v>130</v>
      </c>
      <c r="K53" s="11">
        <v>0.75069444444444444</v>
      </c>
      <c r="L53" s="7" t="s">
        <v>109</v>
      </c>
      <c r="M53" s="7" t="s">
        <v>109</v>
      </c>
      <c r="N53" s="6" t="s">
        <v>109</v>
      </c>
      <c r="O53" s="6" t="s">
        <v>61</v>
      </c>
      <c r="P53" s="7" t="s">
        <v>131</v>
      </c>
      <c r="Q53" s="7" t="s">
        <v>200</v>
      </c>
      <c r="R53" s="7" t="s">
        <v>109</v>
      </c>
      <c r="S53" s="7" t="s">
        <v>109</v>
      </c>
      <c r="T53" s="7" t="s">
        <v>109</v>
      </c>
      <c r="U53" s="108">
        <f t="shared" si="1"/>
        <v>0.2</v>
      </c>
      <c r="V53" s="7" t="s">
        <v>291</v>
      </c>
    </row>
    <row r="54" spans="1:22" x14ac:dyDescent="0.3">
      <c r="A54" s="7">
        <v>53</v>
      </c>
      <c r="B54" s="6" t="s">
        <v>23</v>
      </c>
      <c r="C54" s="6" t="s">
        <v>818</v>
      </c>
      <c r="D54" s="6">
        <v>50126219</v>
      </c>
      <c r="E54" s="6">
        <v>80</v>
      </c>
      <c r="F54" s="7">
        <v>110</v>
      </c>
      <c r="G54" s="7">
        <v>56</v>
      </c>
      <c r="H54" s="7" t="s">
        <v>69</v>
      </c>
      <c r="I54" s="7" t="s">
        <v>109</v>
      </c>
      <c r="J54" s="7" t="s">
        <v>130</v>
      </c>
      <c r="K54" s="11">
        <v>0.6430555555555556</v>
      </c>
      <c r="L54" s="7" t="s">
        <v>109</v>
      </c>
      <c r="M54" s="7" t="s">
        <v>109</v>
      </c>
      <c r="N54" s="6" t="s">
        <v>109</v>
      </c>
      <c r="O54" s="6" t="s">
        <v>61</v>
      </c>
      <c r="P54" s="7" t="s">
        <v>131</v>
      </c>
      <c r="Q54" s="7" t="s">
        <v>69</v>
      </c>
      <c r="R54" s="7" t="s">
        <v>109</v>
      </c>
      <c r="S54" s="7" t="s">
        <v>109</v>
      </c>
      <c r="T54" s="7" t="s">
        <v>109</v>
      </c>
      <c r="U54" s="108">
        <f t="shared" si="1"/>
        <v>0.7</v>
      </c>
      <c r="V54" s="7" t="s">
        <v>1954</v>
      </c>
    </row>
    <row r="55" spans="1:22" x14ac:dyDescent="0.3">
      <c r="A55" s="7">
        <v>54</v>
      </c>
      <c r="B55" s="6" t="s">
        <v>23</v>
      </c>
      <c r="C55" s="6" t="s">
        <v>822</v>
      </c>
      <c r="D55" s="6">
        <v>50126220</v>
      </c>
      <c r="E55" s="6">
        <v>40</v>
      </c>
      <c r="F55" s="7">
        <v>60</v>
      </c>
      <c r="G55" s="7">
        <v>48</v>
      </c>
      <c r="H55" s="7" t="s">
        <v>153</v>
      </c>
      <c r="I55" s="7" t="s">
        <v>109</v>
      </c>
      <c r="J55" s="7" t="s">
        <v>130</v>
      </c>
      <c r="K55" s="11">
        <v>3.6111111111111108E-2</v>
      </c>
      <c r="L55" s="7" t="s">
        <v>109</v>
      </c>
      <c r="M55" s="7" t="s">
        <v>109</v>
      </c>
      <c r="N55" s="6" t="s">
        <v>109</v>
      </c>
      <c r="O55" s="6" t="s">
        <v>61</v>
      </c>
      <c r="P55" s="7" t="s">
        <v>131</v>
      </c>
      <c r="Q55" s="7" t="s">
        <v>154</v>
      </c>
      <c r="R55" s="7" t="s">
        <v>109</v>
      </c>
      <c r="S55" s="7" t="s">
        <v>109</v>
      </c>
      <c r="T55" s="7" t="s">
        <v>109</v>
      </c>
      <c r="U55" s="108">
        <f t="shared" si="1"/>
        <v>1.2</v>
      </c>
      <c r="V55" s="7" t="s">
        <v>1945</v>
      </c>
    </row>
    <row r="56" spans="1:22" x14ac:dyDescent="0.3">
      <c r="A56" s="7">
        <v>55</v>
      </c>
      <c r="B56" s="6" t="s">
        <v>23</v>
      </c>
      <c r="C56" s="6" t="s">
        <v>1657</v>
      </c>
      <c r="D56" s="6">
        <v>50126380</v>
      </c>
      <c r="E56" s="6">
        <v>85</v>
      </c>
      <c r="F56" s="7">
        <v>123</v>
      </c>
      <c r="G56" s="7">
        <v>85</v>
      </c>
      <c r="H56" s="7" t="s">
        <v>71</v>
      </c>
      <c r="I56" s="7" t="s">
        <v>109</v>
      </c>
      <c r="J56" s="7" t="s">
        <v>130</v>
      </c>
      <c r="K56" s="11">
        <v>0.73402777777777772</v>
      </c>
      <c r="L56" s="7" t="s">
        <v>109</v>
      </c>
      <c r="M56" s="7" t="s">
        <v>109</v>
      </c>
      <c r="N56" s="6" t="s">
        <v>109</v>
      </c>
      <c r="O56" s="6" t="s">
        <v>61</v>
      </c>
      <c r="P56" s="7" t="s">
        <v>131</v>
      </c>
      <c r="Q56" s="7" t="s">
        <v>71</v>
      </c>
      <c r="R56" s="7" t="s">
        <v>109</v>
      </c>
      <c r="S56" s="7" t="s">
        <v>109</v>
      </c>
      <c r="T56" s="7" t="s">
        <v>109</v>
      </c>
      <c r="U56" s="108">
        <f t="shared" si="1"/>
        <v>1</v>
      </c>
      <c r="V56" s="7" t="s">
        <v>1945</v>
      </c>
    </row>
    <row r="57" spans="1:22" x14ac:dyDescent="0.3">
      <c r="A57" s="7">
        <v>56</v>
      </c>
      <c r="B57" s="6" t="s">
        <v>23</v>
      </c>
      <c r="C57" s="6" t="s">
        <v>738</v>
      </c>
      <c r="D57" s="6">
        <v>50126135</v>
      </c>
      <c r="E57" s="6">
        <v>50</v>
      </c>
      <c r="F57" s="7">
        <v>58</v>
      </c>
      <c r="G57" s="7">
        <v>49</v>
      </c>
      <c r="H57" s="7" t="s">
        <v>66</v>
      </c>
      <c r="I57" s="7" t="s">
        <v>109</v>
      </c>
      <c r="J57" s="7" t="s">
        <v>130</v>
      </c>
      <c r="K57" s="7" t="s">
        <v>1953</v>
      </c>
      <c r="L57" s="7" t="s">
        <v>109</v>
      </c>
      <c r="M57" s="7" t="s">
        <v>109</v>
      </c>
      <c r="N57" s="6" t="s">
        <v>109</v>
      </c>
      <c r="O57" s="6" t="s">
        <v>61</v>
      </c>
      <c r="P57" s="7" t="s">
        <v>131</v>
      </c>
      <c r="Q57" s="7" t="s">
        <v>66</v>
      </c>
      <c r="R57" s="7" t="s">
        <v>109</v>
      </c>
      <c r="S57" s="7" t="s">
        <v>109</v>
      </c>
      <c r="T57" s="7" t="s">
        <v>109</v>
      </c>
      <c r="U57" s="108">
        <f t="shared" si="1"/>
        <v>0.98</v>
      </c>
      <c r="V57" s="7" t="s">
        <v>1945</v>
      </c>
    </row>
    <row r="58" spans="1:22" x14ac:dyDescent="0.3">
      <c r="A58" s="7">
        <v>57</v>
      </c>
      <c r="B58" s="6" t="s">
        <v>23</v>
      </c>
      <c r="C58" s="6" t="s">
        <v>734</v>
      </c>
      <c r="D58" s="6">
        <v>50126131</v>
      </c>
      <c r="E58" s="6">
        <v>50</v>
      </c>
      <c r="F58" s="7">
        <v>63</v>
      </c>
      <c r="G58" s="7">
        <v>53</v>
      </c>
      <c r="H58" s="7" t="s">
        <v>214</v>
      </c>
      <c r="I58" s="7" t="s">
        <v>109</v>
      </c>
      <c r="J58" s="7" t="s">
        <v>130</v>
      </c>
      <c r="K58" s="11">
        <v>0.68402777777777779</v>
      </c>
      <c r="L58" s="7" t="s">
        <v>109</v>
      </c>
      <c r="M58" s="7" t="s">
        <v>109</v>
      </c>
      <c r="N58" s="6" t="s">
        <v>109</v>
      </c>
      <c r="O58" s="6" t="s">
        <v>61</v>
      </c>
      <c r="P58" s="7" t="s">
        <v>131</v>
      </c>
      <c r="Q58" s="7" t="s">
        <v>214</v>
      </c>
      <c r="R58" s="7" t="s">
        <v>109</v>
      </c>
      <c r="S58" s="7" t="s">
        <v>109</v>
      </c>
      <c r="T58" s="7" t="s">
        <v>109</v>
      </c>
      <c r="U58" s="108">
        <f t="shared" si="1"/>
        <v>1.06</v>
      </c>
      <c r="V58" s="7" t="s">
        <v>1945</v>
      </c>
    </row>
    <row r="59" spans="1:22" x14ac:dyDescent="0.3">
      <c r="A59" s="7">
        <v>58</v>
      </c>
      <c r="B59" s="6" t="s">
        <v>23</v>
      </c>
      <c r="C59" s="6" t="s">
        <v>830</v>
      </c>
      <c r="D59" s="6">
        <v>50126173</v>
      </c>
      <c r="E59" s="6">
        <v>65</v>
      </c>
      <c r="F59" s="7">
        <v>144</v>
      </c>
      <c r="G59" s="7">
        <v>50</v>
      </c>
      <c r="H59" s="7" t="s">
        <v>67</v>
      </c>
      <c r="I59" s="7" t="s">
        <v>109</v>
      </c>
      <c r="J59" s="7" t="s">
        <v>130</v>
      </c>
      <c r="K59" s="11">
        <v>0.75416666666666665</v>
      </c>
      <c r="L59" s="7" t="s">
        <v>109</v>
      </c>
      <c r="M59" s="7" t="s">
        <v>109</v>
      </c>
      <c r="N59" s="6" t="s">
        <v>109</v>
      </c>
      <c r="O59" s="6" t="s">
        <v>61</v>
      </c>
      <c r="P59" s="7" t="s">
        <v>131</v>
      </c>
      <c r="Q59" s="7" t="s">
        <v>67</v>
      </c>
      <c r="R59" s="7" t="s">
        <v>109</v>
      </c>
      <c r="S59" s="7" t="s">
        <v>109</v>
      </c>
      <c r="T59" s="7" t="s">
        <v>109</v>
      </c>
      <c r="U59" s="108">
        <f t="shared" si="1"/>
        <v>0.76923076923076927</v>
      </c>
      <c r="V59" s="7" t="s">
        <v>1954</v>
      </c>
    </row>
    <row r="60" spans="1:22" x14ac:dyDescent="0.3">
      <c r="A60" s="7">
        <v>59</v>
      </c>
      <c r="B60" s="6" t="s">
        <v>23</v>
      </c>
      <c r="C60" s="6" t="s">
        <v>530</v>
      </c>
      <c r="D60" s="6">
        <v>50126056</v>
      </c>
      <c r="E60" s="6">
        <v>65</v>
      </c>
      <c r="F60" s="7">
        <v>91</v>
      </c>
      <c r="G60" s="7">
        <v>68</v>
      </c>
      <c r="H60" s="7" t="s">
        <v>70</v>
      </c>
      <c r="I60" s="7" t="s">
        <v>109</v>
      </c>
      <c r="J60" s="7" t="s">
        <v>130</v>
      </c>
      <c r="K60" s="11">
        <v>0.67708333333333337</v>
      </c>
      <c r="L60" s="7" t="s">
        <v>109</v>
      </c>
      <c r="M60" s="7" t="s">
        <v>109</v>
      </c>
      <c r="N60" s="6" t="s">
        <v>109</v>
      </c>
      <c r="O60" s="6" t="s">
        <v>61</v>
      </c>
      <c r="P60" s="7" t="s">
        <v>131</v>
      </c>
      <c r="Q60" s="7" t="s">
        <v>70</v>
      </c>
      <c r="R60" s="7" t="s">
        <v>109</v>
      </c>
      <c r="S60" s="7" t="s">
        <v>109</v>
      </c>
      <c r="T60" s="7" t="s">
        <v>109</v>
      </c>
      <c r="U60" s="108">
        <f t="shared" si="1"/>
        <v>1.0461538461538462</v>
      </c>
      <c r="V60" s="7" t="s">
        <v>1945</v>
      </c>
    </row>
    <row r="61" spans="1:22" x14ac:dyDescent="0.3">
      <c r="A61" s="7">
        <v>60</v>
      </c>
      <c r="B61" s="6" t="s">
        <v>23</v>
      </c>
      <c r="C61" s="6" t="s">
        <v>932</v>
      </c>
      <c r="D61" s="6">
        <v>50126263</v>
      </c>
      <c r="E61" s="6">
        <v>150</v>
      </c>
      <c r="F61" s="7">
        <v>294</v>
      </c>
      <c r="G61" s="7">
        <v>113</v>
      </c>
      <c r="H61" s="7" t="s">
        <v>1969</v>
      </c>
      <c r="I61" s="7" t="s">
        <v>109</v>
      </c>
      <c r="J61" s="7" t="s">
        <v>130</v>
      </c>
      <c r="K61" s="11">
        <v>0.78749999999999998</v>
      </c>
      <c r="L61" s="7" t="s">
        <v>109</v>
      </c>
      <c r="M61" s="7" t="s">
        <v>109</v>
      </c>
      <c r="N61" s="6" t="s">
        <v>109</v>
      </c>
      <c r="O61" s="6" t="s">
        <v>61</v>
      </c>
      <c r="P61" s="7" t="s">
        <v>131</v>
      </c>
      <c r="Q61" s="7" t="s">
        <v>90</v>
      </c>
      <c r="R61" s="7" t="s">
        <v>109</v>
      </c>
      <c r="S61" s="7" t="s">
        <v>109</v>
      </c>
      <c r="T61" s="7" t="s">
        <v>109</v>
      </c>
      <c r="U61" s="108">
        <f t="shared" si="1"/>
        <v>0.7533333333333333</v>
      </c>
      <c r="V61" s="7" t="s">
        <v>1954</v>
      </c>
    </row>
    <row r="62" spans="1:22" x14ac:dyDescent="0.3">
      <c r="A62" s="7">
        <v>61</v>
      </c>
      <c r="B62" s="6" t="s">
        <v>23</v>
      </c>
      <c r="C62" s="6" t="s">
        <v>841</v>
      </c>
      <c r="D62" s="6">
        <v>50126201</v>
      </c>
      <c r="E62" s="6">
        <v>80</v>
      </c>
      <c r="F62" s="7">
        <v>90</v>
      </c>
      <c r="G62" s="7">
        <v>46</v>
      </c>
      <c r="H62" s="7" t="s">
        <v>84</v>
      </c>
      <c r="I62" s="7" t="s">
        <v>109</v>
      </c>
      <c r="J62" s="7" t="s">
        <v>130</v>
      </c>
      <c r="K62" s="11">
        <v>4.583333333333333E-2</v>
      </c>
      <c r="L62" s="7" t="s">
        <v>109</v>
      </c>
      <c r="M62" s="7" t="s">
        <v>109</v>
      </c>
      <c r="N62" s="6" t="s">
        <v>109</v>
      </c>
      <c r="O62" s="6" t="s">
        <v>61</v>
      </c>
      <c r="P62" s="7" t="s">
        <v>131</v>
      </c>
      <c r="Q62" s="7" t="s">
        <v>84</v>
      </c>
      <c r="R62" s="7" t="s">
        <v>109</v>
      </c>
      <c r="S62" s="7" t="s">
        <v>109</v>
      </c>
      <c r="T62" s="7" t="s">
        <v>109</v>
      </c>
      <c r="U62" s="108">
        <f t="shared" si="1"/>
        <v>0.57499999999999996</v>
      </c>
      <c r="V62" s="7" t="s">
        <v>1954</v>
      </c>
    </row>
    <row r="63" spans="1:22" x14ac:dyDescent="0.3">
      <c r="A63" s="7">
        <v>62</v>
      </c>
      <c r="B63" s="6" t="s">
        <v>23</v>
      </c>
      <c r="C63" s="6" t="s">
        <v>1917</v>
      </c>
      <c r="D63" s="6">
        <v>50226023</v>
      </c>
      <c r="E63" s="6">
        <v>80</v>
      </c>
      <c r="F63" s="7">
        <v>112</v>
      </c>
      <c r="G63" s="7">
        <v>81</v>
      </c>
      <c r="H63" s="7" t="s">
        <v>71</v>
      </c>
      <c r="I63" s="7" t="s">
        <v>109</v>
      </c>
      <c r="J63" s="7" t="s">
        <v>130</v>
      </c>
      <c r="K63" s="11">
        <v>1.3888888888888888E-2</v>
      </c>
      <c r="L63" s="7" t="s">
        <v>109</v>
      </c>
      <c r="M63" s="7" t="s">
        <v>109</v>
      </c>
      <c r="N63" s="6" t="s">
        <v>109</v>
      </c>
      <c r="O63" s="6" t="s">
        <v>61</v>
      </c>
      <c r="P63" s="7" t="s">
        <v>131</v>
      </c>
      <c r="Q63" s="7" t="s">
        <v>71</v>
      </c>
      <c r="R63" s="7" t="s">
        <v>109</v>
      </c>
      <c r="S63" s="7" t="s">
        <v>109</v>
      </c>
      <c r="T63" s="7" t="s">
        <v>109</v>
      </c>
      <c r="U63" s="108">
        <f t="shared" si="1"/>
        <v>1.0125</v>
      </c>
      <c r="V63" s="7" t="s">
        <v>1945</v>
      </c>
    </row>
    <row r="64" spans="1:22" x14ac:dyDescent="0.3">
      <c r="A64" s="7">
        <v>63</v>
      </c>
      <c r="B64" s="110" t="s">
        <v>170</v>
      </c>
      <c r="C64" s="110" t="s">
        <v>408</v>
      </c>
      <c r="D64" s="110">
        <v>41025030</v>
      </c>
      <c r="E64" s="110">
        <v>275</v>
      </c>
      <c r="F64" s="7">
        <v>226</v>
      </c>
      <c r="G64" s="7">
        <v>17</v>
      </c>
      <c r="H64" s="7" t="s">
        <v>254</v>
      </c>
      <c r="I64" s="7" t="s">
        <v>1983</v>
      </c>
      <c r="J64" s="7" t="s">
        <v>130</v>
      </c>
      <c r="K64" s="11">
        <v>0.65208333333333335</v>
      </c>
      <c r="L64" s="11">
        <v>0.72361111111111109</v>
      </c>
      <c r="M64" s="7" t="s">
        <v>109</v>
      </c>
      <c r="N64" s="110" t="s">
        <v>1984</v>
      </c>
      <c r="O64" s="110" t="s">
        <v>61</v>
      </c>
      <c r="P64" s="7" t="s">
        <v>131</v>
      </c>
      <c r="Q64" s="7" t="s">
        <v>90</v>
      </c>
      <c r="R64" s="7" t="s">
        <v>109</v>
      </c>
      <c r="S64" s="7" t="s">
        <v>109</v>
      </c>
      <c r="T64" s="7" t="s">
        <v>109</v>
      </c>
      <c r="U64" s="108">
        <f t="shared" si="1"/>
        <v>6.1818181818181821E-2</v>
      </c>
      <c r="V64" s="7" t="s">
        <v>291</v>
      </c>
    </row>
    <row r="65" spans="1:22" x14ac:dyDescent="0.3">
      <c r="A65" s="7">
        <v>64</v>
      </c>
      <c r="B65" s="110" t="s">
        <v>411</v>
      </c>
      <c r="C65" s="110" t="s">
        <v>1357</v>
      </c>
      <c r="D65" s="110">
        <v>30126010</v>
      </c>
      <c r="E65" s="110">
        <v>275</v>
      </c>
      <c r="F65" s="7">
        <v>556</v>
      </c>
      <c r="G65" s="7">
        <v>88</v>
      </c>
      <c r="H65" s="7" t="s">
        <v>1985</v>
      </c>
      <c r="I65" s="7" t="s">
        <v>1986</v>
      </c>
      <c r="J65" s="7" t="s">
        <v>130</v>
      </c>
      <c r="K65" s="11">
        <v>0.8305555555555556</v>
      </c>
      <c r="L65" s="11">
        <v>0.97013888888888888</v>
      </c>
      <c r="M65" s="7" t="s">
        <v>109</v>
      </c>
      <c r="N65" s="110" t="s">
        <v>1845</v>
      </c>
      <c r="O65" s="110" t="s">
        <v>61</v>
      </c>
      <c r="P65" s="7" t="s">
        <v>131</v>
      </c>
      <c r="Q65" s="7" t="s">
        <v>93</v>
      </c>
      <c r="R65" s="7" t="s">
        <v>109</v>
      </c>
      <c r="S65" s="7" t="s">
        <v>109</v>
      </c>
      <c r="T65" s="7" t="s">
        <v>109</v>
      </c>
      <c r="U65" s="108">
        <f t="shared" si="1"/>
        <v>0.32</v>
      </c>
      <c r="V65" s="7" t="s">
        <v>1954</v>
      </c>
    </row>
    <row r="66" spans="1:22" x14ac:dyDescent="0.3">
      <c r="A66" s="7">
        <v>65</v>
      </c>
      <c r="B66" s="110" t="s">
        <v>411</v>
      </c>
      <c r="C66" s="110" t="s">
        <v>1360</v>
      </c>
      <c r="D66" s="110">
        <v>30126011</v>
      </c>
      <c r="E66" s="110">
        <v>312</v>
      </c>
      <c r="F66" s="7">
        <v>713</v>
      </c>
      <c r="G66" s="7">
        <v>92</v>
      </c>
      <c r="H66" s="7" t="s">
        <v>1993</v>
      </c>
      <c r="I66" s="7" t="s">
        <v>285</v>
      </c>
      <c r="J66" s="7" t="s">
        <v>130</v>
      </c>
      <c r="K66" s="11">
        <v>0.97013888888888888</v>
      </c>
      <c r="L66" s="11">
        <v>1.8749999999999999E-2</v>
      </c>
      <c r="M66" s="7" t="s">
        <v>109</v>
      </c>
      <c r="N66" s="110" t="s">
        <v>1845</v>
      </c>
      <c r="O66" s="110" t="s">
        <v>61</v>
      </c>
      <c r="P66" s="7" t="s">
        <v>131</v>
      </c>
      <c r="Q66" s="7" t="s">
        <v>93</v>
      </c>
      <c r="R66" s="7" t="s">
        <v>109</v>
      </c>
      <c r="S66" s="7" t="s">
        <v>109</v>
      </c>
      <c r="T66" s="7" t="s">
        <v>109</v>
      </c>
      <c r="U66" s="108">
        <f t="shared" si="1"/>
        <v>0.29487179487179488</v>
      </c>
      <c r="V66" s="7" t="s">
        <v>1954</v>
      </c>
    </row>
    <row r="67" spans="1:22" x14ac:dyDescent="0.3">
      <c r="A67" s="7">
        <v>66</v>
      </c>
      <c r="B67" s="110" t="s">
        <v>402</v>
      </c>
      <c r="C67" s="110" t="s">
        <v>1667</v>
      </c>
      <c r="D67" s="110">
        <v>10126048</v>
      </c>
      <c r="E67" s="110">
        <v>65</v>
      </c>
      <c r="F67" s="7" t="s">
        <v>109</v>
      </c>
      <c r="G67" s="7" t="s">
        <v>109</v>
      </c>
      <c r="H67" s="7" t="s">
        <v>86</v>
      </c>
      <c r="I67" s="7" t="s">
        <v>109</v>
      </c>
      <c r="J67" s="7" t="s">
        <v>109</v>
      </c>
      <c r="K67" s="7" t="s">
        <v>109</v>
      </c>
      <c r="L67" s="7" t="s">
        <v>109</v>
      </c>
      <c r="M67" s="7" t="s">
        <v>109</v>
      </c>
      <c r="N67" s="7" t="s">
        <v>109</v>
      </c>
      <c r="O67" s="110" t="s">
        <v>61</v>
      </c>
      <c r="P67" s="7" t="s">
        <v>109</v>
      </c>
      <c r="Q67" s="7" t="s">
        <v>109</v>
      </c>
      <c r="R67" s="7" t="s">
        <v>109</v>
      </c>
      <c r="S67" s="7" t="s">
        <v>109</v>
      </c>
      <c r="T67" s="7" t="s">
        <v>109</v>
      </c>
      <c r="U67" s="108" t="e">
        <f t="shared" si="1"/>
        <v>#VALUE!</v>
      </c>
      <c r="V67" s="7" t="s">
        <v>109</v>
      </c>
    </row>
    <row r="68" spans="1:22" x14ac:dyDescent="0.3">
      <c r="A68" s="7">
        <v>67</v>
      </c>
      <c r="B68" s="110" t="s">
        <v>135</v>
      </c>
      <c r="C68" s="110" t="s">
        <v>667</v>
      </c>
      <c r="D68" s="110">
        <v>20126007</v>
      </c>
      <c r="E68" s="110">
        <v>2</v>
      </c>
      <c r="F68" s="7">
        <v>2</v>
      </c>
      <c r="G68" s="7">
        <v>2</v>
      </c>
      <c r="H68" s="7" t="s">
        <v>2002</v>
      </c>
      <c r="I68" s="7" t="s">
        <v>109</v>
      </c>
      <c r="J68" s="7" t="s">
        <v>130</v>
      </c>
      <c r="K68" s="11">
        <v>0.99861111111111112</v>
      </c>
      <c r="L68" s="11" t="s">
        <v>109</v>
      </c>
      <c r="M68" s="7" t="s">
        <v>109</v>
      </c>
      <c r="N68" s="7" t="s">
        <v>109</v>
      </c>
      <c r="O68" s="7" t="s">
        <v>606</v>
      </c>
      <c r="P68" s="7" t="s">
        <v>131</v>
      </c>
      <c r="Q68" s="7" t="s">
        <v>90</v>
      </c>
      <c r="R68" s="7" t="s">
        <v>109</v>
      </c>
      <c r="S68" s="7" t="s">
        <v>109</v>
      </c>
      <c r="T68" s="7" t="s">
        <v>109</v>
      </c>
      <c r="U68" s="108">
        <f t="shared" si="1"/>
        <v>1</v>
      </c>
      <c r="V68" s="7" t="s">
        <v>291</v>
      </c>
    </row>
    <row r="69" spans="1:22" x14ac:dyDescent="0.3">
      <c r="A69" s="7">
        <v>68</v>
      </c>
      <c r="B69" s="110" t="s">
        <v>135</v>
      </c>
      <c r="C69" s="110" t="s">
        <v>668</v>
      </c>
      <c r="D69" s="110">
        <v>20126009</v>
      </c>
      <c r="E69" s="110">
        <v>6</v>
      </c>
      <c r="F69" s="7">
        <v>4</v>
      </c>
      <c r="G69" s="7">
        <v>3</v>
      </c>
      <c r="H69" s="7" t="s">
        <v>154</v>
      </c>
      <c r="I69" s="7" t="s">
        <v>109</v>
      </c>
      <c r="J69" s="7" t="s">
        <v>130</v>
      </c>
      <c r="K69" s="11">
        <v>1.3888888888888889E-3</v>
      </c>
      <c r="L69" s="11" t="s">
        <v>109</v>
      </c>
      <c r="M69" s="7" t="s">
        <v>109</v>
      </c>
      <c r="N69" s="7" t="s">
        <v>109</v>
      </c>
      <c r="O69" s="7" t="s">
        <v>606</v>
      </c>
      <c r="P69" s="7" t="s">
        <v>131</v>
      </c>
      <c r="Q69" s="7" t="s">
        <v>154</v>
      </c>
      <c r="R69" s="7" t="s">
        <v>109</v>
      </c>
      <c r="S69" s="7" t="s">
        <v>109</v>
      </c>
      <c r="T69" s="7" t="s">
        <v>109</v>
      </c>
      <c r="U69" s="108">
        <f t="shared" si="1"/>
        <v>0.5</v>
      </c>
      <c r="V69" s="7" t="s">
        <v>291</v>
      </c>
    </row>
    <row r="70" spans="1:22" x14ac:dyDescent="0.3">
      <c r="A70" s="7">
        <v>69</v>
      </c>
      <c r="B70" s="110" t="s">
        <v>135</v>
      </c>
      <c r="C70" s="110" t="s">
        <v>671</v>
      </c>
      <c r="D70" s="110">
        <v>20126010</v>
      </c>
      <c r="E70" s="7">
        <v>8</v>
      </c>
      <c r="F70" s="7">
        <v>7</v>
      </c>
      <c r="G70" s="7">
        <v>3</v>
      </c>
      <c r="H70" s="7" t="s">
        <v>95</v>
      </c>
      <c r="I70" s="7" t="s">
        <v>109</v>
      </c>
      <c r="J70" s="7" t="s">
        <v>130</v>
      </c>
      <c r="K70" s="11">
        <v>7.6388888888888886E-3</v>
      </c>
      <c r="L70" s="11" t="s">
        <v>109</v>
      </c>
      <c r="M70" s="7" t="s">
        <v>109</v>
      </c>
      <c r="N70" s="7" t="s">
        <v>109</v>
      </c>
      <c r="O70" s="7" t="s">
        <v>606</v>
      </c>
      <c r="P70" s="7" t="s">
        <v>131</v>
      </c>
      <c r="Q70" s="7" t="s">
        <v>95</v>
      </c>
      <c r="R70" s="7" t="s">
        <v>109</v>
      </c>
      <c r="S70" s="7" t="s">
        <v>109</v>
      </c>
      <c r="T70" s="7" t="s">
        <v>109</v>
      </c>
      <c r="U70" s="108">
        <f t="shared" si="1"/>
        <v>0.375</v>
      </c>
      <c r="V70" s="7" t="s">
        <v>291</v>
      </c>
    </row>
    <row r="71" spans="1:22" x14ac:dyDescent="0.3">
      <c r="A71" s="7">
        <v>70</v>
      </c>
      <c r="B71" s="110" t="s">
        <v>135</v>
      </c>
      <c r="C71" s="110" t="s">
        <v>665</v>
      </c>
      <c r="D71" s="110">
        <v>20126011</v>
      </c>
      <c r="E71" s="110">
        <v>4</v>
      </c>
      <c r="F71" s="7">
        <v>4</v>
      </c>
      <c r="G71" s="7">
        <v>3</v>
      </c>
      <c r="H71" s="7" t="s">
        <v>88</v>
      </c>
      <c r="I71" s="7" t="s">
        <v>109</v>
      </c>
      <c r="J71" s="7" t="s">
        <v>130</v>
      </c>
      <c r="K71" s="11">
        <v>9.0277777777777769E-3</v>
      </c>
      <c r="L71" s="11" t="s">
        <v>109</v>
      </c>
      <c r="M71" s="7" t="s">
        <v>109</v>
      </c>
      <c r="N71" s="7" t="s">
        <v>109</v>
      </c>
      <c r="O71" s="7" t="s">
        <v>606</v>
      </c>
      <c r="P71" s="7" t="s">
        <v>131</v>
      </c>
      <c r="Q71" s="7" t="s">
        <v>88</v>
      </c>
      <c r="R71" s="7" t="s">
        <v>109</v>
      </c>
      <c r="S71" s="7" t="s">
        <v>109</v>
      </c>
      <c r="T71" s="7" t="s">
        <v>109</v>
      </c>
      <c r="U71" s="108">
        <f t="shared" si="1"/>
        <v>0.75</v>
      </c>
      <c r="V71" s="7" t="s">
        <v>291</v>
      </c>
    </row>
    <row r="72" spans="1:22" x14ac:dyDescent="0.3">
      <c r="A72" s="7">
        <v>71</v>
      </c>
      <c r="B72" s="110" t="s">
        <v>135</v>
      </c>
      <c r="C72" s="110" t="s">
        <v>2003</v>
      </c>
      <c r="D72" s="110">
        <v>20126012</v>
      </c>
      <c r="E72" s="110">
        <v>2</v>
      </c>
      <c r="F72" s="7">
        <v>2</v>
      </c>
      <c r="G72" s="7">
        <v>0</v>
      </c>
      <c r="H72" s="7" t="s">
        <v>209</v>
      </c>
      <c r="I72" s="7" t="s">
        <v>109</v>
      </c>
      <c r="J72" s="7" t="s">
        <v>130</v>
      </c>
      <c r="K72" s="11">
        <v>5.5555555555555558E-3</v>
      </c>
      <c r="L72" s="11" t="s">
        <v>109</v>
      </c>
      <c r="M72" s="7" t="s">
        <v>109</v>
      </c>
      <c r="N72" s="7" t="s">
        <v>109</v>
      </c>
      <c r="O72" s="7" t="s">
        <v>606</v>
      </c>
      <c r="P72" s="7" t="s">
        <v>131</v>
      </c>
      <c r="Q72" s="7" t="s">
        <v>209</v>
      </c>
      <c r="R72" s="7" t="s">
        <v>109</v>
      </c>
      <c r="S72" s="7" t="s">
        <v>109</v>
      </c>
      <c r="T72" s="7" t="s">
        <v>109</v>
      </c>
      <c r="U72" s="108">
        <f t="shared" si="1"/>
        <v>0</v>
      </c>
      <c r="V72" s="7" t="s">
        <v>291</v>
      </c>
    </row>
    <row r="73" spans="1:22" x14ac:dyDescent="0.3">
      <c r="A73" s="7">
        <v>72</v>
      </c>
      <c r="B73" s="110" t="s">
        <v>135</v>
      </c>
      <c r="C73" s="110" t="s">
        <v>1105</v>
      </c>
      <c r="D73" s="110">
        <v>21125001</v>
      </c>
      <c r="E73" s="110">
        <v>7</v>
      </c>
      <c r="F73" s="7">
        <v>2</v>
      </c>
      <c r="G73" s="7">
        <v>0</v>
      </c>
      <c r="H73" s="7" t="s">
        <v>93</v>
      </c>
      <c r="I73" s="7" t="s">
        <v>109</v>
      </c>
      <c r="J73" s="7" t="s">
        <v>130</v>
      </c>
      <c r="K73" s="11">
        <v>3.0555555555555555E-2</v>
      </c>
      <c r="L73" s="7" t="s">
        <v>109</v>
      </c>
      <c r="M73" s="7" t="s">
        <v>109</v>
      </c>
      <c r="N73" s="7" t="s">
        <v>109</v>
      </c>
      <c r="O73" s="7" t="s">
        <v>606</v>
      </c>
      <c r="P73" s="7" t="s">
        <v>131</v>
      </c>
      <c r="Q73" s="7" t="s">
        <v>93</v>
      </c>
      <c r="R73" s="7" t="s">
        <v>109</v>
      </c>
      <c r="S73" s="7" t="s">
        <v>109</v>
      </c>
      <c r="T73" s="7" t="s">
        <v>109</v>
      </c>
      <c r="U73" s="108">
        <f t="shared" si="1"/>
        <v>0</v>
      </c>
      <c r="V73" s="7" t="s">
        <v>291</v>
      </c>
    </row>
    <row r="74" spans="1:22" x14ac:dyDescent="0.3">
      <c r="A74" s="7">
        <v>73</v>
      </c>
      <c r="B74" s="110" t="s">
        <v>135</v>
      </c>
      <c r="C74" s="110" t="s">
        <v>2004</v>
      </c>
      <c r="D74" s="110">
        <v>21125002</v>
      </c>
      <c r="E74" s="110">
        <v>53</v>
      </c>
      <c r="F74" s="7">
        <v>50</v>
      </c>
      <c r="G74" s="7">
        <v>21</v>
      </c>
      <c r="H74" s="7" t="s">
        <v>89</v>
      </c>
      <c r="I74" s="7" t="s">
        <v>109</v>
      </c>
      <c r="J74" s="7" t="s">
        <v>130</v>
      </c>
      <c r="K74" s="11">
        <v>3.1944444444444442E-2</v>
      </c>
      <c r="L74" s="7" t="s">
        <v>109</v>
      </c>
      <c r="M74" s="7" t="s">
        <v>109</v>
      </c>
      <c r="N74" s="7" t="s">
        <v>109</v>
      </c>
      <c r="O74" s="7" t="s">
        <v>606</v>
      </c>
      <c r="P74" s="7" t="s">
        <v>131</v>
      </c>
      <c r="Q74" s="7" t="s">
        <v>89</v>
      </c>
      <c r="R74" s="7" t="s">
        <v>109</v>
      </c>
      <c r="S74" s="7" t="s">
        <v>109</v>
      </c>
      <c r="T74" s="7" t="s">
        <v>109</v>
      </c>
      <c r="U74" s="108">
        <f t="shared" si="1"/>
        <v>0.39622641509433965</v>
      </c>
      <c r="V74" s="7" t="s">
        <v>291</v>
      </c>
    </row>
    <row r="75" spans="1:22" x14ac:dyDescent="0.3">
      <c r="A75" s="7">
        <v>74</v>
      </c>
      <c r="B75" s="110" t="s">
        <v>135</v>
      </c>
      <c r="C75" s="110" t="s">
        <v>2005</v>
      </c>
      <c r="D75" s="110">
        <v>21125003</v>
      </c>
      <c r="E75" s="110">
        <v>25</v>
      </c>
      <c r="F75" s="7">
        <v>16</v>
      </c>
      <c r="G75" s="7">
        <v>11</v>
      </c>
      <c r="H75" s="7" t="s">
        <v>91</v>
      </c>
      <c r="I75" s="7" t="s">
        <v>109</v>
      </c>
      <c r="J75" s="7" t="s">
        <v>130</v>
      </c>
      <c r="K75" s="11">
        <v>4.7222222222222221E-2</v>
      </c>
      <c r="L75" s="7" t="s">
        <v>109</v>
      </c>
      <c r="M75" s="7" t="s">
        <v>109</v>
      </c>
      <c r="N75" s="7" t="s">
        <v>109</v>
      </c>
      <c r="O75" s="7" t="s">
        <v>606</v>
      </c>
      <c r="P75" s="7" t="s">
        <v>131</v>
      </c>
      <c r="Q75" s="7" t="s">
        <v>91</v>
      </c>
      <c r="R75" s="7" t="s">
        <v>109</v>
      </c>
      <c r="S75" s="7" t="s">
        <v>109</v>
      </c>
      <c r="T75" s="7" t="s">
        <v>109</v>
      </c>
      <c r="U75" s="108">
        <f t="shared" si="1"/>
        <v>0.44</v>
      </c>
      <c r="V75" s="7" t="s">
        <v>291</v>
      </c>
    </row>
  </sheetData>
  <conditionalFormatting sqref="D1">
    <cfRule type="duplicateValues" dxfId="82" priority="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82EFB-E1FA-4A59-A93C-5DB5E75B8783}">
  <sheetPr codeName="Sheet27"/>
  <dimension ref="A1:V99"/>
  <sheetViews>
    <sheetView topLeftCell="G1" workbookViewId="0">
      <pane ySplit="1" topLeftCell="A64" activePane="bottomLeft" state="frozen"/>
      <selection pane="bottomLeft" activeCell="P74" sqref="P74"/>
    </sheetView>
  </sheetViews>
  <sheetFormatPr defaultRowHeight="14.4" x14ac:dyDescent="0.3"/>
  <cols>
    <col min="1" max="1" width="3.109375" bestFit="1" customWidth="1"/>
    <col min="2" max="2" width="8.6640625" bestFit="1" customWidth="1"/>
    <col min="3" max="3" width="14.5546875" bestFit="1" customWidth="1"/>
    <col min="4" max="4" width="10.44140625" bestFit="1" customWidth="1"/>
    <col min="5" max="5" width="13.88671875" bestFit="1" customWidth="1"/>
    <col min="6" max="6" width="15.109375" bestFit="1" customWidth="1"/>
    <col min="7" max="7" width="8.5546875" bestFit="1" customWidth="1"/>
    <col min="8" max="8" width="7.33203125" bestFit="1" customWidth="1"/>
    <col min="9" max="9" width="15.88671875" bestFit="1" customWidth="1"/>
    <col min="10" max="10" width="6.21875" bestFit="1" customWidth="1"/>
    <col min="11" max="12" width="15.88671875" bestFit="1" customWidth="1"/>
    <col min="13" max="13" width="3.88671875" bestFit="1" customWidth="1"/>
    <col min="14" max="14" width="8.21875" bestFit="1" customWidth="1"/>
    <col min="15" max="15" width="6.77734375" bestFit="1" customWidth="1"/>
    <col min="16" max="16" width="14.33203125" bestFit="1" customWidth="1"/>
    <col min="17" max="17" width="11.77734375" bestFit="1" customWidth="1"/>
    <col min="18" max="18" width="14.33203125" bestFit="1" customWidth="1"/>
    <col min="19" max="19" width="15.88671875" bestFit="1" customWidth="1"/>
    <col min="20" max="20" width="5.77734375" bestFit="1" customWidth="1"/>
    <col min="21" max="21" width="37.44140625" bestFit="1" customWidth="1"/>
    <col min="22" max="22" width="18.44140625" customWidth="1"/>
  </cols>
  <sheetData>
    <row r="1" spans="1:22"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row>
    <row r="2" spans="1:22" x14ac:dyDescent="0.3">
      <c r="A2" s="28">
        <v>1</v>
      </c>
      <c r="B2" s="29" t="s">
        <v>23</v>
      </c>
      <c r="C2" s="29" t="s">
        <v>1062</v>
      </c>
      <c r="D2" s="29">
        <v>50126304</v>
      </c>
      <c r="E2" s="29">
        <v>80</v>
      </c>
      <c r="F2" s="29">
        <v>214</v>
      </c>
      <c r="G2" s="29">
        <v>52</v>
      </c>
      <c r="H2" s="29" t="s">
        <v>70</v>
      </c>
      <c r="I2" s="29" t="s">
        <v>109</v>
      </c>
      <c r="J2" s="29" t="s">
        <v>130</v>
      </c>
      <c r="K2" s="30">
        <v>0.69027777777777777</v>
      </c>
      <c r="L2" s="29" t="s">
        <v>109</v>
      </c>
      <c r="M2" s="29" t="s">
        <v>109</v>
      </c>
      <c r="N2" s="29" t="s">
        <v>109</v>
      </c>
      <c r="O2" s="29" t="s">
        <v>61</v>
      </c>
      <c r="P2" s="28" t="s">
        <v>131</v>
      </c>
      <c r="Q2" s="28" t="s">
        <v>70</v>
      </c>
      <c r="R2" s="28" t="s">
        <v>62</v>
      </c>
      <c r="S2" s="28" t="s">
        <v>136</v>
      </c>
      <c r="T2" s="28" t="s">
        <v>1063</v>
      </c>
      <c r="U2" s="111">
        <f t="shared" ref="U2:U65" si="0">G2/E2</f>
        <v>0.65</v>
      </c>
      <c r="V2" s="28" t="s">
        <v>2008</v>
      </c>
    </row>
    <row r="3" spans="1:22" x14ac:dyDescent="0.3">
      <c r="A3" s="28">
        <v>2</v>
      </c>
      <c r="B3" s="29" t="s">
        <v>23</v>
      </c>
      <c r="C3" s="29" t="s">
        <v>1064</v>
      </c>
      <c r="D3" s="29">
        <v>50126306</v>
      </c>
      <c r="E3" s="29">
        <v>80</v>
      </c>
      <c r="F3" s="29">
        <v>125</v>
      </c>
      <c r="G3" s="29">
        <v>83</v>
      </c>
      <c r="H3" s="29" t="s">
        <v>153</v>
      </c>
      <c r="I3" s="29" t="s">
        <v>109</v>
      </c>
      <c r="J3" s="29" t="s">
        <v>130</v>
      </c>
      <c r="K3" s="30">
        <v>0.75763888888888886</v>
      </c>
      <c r="L3" s="29" t="s">
        <v>109</v>
      </c>
      <c r="M3" s="29" t="s">
        <v>109</v>
      </c>
      <c r="N3" s="29" t="s">
        <v>109</v>
      </c>
      <c r="O3" s="29" t="s">
        <v>61</v>
      </c>
      <c r="P3" s="28" t="s">
        <v>131</v>
      </c>
      <c r="Q3" s="28" t="s">
        <v>153</v>
      </c>
      <c r="R3" s="28" t="s">
        <v>62</v>
      </c>
      <c r="S3" s="28" t="s">
        <v>136</v>
      </c>
      <c r="T3" s="28" t="s">
        <v>1063</v>
      </c>
      <c r="U3" s="111">
        <f t="shared" si="0"/>
        <v>1.0375000000000001</v>
      </c>
      <c r="V3" s="28" t="s">
        <v>1941</v>
      </c>
    </row>
    <row r="4" spans="1:22" x14ac:dyDescent="0.3">
      <c r="A4" s="28">
        <v>3</v>
      </c>
      <c r="B4" s="29" t="s">
        <v>23</v>
      </c>
      <c r="C4" s="29" t="s">
        <v>1065</v>
      </c>
      <c r="D4" s="29">
        <v>50126305</v>
      </c>
      <c r="E4" s="29">
        <v>80</v>
      </c>
      <c r="F4" s="29">
        <v>203</v>
      </c>
      <c r="G4" s="29">
        <v>44</v>
      </c>
      <c r="H4" s="29" t="s">
        <v>70</v>
      </c>
      <c r="I4" s="29" t="s">
        <v>109</v>
      </c>
      <c r="J4" s="29" t="s">
        <v>130</v>
      </c>
      <c r="K4" s="30">
        <v>0.74583333333333335</v>
      </c>
      <c r="L4" s="29" t="s">
        <v>109</v>
      </c>
      <c r="M4" s="29" t="s">
        <v>109</v>
      </c>
      <c r="N4" s="29" t="s">
        <v>109</v>
      </c>
      <c r="O4" s="29" t="s">
        <v>61</v>
      </c>
      <c r="P4" s="28" t="s">
        <v>131</v>
      </c>
      <c r="Q4" s="28" t="s">
        <v>70</v>
      </c>
      <c r="R4" s="28" t="s">
        <v>62</v>
      </c>
      <c r="S4" s="28" t="s">
        <v>136</v>
      </c>
      <c r="T4" s="28" t="s">
        <v>1063</v>
      </c>
      <c r="U4" s="111">
        <f t="shared" si="0"/>
        <v>0.55000000000000004</v>
      </c>
      <c r="V4" s="28" t="s">
        <v>2008</v>
      </c>
    </row>
    <row r="5" spans="1:22" x14ac:dyDescent="0.3">
      <c r="A5" s="28">
        <v>4</v>
      </c>
      <c r="B5" s="29" t="s">
        <v>23</v>
      </c>
      <c r="C5" s="29" t="s">
        <v>1095</v>
      </c>
      <c r="D5" s="29">
        <v>50126318</v>
      </c>
      <c r="E5" s="29">
        <v>40</v>
      </c>
      <c r="F5" s="29">
        <v>92</v>
      </c>
      <c r="G5" s="29">
        <v>22</v>
      </c>
      <c r="H5" s="29" t="s">
        <v>65</v>
      </c>
      <c r="I5" s="29" t="s">
        <v>109</v>
      </c>
      <c r="J5" s="29" t="s">
        <v>130</v>
      </c>
      <c r="K5" s="30">
        <v>0.99305555555555558</v>
      </c>
      <c r="L5" s="29" t="s">
        <v>109</v>
      </c>
      <c r="M5" s="29" t="s">
        <v>109</v>
      </c>
      <c r="N5" s="29" t="s">
        <v>109</v>
      </c>
      <c r="O5" s="29" t="s">
        <v>61</v>
      </c>
      <c r="P5" s="28" t="s">
        <v>131</v>
      </c>
      <c r="Q5" s="28" t="s">
        <v>65</v>
      </c>
      <c r="R5" s="28" t="s">
        <v>62</v>
      </c>
      <c r="S5" s="28" t="s">
        <v>136</v>
      </c>
      <c r="T5" s="28" t="s">
        <v>1096</v>
      </c>
      <c r="U5" s="111">
        <f t="shared" si="0"/>
        <v>0.55000000000000004</v>
      </c>
      <c r="V5" s="28" t="s">
        <v>2009</v>
      </c>
    </row>
    <row r="6" spans="1:22" x14ac:dyDescent="0.3">
      <c r="A6" s="28">
        <v>5</v>
      </c>
      <c r="B6" s="29" t="s">
        <v>23</v>
      </c>
      <c r="C6" s="29" t="s">
        <v>479</v>
      </c>
      <c r="D6" s="29">
        <v>50126013</v>
      </c>
      <c r="E6" s="29">
        <v>20</v>
      </c>
      <c r="F6" s="29">
        <v>28</v>
      </c>
      <c r="G6" s="29">
        <v>8</v>
      </c>
      <c r="H6" s="29" t="s">
        <v>66</v>
      </c>
      <c r="I6" s="29" t="s">
        <v>94</v>
      </c>
      <c r="J6" s="29" t="s">
        <v>130</v>
      </c>
      <c r="K6" s="30">
        <v>0.65277777777777779</v>
      </c>
      <c r="L6" s="30">
        <v>0.69236111111111109</v>
      </c>
      <c r="M6" s="29" t="s">
        <v>109</v>
      </c>
      <c r="N6" s="29" t="s">
        <v>109</v>
      </c>
      <c r="O6" s="29" t="s">
        <v>61</v>
      </c>
      <c r="P6" s="28" t="s">
        <v>131</v>
      </c>
      <c r="Q6" s="28" t="s">
        <v>94</v>
      </c>
      <c r="R6" s="28" t="s">
        <v>62</v>
      </c>
      <c r="S6" s="28" t="s">
        <v>136</v>
      </c>
      <c r="T6" s="28" t="s">
        <v>480</v>
      </c>
      <c r="U6" s="111">
        <f t="shared" si="0"/>
        <v>0.4</v>
      </c>
      <c r="V6" s="28" t="s">
        <v>612</v>
      </c>
    </row>
    <row r="7" spans="1:22" x14ac:dyDescent="0.3">
      <c r="A7" s="28">
        <v>6</v>
      </c>
      <c r="B7" s="29" t="s">
        <v>23</v>
      </c>
      <c r="C7" s="29" t="s">
        <v>743</v>
      </c>
      <c r="D7" s="29">
        <v>50126124</v>
      </c>
      <c r="E7" s="29">
        <v>30</v>
      </c>
      <c r="F7" s="29">
        <v>48</v>
      </c>
      <c r="G7" s="29">
        <v>18</v>
      </c>
      <c r="H7" s="29" t="s">
        <v>222</v>
      </c>
      <c r="I7" s="29" t="s">
        <v>109</v>
      </c>
      <c r="J7" s="29" t="s">
        <v>130</v>
      </c>
      <c r="K7" s="30">
        <v>0.9916666666666667</v>
      </c>
      <c r="L7" s="29" t="s">
        <v>109</v>
      </c>
      <c r="M7" s="29" t="s">
        <v>109</v>
      </c>
      <c r="N7" s="29" t="s">
        <v>109</v>
      </c>
      <c r="O7" s="29" t="s">
        <v>61</v>
      </c>
      <c r="P7" s="28" t="s">
        <v>131</v>
      </c>
      <c r="Q7" s="28" t="s">
        <v>222</v>
      </c>
      <c r="R7" s="28" t="s">
        <v>62</v>
      </c>
      <c r="S7" s="28" t="s">
        <v>136</v>
      </c>
      <c r="T7" s="28" t="s">
        <v>278</v>
      </c>
      <c r="U7" s="111">
        <f t="shared" si="0"/>
        <v>0.6</v>
      </c>
      <c r="V7" s="28" t="s">
        <v>2009</v>
      </c>
    </row>
    <row r="8" spans="1:22" x14ac:dyDescent="0.3">
      <c r="A8" s="28">
        <v>7</v>
      </c>
      <c r="B8" s="29" t="s">
        <v>23</v>
      </c>
      <c r="C8" s="29" t="s">
        <v>280</v>
      </c>
      <c r="D8" s="29">
        <v>51125192</v>
      </c>
      <c r="E8" s="29">
        <v>30</v>
      </c>
      <c r="F8" s="29">
        <v>79</v>
      </c>
      <c r="G8" s="29">
        <v>29</v>
      </c>
      <c r="H8" s="29" t="s">
        <v>274</v>
      </c>
      <c r="I8" s="29" t="s">
        <v>109</v>
      </c>
      <c r="J8" s="29" t="s">
        <v>130</v>
      </c>
      <c r="K8" s="30">
        <v>0.74305555555555558</v>
      </c>
      <c r="L8" s="29" t="s">
        <v>109</v>
      </c>
      <c r="M8" s="29" t="s">
        <v>109</v>
      </c>
      <c r="N8" s="29" t="s">
        <v>109</v>
      </c>
      <c r="O8" s="29" t="s">
        <v>61</v>
      </c>
      <c r="P8" s="28" t="s">
        <v>131</v>
      </c>
      <c r="Q8" s="28" t="s">
        <v>274</v>
      </c>
      <c r="R8" s="28" t="s">
        <v>62</v>
      </c>
      <c r="S8" s="28" t="s">
        <v>136</v>
      </c>
      <c r="T8" s="28" t="s">
        <v>278</v>
      </c>
      <c r="U8" s="111">
        <f t="shared" si="0"/>
        <v>0.96666666666666667</v>
      </c>
      <c r="V8" s="28" t="s">
        <v>1941</v>
      </c>
    </row>
    <row r="9" spans="1:22" x14ac:dyDescent="0.3">
      <c r="A9" s="28">
        <v>8</v>
      </c>
      <c r="B9" s="29" t="s">
        <v>23</v>
      </c>
      <c r="C9" s="29" t="s">
        <v>1287</v>
      </c>
      <c r="D9" s="29">
        <v>50126331</v>
      </c>
      <c r="E9" s="29">
        <v>50</v>
      </c>
      <c r="F9" s="29">
        <v>67</v>
      </c>
      <c r="G9" s="29">
        <v>50</v>
      </c>
      <c r="H9" s="29" t="s">
        <v>71</v>
      </c>
      <c r="I9" s="29" t="s">
        <v>109</v>
      </c>
      <c r="J9" s="29" t="s">
        <v>130</v>
      </c>
      <c r="K9" s="30">
        <v>0.70972222222222225</v>
      </c>
      <c r="L9" s="29" t="s">
        <v>109</v>
      </c>
      <c r="M9" s="29" t="s">
        <v>109</v>
      </c>
      <c r="N9" s="29" t="s">
        <v>109</v>
      </c>
      <c r="O9" s="29" t="s">
        <v>61</v>
      </c>
      <c r="P9" s="28" t="s">
        <v>131</v>
      </c>
      <c r="Q9" s="28" t="s">
        <v>71</v>
      </c>
      <c r="R9" s="28" t="s">
        <v>62</v>
      </c>
      <c r="S9" s="76" t="s">
        <v>136</v>
      </c>
      <c r="T9" s="76" t="s">
        <v>266</v>
      </c>
      <c r="U9" s="111">
        <f t="shared" si="0"/>
        <v>1</v>
      </c>
      <c r="V9" s="28" t="s">
        <v>1941</v>
      </c>
    </row>
    <row r="10" spans="1:22" x14ac:dyDescent="0.3">
      <c r="A10" s="28">
        <v>9</v>
      </c>
      <c r="B10" s="29" t="s">
        <v>23</v>
      </c>
      <c r="C10" s="29" t="s">
        <v>1286</v>
      </c>
      <c r="D10" s="29">
        <v>50126332</v>
      </c>
      <c r="E10" s="29">
        <v>75</v>
      </c>
      <c r="F10" s="29">
        <v>112</v>
      </c>
      <c r="G10" s="29">
        <v>80</v>
      </c>
      <c r="H10" s="29" t="s">
        <v>69</v>
      </c>
      <c r="I10" s="29" t="s">
        <v>109</v>
      </c>
      <c r="J10" s="29" t="s">
        <v>130</v>
      </c>
      <c r="K10" s="30">
        <v>0.80486111111111114</v>
      </c>
      <c r="L10" s="29" t="s">
        <v>109</v>
      </c>
      <c r="M10" s="29" t="s">
        <v>109</v>
      </c>
      <c r="N10" s="29" t="s">
        <v>109</v>
      </c>
      <c r="O10" s="29" t="s">
        <v>61</v>
      </c>
      <c r="P10" s="28" t="s">
        <v>131</v>
      </c>
      <c r="Q10" s="28" t="s">
        <v>70</v>
      </c>
      <c r="R10" s="28" t="s">
        <v>62</v>
      </c>
      <c r="S10" s="28" t="s">
        <v>136</v>
      </c>
      <c r="T10" s="28" t="s">
        <v>266</v>
      </c>
      <c r="U10" s="111">
        <f t="shared" si="0"/>
        <v>1.0666666666666667</v>
      </c>
      <c r="V10" s="28" t="s">
        <v>1941</v>
      </c>
    </row>
    <row r="11" spans="1:22" x14ac:dyDescent="0.3">
      <c r="A11" s="28">
        <v>10</v>
      </c>
      <c r="B11" s="29" t="s">
        <v>23</v>
      </c>
      <c r="C11" s="29" t="s">
        <v>852</v>
      </c>
      <c r="D11" s="29">
        <v>50126207</v>
      </c>
      <c r="E11" s="29">
        <v>50</v>
      </c>
      <c r="F11" s="29">
        <v>72</v>
      </c>
      <c r="G11" s="29">
        <v>54</v>
      </c>
      <c r="H11" s="29" t="s">
        <v>69</v>
      </c>
      <c r="I11" s="29" t="s">
        <v>109</v>
      </c>
      <c r="J11" s="29" t="s">
        <v>130</v>
      </c>
      <c r="K11" s="30">
        <v>0.84513888888888888</v>
      </c>
      <c r="L11" s="29" t="s">
        <v>109</v>
      </c>
      <c r="M11" s="29" t="s">
        <v>109</v>
      </c>
      <c r="N11" s="29" t="s">
        <v>109</v>
      </c>
      <c r="O11" s="29" t="s">
        <v>61</v>
      </c>
      <c r="P11" s="28" t="s">
        <v>131</v>
      </c>
      <c r="Q11" s="28" t="s">
        <v>69</v>
      </c>
      <c r="R11" s="28" t="s">
        <v>62</v>
      </c>
      <c r="S11" s="28" t="s">
        <v>136</v>
      </c>
      <c r="T11" s="28" t="s">
        <v>853</v>
      </c>
      <c r="U11" s="111">
        <f t="shared" si="0"/>
        <v>1.08</v>
      </c>
      <c r="V11" s="28" t="s">
        <v>1941</v>
      </c>
    </row>
    <row r="12" spans="1:22" x14ac:dyDescent="0.3">
      <c r="A12" s="28">
        <v>11</v>
      </c>
      <c r="B12" s="29" t="s">
        <v>23</v>
      </c>
      <c r="C12" s="29" t="s">
        <v>854</v>
      </c>
      <c r="D12" s="29">
        <v>50126208</v>
      </c>
      <c r="E12" s="29">
        <v>70</v>
      </c>
      <c r="F12" s="29">
        <v>100</v>
      </c>
      <c r="G12" s="29">
        <v>70</v>
      </c>
      <c r="H12" s="29" t="s">
        <v>71</v>
      </c>
      <c r="I12" s="29" t="s">
        <v>109</v>
      </c>
      <c r="J12" s="29" t="s">
        <v>130</v>
      </c>
      <c r="K12" s="30">
        <v>0.99722222222222223</v>
      </c>
      <c r="L12" s="29" t="s">
        <v>109</v>
      </c>
      <c r="M12" s="29" t="s">
        <v>109</v>
      </c>
      <c r="N12" s="29" t="s">
        <v>109</v>
      </c>
      <c r="O12" s="29" t="s">
        <v>61</v>
      </c>
      <c r="P12" s="28" t="s">
        <v>131</v>
      </c>
      <c r="Q12" s="28" t="s">
        <v>71</v>
      </c>
      <c r="R12" s="28" t="s">
        <v>62</v>
      </c>
      <c r="S12" s="28" t="s">
        <v>136</v>
      </c>
      <c r="T12" s="28" t="s">
        <v>853</v>
      </c>
      <c r="U12" s="111">
        <f t="shared" si="0"/>
        <v>1</v>
      </c>
      <c r="V12" s="28" t="s">
        <v>1941</v>
      </c>
    </row>
    <row r="13" spans="1:22" x14ac:dyDescent="0.3">
      <c r="A13" s="28">
        <v>12</v>
      </c>
      <c r="B13" s="29" t="s">
        <v>23</v>
      </c>
      <c r="C13" s="29" t="s">
        <v>1858</v>
      </c>
      <c r="D13" s="29">
        <v>50226006</v>
      </c>
      <c r="E13" s="29">
        <v>40</v>
      </c>
      <c r="F13" s="29" t="s">
        <v>109</v>
      </c>
      <c r="G13" s="29" t="s">
        <v>109</v>
      </c>
      <c r="H13" s="29" t="s">
        <v>65</v>
      </c>
      <c r="I13" s="29" t="s">
        <v>109</v>
      </c>
      <c r="J13" s="29" t="s">
        <v>85</v>
      </c>
      <c r="K13" s="29" t="s">
        <v>109</v>
      </c>
      <c r="L13" s="29" t="s">
        <v>109</v>
      </c>
      <c r="M13" s="29" t="s">
        <v>109</v>
      </c>
      <c r="N13" s="29" t="s">
        <v>109</v>
      </c>
      <c r="O13" s="29" t="s">
        <v>61</v>
      </c>
      <c r="P13" s="28" t="s">
        <v>109</v>
      </c>
      <c r="Q13" s="28" t="s">
        <v>109</v>
      </c>
      <c r="R13" s="28" t="s">
        <v>62</v>
      </c>
      <c r="S13" s="28" t="s">
        <v>136</v>
      </c>
      <c r="T13" s="28" t="s">
        <v>1859</v>
      </c>
      <c r="U13" s="111" t="e">
        <f t="shared" si="0"/>
        <v>#VALUE!</v>
      </c>
      <c r="V13" s="28" t="s">
        <v>109</v>
      </c>
    </row>
    <row r="14" spans="1:22" x14ac:dyDescent="0.3">
      <c r="A14" s="28">
        <v>13</v>
      </c>
      <c r="B14" s="29" t="s">
        <v>23</v>
      </c>
      <c r="C14" s="29" t="s">
        <v>647</v>
      </c>
      <c r="D14" s="29">
        <v>50126033</v>
      </c>
      <c r="E14" s="29">
        <v>30</v>
      </c>
      <c r="F14" s="29">
        <v>82</v>
      </c>
      <c r="G14" s="29">
        <v>24</v>
      </c>
      <c r="H14" s="29" t="s">
        <v>196</v>
      </c>
      <c r="I14" s="29" t="s">
        <v>91</v>
      </c>
      <c r="J14" s="29" t="s">
        <v>130</v>
      </c>
      <c r="K14" s="30">
        <v>0.94722222222222219</v>
      </c>
      <c r="L14" s="30">
        <v>0.98819444444444449</v>
      </c>
      <c r="M14" s="29" t="s">
        <v>109</v>
      </c>
      <c r="N14" s="29" t="s">
        <v>109</v>
      </c>
      <c r="O14" s="29" t="s">
        <v>61</v>
      </c>
      <c r="P14" s="28" t="s">
        <v>131</v>
      </c>
      <c r="Q14" s="28" t="s">
        <v>91</v>
      </c>
      <c r="R14" s="28" t="s">
        <v>62</v>
      </c>
      <c r="S14" s="28" t="s">
        <v>136</v>
      </c>
      <c r="T14" s="28" t="s">
        <v>480</v>
      </c>
      <c r="U14" s="111">
        <f t="shared" si="0"/>
        <v>0.8</v>
      </c>
      <c r="V14" s="28" t="s">
        <v>2009</v>
      </c>
    </row>
    <row r="15" spans="1:22" x14ac:dyDescent="0.3">
      <c r="A15" s="28">
        <v>14</v>
      </c>
      <c r="B15" s="29" t="s">
        <v>23</v>
      </c>
      <c r="C15" s="29" t="s">
        <v>648</v>
      </c>
      <c r="D15" s="29">
        <v>50126036</v>
      </c>
      <c r="E15" s="29">
        <v>100</v>
      </c>
      <c r="F15" s="29">
        <v>201</v>
      </c>
      <c r="G15" s="29">
        <v>47</v>
      </c>
      <c r="H15" s="29" t="s">
        <v>65</v>
      </c>
      <c r="I15" s="29" t="s">
        <v>93</v>
      </c>
      <c r="J15" s="29" t="s">
        <v>130</v>
      </c>
      <c r="K15" s="30">
        <v>0.92013888888888884</v>
      </c>
      <c r="L15" s="30">
        <v>0.95</v>
      </c>
      <c r="M15" s="29" t="s">
        <v>109</v>
      </c>
      <c r="N15" s="29" t="s">
        <v>109</v>
      </c>
      <c r="O15" s="29" t="s">
        <v>61</v>
      </c>
      <c r="P15" s="28" t="s">
        <v>131</v>
      </c>
      <c r="Q15" s="28" t="s">
        <v>93</v>
      </c>
      <c r="R15" s="28" t="s">
        <v>62</v>
      </c>
      <c r="S15" s="28" t="s">
        <v>136</v>
      </c>
      <c r="T15" s="28" t="s">
        <v>480</v>
      </c>
      <c r="U15" s="111">
        <f t="shared" si="0"/>
        <v>0.47</v>
      </c>
      <c r="V15" s="28" t="s">
        <v>2009</v>
      </c>
    </row>
    <row r="16" spans="1:22" x14ac:dyDescent="0.3">
      <c r="A16" s="28">
        <v>15</v>
      </c>
      <c r="B16" s="29" t="s">
        <v>23</v>
      </c>
      <c r="C16" s="29" t="s">
        <v>651</v>
      </c>
      <c r="D16" s="29">
        <v>50126034</v>
      </c>
      <c r="E16" s="29">
        <v>150</v>
      </c>
      <c r="F16" s="29">
        <v>321</v>
      </c>
      <c r="G16" s="29">
        <v>65</v>
      </c>
      <c r="H16" s="29" t="s">
        <v>368</v>
      </c>
      <c r="I16" s="29" t="s">
        <v>2010</v>
      </c>
      <c r="J16" s="29" t="s">
        <v>130</v>
      </c>
      <c r="K16" s="30">
        <v>0.84444444444444444</v>
      </c>
      <c r="L16" s="30">
        <v>0.85833333333333328</v>
      </c>
      <c r="M16" s="29" t="s">
        <v>109</v>
      </c>
      <c r="N16" s="29" t="s">
        <v>109</v>
      </c>
      <c r="O16" s="29" t="s">
        <v>61</v>
      </c>
      <c r="P16" s="28" t="s">
        <v>131</v>
      </c>
      <c r="Q16" s="28" t="s">
        <v>154</v>
      </c>
      <c r="R16" s="28" t="s">
        <v>62</v>
      </c>
      <c r="S16" s="28" t="s">
        <v>136</v>
      </c>
      <c r="T16" s="28" t="s">
        <v>480</v>
      </c>
      <c r="U16" s="111">
        <f t="shared" si="0"/>
        <v>0.43333333333333335</v>
      </c>
      <c r="V16" s="28" t="s">
        <v>2009</v>
      </c>
    </row>
    <row r="17" spans="1:22" x14ac:dyDescent="0.3">
      <c r="A17" s="28">
        <v>16</v>
      </c>
      <c r="B17" s="29" t="s">
        <v>23</v>
      </c>
      <c r="C17" s="29" t="s">
        <v>654</v>
      </c>
      <c r="D17" s="29">
        <v>50126032</v>
      </c>
      <c r="E17" s="29">
        <v>50</v>
      </c>
      <c r="F17" s="29">
        <v>69</v>
      </c>
      <c r="G17" s="29">
        <v>47</v>
      </c>
      <c r="H17" s="29" t="s">
        <v>153</v>
      </c>
      <c r="I17" s="29" t="s">
        <v>93</v>
      </c>
      <c r="J17" s="29" t="s">
        <v>130</v>
      </c>
      <c r="K17" s="30">
        <v>0.85624999999999996</v>
      </c>
      <c r="L17" s="30">
        <v>0.87986111111111109</v>
      </c>
      <c r="M17" s="29" t="s">
        <v>109</v>
      </c>
      <c r="N17" s="29" t="s">
        <v>109</v>
      </c>
      <c r="O17" s="29" t="s">
        <v>61</v>
      </c>
      <c r="P17" s="28" t="s">
        <v>131</v>
      </c>
      <c r="Q17" s="28" t="s">
        <v>93</v>
      </c>
      <c r="R17" s="28" t="s">
        <v>62</v>
      </c>
      <c r="S17" s="28" t="s">
        <v>136</v>
      </c>
      <c r="T17" s="28" t="s">
        <v>480</v>
      </c>
      <c r="U17" s="111">
        <f t="shared" si="0"/>
        <v>0.94</v>
      </c>
      <c r="V17" s="28" t="s">
        <v>1941</v>
      </c>
    </row>
    <row r="18" spans="1:22" x14ac:dyDescent="0.3">
      <c r="A18" s="28">
        <v>17</v>
      </c>
      <c r="B18" s="29" t="s">
        <v>23</v>
      </c>
      <c r="C18" s="29" t="s">
        <v>657</v>
      </c>
      <c r="D18" s="29">
        <v>50126030</v>
      </c>
      <c r="E18" s="29">
        <v>150</v>
      </c>
      <c r="F18" s="29">
        <v>310</v>
      </c>
      <c r="G18" s="29">
        <v>62</v>
      </c>
      <c r="H18" s="29" t="s">
        <v>2011</v>
      </c>
      <c r="I18" s="29" t="s">
        <v>2012</v>
      </c>
      <c r="J18" s="29" t="s">
        <v>130</v>
      </c>
      <c r="K18" s="30">
        <v>0.83472222222222225</v>
      </c>
      <c r="L18" s="30">
        <v>0.8520833333333333</v>
      </c>
      <c r="M18" s="29" t="s">
        <v>109</v>
      </c>
      <c r="N18" s="29" t="s">
        <v>109</v>
      </c>
      <c r="O18" s="29" t="s">
        <v>61</v>
      </c>
      <c r="P18" s="28" t="s">
        <v>131</v>
      </c>
      <c r="Q18" s="28" t="s">
        <v>95</v>
      </c>
      <c r="R18" s="28" t="s">
        <v>62</v>
      </c>
      <c r="S18" s="28" t="s">
        <v>136</v>
      </c>
      <c r="T18" s="28" t="s">
        <v>480</v>
      </c>
      <c r="U18" s="111">
        <f t="shared" si="0"/>
        <v>0.41333333333333333</v>
      </c>
      <c r="V18" s="28" t="s">
        <v>2009</v>
      </c>
    </row>
    <row r="19" spans="1:22" x14ac:dyDescent="0.3">
      <c r="A19" s="28">
        <v>18</v>
      </c>
      <c r="B19" s="29" t="s">
        <v>23</v>
      </c>
      <c r="C19" s="29" t="s">
        <v>749</v>
      </c>
      <c r="D19" s="29">
        <v>51225108</v>
      </c>
      <c r="E19" s="29">
        <v>60</v>
      </c>
      <c r="F19" s="29">
        <v>45</v>
      </c>
      <c r="G19" s="29">
        <v>12</v>
      </c>
      <c r="H19" s="29" t="s">
        <v>65</v>
      </c>
      <c r="I19" s="29" t="s">
        <v>109</v>
      </c>
      <c r="J19" s="29" t="s">
        <v>130</v>
      </c>
      <c r="K19" s="30">
        <v>2.2222222222222223E-2</v>
      </c>
      <c r="L19" s="29" t="s">
        <v>109</v>
      </c>
      <c r="M19" s="29" t="s">
        <v>109</v>
      </c>
      <c r="N19" s="29" t="s">
        <v>2013</v>
      </c>
      <c r="O19" s="29" t="s">
        <v>145</v>
      </c>
      <c r="P19" s="28" t="s">
        <v>131</v>
      </c>
      <c r="Q19" s="28" t="s">
        <v>65</v>
      </c>
      <c r="R19" s="28" t="s">
        <v>62</v>
      </c>
      <c r="S19" s="28" t="s">
        <v>136</v>
      </c>
      <c r="T19" s="28" t="s">
        <v>112</v>
      </c>
      <c r="U19" s="111">
        <f t="shared" si="0"/>
        <v>0.2</v>
      </c>
      <c r="V19" s="28" t="s">
        <v>2045</v>
      </c>
    </row>
    <row r="20" spans="1:22" x14ac:dyDescent="0.3">
      <c r="A20" s="28">
        <v>19</v>
      </c>
      <c r="B20" s="29" t="s">
        <v>23</v>
      </c>
      <c r="C20" s="29" t="s">
        <v>1027</v>
      </c>
      <c r="D20" s="29">
        <v>50126290</v>
      </c>
      <c r="E20" s="29">
        <v>20</v>
      </c>
      <c r="F20" s="29">
        <v>30</v>
      </c>
      <c r="G20" s="29">
        <v>21</v>
      </c>
      <c r="H20" s="29" t="s">
        <v>67</v>
      </c>
      <c r="I20" s="29" t="s">
        <v>109</v>
      </c>
      <c r="J20" s="29" t="s">
        <v>130</v>
      </c>
      <c r="K20" s="30">
        <v>0.70763888888888893</v>
      </c>
      <c r="L20" s="29" t="s">
        <v>109</v>
      </c>
      <c r="M20" s="29" t="s">
        <v>109</v>
      </c>
      <c r="N20" s="29" t="s">
        <v>109</v>
      </c>
      <c r="O20" s="29" t="s">
        <v>61</v>
      </c>
      <c r="P20" s="28" t="s">
        <v>131</v>
      </c>
      <c r="Q20" s="28" t="s">
        <v>67</v>
      </c>
      <c r="R20" s="28" t="s">
        <v>62</v>
      </c>
      <c r="S20" s="28" t="s">
        <v>136</v>
      </c>
      <c r="T20" s="28" t="s">
        <v>223</v>
      </c>
      <c r="U20" s="111">
        <f t="shared" si="0"/>
        <v>1.05</v>
      </c>
      <c r="V20" s="28" t="s">
        <v>1941</v>
      </c>
    </row>
    <row r="21" spans="1:22" x14ac:dyDescent="0.3">
      <c r="A21" s="28">
        <v>20</v>
      </c>
      <c r="B21" s="29" t="s">
        <v>23</v>
      </c>
      <c r="C21" s="29" t="s">
        <v>1371</v>
      </c>
      <c r="D21" s="29">
        <v>50126338</v>
      </c>
      <c r="E21" s="29">
        <v>150</v>
      </c>
      <c r="F21" s="29">
        <v>253</v>
      </c>
      <c r="G21" s="29">
        <v>42</v>
      </c>
      <c r="H21" s="29" t="s">
        <v>1342</v>
      </c>
      <c r="I21" s="29" t="s">
        <v>109</v>
      </c>
      <c r="J21" s="29" t="s">
        <v>130</v>
      </c>
      <c r="K21" s="30">
        <v>0.96111111111111114</v>
      </c>
      <c r="L21" s="29" t="s">
        <v>109</v>
      </c>
      <c r="M21" s="29" t="s">
        <v>109</v>
      </c>
      <c r="N21" s="29" t="s">
        <v>109</v>
      </c>
      <c r="O21" s="29" t="s">
        <v>61</v>
      </c>
      <c r="P21" s="28" t="s">
        <v>131</v>
      </c>
      <c r="Q21" s="28" t="s">
        <v>274</v>
      </c>
      <c r="R21" s="28" t="s">
        <v>62</v>
      </c>
      <c r="S21" s="28" t="s">
        <v>136</v>
      </c>
      <c r="T21" s="28" t="s">
        <v>1365</v>
      </c>
      <c r="U21" s="111">
        <f t="shared" si="0"/>
        <v>0.28000000000000003</v>
      </c>
      <c r="V21" s="28" t="s">
        <v>2008</v>
      </c>
    </row>
    <row r="22" spans="1:22" x14ac:dyDescent="0.3">
      <c r="A22" s="28">
        <v>21</v>
      </c>
      <c r="B22" s="29" t="s">
        <v>23</v>
      </c>
      <c r="C22" s="29" t="s">
        <v>1368</v>
      </c>
      <c r="D22" s="29">
        <v>50126340</v>
      </c>
      <c r="E22" s="29">
        <v>15</v>
      </c>
      <c r="F22" s="29">
        <v>28</v>
      </c>
      <c r="G22" s="29">
        <v>3</v>
      </c>
      <c r="H22" s="29" t="s">
        <v>214</v>
      </c>
      <c r="I22" s="29" t="s">
        <v>109</v>
      </c>
      <c r="J22" s="29" t="s">
        <v>130</v>
      </c>
      <c r="K22" s="30">
        <v>0.70486111111111116</v>
      </c>
      <c r="L22" s="29" t="s">
        <v>109</v>
      </c>
      <c r="M22" s="29" t="s">
        <v>109</v>
      </c>
      <c r="N22" s="29" t="s">
        <v>109</v>
      </c>
      <c r="O22" s="29" t="s">
        <v>61</v>
      </c>
      <c r="P22" s="28" t="s">
        <v>131</v>
      </c>
      <c r="Q22" s="28" t="s">
        <v>214</v>
      </c>
      <c r="R22" s="28" t="s">
        <v>62</v>
      </c>
      <c r="S22" s="28" t="s">
        <v>136</v>
      </c>
      <c r="T22" s="28" t="s">
        <v>1365</v>
      </c>
      <c r="U22" s="111">
        <f t="shared" si="0"/>
        <v>0.2</v>
      </c>
      <c r="V22" s="28" t="s">
        <v>2009</v>
      </c>
    </row>
    <row r="23" spans="1:22" x14ac:dyDescent="0.3">
      <c r="A23" s="28">
        <v>22</v>
      </c>
      <c r="B23" s="29" t="s">
        <v>23</v>
      </c>
      <c r="C23" s="29" t="s">
        <v>1366</v>
      </c>
      <c r="D23" s="29">
        <v>50126343</v>
      </c>
      <c r="E23" s="29">
        <v>500</v>
      </c>
      <c r="F23" s="29">
        <v>430</v>
      </c>
      <c r="G23" s="29">
        <v>105</v>
      </c>
      <c r="H23" s="29" t="s">
        <v>2014</v>
      </c>
      <c r="I23" s="29" t="s">
        <v>109</v>
      </c>
      <c r="J23" s="29" t="s">
        <v>130</v>
      </c>
      <c r="K23" s="30">
        <v>0.95694444444444449</v>
      </c>
      <c r="L23" s="29" t="s">
        <v>109</v>
      </c>
      <c r="M23" s="29" t="s">
        <v>109</v>
      </c>
      <c r="N23" s="29" t="s">
        <v>109</v>
      </c>
      <c r="O23" s="29" t="s">
        <v>61</v>
      </c>
      <c r="P23" s="28" t="s">
        <v>131</v>
      </c>
      <c r="Q23" s="28" t="s">
        <v>64</v>
      </c>
      <c r="R23" s="28" t="s">
        <v>62</v>
      </c>
      <c r="S23" s="28" t="s">
        <v>136</v>
      </c>
      <c r="T23" s="28" t="s">
        <v>1365</v>
      </c>
      <c r="U23" s="111">
        <f t="shared" si="0"/>
        <v>0.21</v>
      </c>
      <c r="V23" s="28" t="s">
        <v>612</v>
      </c>
    </row>
    <row r="24" spans="1:22" x14ac:dyDescent="0.3">
      <c r="A24" s="28">
        <v>23</v>
      </c>
      <c r="B24" s="29" t="s">
        <v>23</v>
      </c>
      <c r="C24" s="29" t="s">
        <v>1044</v>
      </c>
      <c r="D24" s="29">
        <v>50126281</v>
      </c>
      <c r="E24" s="29">
        <v>50</v>
      </c>
      <c r="F24" s="29">
        <v>72</v>
      </c>
      <c r="G24" s="29">
        <v>50</v>
      </c>
      <c r="H24" s="29" t="s">
        <v>68</v>
      </c>
      <c r="I24" s="29" t="s">
        <v>109</v>
      </c>
      <c r="J24" s="29" t="s">
        <v>130</v>
      </c>
      <c r="K24" s="30">
        <v>0.89722222222222225</v>
      </c>
      <c r="L24" s="29" t="s">
        <v>109</v>
      </c>
      <c r="M24" s="29" t="s">
        <v>109</v>
      </c>
      <c r="N24" s="29" t="s">
        <v>109</v>
      </c>
      <c r="O24" s="29" t="s">
        <v>61</v>
      </c>
      <c r="P24" s="28" t="s">
        <v>131</v>
      </c>
      <c r="Q24" s="28" t="s">
        <v>68</v>
      </c>
      <c r="R24" s="28" t="s">
        <v>62</v>
      </c>
      <c r="S24" s="28" t="s">
        <v>136</v>
      </c>
      <c r="T24" s="28" t="s">
        <v>223</v>
      </c>
      <c r="U24" s="111">
        <f t="shared" si="0"/>
        <v>1</v>
      </c>
      <c r="V24" s="28" t="s">
        <v>1941</v>
      </c>
    </row>
    <row r="25" spans="1:22" x14ac:dyDescent="0.3">
      <c r="A25" s="28">
        <v>24</v>
      </c>
      <c r="B25" s="29" t="s">
        <v>23</v>
      </c>
      <c r="C25" s="29" t="s">
        <v>1046</v>
      </c>
      <c r="D25" s="29">
        <v>50126283</v>
      </c>
      <c r="E25" s="29">
        <v>100</v>
      </c>
      <c r="F25" s="29">
        <v>205</v>
      </c>
      <c r="G25" s="29">
        <v>98</v>
      </c>
      <c r="H25" s="29" t="s">
        <v>222</v>
      </c>
      <c r="I25" s="29" t="s">
        <v>109</v>
      </c>
      <c r="J25" s="29" t="s">
        <v>130</v>
      </c>
      <c r="K25" s="30">
        <v>0.87152777777777779</v>
      </c>
      <c r="L25" s="29" t="s">
        <v>109</v>
      </c>
      <c r="M25" s="29" t="s">
        <v>109</v>
      </c>
      <c r="N25" s="29" t="s">
        <v>109</v>
      </c>
      <c r="O25" s="29" t="s">
        <v>61</v>
      </c>
      <c r="P25" s="28" t="s">
        <v>131</v>
      </c>
      <c r="Q25" s="28" t="s">
        <v>222</v>
      </c>
      <c r="R25" s="28" t="s">
        <v>62</v>
      </c>
      <c r="S25" s="28" t="s">
        <v>136</v>
      </c>
      <c r="T25" s="28" t="s">
        <v>223</v>
      </c>
      <c r="U25" s="111">
        <f t="shared" si="0"/>
        <v>0.98</v>
      </c>
      <c r="V25" s="28" t="s">
        <v>1941</v>
      </c>
    </row>
    <row r="26" spans="1:22" x14ac:dyDescent="0.3">
      <c r="A26" s="28">
        <v>25</v>
      </c>
      <c r="B26" s="29" t="s">
        <v>23</v>
      </c>
      <c r="C26" s="29" t="s">
        <v>1370</v>
      </c>
      <c r="D26" s="29">
        <v>50126342</v>
      </c>
      <c r="E26" s="29">
        <v>30</v>
      </c>
      <c r="F26" s="29">
        <v>55</v>
      </c>
      <c r="G26" s="29">
        <v>11</v>
      </c>
      <c r="H26" s="29" t="s">
        <v>71</v>
      </c>
      <c r="I26" s="29" t="s">
        <v>109</v>
      </c>
      <c r="J26" s="29" t="s">
        <v>130</v>
      </c>
      <c r="K26" s="30">
        <v>0.6791666666666667</v>
      </c>
      <c r="L26" s="29" t="s">
        <v>109</v>
      </c>
      <c r="M26" s="29" t="s">
        <v>109</v>
      </c>
      <c r="N26" s="29" t="s">
        <v>109</v>
      </c>
      <c r="O26" s="29" t="s">
        <v>61</v>
      </c>
      <c r="P26" s="28" t="s">
        <v>131</v>
      </c>
      <c r="Q26" s="28" t="s">
        <v>71</v>
      </c>
      <c r="R26" s="28" t="s">
        <v>62</v>
      </c>
      <c r="S26" s="28" t="s">
        <v>136</v>
      </c>
      <c r="T26" s="28" t="s">
        <v>1365</v>
      </c>
      <c r="U26" s="111">
        <f t="shared" si="0"/>
        <v>0.36666666666666664</v>
      </c>
      <c r="V26" s="28" t="s">
        <v>2009</v>
      </c>
    </row>
    <row r="27" spans="1:22" x14ac:dyDescent="0.3">
      <c r="A27" s="28">
        <v>26</v>
      </c>
      <c r="B27" s="29" t="s">
        <v>23</v>
      </c>
      <c r="C27" s="29" t="s">
        <v>1028</v>
      </c>
      <c r="D27" s="29">
        <v>50126289</v>
      </c>
      <c r="E27" s="29">
        <v>50</v>
      </c>
      <c r="F27" s="29">
        <v>98</v>
      </c>
      <c r="G27" s="29">
        <v>61</v>
      </c>
      <c r="H27" s="29" t="s">
        <v>274</v>
      </c>
      <c r="I27" s="29" t="s">
        <v>109</v>
      </c>
      <c r="J27" s="29" t="s">
        <v>130</v>
      </c>
      <c r="K27" s="30">
        <v>0.8520833333333333</v>
      </c>
      <c r="L27" s="29" t="s">
        <v>109</v>
      </c>
      <c r="M27" s="29" t="s">
        <v>109</v>
      </c>
      <c r="N27" s="29" t="s">
        <v>109</v>
      </c>
      <c r="O27" s="29" t="s">
        <v>61</v>
      </c>
      <c r="P27" s="28" t="s">
        <v>131</v>
      </c>
      <c r="Q27" s="28" t="s">
        <v>274</v>
      </c>
      <c r="R27" s="28" t="s">
        <v>62</v>
      </c>
      <c r="S27" s="28" t="s">
        <v>136</v>
      </c>
      <c r="T27" s="28" t="s">
        <v>223</v>
      </c>
      <c r="U27" s="111">
        <f t="shared" si="0"/>
        <v>1.22</v>
      </c>
      <c r="V27" s="28" t="s">
        <v>1941</v>
      </c>
    </row>
    <row r="28" spans="1:22" x14ac:dyDescent="0.3">
      <c r="A28" s="28">
        <v>27</v>
      </c>
      <c r="B28" s="29" t="s">
        <v>23</v>
      </c>
      <c r="C28" s="29" t="s">
        <v>1033</v>
      </c>
      <c r="D28" s="29">
        <v>50126295</v>
      </c>
      <c r="E28" s="29">
        <v>50</v>
      </c>
      <c r="F28" s="29">
        <v>83</v>
      </c>
      <c r="G28" s="29">
        <v>29</v>
      </c>
      <c r="H28" s="29" t="s">
        <v>66</v>
      </c>
      <c r="I28" s="29" t="s">
        <v>109</v>
      </c>
      <c r="J28" s="29" t="s">
        <v>130</v>
      </c>
      <c r="K28" s="30">
        <v>0.82222222222222219</v>
      </c>
      <c r="L28" s="29" t="s">
        <v>109</v>
      </c>
      <c r="M28" s="29" t="s">
        <v>109</v>
      </c>
      <c r="N28" s="29" t="s">
        <v>109</v>
      </c>
      <c r="O28" s="29" t="s">
        <v>61</v>
      </c>
      <c r="P28" s="28" t="s">
        <v>131</v>
      </c>
      <c r="Q28" s="28" t="s">
        <v>66</v>
      </c>
      <c r="R28" s="28" t="s">
        <v>62</v>
      </c>
      <c r="S28" s="28" t="s">
        <v>136</v>
      </c>
      <c r="T28" s="28" t="s">
        <v>223</v>
      </c>
      <c r="U28" s="111">
        <f t="shared" si="0"/>
        <v>0.57999999999999996</v>
      </c>
      <c r="V28" s="28" t="s">
        <v>2009</v>
      </c>
    </row>
    <row r="29" spans="1:22" x14ac:dyDescent="0.3">
      <c r="A29" s="28">
        <v>28</v>
      </c>
      <c r="B29" s="29" t="s">
        <v>23</v>
      </c>
      <c r="C29" s="29" t="s">
        <v>1378</v>
      </c>
      <c r="D29" s="29">
        <v>50126346</v>
      </c>
      <c r="E29" s="29">
        <v>20</v>
      </c>
      <c r="F29" s="29">
        <v>26</v>
      </c>
      <c r="G29" s="29">
        <v>13</v>
      </c>
      <c r="H29" s="29" t="s">
        <v>153</v>
      </c>
      <c r="I29" s="29" t="s">
        <v>109</v>
      </c>
      <c r="J29" s="29" t="s">
        <v>130</v>
      </c>
      <c r="K29" s="30">
        <v>0.90277777777777779</v>
      </c>
      <c r="L29" s="29" t="s">
        <v>109</v>
      </c>
      <c r="M29" s="29" t="s">
        <v>109</v>
      </c>
      <c r="N29" s="29" t="s">
        <v>109</v>
      </c>
      <c r="O29" s="29" t="s">
        <v>61</v>
      </c>
      <c r="P29" s="28" t="s">
        <v>131</v>
      </c>
      <c r="Q29" s="28" t="s">
        <v>153</v>
      </c>
      <c r="R29" s="28" t="s">
        <v>62</v>
      </c>
      <c r="S29" s="28" t="s">
        <v>136</v>
      </c>
      <c r="T29" s="28" t="s">
        <v>223</v>
      </c>
      <c r="U29" s="111">
        <f t="shared" si="0"/>
        <v>0.65</v>
      </c>
      <c r="V29" s="28" t="s">
        <v>612</v>
      </c>
    </row>
    <row r="30" spans="1:22" x14ac:dyDescent="0.3">
      <c r="A30" s="28">
        <v>29</v>
      </c>
      <c r="B30" s="29" t="s">
        <v>23</v>
      </c>
      <c r="C30" s="29" t="s">
        <v>1905</v>
      </c>
      <c r="D30" s="29">
        <v>50226024</v>
      </c>
      <c r="E30" s="29">
        <v>100</v>
      </c>
      <c r="F30" s="29">
        <v>154</v>
      </c>
      <c r="G30" s="29">
        <v>102</v>
      </c>
      <c r="H30" s="29" t="s">
        <v>274</v>
      </c>
      <c r="I30" s="29" t="s">
        <v>87</v>
      </c>
      <c r="J30" s="29" t="s">
        <v>130</v>
      </c>
      <c r="K30" s="30">
        <v>9.0277777777777769E-3</v>
      </c>
      <c r="L30" s="30">
        <v>4.0972222222222222E-2</v>
      </c>
      <c r="M30" s="29" t="s">
        <v>109</v>
      </c>
      <c r="N30" s="29" t="s">
        <v>109</v>
      </c>
      <c r="O30" s="29" t="s">
        <v>61</v>
      </c>
      <c r="P30" s="28" t="s">
        <v>131</v>
      </c>
      <c r="Q30" s="28" t="s">
        <v>87</v>
      </c>
      <c r="R30" s="28" t="s">
        <v>62</v>
      </c>
      <c r="S30" s="28" t="s">
        <v>136</v>
      </c>
      <c r="T30" s="28" t="s">
        <v>480</v>
      </c>
      <c r="U30" s="111">
        <f t="shared" si="0"/>
        <v>1.02</v>
      </c>
      <c r="V30" s="28" t="s">
        <v>1941</v>
      </c>
    </row>
    <row r="31" spans="1:22" x14ac:dyDescent="0.3">
      <c r="A31" s="28">
        <v>30</v>
      </c>
      <c r="B31" s="29" t="s">
        <v>23</v>
      </c>
      <c r="C31" s="29" t="s">
        <v>1906</v>
      </c>
      <c r="D31" s="29">
        <v>50226027</v>
      </c>
      <c r="E31" s="29">
        <v>300</v>
      </c>
      <c r="F31" s="29">
        <v>426</v>
      </c>
      <c r="G31" s="29">
        <v>310</v>
      </c>
      <c r="H31" s="29" t="s">
        <v>2015</v>
      </c>
      <c r="I31" s="29" t="s">
        <v>2016</v>
      </c>
      <c r="J31" s="29" t="s">
        <v>130</v>
      </c>
      <c r="K31" s="30">
        <v>0.96180555555555558</v>
      </c>
      <c r="L31" s="30">
        <v>0.98888888888888893</v>
      </c>
      <c r="M31" s="29" t="s">
        <v>109</v>
      </c>
      <c r="N31" s="29" t="s">
        <v>109</v>
      </c>
      <c r="O31" s="29" t="s">
        <v>61</v>
      </c>
      <c r="P31" s="28" t="s">
        <v>131</v>
      </c>
      <c r="Q31" s="28" t="s">
        <v>179</v>
      </c>
      <c r="R31" s="28" t="s">
        <v>62</v>
      </c>
      <c r="S31" s="28" t="s">
        <v>136</v>
      </c>
      <c r="T31" s="28" t="s">
        <v>480</v>
      </c>
      <c r="U31" s="111">
        <f t="shared" si="0"/>
        <v>1.0333333333333334</v>
      </c>
      <c r="V31" s="28" t="s">
        <v>1941</v>
      </c>
    </row>
    <row r="32" spans="1:22" x14ac:dyDescent="0.3">
      <c r="A32" s="28">
        <v>31</v>
      </c>
      <c r="B32" s="29" t="s">
        <v>23</v>
      </c>
      <c r="C32" s="29" t="s">
        <v>1911</v>
      </c>
      <c r="D32" s="29">
        <v>50226026</v>
      </c>
      <c r="E32" s="29">
        <v>200</v>
      </c>
      <c r="F32" s="29">
        <v>376</v>
      </c>
      <c r="G32" s="29">
        <v>116</v>
      </c>
      <c r="H32" s="29" t="s">
        <v>259</v>
      </c>
      <c r="I32" s="29" t="s">
        <v>2017</v>
      </c>
      <c r="J32" s="29" t="s">
        <v>130</v>
      </c>
      <c r="K32" s="30">
        <v>0.86041666666666672</v>
      </c>
      <c r="L32" s="30">
        <v>0.91041666666666665</v>
      </c>
      <c r="M32" s="29" t="s">
        <v>109</v>
      </c>
      <c r="N32" s="29" t="s">
        <v>109</v>
      </c>
      <c r="O32" s="29" t="s">
        <v>61</v>
      </c>
      <c r="P32" s="28" t="s">
        <v>131</v>
      </c>
      <c r="Q32" s="28" t="s">
        <v>94</v>
      </c>
      <c r="R32" s="28" t="s">
        <v>62</v>
      </c>
      <c r="S32" s="28" t="s">
        <v>136</v>
      </c>
      <c r="T32" s="28" t="s">
        <v>480</v>
      </c>
      <c r="U32" s="111">
        <f t="shared" si="0"/>
        <v>0.57999999999999996</v>
      </c>
      <c r="V32" s="28" t="s">
        <v>2009</v>
      </c>
    </row>
    <row r="33" spans="1:22" x14ac:dyDescent="0.3">
      <c r="A33" s="28">
        <v>32</v>
      </c>
      <c r="B33" s="29" t="s">
        <v>23</v>
      </c>
      <c r="C33" s="29" t="s">
        <v>1909</v>
      </c>
      <c r="D33" s="29">
        <v>50226025</v>
      </c>
      <c r="E33" s="29">
        <v>300</v>
      </c>
      <c r="F33" s="29">
        <v>490</v>
      </c>
      <c r="G33" s="29">
        <v>267</v>
      </c>
      <c r="H33" s="29" t="s">
        <v>2018</v>
      </c>
      <c r="I33" s="29" t="s">
        <v>2019</v>
      </c>
      <c r="J33" s="29" t="s">
        <v>130</v>
      </c>
      <c r="K33" s="30">
        <v>2.7777777777777779E-3</v>
      </c>
      <c r="L33" s="30">
        <v>4.3055555555555555E-2</v>
      </c>
      <c r="M33" s="29" t="s">
        <v>109</v>
      </c>
      <c r="N33" s="29" t="s">
        <v>109</v>
      </c>
      <c r="O33" s="29" t="s">
        <v>61</v>
      </c>
      <c r="P33" s="28" t="s">
        <v>131</v>
      </c>
      <c r="Q33" s="28" t="s">
        <v>93</v>
      </c>
      <c r="R33" s="28" t="s">
        <v>62</v>
      </c>
      <c r="S33" s="28" t="s">
        <v>136</v>
      </c>
      <c r="T33" s="28" t="s">
        <v>480</v>
      </c>
      <c r="U33" s="111">
        <f t="shared" si="0"/>
        <v>0.89</v>
      </c>
      <c r="V33" s="28" t="s">
        <v>2009</v>
      </c>
    </row>
    <row r="34" spans="1:22" x14ac:dyDescent="0.3">
      <c r="A34" s="28">
        <v>33</v>
      </c>
      <c r="B34" s="29" t="s">
        <v>23</v>
      </c>
      <c r="C34" s="29" t="s">
        <v>1026</v>
      </c>
      <c r="D34" s="29">
        <v>50126291</v>
      </c>
      <c r="E34" s="29">
        <v>40</v>
      </c>
      <c r="F34" s="29">
        <v>59</v>
      </c>
      <c r="G34" s="29">
        <v>49</v>
      </c>
      <c r="H34" s="29" t="s">
        <v>70</v>
      </c>
      <c r="I34" s="29" t="s">
        <v>109</v>
      </c>
      <c r="J34" s="29" t="s">
        <v>130</v>
      </c>
      <c r="K34" s="30">
        <v>0.99236111111111114</v>
      </c>
      <c r="L34" s="29" t="s">
        <v>109</v>
      </c>
      <c r="M34" s="29" t="s">
        <v>109</v>
      </c>
      <c r="N34" s="29" t="s">
        <v>109</v>
      </c>
      <c r="O34" s="29" t="s">
        <v>61</v>
      </c>
      <c r="P34" s="28" t="s">
        <v>131</v>
      </c>
      <c r="Q34" s="28" t="s">
        <v>70</v>
      </c>
      <c r="R34" s="28" t="s">
        <v>62</v>
      </c>
      <c r="S34" s="28" t="s">
        <v>136</v>
      </c>
      <c r="T34" s="28" t="s">
        <v>223</v>
      </c>
      <c r="U34" s="111">
        <f t="shared" si="0"/>
        <v>1.2250000000000001</v>
      </c>
      <c r="V34" s="28" t="s">
        <v>1941</v>
      </c>
    </row>
    <row r="35" spans="1:22" x14ac:dyDescent="0.3">
      <c r="A35" s="28">
        <v>34</v>
      </c>
      <c r="B35" s="29" t="s">
        <v>23</v>
      </c>
      <c r="C35" s="29" t="s">
        <v>1369</v>
      </c>
      <c r="D35" s="29">
        <v>50126339</v>
      </c>
      <c r="E35" s="29">
        <v>40</v>
      </c>
      <c r="F35" s="29">
        <v>58</v>
      </c>
      <c r="G35" s="29">
        <v>29</v>
      </c>
      <c r="H35" s="29" t="s">
        <v>82</v>
      </c>
      <c r="I35" s="29" t="s">
        <v>109</v>
      </c>
      <c r="J35" s="29" t="s">
        <v>130</v>
      </c>
      <c r="K35" s="30">
        <v>0.69166666666666665</v>
      </c>
      <c r="L35" s="29" t="s">
        <v>109</v>
      </c>
      <c r="M35" s="29" t="s">
        <v>109</v>
      </c>
      <c r="N35" s="29" t="s">
        <v>109</v>
      </c>
      <c r="O35" s="29" t="s">
        <v>61</v>
      </c>
      <c r="P35" s="28" t="s">
        <v>131</v>
      </c>
      <c r="Q35" s="28" t="s">
        <v>82</v>
      </c>
      <c r="R35" s="28" t="s">
        <v>62</v>
      </c>
      <c r="S35" s="28" t="s">
        <v>136</v>
      </c>
      <c r="T35" s="28" t="s">
        <v>1365</v>
      </c>
      <c r="U35" s="111">
        <f t="shared" si="0"/>
        <v>0.72499999999999998</v>
      </c>
      <c r="V35" s="28" t="s">
        <v>612</v>
      </c>
    </row>
    <row r="36" spans="1:22" x14ac:dyDescent="0.3">
      <c r="A36" s="28">
        <v>35</v>
      </c>
      <c r="B36" s="29" t="s">
        <v>23</v>
      </c>
      <c r="C36" s="29" t="s">
        <v>978</v>
      </c>
      <c r="D36" s="29">
        <v>50126276</v>
      </c>
      <c r="E36" s="29">
        <v>250</v>
      </c>
      <c r="F36" s="29">
        <v>338</v>
      </c>
      <c r="G36" s="29">
        <v>268</v>
      </c>
      <c r="H36" s="29" t="s">
        <v>2020</v>
      </c>
      <c r="I36" s="29" t="s">
        <v>109</v>
      </c>
      <c r="J36" s="29" t="s">
        <v>130</v>
      </c>
      <c r="K36" s="30">
        <v>0.83888888888888891</v>
      </c>
      <c r="L36" s="29" t="s">
        <v>109</v>
      </c>
      <c r="M36" s="29" t="s">
        <v>109</v>
      </c>
      <c r="N36" s="29" t="s">
        <v>109</v>
      </c>
      <c r="O36" s="29" t="s">
        <v>61</v>
      </c>
      <c r="P36" s="28" t="s">
        <v>131</v>
      </c>
      <c r="Q36" s="28" t="s">
        <v>153</v>
      </c>
      <c r="R36" s="28" t="s">
        <v>62</v>
      </c>
      <c r="S36" s="28" t="s">
        <v>136</v>
      </c>
      <c r="T36" s="28" t="s">
        <v>334</v>
      </c>
      <c r="U36" s="111">
        <f t="shared" si="0"/>
        <v>1.0720000000000001</v>
      </c>
      <c r="V36" s="28" t="s">
        <v>1941</v>
      </c>
    </row>
    <row r="37" spans="1:22" x14ac:dyDescent="0.3">
      <c r="A37" s="28">
        <v>36</v>
      </c>
      <c r="B37" s="29" t="s">
        <v>23</v>
      </c>
      <c r="C37" s="29" t="s">
        <v>981</v>
      </c>
      <c r="D37" s="29">
        <v>50126275</v>
      </c>
      <c r="E37" s="29">
        <v>150</v>
      </c>
      <c r="F37" s="29">
        <v>286</v>
      </c>
      <c r="G37" s="29">
        <v>125</v>
      </c>
      <c r="H37" s="29" t="s">
        <v>2021</v>
      </c>
      <c r="I37" s="29" t="s">
        <v>109</v>
      </c>
      <c r="J37" s="29" t="s">
        <v>130</v>
      </c>
      <c r="K37" s="30">
        <v>0.90972222222222221</v>
      </c>
      <c r="L37" s="29" t="s">
        <v>109</v>
      </c>
      <c r="M37" s="29" t="s">
        <v>109</v>
      </c>
      <c r="N37" s="29" t="s">
        <v>109</v>
      </c>
      <c r="O37" s="29" t="s">
        <v>61</v>
      </c>
      <c r="P37" s="28" t="s">
        <v>131</v>
      </c>
      <c r="Q37" s="28" t="s">
        <v>69</v>
      </c>
      <c r="R37" s="28" t="s">
        <v>62</v>
      </c>
      <c r="S37" s="28" t="s">
        <v>136</v>
      </c>
      <c r="T37" s="28" t="s">
        <v>334</v>
      </c>
      <c r="U37" s="111">
        <f t="shared" si="0"/>
        <v>0.83333333333333337</v>
      </c>
      <c r="V37" s="28" t="s">
        <v>2009</v>
      </c>
    </row>
    <row r="38" spans="1:22" x14ac:dyDescent="0.3">
      <c r="A38" s="28">
        <v>37</v>
      </c>
      <c r="B38" s="29" t="s">
        <v>23</v>
      </c>
      <c r="C38" s="29" t="s">
        <v>2022</v>
      </c>
      <c r="D38" s="29">
        <v>50226042</v>
      </c>
      <c r="E38" s="29">
        <v>50</v>
      </c>
      <c r="F38" s="29">
        <v>54</v>
      </c>
      <c r="G38" s="29">
        <v>15</v>
      </c>
      <c r="H38" s="29" t="s">
        <v>82</v>
      </c>
      <c r="I38" s="29" t="s">
        <v>109</v>
      </c>
      <c r="J38" s="29" t="s">
        <v>130</v>
      </c>
      <c r="K38" s="30">
        <v>0.93402777777777779</v>
      </c>
      <c r="L38" s="29" t="s">
        <v>109</v>
      </c>
      <c r="M38" s="29" t="s">
        <v>109</v>
      </c>
      <c r="N38" s="29" t="s">
        <v>109</v>
      </c>
      <c r="O38" s="29" t="s">
        <v>61</v>
      </c>
      <c r="P38" s="28" t="s">
        <v>131</v>
      </c>
      <c r="Q38" s="28" t="s">
        <v>82</v>
      </c>
      <c r="R38" s="28" t="s">
        <v>62</v>
      </c>
      <c r="S38" s="28" t="s">
        <v>136</v>
      </c>
      <c r="T38" s="28" t="s">
        <v>464</v>
      </c>
      <c r="U38" s="111">
        <f t="shared" si="0"/>
        <v>0.3</v>
      </c>
      <c r="V38" s="28" t="s">
        <v>612</v>
      </c>
    </row>
    <row r="39" spans="1:22" x14ac:dyDescent="0.3">
      <c r="A39" s="28">
        <v>38</v>
      </c>
      <c r="B39" s="29" t="s">
        <v>23</v>
      </c>
      <c r="C39" s="29" t="s">
        <v>2023</v>
      </c>
      <c r="D39" s="29">
        <v>50226041</v>
      </c>
      <c r="E39" s="29">
        <v>200</v>
      </c>
      <c r="F39" s="29">
        <v>232</v>
      </c>
      <c r="G39" s="29">
        <v>100</v>
      </c>
      <c r="H39" s="29" t="s">
        <v>229</v>
      </c>
      <c r="I39" s="29" t="s">
        <v>109</v>
      </c>
      <c r="J39" s="29" t="s">
        <v>130</v>
      </c>
      <c r="K39" s="30">
        <v>0.98333333333333328</v>
      </c>
      <c r="L39" s="29" t="s">
        <v>109</v>
      </c>
      <c r="M39" s="29" t="s">
        <v>109</v>
      </c>
      <c r="N39" s="29" t="s">
        <v>109</v>
      </c>
      <c r="O39" s="29" t="s">
        <v>61</v>
      </c>
      <c r="P39" s="28" t="s">
        <v>131</v>
      </c>
      <c r="Q39" s="28" t="s">
        <v>64</v>
      </c>
      <c r="R39" s="28" t="s">
        <v>62</v>
      </c>
      <c r="S39" s="28" t="s">
        <v>136</v>
      </c>
      <c r="T39" s="28" t="s">
        <v>464</v>
      </c>
      <c r="U39" s="111">
        <f t="shared" si="0"/>
        <v>0.5</v>
      </c>
      <c r="V39" s="28" t="s">
        <v>612</v>
      </c>
    </row>
    <row r="40" spans="1:22" x14ac:dyDescent="0.3">
      <c r="A40" s="28">
        <v>39</v>
      </c>
      <c r="B40" s="29" t="s">
        <v>23</v>
      </c>
      <c r="C40" s="29" t="s">
        <v>752</v>
      </c>
      <c r="D40" s="29">
        <v>50126141</v>
      </c>
      <c r="E40" s="29">
        <v>100</v>
      </c>
      <c r="F40" s="29" t="s">
        <v>109</v>
      </c>
      <c r="G40" s="29" t="s">
        <v>109</v>
      </c>
      <c r="H40" s="29" t="s">
        <v>196</v>
      </c>
      <c r="I40" s="29" t="s">
        <v>91</v>
      </c>
      <c r="J40" s="29" t="s">
        <v>109</v>
      </c>
      <c r="K40" s="30">
        <v>2.5000000000000001E-2</v>
      </c>
      <c r="L40" s="29" t="s">
        <v>109</v>
      </c>
      <c r="M40" s="29" t="s">
        <v>109</v>
      </c>
      <c r="N40" s="29" t="s">
        <v>109</v>
      </c>
      <c r="O40" s="29" t="s">
        <v>61</v>
      </c>
      <c r="P40" s="28" t="s">
        <v>109</v>
      </c>
      <c r="Q40" s="28" t="s">
        <v>109</v>
      </c>
      <c r="R40" s="28" t="s">
        <v>62</v>
      </c>
      <c r="S40" s="28" t="s">
        <v>136</v>
      </c>
      <c r="T40" s="28" t="s">
        <v>480</v>
      </c>
      <c r="U40" s="111" t="e">
        <f t="shared" si="0"/>
        <v>#VALUE!</v>
      </c>
      <c r="V40" s="28" t="s">
        <v>109</v>
      </c>
    </row>
    <row r="41" spans="1:22" x14ac:dyDescent="0.3">
      <c r="A41" s="28">
        <v>40</v>
      </c>
      <c r="B41" s="29" t="s">
        <v>23</v>
      </c>
      <c r="C41" s="29" t="s">
        <v>756</v>
      </c>
      <c r="D41" s="29">
        <v>50126144</v>
      </c>
      <c r="E41" s="29">
        <v>50</v>
      </c>
      <c r="F41" s="29">
        <v>76</v>
      </c>
      <c r="G41" s="29">
        <v>40</v>
      </c>
      <c r="H41" s="29" t="s">
        <v>67</v>
      </c>
      <c r="I41" s="29" t="s">
        <v>154</v>
      </c>
      <c r="J41" s="29" t="s">
        <v>130</v>
      </c>
      <c r="K41" s="30">
        <v>0.99513888888888891</v>
      </c>
      <c r="L41" s="30">
        <v>9.7222222222222224E-3</v>
      </c>
      <c r="M41" s="29" t="s">
        <v>109</v>
      </c>
      <c r="N41" s="29" t="s">
        <v>109</v>
      </c>
      <c r="O41" s="29" t="s">
        <v>61</v>
      </c>
      <c r="P41" s="28" t="s">
        <v>131</v>
      </c>
      <c r="Q41" s="28" t="s">
        <v>154</v>
      </c>
      <c r="R41" s="28" t="s">
        <v>62</v>
      </c>
      <c r="S41" s="28" t="s">
        <v>136</v>
      </c>
      <c r="T41" s="28" t="s">
        <v>480</v>
      </c>
      <c r="U41" s="111">
        <f t="shared" si="0"/>
        <v>0.8</v>
      </c>
      <c r="V41" s="28" t="s">
        <v>2009</v>
      </c>
    </row>
    <row r="42" spans="1:22" x14ac:dyDescent="0.3">
      <c r="A42" s="28">
        <v>41</v>
      </c>
      <c r="B42" s="29" t="s">
        <v>23</v>
      </c>
      <c r="C42" s="29" t="s">
        <v>1054</v>
      </c>
      <c r="D42" s="29">
        <v>50126315</v>
      </c>
      <c r="E42" s="29">
        <v>150</v>
      </c>
      <c r="F42" s="29">
        <v>303</v>
      </c>
      <c r="G42" s="29">
        <v>98</v>
      </c>
      <c r="H42" s="29" t="s">
        <v>2024</v>
      </c>
      <c r="I42" s="29" t="s">
        <v>2025</v>
      </c>
      <c r="J42" s="29" t="s">
        <v>130</v>
      </c>
      <c r="K42" s="30">
        <v>0.79861111111111116</v>
      </c>
      <c r="L42" s="30">
        <v>0.84236111111111112</v>
      </c>
      <c r="M42" s="29" t="s">
        <v>109</v>
      </c>
      <c r="N42" s="29" t="s">
        <v>109</v>
      </c>
      <c r="O42" s="29" t="s">
        <v>61</v>
      </c>
      <c r="P42" s="28" t="s">
        <v>131</v>
      </c>
      <c r="Q42" s="28" t="s">
        <v>89</v>
      </c>
      <c r="R42" s="28" t="s">
        <v>62</v>
      </c>
      <c r="S42" s="28" t="s">
        <v>136</v>
      </c>
      <c r="T42" s="28" t="s">
        <v>480</v>
      </c>
      <c r="U42" s="111">
        <f t="shared" si="0"/>
        <v>0.65333333333333332</v>
      </c>
      <c r="V42" s="28" t="s">
        <v>2009</v>
      </c>
    </row>
    <row r="43" spans="1:22" x14ac:dyDescent="0.3">
      <c r="A43" s="28">
        <v>42</v>
      </c>
      <c r="B43" s="29" t="s">
        <v>23</v>
      </c>
      <c r="C43" s="29" t="s">
        <v>1056</v>
      </c>
      <c r="D43" s="29">
        <v>50126316</v>
      </c>
      <c r="E43" s="29">
        <v>100</v>
      </c>
      <c r="F43" s="29" t="s">
        <v>109</v>
      </c>
      <c r="G43" s="29" t="s">
        <v>109</v>
      </c>
      <c r="H43" s="29" t="s">
        <v>66</v>
      </c>
      <c r="I43" s="29" t="s">
        <v>93</v>
      </c>
      <c r="J43" s="29" t="s">
        <v>109</v>
      </c>
      <c r="K43" s="29" t="s">
        <v>109</v>
      </c>
      <c r="L43" s="29" t="s">
        <v>109</v>
      </c>
      <c r="M43" s="29" t="s">
        <v>109</v>
      </c>
      <c r="N43" s="29" t="s">
        <v>109</v>
      </c>
      <c r="O43" s="29" t="s">
        <v>61</v>
      </c>
      <c r="P43" s="28" t="s">
        <v>109</v>
      </c>
      <c r="Q43" s="28" t="s">
        <v>109</v>
      </c>
      <c r="R43" s="28" t="s">
        <v>62</v>
      </c>
      <c r="S43" s="28" t="s">
        <v>136</v>
      </c>
      <c r="T43" s="28" t="s">
        <v>480</v>
      </c>
      <c r="U43" s="111" t="e">
        <f t="shared" si="0"/>
        <v>#VALUE!</v>
      </c>
      <c r="V43" s="28" t="s">
        <v>109</v>
      </c>
    </row>
    <row r="44" spans="1:22" x14ac:dyDescent="0.3">
      <c r="A44" s="28">
        <v>43</v>
      </c>
      <c r="B44" s="29" t="s">
        <v>23</v>
      </c>
      <c r="C44" s="29" t="s">
        <v>686</v>
      </c>
      <c r="D44" s="29">
        <v>50126137</v>
      </c>
      <c r="E44" s="29">
        <v>150</v>
      </c>
      <c r="F44" s="29">
        <v>264</v>
      </c>
      <c r="G44" s="29">
        <v>165</v>
      </c>
      <c r="H44" s="29" t="s">
        <v>159</v>
      </c>
      <c r="I44" s="29" t="s">
        <v>109</v>
      </c>
      <c r="J44" s="29" t="s">
        <v>130</v>
      </c>
      <c r="K44" s="30">
        <v>0.72222222222222221</v>
      </c>
      <c r="L44" s="29" t="s">
        <v>109</v>
      </c>
      <c r="M44" s="29" t="s">
        <v>109</v>
      </c>
      <c r="N44" s="29" t="s">
        <v>109</v>
      </c>
      <c r="O44" s="29" t="s">
        <v>61</v>
      </c>
      <c r="P44" s="28" t="s">
        <v>131</v>
      </c>
      <c r="Q44" s="28" t="s">
        <v>196</v>
      </c>
      <c r="R44" s="28" t="s">
        <v>62</v>
      </c>
      <c r="S44" s="28" t="s">
        <v>136</v>
      </c>
      <c r="T44" s="28" t="s">
        <v>688</v>
      </c>
      <c r="U44" s="111">
        <f t="shared" si="0"/>
        <v>1.1000000000000001</v>
      </c>
      <c r="V44" s="28" t="s">
        <v>1941</v>
      </c>
    </row>
    <row r="45" spans="1:22" x14ac:dyDescent="0.3">
      <c r="A45" s="28">
        <v>44</v>
      </c>
      <c r="B45" s="29" t="s">
        <v>23</v>
      </c>
      <c r="C45" s="29" t="s">
        <v>586</v>
      </c>
      <c r="D45" s="29">
        <v>50126061</v>
      </c>
      <c r="E45" s="29">
        <v>30</v>
      </c>
      <c r="F45" s="29">
        <v>65</v>
      </c>
      <c r="G45" s="29">
        <v>38</v>
      </c>
      <c r="H45" s="29" t="s">
        <v>200</v>
      </c>
      <c r="I45" s="29" t="s">
        <v>109</v>
      </c>
      <c r="J45" s="29" t="s">
        <v>130</v>
      </c>
      <c r="K45" s="30">
        <v>0.9604166666666667</v>
      </c>
      <c r="L45" s="29" t="s">
        <v>109</v>
      </c>
      <c r="M45" s="29" t="s">
        <v>109</v>
      </c>
      <c r="N45" s="29" t="s">
        <v>109</v>
      </c>
      <c r="O45" s="29" t="s">
        <v>61</v>
      </c>
      <c r="P45" s="28" t="s">
        <v>131</v>
      </c>
      <c r="Q45" s="28" t="s">
        <v>200</v>
      </c>
      <c r="R45" s="28" t="s">
        <v>62</v>
      </c>
      <c r="S45" s="28" t="s">
        <v>136</v>
      </c>
      <c r="T45" s="28" t="s">
        <v>610</v>
      </c>
      <c r="U45" s="111">
        <f t="shared" si="0"/>
        <v>1.2666666666666666</v>
      </c>
      <c r="V45" s="28" t="s">
        <v>1941</v>
      </c>
    </row>
    <row r="46" spans="1:22" x14ac:dyDescent="0.3">
      <c r="A46" s="28">
        <v>45</v>
      </c>
      <c r="B46" s="29" t="s">
        <v>23</v>
      </c>
      <c r="C46" s="29" t="s">
        <v>587</v>
      </c>
      <c r="D46" s="29">
        <v>50126063</v>
      </c>
      <c r="E46" s="29">
        <v>30</v>
      </c>
      <c r="F46" s="29">
        <v>52</v>
      </c>
      <c r="G46" s="29">
        <v>10</v>
      </c>
      <c r="H46" s="29" t="s">
        <v>68</v>
      </c>
      <c r="I46" s="29" t="s">
        <v>109</v>
      </c>
      <c r="J46" s="29" t="s">
        <v>130</v>
      </c>
      <c r="K46" s="30">
        <v>0.7993055555555556</v>
      </c>
      <c r="L46" s="29" t="s">
        <v>109</v>
      </c>
      <c r="M46" s="29" t="s">
        <v>109</v>
      </c>
      <c r="N46" s="29" t="s">
        <v>109</v>
      </c>
      <c r="O46" s="29" t="s">
        <v>61</v>
      </c>
      <c r="P46" s="28" t="s">
        <v>131</v>
      </c>
      <c r="Q46" s="28" t="s">
        <v>68</v>
      </c>
      <c r="R46" s="28" t="s">
        <v>62</v>
      </c>
      <c r="S46" s="28" t="s">
        <v>136</v>
      </c>
      <c r="T46" s="28" t="s">
        <v>610</v>
      </c>
      <c r="U46" s="111">
        <f t="shared" si="0"/>
        <v>0.33333333333333331</v>
      </c>
      <c r="V46" s="28" t="s">
        <v>2009</v>
      </c>
    </row>
    <row r="47" spans="1:22" x14ac:dyDescent="0.3">
      <c r="A47" s="28">
        <v>46</v>
      </c>
      <c r="B47" s="29" t="s">
        <v>23</v>
      </c>
      <c r="C47" s="29" t="s">
        <v>596</v>
      </c>
      <c r="D47" s="29">
        <v>50126071</v>
      </c>
      <c r="E47" s="29">
        <v>30</v>
      </c>
      <c r="F47" s="29">
        <v>36</v>
      </c>
      <c r="G47" s="29">
        <v>16</v>
      </c>
      <c r="H47" s="29" t="s">
        <v>64</v>
      </c>
      <c r="I47" s="29" t="s">
        <v>109</v>
      </c>
      <c r="J47" s="29" t="s">
        <v>130</v>
      </c>
      <c r="K47" s="30">
        <v>0.91666666666666663</v>
      </c>
      <c r="L47" s="29" t="s">
        <v>109</v>
      </c>
      <c r="M47" s="29" t="s">
        <v>109</v>
      </c>
      <c r="N47" s="29" t="s">
        <v>109</v>
      </c>
      <c r="O47" s="29" t="s">
        <v>61</v>
      </c>
      <c r="P47" s="28" t="s">
        <v>131</v>
      </c>
      <c r="Q47" s="28" t="s">
        <v>64</v>
      </c>
      <c r="R47" s="28" t="s">
        <v>62</v>
      </c>
      <c r="S47" s="28" t="s">
        <v>136</v>
      </c>
      <c r="T47" s="28" t="s">
        <v>610</v>
      </c>
      <c r="U47" s="111">
        <f t="shared" si="0"/>
        <v>0.53333333333333333</v>
      </c>
      <c r="V47" s="28" t="s">
        <v>612</v>
      </c>
    </row>
    <row r="48" spans="1:22" x14ac:dyDescent="0.3">
      <c r="A48" s="28">
        <v>47</v>
      </c>
      <c r="B48" s="29" t="s">
        <v>143</v>
      </c>
      <c r="C48" s="29" t="s">
        <v>1667</v>
      </c>
      <c r="D48" s="29">
        <v>10126048</v>
      </c>
      <c r="E48" s="29">
        <v>100</v>
      </c>
      <c r="F48" s="29">
        <v>117</v>
      </c>
      <c r="G48" s="29">
        <v>22</v>
      </c>
      <c r="H48" s="29" t="s">
        <v>744</v>
      </c>
      <c r="I48" s="29" t="s">
        <v>109</v>
      </c>
      <c r="J48" s="29" t="s">
        <v>130</v>
      </c>
      <c r="K48" s="30">
        <v>1.1111111111111112E-2</v>
      </c>
      <c r="L48" s="29" t="s">
        <v>109</v>
      </c>
      <c r="M48" s="29" t="s">
        <v>109</v>
      </c>
      <c r="N48" s="29" t="s">
        <v>109</v>
      </c>
      <c r="O48" s="29" t="s">
        <v>61</v>
      </c>
      <c r="P48" s="28" t="s">
        <v>131</v>
      </c>
      <c r="Q48" s="28" t="s">
        <v>744</v>
      </c>
      <c r="R48" s="28" t="s">
        <v>62</v>
      </c>
      <c r="S48" s="28" t="s">
        <v>136</v>
      </c>
      <c r="T48" s="28" t="s">
        <v>402</v>
      </c>
      <c r="U48" s="111">
        <f t="shared" si="0"/>
        <v>0.22</v>
      </c>
      <c r="V48" s="28" t="s">
        <v>2009</v>
      </c>
    </row>
    <row r="49" spans="1:22" x14ac:dyDescent="0.3">
      <c r="A49" s="28">
        <v>48</v>
      </c>
      <c r="B49" s="29" t="s">
        <v>143</v>
      </c>
      <c r="C49" s="29" t="s">
        <v>1959</v>
      </c>
      <c r="D49" s="29">
        <v>10226006</v>
      </c>
      <c r="E49" s="29">
        <v>66</v>
      </c>
      <c r="F49" s="29">
        <v>145</v>
      </c>
      <c r="G49" s="29">
        <v>82</v>
      </c>
      <c r="H49" s="29" t="s">
        <v>274</v>
      </c>
      <c r="I49" s="29" t="s">
        <v>179</v>
      </c>
      <c r="J49" s="29" t="s">
        <v>130</v>
      </c>
      <c r="K49" s="30">
        <v>0.91736111111111107</v>
      </c>
      <c r="L49" s="30">
        <v>0.93819444444444444</v>
      </c>
      <c r="M49" s="29" t="s">
        <v>109</v>
      </c>
      <c r="N49" s="29" t="s">
        <v>109</v>
      </c>
      <c r="O49" s="29" t="s">
        <v>61</v>
      </c>
      <c r="P49" s="28" t="s">
        <v>131</v>
      </c>
      <c r="Q49" s="28" t="s">
        <v>179</v>
      </c>
      <c r="R49" s="28" t="s">
        <v>62</v>
      </c>
      <c r="S49" s="28" t="s">
        <v>136</v>
      </c>
      <c r="T49" s="28" t="s">
        <v>1601</v>
      </c>
      <c r="U49" s="111">
        <f t="shared" si="0"/>
        <v>1.2424242424242424</v>
      </c>
      <c r="V49" s="28" t="s">
        <v>1941</v>
      </c>
    </row>
    <row r="50" spans="1:22" x14ac:dyDescent="0.3">
      <c r="A50" s="28">
        <v>49</v>
      </c>
      <c r="B50" s="29" t="s">
        <v>143</v>
      </c>
      <c r="C50" s="29" t="s">
        <v>1734</v>
      </c>
      <c r="D50" s="29">
        <v>10126049</v>
      </c>
      <c r="E50" s="29">
        <v>50</v>
      </c>
      <c r="F50" s="29" t="s">
        <v>109</v>
      </c>
      <c r="G50" s="29" t="s">
        <v>109</v>
      </c>
      <c r="H50" s="29" t="s">
        <v>222</v>
      </c>
      <c r="I50" s="29" t="s">
        <v>88</v>
      </c>
      <c r="J50" s="29" t="s">
        <v>85</v>
      </c>
      <c r="K50" s="29" t="s">
        <v>109</v>
      </c>
      <c r="L50" s="29" t="s">
        <v>109</v>
      </c>
      <c r="M50" s="29" t="s">
        <v>109</v>
      </c>
      <c r="N50" s="29" t="s">
        <v>109</v>
      </c>
      <c r="O50" s="29" t="s">
        <v>61</v>
      </c>
      <c r="P50" s="28" t="s">
        <v>109</v>
      </c>
      <c r="Q50" s="28" t="s">
        <v>109</v>
      </c>
      <c r="R50" s="28" t="s">
        <v>62</v>
      </c>
      <c r="S50" s="28" t="s">
        <v>136</v>
      </c>
      <c r="T50" s="28" t="s">
        <v>182</v>
      </c>
      <c r="U50" s="111" t="e">
        <f t="shared" si="0"/>
        <v>#VALUE!</v>
      </c>
      <c r="V50" s="28" t="s">
        <v>109</v>
      </c>
    </row>
    <row r="51" spans="1:22" x14ac:dyDescent="0.3">
      <c r="A51" s="28">
        <v>50</v>
      </c>
      <c r="B51" s="29" t="s">
        <v>143</v>
      </c>
      <c r="C51" s="29" t="s">
        <v>1871</v>
      </c>
      <c r="D51" s="29">
        <v>10226005</v>
      </c>
      <c r="E51" s="29">
        <v>50</v>
      </c>
      <c r="F51" s="29">
        <v>113</v>
      </c>
      <c r="G51" s="29">
        <v>41</v>
      </c>
      <c r="H51" s="29" t="s">
        <v>64</v>
      </c>
      <c r="I51" s="29" t="s">
        <v>89</v>
      </c>
      <c r="J51" s="29" t="s">
        <v>130</v>
      </c>
      <c r="K51" s="30">
        <v>0.82638888888888884</v>
      </c>
      <c r="L51" s="30">
        <v>0.95694444444444449</v>
      </c>
      <c r="M51" s="29" t="s">
        <v>109</v>
      </c>
      <c r="N51" s="29" t="s">
        <v>109</v>
      </c>
      <c r="O51" s="29" t="s">
        <v>61</v>
      </c>
      <c r="P51" s="28" t="s">
        <v>131</v>
      </c>
      <c r="Q51" s="28" t="s">
        <v>64</v>
      </c>
      <c r="R51" s="28" t="s">
        <v>62</v>
      </c>
      <c r="S51" s="28" t="s">
        <v>136</v>
      </c>
      <c r="T51" s="28" t="s">
        <v>398</v>
      </c>
      <c r="U51" s="111">
        <f t="shared" si="0"/>
        <v>0.82</v>
      </c>
      <c r="V51" s="28" t="s">
        <v>2009</v>
      </c>
    </row>
    <row r="52" spans="1:22" x14ac:dyDescent="0.3">
      <c r="A52" s="28">
        <v>51</v>
      </c>
      <c r="B52" s="29" t="s">
        <v>143</v>
      </c>
      <c r="C52" s="29" t="s">
        <v>1602</v>
      </c>
      <c r="D52" s="29">
        <v>10126045</v>
      </c>
      <c r="E52" s="29">
        <v>30</v>
      </c>
      <c r="F52" s="29">
        <v>46</v>
      </c>
      <c r="G52" s="29">
        <v>32</v>
      </c>
      <c r="H52" s="29" t="s">
        <v>66</v>
      </c>
      <c r="I52" s="29" t="s">
        <v>95</v>
      </c>
      <c r="J52" s="29" t="s">
        <v>130</v>
      </c>
      <c r="K52" s="30">
        <v>0.78263888888888888</v>
      </c>
      <c r="L52" s="30">
        <v>0.80902777777777779</v>
      </c>
      <c r="M52" s="29" t="s">
        <v>109</v>
      </c>
      <c r="N52" s="29" t="s">
        <v>109</v>
      </c>
      <c r="O52" s="29" t="s">
        <v>61</v>
      </c>
      <c r="P52" s="28" t="s">
        <v>131</v>
      </c>
      <c r="Q52" s="28" t="s">
        <v>95</v>
      </c>
      <c r="R52" s="28" t="s">
        <v>62</v>
      </c>
      <c r="S52" s="28" t="s">
        <v>136</v>
      </c>
      <c r="T52" s="28" t="s">
        <v>1603</v>
      </c>
      <c r="U52" s="111">
        <f t="shared" si="0"/>
        <v>1.0666666666666667</v>
      </c>
      <c r="V52" s="28" t="s">
        <v>1941</v>
      </c>
    </row>
    <row r="53" spans="1:22" x14ac:dyDescent="0.3">
      <c r="A53" s="28">
        <v>52</v>
      </c>
      <c r="B53" s="29" t="s">
        <v>143</v>
      </c>
      <c r="C53" s="29" t="s">
        <v>2026</v>
      </c>
      <c r="D53" s="29">
        <v>10226008</v>
      </c>
      <c r="E53" s="29">
        <v>95</v>
      </c>
      <c r="F53" s="29">
        <v>131</v>
      </c>
      <c r="G53" s="29">
        <v>99</v>
      </c>
      <c r="H53" s="29" t="s">
        <v>67</v>
      </c>
      <c r="I53" s="29" t="s">
        <v>95</v>
      </c>
      <c r="J53" s="29" t="s">
        <v>130</v>
      </c>
      <c r="K53" s="30">
        <v>0.84513888888888888</v>
      </c>
      <c r="L53" s="30">
        <v>0.95416666666666672</v>
      </c>
      <c r="M53" s="29" t="s">
        <v>109</v>
      </c>
      <c r="N53" s="29" t="s">
        <v>109</v>
      </c>
      <c r="O53" s="29" t="s">
        <v>61</v>
      </c>
      <c r="P53" s="28" t="s">
        <v>131</v>
      </c>
      <c r="Q53" s="28" t="s">
        <v>95</v>
      </c>
      <c r="R53" s="28" t="s">
        <v>62</v>
      </c>
      <c r="S53" s="28" t="s">
        <v>136</v>
      </c>
      <c r="T53" s="28" t="s">
        <v>398</v>
      </c>
      <c r="U53" s="111">
        <f t="shared" si="0"/>
        <v>1.0421052631578946</v>
      </c>
      <c r="V53" s="28" t="s">
        <v>1941</v>
      </c>
    </row>
    <row r="54" spans="1:22" x14ac:dyDescent="0.3">
      <c r="A54" s="28">
        <v>53</v>
      </c>
      <c r="B54" s="29" t="s">
        <v>24</v>
      </c>
      <c r="C54" s="29" t="s">
        <v>2027</v>
      </c>
      <c r="D54" s="29">
        <v>60226015</v>
      </c>
      <c r="E54" s="29">
        <v>78</v>
      </c>
      <c r="F54" s="29">
        <v>150</v>
      </c>
      <c r="G54" s="29">
        <v>40</v>
      </c>
      <c r="H54" s="29" t="s">
        <v>65</v>
      </c>
      <c r="I54" s="29" t="s">
        <v>154</v>
      </c>
      <c r="J54" s="29" t="s">
        <v>130</v>
      </c>
      <c r="K54" s="30">
        <v>0.74444444444444446</v>
      </c>
      <c r="L54" s="30">
        <v>0.78263888888888888</v>
      </c>
      <c r="M54" s="29" t="s">
        <v>109</v>
      </c>
      <c r="N54" s="29" t="s">
        <v>1833</v>
      </c>
      <c r="O54" s="29" t="s">
        <v>61</v>
      </c>
      <c r="P54" s="28" t="s">
        <v>131</v>
      </c>
      <c r="Q54" s="28" t="s">
        <v>154</v>
      </c>
      <c r="R54" s="28" t="s">
        <v>63</v>
      </c>
      <c r="S54" s="28" t="s">
        <v>136</v>
      </c>
      <c r="T54" s="28" t="s">
        <v>1562</v>
      </c>
      <c r="U54" s="111">
        <f t="shared" si="0"/>
        <v>0.51282051282051277</v>
      </c>
      <c r="V54" s="28" t="s">
        <v>2009</v>
      </c>
    </row>
    <row r="55" spans="1:22" x14ac:dyDescent="0.3">
      <c r="A55" s="28">
        <v>54</v>
      </c>
      <c r="B55" s="29" t="s">
        <v>24</v>
      </c>
      <c r="C55" s="29" t="s">
        <v>2028</v>
      </c>
      <c r="D55" s="29">
        <v>60226017</v>
      </c>
      <c r="E55" s="29">
        <v>88</v>
      </c>
      <c r="F55" s="29">
        <v>173</v>
      </c>
      <c r="G55" s="29">
        <v>19</v>
      </c>
      <c r="H55" s="29" t="s">
        <v>214</v>
      </c>
      <c r="I55" s="29" t="s">
        <v>89</v>
      </c>
      <c r="J55" s="29" t="s">
        <v>130</v>
      </c>
      <c r="K55" s="30">
        <v>0.78333333333333333</v>
      </c>
      <c r="L55" s="30">
        <v>0.81458333333333333</v>
      </c>
      <c r="M55" s="29" t="s">
        <v>109</v>
      </c>
      <c r="N55" s="29" t="s">
        <v>1833</v>
      </c>
      <c r="O55" s="29" t="s">
        <v>61</v>
      </c>
      <c r="P55" s="28" t="s">
        <v>131</v>
      </c>
      <c r="Q55" s="28" t="s">
        <v>89</v>
      </c>
      <c r="R55" s="28" t="s">
        <v>63</v>
      </c>
      <c r="S55" s="28" t="s">
        <v>136</v>
      </c>
      <c r="T55" s="28" t="s">
        <v>1562</v>
      </c>
      <c r="U55" s="111">
        <f t="shared" si="0"/>
        <v>0.21590909090909091</v>
      </c>
      <c r="V55" s="28" t="s">
        <v>2009</v>
      </c>
    </row>
    <row r="56" spans="1:22" x14ac:dyDescent="0.3">
      <c r="A56" s="28">
        <v>55</v>
      </c>
      <c r="B56" s="29" t="s">
        <v>24</v>
      </c>
      <c r="C56" s="29" t="s">
        <v>2029</v>
      </c>
      <c r="D56" s="29">
        <v>60226016</v>
      </c>
      <c r="E56" s="29">
        <v>61</v>
      </c>
      <c r="F56" s="29">
        <v>90</v>
      </c>
      <c r="G56" s="29">
        <v>32</v>
      </c>
      <c r="H56" s="29" t="s">
        <v>153</v>
      </c>
      <c r="I56" s="29" t="s">
        <v>93</v>
      </c>
      <c r="J56" s="29" t="s">
        <v>130</v>
      </c>
      <c r="K56" s="30">
        <v>0.78055555555555556</v>
      </c>
      <c r="L56" s="30">
        <v>0.80625000000000002</v>
      </c>
      <c r="M56" s="29" t="s">
        <v>109</v>
      </c>
      <c r="N56" s="29" t="s">
        <v>1833</v>
      </c>
      <c r="O56" s="29" t="s">
        <v>61</v>
      </c>
      <c r="P56" s="28" t="s">
        <v>131</v>
      </c>
      <c r="Q56" s="28" t="s">
        <v>93</v>
      </c>
      <c r="R56" s="28" t="s">
        <v>63</v>
      </c>
      <c r="S56" s="28" t="s">
        <v>136</v>
      </c>
      <c r="T56" s="28" t="s">
        <v>1562</v>
      </c>
      <c r="U56" s="111">
        <f t="shared" si="0"/>
        <v>0.52459016393442626</v>
      </c>
      <c r="V56" s="28" t="s">
        <v>2009</v>
      </c>
    </row>
    <row r="57" spans="1:22" x14ac:dyDescent="0.3">
      <c r="A57" s="28">
        <v>56</v>
      </c>
      <c r="B57" s="29" t="s">
        <v>24</v>
      </c>
      <c r="C57" s="29" t="s">
        <v>2030</v>
      </c>
      <c r="D57" s="29">
        <v>60226018</v>
      </c>
      <c r="E57" s="29">
        <v>81</v>
      </c>
      <c r="F57" s="29">
        <v>161</v>
      </c>
      <c r="G57" s="29">
        <v>55</v>
      </c>
      <c r="H57" s="29" t="s">
        <v>82</v>
      </c>
      <c r="I57" s="29" t="s">
        <v>95</v>
      </c>
      <c r="J57" s="29" t="s">
        <v>130</v>
      </c>
      <c r="K57" s="30">
        <v>0.79652777777777772</v>
      </c>
      <c r="L57" s="30">
        <v>0.84444444444444444</v>
      </c>
      <c r="M57" s="29" t="s">
        <v>109</v>
      </c>
      <c r="N57" s="29" t="s">
        <v>1833</v>
      </c>
      <c r="O57" s="29" t="s">
        <v>61</v>
      </c>
      <c r="P57" s="28" t="s">
        <v>131</v>
      </c>
      <c r="Q57" s="28" t="s">
        <v>95</v>
      </c>
      <c r="R57" s="28" t="s">
        <v>63</v>
      </c>
      <c r="S57" s="28" t="s">
        <v>136</v>
      </c>
      <c r="T57" s="28" t="s">
        <v>1562</v>
      </c>
      <c r="U57" s="111">
        <f t="shared" si="0"/>
        <v>0.67901234567901236</v>
      </c>
      <c r="V57" s="28" t="s">
        <v>2009</v>
      </c>
    </row>
    <row r="58" spans="1:22" x14ac:dyDescent="0.3">
      <c r="A58" s="52">
        <v>57</v>
      </c>
      <c r="B58" s="91" t="s">
        <v>24</v>
      </c>
      <c r="C58" s="91" t="s">
        <v>892</v>
      </c>
      <c r="D58" s="91">
        <v>60126002</v>
      </c>
      <c r="E58" s="91">
        <v>44</v>
      </c>
      <c r="F58" s="91">
        <v>100</v>
      </c>
      <c r="G58" s="91">
        <v>32</v>
      </c>
      <c r="H58" s="91" t="s">
        <v>65</v>
      </c>
      <c r="I58" s="91" t="s">
        <v>88</v>
      </c>
      <c r="J58" s="91" t="s">
        <v>130</v>
      </c>
      <c r="K58" s="113">
        <v>0.94930555555555551</v>
      </c>
      <c r="L58" s="113">
        <v>0.96805555555555556</v>
      </c>
      <c r="M58" s="29" t="s">
        <v>109</v>
      </c>
      <c r="N58" s="91" t="s">
        <v>109</v>
      </c>
      <c r="O58" s="91" t="s">
        <v>61</v>
      </c>
      <c r="P58" s="52" t="s">
        <v>131</v>
      </c>
      <c r="Q58" s="52" t="s">
        <v>88</v>
      </c>
      <c r="R58" s="52" t="s">
        <v>63</v>
      </c>
      <c r="S58" s="52" t="s">
        <v>136</v>
      </c>
      <c r="T58" s="52" t="s">
        <v>891</v>
      </c>
      <c r="U58" s="112">
        <f t="shared" si="0"/>
        <v>0.72727272727272729</v>
      </c>
      <c r="V58" s="52" t="s">
        <v>2009</v>
      </c>
    </row>
    <row r="59" spans="1:22" x14ac:dyDescent="0.3">
      <c r="A59" s="28">
        <v>58</v>
      </c>
      <c r="B59" s="29" t="s">
        <v>24</v>
      </c>
      <c r="C59" s="29" t="s">
        <v>894</v>
      </c>
      <c r="D59" s="29">
        <v>60126005</v>
      </c>
      <c r="E59" s="29">
        <v>67</v>
      </c>
      <c r="F59" s="29">
        <v>152</v>
      </c>
      <c r="G59" s="29">
        <v>45</v>
      </c>
      <c r="H59" s="29" t="s">
        <v>82</v>
      </c>
      <c r="I59" s="29" t="s">
        <v>87</v>
      </c>
      <c r="J59" s="29" t="s">
        <v>130</v>
      </c>
      <c r="K59" s="30">
        <v>0.85277777777777775</v>
      </c>
      <c r="L59" s="30">
        <v>0.87291666666666667</v>
      </c>
      <c r="M59" s="29" t="s">
        <v>109</v>
      </c>
      <c r="N59" s="29" t="s">
        <v>109</v>
      </c>
      <c r="O59" s="29" t="s">
        <v>61</v>
      </c>
      <c r="P59" s="28" t="s">
        <v>131</v>
      </c>
      <c r="Q59" s="28" t="s">
        <v>87</v>
      </c>
      <c r="R59" s="28" t="s">
        <v>63</v>
      </c>
      <c r="S59" s="28" t="s">
        <v>136</v>
      </c>
      <c r="T59" s="28" t="s">
        <v>891</v>
      </c>
      <c r="U59" s="111">
        <f t="shared" si="0"/>
        <v>0.67164179104477617</v>
      </c>
      <c r="V59" s="28" t="s">
        <v>2009</v>
      </c>
    </row>
    <row r="60" spans="1:22" x14ac:dyDescent="0.3">
      <c r="A60" s="28">
        <v>59</v>
      </c>
      <c r="B60" s="29" t="s">
        <v>24</v>
      </c>
      <c r="C60" s="29" t="s">
        <v>895</v>
      </c>
      <c r="D60" s="29">
        <v>60126006</v>
      </c>
      <c r="E60" s="29">
        <v>62</v>
      </c>
      <c r="F60" s="29">
        <v>92</v>
      </c>
      <c r="G60" s="29">
        <v>69</v>
      </c>
      <c r="H60" s="29" t="s">
        <v>222</v>
      </c>
      <c r="I60" s="29" t="s">
        <v>154</v>
      </c>
      <c r="J60" s="29" t="s">
        <v>130</v>
      </c>
      <c r="K60" s="30">
        <v>0.73472222222222228</v>
      </c>
      <c r="L60" s="30">
        <v>0.82986111111111116</v>
      </c>
      <c r="M60" s="29" t="s">
        <v>109</v>
      </c>
      <c r="N60" s="29" t="s">
        <v>109</v>
      </c>
      <c r="O60" s="29" t="s">
        <v>61</v>
      </c>
      <c r="P60" s="28" t="s">
        <v>131</v>
      </c>
      <c r="Q60" s="28" t="s">
        <v>154</v>
      </c>
      <c r="R60" s="28" t="s">
        <v>63</v>
      </c>
      <c r="S60" s="28" t="s">
        <v>136</v>
      </c>
      <c r="T60" s="28" t="s">
        <v>891</v>
      </c>
      <c r="U60" s="111">
        <f t="shared" si="0"/>
        <v>1.1129032258064515</v>
      </c>
      <c r="V60" s="28" t="s">
        <v>1941</v>
      </c>
    </row>
    <row r="61" spans="1:22" x14ac:dyDescent="0.3">
      <c r="A61" s="28">
        <v>60</v>
      </c>
      <c r="B61" s="29" t="s">
        <v>24</v>
      </c>
      <c r="C61" s="29" t="s">
        <v>896</v>
      </c>
      <c r="D61" s="29">
        <v>60126008</v>
      </c>
      <c r="E61" s="29">
        <v>45</v>
      </c>
      <c r="F61" s="29">
        <v>65</v>
      </c>
      <c r="G61" s="29">
        <v>48</v>
      </c>
      <c r="H61" s="29" t="s">
        <v>214</v>
      </c>
      <c r="I61" s="29" t="s">
        <v>88</v>
      </c>
      <c r="J61" s="29" t="s">
        <v>130</v>
      </c>
      <c r="K61" s="30">
        <v>0.75624999999999998</v>
      </c>
      <c r="L61" s="30">
        <v>0.78263888888888888</v>
      </c>
      <c r="M61" s="29" t="s">
        <v>109</v>
      </c>
      <c r="N61" s="29" t="s">
        <v>109</v>
      </c>
      <c r="O61" s="29" t="s">
        <v>61</v>
      </c>
      <c r="P61" s="28" t="s">
        <v>131</v>
      </c>
      <c r="Q61" s="28" t="s">
        <v>88</v>
      </c>
      <c r="R61" s="28" t="s">
        <v>63</v>
      </c>
      <c r="S61" s="28" t="s">
        <v>136</v>
      </c>
      <c r="T61" s="28" t="s">
        <v>891</v>
      </c>
      <c r="U61" s="111">
        <f t="shared" si="0"/>
        <v>1.0666666666666667</v>
      </c>
      <c r="V61" s="28" t="s">
        <v>1941</v>
      </c>
    </row>
    <row r="62" spans="1:22" x14ac:dyDescent="0.3">
      <c r="A62" s="28">
        <v>61</v>
      </c>
      <c r="B62" s="29" t="s">
        <v>163</v>
      </c>
      <c r="C62" s="29" t="s">
        <v>167</v>
      </c>
      <c r="D62" s="29">
        <v>40126007</v>
      </c>
      <c r="E62" s="29">
        <v>596</v>
      </c>
      <c r="F62" s="29">
        <v>522</v>
      </c>
      <c r="G62" s="29">
        <v>24</v>
      </c>
      <c r="H62" s="29" t="s">
        <v>2031</v>
      </c>
      <c r="I62" s="29" t="s">
        <v>2032</v>
      </c>
      <c r="J62" s="29" t="s">
        <v>130</v>
      </c>
      <c r="K62" s="30">
        <v>0.79236111111111107</v>
      </c>
      <c r="L62" s="30">
        <v>0.82777777777777772</v>
      </c>
      <c r="M62" s="29" t="s">
        <v>109</v>
      </c>
      <c r="N62" s="29" t="s">
        <v>2033</v>
      </c>
      <c r="O62" s="29" t="s">
        <v>61</v>
      </c>
      <c r="P62" s="28" t="s">
        <v>131</v>
      </c>
      <c r="Q62" s="28" t="s">
        <v>95</v>
      </c>
      <c r="R62" s="28" t="s">
        <v>62</v>
      </c>
      <c r="S62" s="28" t="s">
        <v>136</v>
      </c>
      <c r="T62" s="28" t="s">
        <v>166</v>
      </c>
      <c r="U62" s="111">
        <f t="shared" si="0"/>
        <v>4.0268456375838924E-2</v>
      </c>
      <c r="V62" s="28" t="s">
        <v>612</v>
      </c>
    </row>
    <row r="63" spans="1:22" x14ac:dyDescent="0.3">
      <c r="A63" s="28">
        <v>62</v>
      </c>
      <c r="B63" s="29" t="s">
        <v>23</v>
      </c>
      <c r="C63" s="29" t="s">
        <v>1972</v>
      </c>
      <c r="D63" s="29">
        <v>50226033</v>
      </c>
      <c r="E63" s="29">
        <v>100</v>
      </c>
      <c r="F63" s="29">
        <v>125</v>
      </c>
      <c r="G63" s="29">
        <v>106</v>
      </c>
      <c r="H63" s="29" t="s">
        <v>222</v>
      </c>
      <c r="I63" s="29" t="s">
        <v>109</v>
      </c>
      <c r="J63" s="29" t="s">
        <v>130</v>
      </c>
      <c r="K63" s="30">
        <v>0.68541666666666667</v>
      </c>
      <c r="L63" s="29" t="s">
        <v>109</v>
      </c>
      <c r="M63" s="29" t="s">
        <v>109</v>
      </c>
      <c r="N63" s="29" t="s">
        <v>110</v>
      </c>
      <c r="O63" s="29" t="s">
        <v>61</v>
      </c>
      <c r="P63" s="28" t="s">
        <v>131</v>
      </c>
      <c r="Q63" s="28" t="s">
        <v>222</v>
      </c>
      <c r="R63" s="28" t="s">
        <v>62</v>
      </c>
      <c r="S63" s="28" t="s">
        <v>136</v>
      </c>
      <c r="T63" s="28" t="s">
        <v>424</v>
      </c>
      <c r="U63" s="111">
        <f t="shared" si="0"/>
        <v>1.06</v>
      </c>
      <c r="V63" s="28" t="s">
        <v>1941</v>
      </c>
    </row>
    <row r="64" spans="1:22" x14ac:dyDescent="0.3">
      <c r="A64" s="28">
        <v>63</v>
      </c>
      <c r="B64" s="29" t="s">
        <v>23</v>
      </c>
      <c r="C64" s="29" t="s">
        <v>789</v>
      </c>
      <c r="D64" s="29">
        <v>50126191</v>
      </c>
      <c r="E64" s="29">
        <v>60</v>
      </c>
      <c r="F64" s="29">
        <v>41</v>
      </c>
      <c r="G64" s="29">
        <v>17</v>
      </c>
      <c r="H64" s="29" t="s">
        <v>82</v>
      </c>
      <c r="I64" s="29" t="s">
        <v>109</v>
      </c>
      <c r="J64" s="29" t="s">
        <v>130</v>
      </c>
      <c r="K64" s="30">
        <v>4.1666666666666666E-3</v>
      </c>
      <c r="L64" s="29" t="s">
        <v>109</v>
      </c>
      <c r="M64" s="29" t="s">
        <v>109</v>
      </c>
      <c r="N64" s="29" t="s">
        <v>110</v>
      </c>
      <c r="O64" s="29" t="s">
        <v>61</v>
      </c>
      <c r="P64" s="28" t="s">
        <v>131</v>
      </c>
      <c r="Q64" s="28" t="s">
        <v>82</v>
      </c>
      <c r="R64" s="28" t="s">
        <v>62</v>
      </c>
      <c r="S64" s="28" t="s">
        <v>136</v>
      </c>
      <c r="T64" s="28" t="s">
        <v>424</v>
      </c>
      <c r="U64" s="111">
        <f t="shared" si="0"/>
        <v>0.28333333333333333</v>
      </c>
      <c r="V64" s="28" t="s">
        <v>612</v>
      </c>
    </row>
    <row r="65" spans="1:22" x14ac:dyDescent="0.3">
      <c r="A65" s="28">
        <v>64</v>
      </c>
      <c r="B65" s="29" t="s">
        <v>23</v>
      </c>
      <c r="C65" s="29" t="s">
        <v>790</v>
      </c>
      <c r="D65" s="29">
        <v>50126192</v>
      </c>
      <c r="E65" s="29">
        <v>60</v>
      </c>
      <c r="F65" s="29">
        <v>80</v>
      </c>
      <c r="G65" s="29">
        <v>48</v>
      </c>
      <c r="H65" s="29" t="s">
        <v>69</v>
      </c>
      <c r="I65" s="29" t="s">
        <v>109</v>
      </c>
      <c r="J65" s="29" t="s">
        <v>130</v>
      </c>
      <c r="K65" s="30">
        <v>0.68611111111111112</v>
      </c>
      <c r="L65" s="29" t="s">
        <v>109</v>
      </c>
      <c r="M65" s="29" t="s">
        <v>109</v>
      </c>
      <c r="N65" s="29" t="s">
        <v>110</v>
      </c>
      <c r="O65" s="29" t="s">
        <v>61</v>
      </c>
      <c r="P65" s="28" t="s">
        <v>131</v>
      </c>
      <c r="Q65" s="28" t="s">
        <v>69</v>
      </c>
      <c r="R65" s="28" t="s">
        <v>62</v>
      </c>
      <c r="S65" s="28" t="s">
        <v>136</v>
      </c>
      <c r="T65" s="28" t="s">
        <v>424</v>
      </c>
      <c r="U65" s="111">
        <f t="shared" si="0"/>
        <v>0.8</v>
      </c>
      <c r="V65" s="28" t="s">
        <v>2009</v>
      </c>
    </row>
    <row r="66" spans="1:22" x14ac:dyDescent="0.3">
      <c r="A66" s="52">
        <v>65</v>
      </c>
      <c r="B66" s="91" t="s">
        <v>23</v>
      </c>
      <c r="C66" s="91" t="s">
        <v>794</v>
      </c>
      <c r="D66" s="91">
        <v>50126194</v>
      </c>
      <c r="E66" s="91">
        <v>60</v>
      </c>
      <c r="F66" s="91">
        <v>77</v>
      </c>
      <c r="G66" s="91">
        <v>65</v>
      </c>
      <c r="H66" s="91" t="s">
        <v>87</v>
      </c>
      <c r="I66" s="91" t="s">
        <v>109</v>
      </c>
      <c r="J66" s="91" t="s">
        <v>130</v>
      </c>
      <c r="K66" s="113">
        <v>0.72013888888888888</v>
      </c>
      <c r="L66" s="91" t="s">
        <v>109</v>
      </c>
      <c r="M66" s="29" t="s">
        <v>109</v>
      </c>
      <c r="N66" s="91" t="s">
        <v>110</v>
      </c>
      <c r="O66" s="91" t="s">
        <v>61</v>
      </c>
      <c r="P66" s="52" t="s">
        <v>131</v>
      </c>
      <c r="Q66" s="52" t="s">
        <v>87</v>
      </c>
      <c r="R66" s="52" t="s">
        <v>62</v>
      </c>
      <c r="S66" s="52" t="s">
        <v>136</v>
      </c>
      <c r="T66" s="52" t="s">
        <v>424</v>
      </c>
      <c r="U66" s="112">
        <f t="shared" ref="U66:U99" si="1">G66/E66</f>
        <v>1.0833333333333333</v>
      </c>
      <c r="V66" s="28" t="s">
        <v>1941</v>
      </c>
    </row>
    <row r="67" spans="1:22" x14ac:dyDescent="0.3">
      <c r="A67" s="28">
        <v>66</v>
      </c>
      <c r="B67" s="29" t="s">
        <v>23</v>
      </c>
      <c r="C67" s="29" t="s">
        <v>801</v>
      </c>
      <c r="D67" s="29">
        <v>50126196</v>
      </c>
      <c r="E67" s="29">
        <v>60</v>
      </c>
      <c r="F67" s="29">
        <v>99</v>
      </c>
      <c r="G67" s="29">
        <v>51</v>
      </c>
      <c r="H67" s="29" t="s">
        <v>153</v>
      </c>
      <c r="I67" s="29" t="s">
        <v>109</v>
      </c>
      <c r="J67" s="29" t="s">
        <v>130</v>
      </c>
      <c r="K67" s="30">
        <v>0.67361111111111116</v>
      </c>
      <c r="L67" s="29" t="s">
        <v>109</v>
      </c>
      <c r="M67" s="29" t="s">
        <v>109</v>
      </c>
      <c r="N67" s="29" t="s">
        <v>110</v>
      </c>
      <c r="O67" s="29" t="s">
        <v>61</v>
      </c>
      <c r="P67" s="28" t="s">
        <v>131</v>
      </c>
      <c r="Q67" s="28" t="s">
        <v>153</v>
      </c>
      <c r="R67" s="28" t="s">
        <v>62</v>
      </c>
      <c r="S67" s="28" t="s">
        <v>136</v>
      </c>
      <c r="T67" s="28" t="s">
        <v>424</v>
      </c>
      <c r="U67" s="111">
        <f t="shared" si="1"/>
        <v>0.85</v>
      </c>
      <c r="V67" s="28" t="s">
        <v>2009</v>
      </c>
    </row>
    <row r="68" spans="1:22" x14ac:dyDescent="0.3">
      <c r="A68" s="28">
        <v>67</v>
      </c>
      <c r="B68" s="29" t="s">
        <v>23</v>
      </c>
      <c r="C68" s="29" t="s">
        <v>807</v>
      </c>
      <c r="D68" s="29">
        <v>50126199</v>
      </c>
      <c r="E68" s="29">
        <v>60</v>
      </c>
      <c r="F68" s="29">
        <v>99</v>
      </c>
      <c r="G68" s="29">
        <v>66</v>
      </c>
      <c r="H68" s="29" t="s">
        <v>200</v>
      </c>
      <c r="I68" s="29" t="s">
        <v>109</v>
      </c>
      <c r="J68" s="29" t="s">
        <v>130</v>
      </c>
      <c r="K68" s="30">
        <v>0.67361111111111116</v>
      </c>
      <c r="L68" s="29" t="s">
        <v>109</v>
      </c>
      <c r="M68" s="29" t="s">
        <v>109</v>
      </c>
      <c r="N68" s="29" t="s">
        <v>110</v>
      </c>
      <c r="O68" s="29" t="s">
        <v>61</v>
      </c>
      <c r="P68" s="28" t="s">
        <v>131</v>
      </c>
      <c r="Q68" s="28" t="s">
        <v>200</v>
      </c>
      <c r="R68" s="28" t="s">
        <v>62</v>
      </c>
      <c r="S68" s="28" t="s">
        <v>136</v>
      </c>
      <c r="T68" s="28" t="s">
        <v>424</v>
      </c>
      <c r="U68" s="111">
        <f t="shared" si="1"/>
        <v>1.1000000000000001</v>
      </c>
      <c r="V68" s="28" t="s">
        <v>1941</v>
      </c>
    </row>
    <row r="69" spans="1:22" x14ac:dyDescent="0.3">
      <c r="A69" s="28">
        <v>68</v>
      </c>
      <c r="B69" s="29" t="s">
        <v>23</v>
      </c>
      <c r="C69" s="29" t="s">
        <v>699</v>
      </c>
      <c r="D69" s="29">
        <v>50126155</v>
      </c>
      <c r="E69" s="29">
        <v>60</v>
      </c>
      <c r="F69" s="29">
        <v>117</v>
      </c>
      <c r="G69" s="29">
        <v>80</v>
      </c>
      <c r="H69" s="29" t="s">
        <v>67</v>
      </c>
      <c r="I69" s="29" t="s">
        <v>109</v>
      </c>
      <c r="J69" s="29" t="s">
        <v>130</v>
      </c>
      <c r="K69" s="30">
        <v>0.68958333333333333</v>
      </c>
      <c r="L69" s="29" t="s">
        <v>109</v>
      </c>
      <c r="M69" s="29" t="s">
        <v>109</v>
      </c>
      <c r="N69" s="29" t="s">
        <v>110</v>
      </c>
      <c r="O69" s="29" t="s">
        <v>61</v>
      </c>
      <c r="P69" s="28" t="s">
        <v>131</v>
      </c>
      <c r="Q69" s="28" t="s">
        <v>67</v>
      </c>
      <c r="R69" s="28" t="s">
        <v>62</v>
      </c>
      <c r="S69" s="28" t="s">
        <v>136</v>
      </c>
      <c r="T69" s="28" t="s">
        <v>424</v>
      </c>
      <c r="U69" s="111">
        <f t="shared" si="1"/>
        <v>1.3333333333333333</v>
      </c>
      <c r="V69" s="28" t="s">
        <v>1941</v>
      </c>
    </row>
    <row r="70" spans="1:22" x14ac:dyDescent="0.3">
      <c r="A70" s="28">
        <v>69</v>
      </c>
      <c r="B70" s="29" t="s">
        <v>23</v>
      </c>
      <c r="C70" s="29" t="s">
        <v>704</v>
      </c>
      <c r="D70" s="29">
        <v>50126160</v>
      </c>
      <c r="E70" s="29">
        <v>85</v>
      </c>
      <c r="F70" s="29">
        <v>159</v>
      </c>
      <c r="G70" s="29">
        <v>92</v>
      </c>
      <c r="H70" s="29" t="s">
        <v>93</v>
      </c>
      <c r="I70" s="29" t="s">
        <v>109</v>
      </c>
      <c r="J70" s="29" t="s">
        <v>130</v>
      </c>
      <c r="K70" s="30">
        <v>0.71111111111111114</v>
      </c>
      <c r="L70" s="29" t="s">
        <v>109</v>
      </c>
      <c r="M70" s="29" t="s">
        <v>109</v>
      </c>
      <c r="N70" s="29" t="s">
        <v>110</v>
      </c>
      <c r="O70" s="29" t="s">
        <v>61</v>
      </c>
      <c r="P70" s="28" t="s">
        <v>131</v>
      </c>
      <c r="Q70" s="28" t="s">
        <v>93</v>
      </c>
      <c r="R70" s="28" t="s">
        <v>62</v>
      </c>
      <c r="S70" s="28" t="s">
        <v>136</v>
      </c>
      <c r="T70" s="28" t="s">
        <v>424</v>
      </c>
      <c r="U70" s="111">
        <f t="shared" si="1"/>
        <v>1.0823529411764705</v>
      </c>
      <c r="V70" s="28" t="s">
        <v>1941</v>
      </c>
    </row>
    <row r="71" spans="1:22" x14ac:dyDescent="0.3">
      <c r="A71" s="28">
        <v>70</v>
      </c>
      <c r="B71" s="29" t="s">
        <v>23</v>
      </c>
      <c r="C71" s="29" t="s">
        <v>835</v>
      </c>
      <c r="D71" s="29">
        <v>50126103</v>
      </c>
      <c r="E71" s="29">
        <v>100</v>
      </c>
      <c r="F71" s="29">
        <v>201</v>
      </c>
      <c r="G71" s="29">
        <v>38</v>
      </c>
      <c r="H71" s="29" t="s">
        <v>64</v>
      </c>
      <c r="I71" s="29" t="s">
        <v>109</v>
      </c>
      <c r="J71" s="29" t="s">
        <v>130</v>
      </c>
      <c r="K71" s="30">
        <v>0.72013888888888888</v>
      </c>
      <c r="L71" s="29" t="s">
        <v>109</v>
      </c>
      <c r="M71" s="29" t="s">
        <v>109</v>
      </c>
      <c r="N71" s="29" t="s">
        <v>110</v>
      </c>
      <c r="O71" s="29" t="s">
        <v>61</v>
      </c>
      <c r="P71" s="28" t="s">
        <v>131</v>
      </c>
      <c r="Q71" s="28" t="s">
        <v>64</v>
      </c>
      <c r="R71" s="28" t="s">
        <v>62</v>
      </c>
      <c r="S71" s="28" t="s">
        <v>136</v>
      </c>
      <c r="T71" s="28" t="s">
        <v>424</v>
      </c>
      <c r="U71" s="111">
        <f t="shared" si="1"/>
        <v>0.38</v>
      </c>
      <c r="V71" s="28" t="s">
        <v>2008</v>
      </c>
    </row>
    <row r="72" spans="1:22" x14ac:dyDescent="0.3">
      <c r="A72" s="28">
        <v>71</v>
      </c>
      <c r="B72" s="29" t="s">
        <v>23</v>
      </c>
      <c r="C72" s="29" t="s">
        <v>836</v>
      </c>
      <c r="D72" s="29">
        <v>50126104</v>
      </c>
      <c r="E72" s="29">
        <v>100</v>
      </c>
      <c r="F72" s="29">
        <v>204</v>
      </c>
      <c r="G72" s="29">
        <v>11</v>
      </c>
      <c r="H72" s="29" t="s">
        <v>71</v>
      </c>
      <c r="I72" s="29" t="s">
        <v>109</v>
      </c>
      <c r="J72" s="29" t="s">
        <v>130</v>
      </c>
      <c r="K72" s="30">
        <v>0.97083333333333333</v>
      </c>
      <c r="L72" s="29" t="s">
        <v>109</v>
      </c>
      <c r="M72" s="29" t="s">
        <v>109</v>
      </c>
      <c r="N72" s="29" t="s">
        <v>110</v>
      </c>
      <c r="O72" s="29" t="s">
        <v>61</v>
      </c>
      <c r="P72" s="28" t="s">
        <v>131</v>
      </c>
      <c r="Q72" s="28" t="s">
        <v>71</v>
      </c>
      <c r="R72" s="28" t="s">
        <v>62</v>
      </c>
      <c r="S72" s="28" t="s">
        <v>136</v>
      </c>
      <c r="T72" s="28" t="s">
        <v>424</v>
      </c>
      <c r="U72" s="111">
        <f t="shared" si="1"/>
        <v>0.11</v>
      </c>
      <c r="V72" s="28" t="s">
        <v>2009</v>
      </c>
    </row>
    <row r="73" spans="1:22" x14ac:dyDescent="0.3">
      <c r="A73" s="28">
        <v>72</v>
      </c>
      <c r="B73" s="29" t="s">
        <v>23</v>
      </c>
      <c r="C73" s="29" t="s">
        <v>839</v>
      </c>
      <c r="D73" s="29">
        <v>50126106</v>
      </c>
      <c r="E73" s="29">
        <v>100</v>
      </c>
      <c r="F73" s="29">
        <v>229</v>
      </c>
      <c r="G73" s="29">
        <v>22</v>
      </c>
      <c r="H73" s="29" t="s">
        <v>179</v>
      </c>
      <c r="I73" s="29" t="s">
        <v>109</v>
      </c>
      <c r="J73" s="29" t="s">
        <v>130</v>
      </c>
      <c r="K73" s="30">
        <v>0.75</v>
      </c>
      <c r="L73" s="29" t="s">
        <v>109</v>
      </c>
      <c r="M73" s="29" t="s">
        <v>109</v>
      </c>
      <c r="N73" s="29" t="s">
        <v>110</v>
      </c>
      <c r="O73" s="29" t="s">
        <v>61</v>
      </c>
      <c r="P73" s="28" t="s">
        <v>131</v>
      </c>
      <c r="Q73" s="28" t="s">
        <v>179</v>
      </c>
      <c r="R73" s="28" t="s">
        <v>62</v>
      </c>
      <c r="S73" s="28" t="s">
        <v>136</v>
      </c>
      <c r="T73" s="28" t="s">
        <v>424</v>
      </c>
      <c r="U73" s="111">
        <f t="shared" si="1"/>
        <v>0.22</v>
      </c>
      <c r="V73" s="28" t="s">
        <v>2008</v>
      </c>
    </row>
    <row r="74" spans="1:22" x14ac:dyDescent="0.3">
      <c r="A74" s="28">
        <v>73</v>
      </c>
      <c r="B74" s="29" t="s">
        <v>23</v>
      </c>
      <c r="C74" s="29" t="s">
        <v>842</v>
      </c>
      <c r="D74" s="29">
        <v>50126202</v>
      </c>
      <c r="E74" s="29">
        <v>100</v>
      </c>
      <c r="F74" s="29">
        <v>190</v>
      </c>
      <c r="G74" s="29">
        <v>20</v>
      </c>
      <c r="H74" s="29" t="s">
        <v>154</v>
      </c>
      <c r="I74" s="29" t="s">
        <v>109</v>
      </c>
      <c r="J74" s="29" t="s">
        <v>130</v>
      </c>
      <c r="K74" s="30">
        <v>0.75902777777777775</v>
      </c>
      <c r="L74" s="29" t="s">
        <v>109</v>
      </c>
      <c r="M74" s="29" t="s">
        <v>109</v>
      </c>
      <c r="N74" s="29" t="s">
        <v>110</v>
      </c>
      <c r="O74" s="29" t="s">
        <v>61</v>
      </c>
      <c r="P74" s="28" t="s">
        <v>131</v>
      </c>
      <c r="Q74" s="28" t="s">
        <v>154</v>
      </c>
      <c r="R74" s="28" t="s">
        <v>62</v>
      </c>
      <c r="S74" s="76" t="s">
        <v>136</v>
      </c>
      <c r="T74" s="76" t="s">
        <v>424</v>
      </c>
      <c r="U74" s="111">
        <f t="shared" si="1"/>
        <v>0.2</v>
      </c>
      <c r="V74" s="28" t="s">
        <v>2008</v>
      </c>
    </row>
    <row r="75" spans="1:22" x14ac:dyDescent="0.3">
      <c r="A75" s="52">
        <v>74</v>
      </c>
      <c r="B75" s="91" t="s">
        <v>23</v>
      </c>
      <c r="C75" s="91" t="s">
        <v>844</v>
      </c>
      <c r="D75" s="91">
        <v>50126204</v>
      </c>
      <c r="E75" s="91">
        <v>85</v>
      </c>
      <c r="F75" s="91">
        <v>56</v>
      </c>
      <c r="G75" s="91">
        <v>5</v>
      </c>
      <c r="H75" s="91" t="s">
        <v>91</v>
      </c>
      <c r="I75" s="91" t="s">
        <v>109</v>
      </c>
      <c r="J75" s="91" t="s">
        <v>130</v>
      </c>
      <c r="K75" s="113">
        <v>0.74097222222222225</v>
      </c>
      <c r="L75" s="91" t="s">
        <v>109</v>
      </c>
      <c r="M75" s="29" t="s">
        <v>109</v>
      </c>
      <c r="N75" s="91" t="s">
        <v>110</v>
      </c>
      <c r="O75" s="91" t="s">
        <v>61</v>
      </c>
      <c r="P75" s="52" t="s">
        <v>131</v>
      </c>
      <c r="Q75" s="52" t="s">
        <v>91</v>
      </c>
      <c r="R75" s="52" t="s">
        <v>62</v>
      </c>
      <c r="S75" s="52" t="s">
        <v>136</v>
      </c>
      <c r="T75" s="52" t="s">
        <v>424</v>
      </c>
      <c r="U75" s="112">
        <f t="shared" si="1"/>
        <v>5.8823529411764705E-2</v>
      </c>
      <c r="V75" s="52" t="s">
        <v>612</v>
      </c>
    </row>
    <row r="76" spans="1:22" x14ac:dyDescent="0.3">
      <c r="A76" s="28">
        <v>75</v>
      </c>
      <c r="B76" s="29" t="s">
        <v>23</v>
      </c>
      <c r="C76" s="29" t="s">
        <v>2034</v>
      </c>
      <c r="D76" s="29">
        <v>50226037</v>
      </c>
      <c r="E76" s="29">
        <v>85</v>
      </c>
      <c r="F76" s="29">
        <v>110</v>
      </c>
      <c r="G76" s="29">
        <v>91</v>
      </c>
      <c r="H76" s="29" t="s">
        <v>214</v>
      </c>
      <c r="I76" s="29" t="s">
        <v>109</v>
      </c>
      <c r="J76" s="29" t="s">
        <v>130</v>
      </c>
      <c r="K76" s="30">
        <v>0.89513888888888893</v>
      </c>
      <c r="L76" s="29" t="s">
        <v>109</v>
      </c>
      <c r="M76" s="29" t="s">
        <v>109</v>
      </c>
      <c r="N76" s="29" t="s">
        <v>110</v>
      </c>
      <c r="O76" s="29" t="s">
        <v>61</v>
      </c>
      <c r="P76" s="28" t="s">
        <v>131</v>
      </c>
      <c r="Q76" s="28" t="s">
        <v>214</v>
      </c>
      <c r="R76" s="28" t="s">
        <v>62</v>
      </c>
      <c r="S76" s="28" t="s">
        <v>136</v>
      </c>
      <c r="T76" s="28" t="s">
        <v>424</v>
      </c>
      <c r="U76" s="111">
        <f t="shared" si="1"/>
        <v>1.0705882352941176</v>
      </c>
      <c r="V76" s="28" t="s">
        <v>1941</v>
      </c>
    </row>
    <row r="77" spans="1:22" x14ac:dyDescent="0.3">
      <c r="A77" s="28">
        <v>76</v>
      </c>
      <c r="B77" s="29" t="s">
        <v>23</v>
      </c>
      <c r="C77" s="29" t="s">
        <v>2035</v>
      </c>
      <c r="D77" s="29">
        <v>50226038</v>
      </c>
      <c r="E77" s="29">
        <v>100</v>
      </c>
      <c r="F77" s="29">
        <v>148</v>
      </c>
      <c r="G77" s="29">
        <v>116</v>
      </c>
      <c r="H77" s="29" t="s">
        <v>94</v>
      </c>
      <c r="I77" s="29" t="s">
        <v>109</v>
      </c>
      <c r="J77" s="29" t="s">
        <v>130</v>
      </c>
      <c r="K77" s="30">
        <v>0.7729166666666667</v>
      </c>
      <c r="L77" s="29" t="s">
        <v>109</v>
      </c>
      <c r="M77" s="29" t="s">
        <v>109</v>
      </c>
      <c r="N77" s="29" t="s">
        <v>110</v>
      </c>
      <c r="O77" s="29" t="s">
        <v>61</v>
      </c>
      <c r="P77" s="28" t="s">
        <v>131</v>
      </c>
      <c r="Q77" s="28" t="s">
        <v>94</v>
      </c>
      <c r="R77" s="28" t="s">
        <v>62</v>
      </c>
      <c r="S77" s="28" t="s">
        <v>136</v>
      </c>
      <c r="T77" s="28" t="s">
        <v>424</v>
      </c>
      <c r="U77" s="111">
        <f t="shared" si="1"/>
        <v>1.1599999999999999</v>
      </c>
      <c r="V77" s="28" t="s">
        <v>1941</v>
      </c>
    </row>
    <row r="78" spans="1:22" x14ac:dyDescent="0.3">
      <c r="A78" s="28">
        <v>77</v>
      </c>
      <c r="B78" s="29" t="s">
        <v>23</v>
      </c>
      <c r="C78" s="29" t="s">
        <v>2036</v>
      </c>
      <c r="D78" s="29">
        <v>50226039</v>
      </c>
      <c r="E78" s="29">
        <v>100</v>
      </c>
      <c r="F78" s="29">
        <v>134</v>
      </c>
      <c r="G78" s="29">
        <v>107</v>
      </c>
      <c r="H78" s="29" t="s">
        <v>95</v>
      </c>
      <c r="I78" s="29" t="s">
        <v>109</v>
      </c>
      <c r="J78" s="29" t="s">
        <v>130</v>
      </c>
      <c r="K78" s="30">
        <v>0.70625000000000004</v>
      </c>
      <c r="L78" s="29" t="s">
        <v>109</v>
      </c>
      <c r="M78" s="29" t="s">
        <v>109</v>
      </c>
      <c r="N78" s="29" t="s">
        <v>110</v>
      </c>
      <c r="O78" s="29" t="s">
        <v>61</v>
      </c>
      <c r="P78" s="28" t="s">
        <v>131</v>
      </c>
      <c r="Q78" s="28" t="s">
        <v>95</v>
      </c>
      <c r="R78" s="28" t="s">
        <v>62</v>
      </c>
      <c r="S78" s="28" t="s">
        <v>136</v>
      </c>
      <c r="T78" s="28" t="s">
        <v>424</v>
      </c>
      <c r="U78" s="111">
        <f t="shared" si="1"/>
        <v>1.07</v>
      </c>
      <c r="V78" s="28" t="s">
        <v>1941</v>
      </c>
    </row>
    <row r="79" spans="1:22" x14ac:dyDescent="0.3">
      <c r="A79" s="28">
        <v>78</v>
      </c>
      <c r="B79" s="29" t="s">
        <v>23</v>
      </c>
      <c r="C79" s="29" t="s">
        <v>2037</v>
      </c>
      <c r="D79" s="29">
        <v>50226040</v>
      </c>
      <c r="E79" s="29">
        <v>100</v>
      </c>
      <c r="F79" s="29">
        <v>129</v>
      </c>
      <c r="G79" s="29">
        <v>88</v>
      </c>
      <c r="H79" s="29" t="s">
        <v>65</v>
      </c>
      <c r="I79" s="29" t="s">
        <v>109</v>
      </c>
      <c r="J79" s="29" t="s">
        <v>130</v>
      </c>
      <c r="K79" s="30">
        <v>0.77916666666666667</v>
      </c>
      <c r="L79" s="29" t="s">
        <v>109</v>
      </c>
      <c r="M79" s="29" t="s">
        <v>109</v>
      </c>
      <c r="N79" s="29" t="s">
        <v>110</v>
      </c>
      <c r="O79" s="29" t="s">
        <v>61</v>
      </c>
      <c r="P79" s="28" t="s">
        <v>131</v>
      </c>
      <c r="Q79" s="28" t="s">
        <v>65</v>
      </c>
      <c r="R79" s="28" t="s">
        <v>62</v>
      </c>
      <c r="S79" s="28" t="s">
        <v>136</v>
      </c>
      <c r="T79" s="28" t="s">
        <v>424</v>
      </c>
      <c r="U79" s="111">
        <f t="shared" si="1"/>
        <v>0.88</v>
      </c>
      <c r="V79" s="28" t="s">
        <v>2043</v>
      </c>
    </row>
    <row r="80" spans="1:22" x14ac:dyDescent="0.3">
      <c r="A80" s="28">
        <v>79</v>
      </c>
      <c r="B80" s="29" t="s">
        <v>23</v>
      </c>
      <c r="C80" s="29" t="s">
        <v>2038</v>
      </c>
      <c r="D80" s="29">
        <v>50226044</v>
      </c>
      <c r="E80" s="29">
        <v>200</v>
      </c>
      <c r="F80" s="29">
        <v>315</v>
      </c>
      <c r="G80" s="29">
        <v>207</v>
      </c>
      <c r="H80" s="29" t="s">
        <v>73</v>
      </c>
      <c r="I80" s="29" t="s">
        <v>109</v>
      </c>
      <c r="J80" s="29" t="s">
        <v>130</v>
      </c>
      <c r="K80" s="30">
        <v>0.77569444444444446</v>
      </c>
      <c r="L80" s="29" t="s">
        <v>109</v>
      </c>
      <c r="M80" s="29" t="s">
        <v>109</v>
      </c>
      <c r="N80" s="29" t="s">
        <v>110</v>
      </c>
      <c r="O80" s="29" t="s">
        <v>61</v>
      </c>
      <c r="P80" s="28" t="s">
        <v>131</v>
      </c>
      <c r="Q80" s="28" t="s">
        <v>64</v>
      </c>
      <c r="R80" s="28" t="s">
        <v>62</v>
      </c>
      <c r="S80" s="28" t="s">
        <v>136</v>
      </c>
      <c r="T80" s="28" t="s">
        <v>424</v>
      </c>
      <c r="U80" s="111">
        <f t="shared" si="1"/>
        <v>1.0349999999999999</v>
      </c>
      <c r="V80" s="28" t="s">
        <v>1941</v>
      </c>
    </row>
    <row r="81" spans="1:22" x14ac:dyDescent="0.3">
      <c r="A81" s="52">
        <v>80</v>
      </c>
      <c r="B81" s="91" t="s">
        <v>23</v>
      </c>
      <c r="C81" s="91" t="s">
        <v>2039</v>
      </c>
      <c r="D81" s="91">
        <v>50226045</v>
      </c>
      <c r="E81" s="91">
        <v>100</v>
      </c>
      <c r="F81" s="91">
        <v>112</v>
      </c>
      <c r="G81" s="91">
        <v>100</v>
      </c>
      <c r="H81" s="91" t="s">
        <v>89</v>
      </c>
      <c r="I81" s="91" t="s">
        <v>109</v>
      </c>
      <c r="J81" s="91" t="s">
        <v>130</v>
      </c>
      <c r="K81" s="113">
        <v>0.71875</v>
      </c>
      <c r="L81" s="91" t="s">
        <v>109</v>
      </c>
      <c r="M81" s="29" t="s">
        <v>109</v>
      </c>
      <c r="N81" s="91" t="s">
        <v>110</v>
      </c>
      <c r="O81" s="91" t="s">
        <v>61</v>
      </c>
      <c r="P81" s="52" t="s">
        <v>131</v>
      </c>
      <c r="Q81" s="52" t="s">
        <v>89</v>
      </c>
      <c r="R81" s="52" t="s">
        <v>62</v>
      </c>
      <c r="S81" s="52" t="s">
        <v>136</v>
      </c>
      <c r="T81" s="52" t="s">
        <v>424</v>
      </c>
      <c r="U81" s="112">
        <f t="shared" si="1"/>
        <v>1</v>
      </c>
      <c r="V81" s="52" t="s">
        <v>1941</v>
      </c>
    </row>
    <row r="82" spans="1:22" x14ac:dyDescent="0.3">
      <c r="A82" s="28">
        <v>81</v>
      </c>
      <c r="B82" s="29" t="s">
        <v>23</v>
      </c>
      <c r="C82" s="29" t="s">
        <v>712</v>
      </c>
      <c r="D82" s="29">
        <v>50126170</v>
      </c>
      <c r="E82" s="29">
        <v>50</v>
      </c>
      <c r="F82" s="29">
        <v>105</v>
      </c>
      <c r="G82" s="29">
        <v>17</v>
      </c>
      <c r="H82" s="29" t="s">
        <v>196</v>
      </c>
      <c r="I82" s="29" t="s">
        <v>109</v>
      </c>
      <c r="J82" s="29" t="s">
        <v>130</v>
      </c>
      <c r="K82" s="30">
        <v>0.97430555555555554</v>
      </c>
      <c r="L82" s="29" t="s">
        <v>109</v>
      </c>
      <c r="M82" s="29" t="s">
        <v>109</v>
      </c>
      <c r="N82" s="29" t="s">
        <v>109</v>
      </c>
      <c r="O82" s="29" t="s">
        <v>61</v>
      </c>
      <c r="P82" s="28" t="s">
        <v>131</v>
      </c>
      <c r="Q82" s="28" t="s">
        <v>196</v>
      </c>
      <c r="R82" s="28" t="s">
        <v>62</v>
      </c>
      <c r="S82" s="28" t="s">
        <v>136</v>
      </c>
      <c r="T82" s="28" t="s">
        <v>424</v>
      </c>
      <c r="U82" s="111">
        <f t="shared" si="1"/>
        <v>0.34</v>
      </c>
      <c r="V82" s="28" t="s">
        <v>2009</v>
      </c>
    </row>
    <row r="83" spans="1:22" x14ac:dyDescent="0.3">
      <c r="A83" s="28">
        <v>82</v>
      </c>
      <c r="B83" s="29" t="s">
        <v>23</v>
      </c>
      <c r="C83" s="29" t="s">
        <v>1651</v>
      </c>
      <c r="D83" s="29">
        <v>50126375</v>
      </c>
      <c r="E83" s="29">
        <v>50</v>
      </c>
      <c r="F83" s="29">
        <v>104</v>
      </c>
      <c r="G83" s="29">
        <v>58</v>
      </c>
      <c r="H83" s="29" t="s">
        <v>94</v>
      </c>
      <c r="I83" s="29" t="s">
        <v>109</v>
      </c>
      <c r="J83" s="29" t="s">
        <v>130</v>
      </c>
      <c r="K83" s="30">
        <v>0.8125</v>
      </c>
      <c r="L83" s="29" t="s">
        <v>109</v>
      </c>
      <c r="M83" s="29" t="s">
        <v>109</v>
      </c>
      <c r="N83" s="29" t="s">
        <v>109</v>
      </c>
      <c r="O83" s="29" t="s">
        <v>61</v>
      </c>
      <c r="P83" s="28" t="s">
        <v>131</v>
      </c>
      <c r="Q83" s="28" t="s">
        <v>94</v>
      </c>
      <c r="R83" s="28" t="s">
        <v>62</v>
      </c>
      <c r="S83" s="28" t="s">
        <v>136</v>
      </c>
      <c r="T83" s="28" t="s">
        <v>424</v>
      </c>
      <c r="U83" s="111">
        <f t="shared" si="1"/>
        <v>1.1599999999999999</v>
      </c>
      <c r="V83" s="28" t="s">
        <v>1941</v>
      </c>
    </row>
    <row r="84" spans="1:22" x14ac:dyDescent="0.3">
      <c r="A84" s="28">
        <v>83</v>
      </c>
      <c r="B84" s="29" t="s">
        <v>23</v>
      </c>
      <c r="C84" s="29" t="s">
        <v>934</v>
      </c>
      <c r="D84" s="29">
        <v>50126262</v>
      </c>
      <c r="E84" s="29">
        <v>40</v>
      </c>
      <c r="F84" s="29">
        <v>56</v>
      </c>
      <c r="G84" s="29">
        <v>25</v>
      </c>
      <c r="H84" s="29" t="s">
        <v>274</v>
      </c>
      <c r="I84" s="29" t="s">
        <v>109</v>
      </c>
      <c r="J84" s="29" t="s">
        <v>130</v>
      </c>
      <c r="K84" s="30">
        <v>2.5000000000000001E-2</v>
      </c>
      <c r="L84" s="29" t="s">
        <v>109</v>
      </c>
      <c r="M84" s="29" t="s">
        <v>109</v>
      </c>
      <c r="N84" s="29" t="s">
        <v>109</v>
      </c>
      <c r="O84" s="29" t="s">
        <v>61</v>
      </c>
      <c r="P84" s="28" t="s">
        <v>131</v>
      </c>
      <c r="Q84" s="28" t="s">
        <v>274</v>
      </c>
      <c r="R84" s="28" t="s">
        <v>62</v>
      </c>
      <c r="S84" s="28" t="s">
        <v>136</v>
      </c>
      <c r="T84" s="28" t="s">
        <v>424</v>
      </c>
      <c r="U84" s="111">
        <f t="shared" si="1"/>
        <v>0.625</v>
      </c>
      <c r="V84" s="28" t="s">
        <v>2009</v>
      </c>
    </row>
    <row r="85" spans="1:22" x14ac:dyDescent="0.3">
      <c r="A85" s="28">
        <v>84</v>
      </c>
      <c r="B85" s="29" t="s">
        <v>23</v>
      </c>
      <c r="C85" s="29" t="s">
        <v>939</v>
      </c>
      <c r="D85" s="29">
        <v>50126270</v>
      </c>
      <c r="E85" s="29">
        <v>250</v>
      </c>
      <c r="F85" s="29">
        <v>87</v>
      </c>
      <c r="G85" s="29">
        <v>62</v>
      </c>
      <c r="H85" s="29" t="s">
        <v>88</v>
      </c>
      <c r="I85" s="29" t="s">
        <v>109</v>
      </c>
      <c r="J85" s="29" t="s">
        <v>130</v>
      </c>
      <c r="K85" s="30">
        <v>0.92083333333333328</v>
      </c>
      <c r="L85" s="29" t="s">
        <v>109</v>
      </c>
      <c r="M85" s="29" t="s">
        <v>109</v>
      </c>
      <c r="N85" s="29" t="s">
        <v>109</v>
      </c>
      <c r="O85" s="29" t="s">
        <v>61</v>
      </c>
      <c r="P85" s="28" t="s">
        <v>131</v>
      </c>
      <c r="Q85" s="28" t="s">
        <v>88</v>
      </c>
      <c r="R85" s="28" t="s">
        <v>62</v>
      </c>
      <c r="S85" s="28" t="s">
        <v>136</v>
      </c>
      <c r="T85" s="28" t="s">
        <v>424</v>
      </c>
      <c r="U85" s="111">
        <f t="shared" si="1"/>
        <v>0.248</v>
      </c>
      <c r="V85" s="28" t="s">
        <v>612</v>
      </c>
    </row>
    <row r="86" spans="1:22" x14ac:dyDescent="0.3">
      <c r="A86" s="28">
        <v>85</v>
      </c>
      <c r="B86" s="29" t="s">
        <v>23</v>
      </c>
      <c r="C86" s="29" t="s">
        <v>1923</v>
      </c>
      <c r="D86" s="29">
        <v>50226028</v>
      </c>
      <c r="E86" s="29">
        <v>50</v>
      </c>
      <c r="F86" s="29">
        <v>62</v>
      </c>
      <c r="G86" s="29">
        <v>61</v>
      </c>
      <c r="H86" s="29" t="s">
        <v>200</v>
      </c>
      <c r="I86" s="29" t="s">
        <v>109</v>
      </c>
      <c r="J86" s="29" t="s">
        <v>130</v>
      </c>
      <c r="K86" s="30">
        <v>0.98541666666666672</v>
      </c>
      <c r="L86" s="29" t="s">
        <v>109</v>
      </c>
      <c r="M86" s="29" t="s">
        <v>109</v>
      </c>
      <c r="N86" s="29" t="s">
        <v>109</v>
      </c>
      <c r="O86" s="29" t="s">
        <v>61</v>
      </c>
      <c r="P86" s="28" t="s">
        <v>131</v>
      </c>
      <c r="Q86" s="28" t="s">
        <v>200</v>
      </c>
      <c r="R86" s="28" t="s">
        <v>62</v>
      </c>
      <c r="S86" s="28" t="s">
        <v>136</v>
      </c>
      <c r="T86" s="28" t="s">
        <v>424</v>
      </c>
      <c r="U86" s="111">
        <f t="shared" si="1"/>
        <v>1.22</v>
      </c>
      <c r="V86" s="28" t="s">
        <v>1941</v>
      </c>
    </row>
    <row r="87" spans="1:22" x14ac:dyDescent="0.3">
      <c r="A87" s="28">
        <v>86</v>
      </c>
      <c r="B87" s="29" t="s">
        <v>1550</v>
      </c>
      <c r="C87" s="29" t="s">
        <v>1551</v>
      </c>
      <c r="D87" s="29">
        <v>40126035</v>
      </c>
      <c r="E87" s="29">
        <v>75</v>
      </c>
      <c r="F87" s="29">
        <v>127</v>
      </c>
      <c r="G87" s="29">
        <v>47</v>
      </c>
      <c r="H87" s="29" t="s">
        <v>68</v>
      </c>
      <c r="I87" s="29" t="s">
        <v>154</v>
      </c>
      <c r="J87" s="29" t="s">
        <v>130</v>
      </c>
      <c r="K87" s="30">
        <v>0.98750000000000004</v>
      </c>
      <c r="L87" s="30">
        <v>0.99791666666666667</v>
      </c>
      <c r="M87" s="29" t="s">
        <v>109</v>
      </c>
      <c r="N87" s="29" t="s">
        <v>2040</v>
      </c>
      <c r="O87" s="29" t="s">
        <v>61</v>
      </c>
      <c r="P87" s="28" t="s">
        <v>131</v>
      </c>
      <c r="Q87" s="28" t="s">
        <v>154</v>
      </c>
      <c r="R87" s="28" t="s">
        <v>1640</v>
      </c>
      <c r="S87" s="28" t="s">
        <v>136</v>
      </c>
      <c r="T87" s="28" t="s">
        <v>1554</v>
      </c>
      <c r="U87" s="111">
        <f t="shared" si="1"/>
        <v>0.62666666666666671</v>
      </c>
      <c r="V87" s="28" t="s">
        <v>612</v>
      </c>
    </row>
    <row r="88" spans="1:22" x14ac:dyDescent="0.3">
      <c r="A88" s="28">
        <v>87</v>
      </c>
      <c r="B88" s="29" t="s">
        <v>1550</v>
      </c>
      <c r="C88" s="29" t="s">
        <v>1556</v>
      </c>
      <c r="D88" s="29">
        <v>40126034</v>
      </c>
      <c r="E88" s="29">
        <v>75</v>
      </c>
      <c r="F88" s="29">
        <v>128</v>
      </c>
      <c r="G88" s="29">
        <v>66</v>
      </c>
      <c r="H88" s="29" t="s">
        <v>64</v>
      </c>
      <c r="I88" s="29" t="s">
        <v>179</v>
      </c>
      <c r="J88" s="29" t="s">
        <v>130</v>
      </c>
      <c r="K88" s="30">
        <v>0.86597222222222225</v>
      </c>
      <c r="L88" s="30">
        <v>0.90416666666666667</v>
      </c>
      <c r="M88" s="29" t="s">
        <v>109</v>
      </c>
      <c r="N88" s="29" t="s">
        <v>2040</v>
      </c>
      <c r="O88" s="29" t="s">
        <v>61</v>
      </c>
      <c r="P88" s="28" t="s">
        <v>131</v>
      </c>
      <c r="Q88" s="28" t="s">
        <v>179</v>
      </c>
      <c r="R88" s="28" t="s">
        <v>1640</v>
      </c>
      <c r="S88" s="28" t="s">
        <v>136</v>
      </c>
      <c r="T88" s="28" t="s">
        <v>1554</v>
      </c>
      <c r="U88" s="111">
        <f t="shared" si="1"/>
        <v>0.88</v>
      </c>
      <c r="V88" s="28" t="s">
        <v>2009</v>
      </c>
    </row>
    <row r="89" spans="1:22" x14ac:dyDescent="0.3">
      <c r="A89" s="28">
        <v>88</v>
      </c>
      <c r="B89" s="29" t="s">
        <v>411</v>
      </c>
      <c r="C89" s="29" t="s">
        <v>1357</v>
      </c>
      <c r="D89" s="29">
        <v>30126010</v>
      </c>
      <c r="E89" s="29">
        <v>150</v>
      </c>
      <c r="F89" s="29">
        <v>173</v>
      </c>
      <c r="G89" s="29">
        <v>24</v>
      </c>
      <c r="H89" s="29" t="s">
        <v>1935</v>
      </c>
      <c r="I89" s="29" t="s">
        <v>1960</v>
      </c>
      <c r="J89" s="29" t="s">
        <v>130</v>
      </c>
      <c r="K89" s="30">
        <v>0.83750000000000002</v>
      </c>
      <c r="L89" s="30">
        <v>0.85</v>
      </c>
      <c r="M89" s="29" t="s">
        <v>109</v>
      </c>
      <c r="N89" s="29" t="s">
        <v>109</v>
      </c>
      <c r="O89" s="29" t="s">
        <v>61</v>
      </c>
      <c r="P89" s="28" t="s">
        <v>131</v>
      </c>
      <c r="Q89" s="28" t="s">
        <v>88</v>
      </c>
      <c r="R89" s="28" t="s">
        <v>62</v>
      </c>
      <c r="S89" s="28" t="s">
        <v>136</v>
      </c>
      <c r="T89" s="28" t="s">
        <v>1359</v>
      </c>
      <c r="U89" s="111">
        <f t="shared" si="1"/>
        <v>0.16</v>
      </c>
      <c r="V89" s="28" t="s">
        <v>2008</v>
      </c>
    </row>
    <row r="90" spans="1:22" x14ac:dyDescent="0.3">
      <c r="A90" s="28">
        <v>89</v>
      </c>
      <c r="B90" s="29" t="s">
        <v>411</v>
      </c>
      <c r="C90" s="29" t="s">
        <v>1360</v>
      </c>
      <c r="D90" s="29">
        <v>30126011</v>
      </c>
      <c r="E90" s="29">
        <v>156</v>
      </c>
      <c r="F90" s="29">
        <v>302</v>
      </c>
      <c r="G90" s="29">
        <v>35</v>
      </c>
      <c r="H90" s="29" t="s">
        <v>1019</v>
      </c>
      <c r="I90" s="29" t="s">
        <v>1256</v>
      </c>
      <c r="J90" s="29" t="s">
        <v>130</v>
      </c>
      <c r="K90" s="30">
        <v>0.89930555555555558</v>
      </c>
      <c r="L90" s="30">
        <v>0.95347222222222228</v>
      </c>
      <c r="M90" s="29" t="s">
        <v>109</v>
      </c>
      <c r="N90" s="29" t="s">
        <v>109</v>
      </c>
      <c r="O90" s="29" t="s">
        <v>61</v>
      </c>
      <c r="P90" s="28" t="s">
        <v>131</v>
      </c>
      <c r="Q90" s="28" t="s">
        <v>89</v>
      </c>
      <c r="R90" s="28" t="s">
        <v>62</v>
      </c>
      <c r="S90" s="28" t="s">
        <v>136</v>
      </c>
      <c r="T90" s="28" t="s">
        <v>1359</v>
      </c>
      <c r="U90" s="111">
        <f t="shared" si="1"/>
        <v>0.22435897435897437</v>
      </c>
      <c r="V90" s="28" t="s">
        <v>2009</v>
      </c>
    </row>
    <row r="91" spans="1:22" x14ac:dyDescent="0.3">
      <c r="A91" s="28">
        <v>90</v>
      </c>
      <c r="B91" s="29" t="s">
        <v>24</v>
      </c>
      <c r="C91" s="29" t="s">
        <v>1900</v>
      </c>
      <c r="D91" s="29">
        <v>60226009</v>
      </c>
      <c r="E91" s="29">
        <v>71</v>
      </c>
      <c r="F91" s="29">
        <v>151</v>
      </c>
      <c r="G91" s="29">
        <v>55</v>
      </c>
      <c r="H91" s="29" t="s">
        <v>274</v>
      </c>
      <c r="I91" s="29" t="s">
        <v>91</v>
      </c>
      <c r="J91" s="29" t="s">
        <v>130</v>
      </c>
      <c r="K91" s="30">
        <v>0.82222222222222219</v>
      </c>
      <c r="L91" s="30">
        <v>0.86041666666666672</v>
      </c>
      <c r="M91" s="29" t="s">
        <v>109</v>
      </c>
      <c r="N91" s="29" t="s">
        <v>2041</v>
      </c>
      <c r="O91" s="29" t="s">
        <v>61</v>
      </c>
      <c r="P91" s="28" t="s">
        <v>131</v>
      </c>
      <c r="Q91" s="28" t="s">
        <v>91</v>
      </c>
      <c r="R91" s="28" t="s">
        <v>63</v>
      </c>
      <c r="S91" s="28" t="s">
        <v>123</v>
      </c>
      <c r="T91" s="28" t="s">
        <v>2042</v>
      </c>
      <c r="U91" s="111">
        <f t="shared" si="1"/>
        <v>0.77464788732394363</v>
      </c>
      <c r="V91" s="28" t="s">
        <v>2009</v>
      </c>
    </row>
    <row r="92" spans="1:22" x14ac:dyDescent="0.3">
      <c r="A92" s="28">
        <v>91</v>
      </c>
      <c r="B92" s="29" t="s">
        <v>24</v>
      </c>
      <c r="C92" s="29" t="s">
        <v>1869</v>
      </c>
      <c r="D92" s="29">
        <v>10226004</v>
      </c>
      <c r="E92" s="29">
        <v>65</v>
      </c>
      <c r="F92" s="29">
        <v>138</v>
      </c>
      <c r="G92" s="29">
        <v>9</v>
      </c>
      <c r="H92" s="29" t="s">
        <v>82</v>
      </c>
      <c r="I92" s="29" t="s">
        <v>94</v>
      </c>
      <c r="J92" s="29" t="s">
        <v>130</v>
      </c>
      <c r="K92" s="30">
        <v>0.99027777777777781</v>
      </c>
      <c r="L92" s="30">
        <v>3.4027777777777775E-2</v>
      </c>
      <c r="M92" s="29" t="s">
        <v>109</v>
      </c>
      <c r="N92" s="29" t="s">
        <v>109</v>
      </c>
      <c r="O92" s="29" t="s">
        <v>61</v>
      </c>
      <c r="P92" s="28" t="s">
        <v>131</v>
      </c>
      <c r="Q92" s="28" t="s">
        <v>94</v>
      </c>
      <c r="R92" s="28" t="s">
        <v>109</v>
      </c>
      <c r="S92" s="28" t="s">
        <v>878</v>
      </c>
      <c r="T92" s="28" t="s">
        <v>398</v>
      </c>
      <c r="U92" s="111">
        <f t="shared" si="1"/>
        <v>0.13846153846153847</v>
      </c>
      <c r="V92" s="28" t="s">
        <v>2009</v>
      </c>
    </row>
    <row r="93" spans="1:22" x14ac:dyDescent="0.3">
      <c r="A93" s="28">
        <v>92</v>
      </c>
      <c r="B93" s="29" t="s">
        <v>26</v>
      </c>
      <c r="C93" s="29" t="s">
        <v>2044</v>
      </c>
      <c r="D93" s="29">
        <v>40226003</v>
      </c>
      <c r="E93" s="29">
        <v>122</v>
      </c>
      <c r="F93" s="29">
        <v>72</v>
      </c>
      <c r="G93" s="29">
        <v>19</v>
      </c>
      <c r="H93" s="29" t="s">
        <v>179</v>
      </c>
      <c r="I93" s="29" t="s">
        <v>94</v>
      </c>
      <c r="J93" s="29" t="s">
        <v>130</v>
      </c>
      <c r="K93" s="30">
        <v>0.97013888888888888</v>
      </c>
      <c r="L93" s="29" t="s">
        <v>109</v>
      </c>
      <c r="M93" s="29" t="s">
        <v>109</v>
      </c>
      <c r="N93" s="29" t="s">
        <v>109</v>
      </c>
      <c r="O93" s="29" t="s">
        <v>145</v>
      </c>
      <c r="P93" s="28" t="s">
        <v>131</v>
      </c>
      <c r="Q93" s="28" t="s">
        <v>179</v>
      </c>
      <c r="R93" s="28" t="s">
        <v>109</v>
      </c>
      <c r="S93" s="28" t="s">
        <v>123</v>
      </c>
      <c r="T93" s="28" t="s">
        <v>26</v>
      </c>
      <c r="U93" s="111">
        <f t="shared" si="1"/>
        <v>0.15573770491803279</v>
      </c>
      <c r="V93" s="28" t="s">
        <v>2045</v>
      </c>
    </row>
    <row r="94" spans="1:22" x14ac:dyDescent="0.3">
      <c r="A94" s="28">
        <v>93</v>
      </c>
      <c r="B94" s="29" t="s">
        <v>26</v>
      </c>
      <c r="C94" s="29" t="s">
        <v>589</v>
      </c>
      <c r="D94" s="29">
        <v>50126062</v>
      </c>
      <c r="E94" s="29">
        <v>51</v>
      </c>
      <c r="F94" s="29">
        <v>28</v>
      </c>
      <c r="G94" s="29">
        <v>9</v>
      </c>
      <c r="H94" s="29" t="s">
        <v>196</v>
      </c>
      <c r="I94" s="29" t="s">
        <v>109</v>
      </c>
      <c r="J94" s="29" t="s">
        <v>130</v>
      </c>
      <c r="K94" s="30">
        <v>0.98402777777777772</v>
      </c>
      <c r="L94" s="29" t="s">
        <v>109</v>
      </c>
      <c r="M94" s="29" t="s">
        <v>109</v>
      </c>
      <c r="N94" s="29" t="s">
        <v>109</v>
      </c>
      <c r="O94" s="29" t="s">
        <v>145</v>
      </c>
      <c r="P94" s="28" t="s">
        <v>131</v>
      </c>
      <c r="Q94" s="28" t="s">
        <v>87</v>
      </c>
      <c r="R94" s="28" t="s">
        <v>109</v>
      </c>
      <c r="S94" s="28" t="s">
        <v>1273</v>
      </c>
      <c r="T94" s="28" t="s">
        <v>610</v>
      </c>
      <c r="U94" s="111">
        <f t="shared" si="1"/>
        <v>0.17647058823529413</v>
      </c>
      <c r="V94" s="28" t="s">
        <v>2045</v>
      </c>
    </row>
    <row r="95" spans="1:22" x14ac:dyDescent="0.3">
      <c r="A95" s="28">
        <v>94</v>
      </c>
      <c r="B95" s="29" t="s">
        <v>411</v>
      </c>
      <c r="C95" s="29" t="s">
        <v>1848</v>
      </c>
      <c r="D95" s="29">
        <v>30126020</v>
      </c>
      <c r="E95" s="29">
        <v>75</v>
      </c>
      <c r="F95" s="29">
        <v>15</v>
      </c>
      <c r="G95" s="29">
        <v>9</v>
      </c>
      <c r="H95" s="29" t="s">
        <v>89</v>
      </c>
      <c r="I95" s="29" t="s">
        <v>109</v>
      </c>
      <c r="J95" s="29" t="s">
        <v>130</v>
      </c>
      <c r="K95" s="30">
        <v>1.1805555555555555E-2</v>
      </c>
      <c r="L95" s="29" t="s">
        <v>109</v>
      </c>
      <c r="M95" s="29" t="s">
        <v>109</v>
      </c>
      <c r="N95" s="29" t="s">
        <v>109</v>
      </c>
      <c r="O95" s="29" t="s">
        <v>61</v>
      </c>
      <c r="P95" s="28" t="s">
        <v>131</v>
      </c>
      <c r="Q95" s="28" t="s">
        <v>89</v>
      </c>
      <c r="R95" s="28" t="s">
        <v>109</v>
      </c>
      <c r="S95" s="28" t="s">
        <v>136</v>
      </c>
      <c r="T95" s="28" t="s">
        <v>610</v>
      </c>
      <c r="U95" s="111">
        <f t="shared" si="1"/>
        <v>0.12</v>
      </c>
      <c r="V95" s="28" t="s">
        <v>612</v>
      </c>
    </row>
    <row r="96" spans="1:22" x14ac:dyDescent="0.3">
      <c r="A96" s="28">
        <v>95</v>
      </c>
      <c r="B96" s="29" t="s">
        <v>411</v>
      </c>
      <c r="C96" s="29" t="s">
        <v>1741</v>
      </c>
      <c r="D96" s="29">
        <v>30126021</v>
      </c>
      <c r="E96" s="29">
        <v>75</v>
      </c>
      <c r="F96" s="29">
        <v>25</v>
      </c>
      <c r="G96" s="29">
        <v>4</v>
      </c>
      <c r="H96" s="29" t="s">
        <v>95</v>
      </c>
      <c r="I96" s="29" t="s">
        <v>109</v>
      </c>
      <c r="J96" s="29" t="s">
        <v>130</v>
      </c>
      <c r="K96" s="30">
        <v>9.7222222222222224E-3</v>
      </c>
      <c r="L96" s="29" t="s">
        <v>109</v>
      </c>
      <c r="M96" s="29" t="s">
        <v>109</v>
      </c>
      <c r="N96" s="29" t="s">
        <v>109</v>
      </c>
      <c r="O96" s="29" t="s">
        <v>61</v>
      </c>
      <c r="P96" s="28" t="s">
        <v>131</v>
      </c>
      <c r="Q96" s="28" t="s">
        <v>95</v>
      </c>
      <c r="R96" s="28" t="s">
        <v>109</v>
      </c>
      <c r="S96" s="28" t="s">
        <v>136</v>
      </c>
      <c r="T96" s="28" t="s">
        <v>610</v>
      </c>
      <c r="U96" s="111">
        <f t="shared" si="1"/>
        <v>5.3333333333333337E-2</v>
      </c>
      <c r="V96" s="28" t="s">
        <v>612</v>
      </c>
    </row>
    <row r="97" spans="1:22" x14ac:dyDescent="0.3">
      <c r="A97" s="28">
        <v>96</v>
      </c>
      <c r="B97" s="29" t="s">
        <v>411</v>
      </c>
      <c r="C97" s="29" t="s">
        <v>1849</v>
      </c>
      <c r="D97" s="29">
        <v>30126026</v>
      </c>
      <c r="E97" s="29">
        <v>100</v>
      </c>
      <c r="F97" s="29">
        <v>45</v>
      </c>
      <c r="G97" s="29">
        <v>18</v>
      </c>
      <c r="H97" s="29" t="s">
        <v>99</v>
      </c>
      <c r="I97" s="29" t="s">
        <v>603</v>
      </c>
      <c r="J97" s="29" t="s">
        <v>130</v>
      </c>
      <c r="K97" s="30">
        <v>2.4305555555555556E-2</v>
      </c>
      <c r="L97" s="29" t="s">
        <v>109</v>
      </c>
      <c r="M97" s="29" t="s">
        <v>109</v>
      </c>
      <c r="N97" s="29" t="s">
        <v>109</v>
      </c>
      <c r="O97" s="29" t="s">
        <v>61</v>
      </c>
      <c r="P97" s="28" t="s">
        <v>131</v>
      </c>
      <c r="Q97" s="28" t="s">
        <v>603</v>
      </c>
      <c r="R97" s="28" t="s">
        <v>109</v>
      </c>
      <c r="S97" s="28" t="s">
        <v>136</v>
      </c>
      <c r="T97" s="28" t="s">
        <v>610</v>
      </c>
      <c r="U97" s="111">
        <f t="shared" si="1"/>
        <v>0.18</v>
      </c>
      <c r="V97" s="28" t="s">
        <v>612</v>
      </c>
    </row>
    <row r="98" spans="1:22" x14ac:dyDescent="0.3">
      <c r="A98" s="28">
        <v>97</v>
      </c>
      <c r="B98" s="29" t="s">
        <v>411</v>
      </c>
      <c r="C98" s="29" t="s">
        <v>1852</v>
      </c>
      <c r="D98" s="29">
        <v>30126024</v>
      </c>
      <c r="E98" s="29">
        <v>100</v>
      </c>
      <c r="F98" s="29">
        <v>90</v>
      </c>
      <c r="G98" s="29">
        <v>21</v>
      </c>
      <c r="H98" s="29" t="s">
        <v>285</v>
      </c>
      <c r="I98" s="29" t="s">
        <v>109</v>
      </c>
      <c r="J98" s="29" t="s">
        <v>130</v>
      </c>
      <c r="K98" s="29" t="s">
        <v>109</v>
      </c>
      <c r="L98" s="30">
        <v>4.4444444444444446E-2</v>
      </c>
      <c r="M98" s="29" t="s">
        <v>109</v>
      </c>
      <c r="N98" s="29" t="s">
        <v>109</v>
      </c>
      <c r="O98" s="29" t="s">
        <v>61</v>
      </c>
      <c r="P98" s="28" t="s">
        <v>131</v>
      </c>
      <c r="Q98" s="28" t="s">
        <v>154</v>
      </c>
      <c r="R98" s="28" t="s">
        <v>109</v>
      </c>
      <c r="S98" s="28" t="s">
        <v>136</v>
      </c>
      <c r="T98" s="28" t="s">
        <v>610</v>
      </c>
      <c r="U98" s="111">
        <f t="shared" si="1"/>
        <v>0.21</v>
      </c>
      <c r="V98" s="28" t="s">
        <v>612</v>
      </c>
    </row>
    <row r="99" spans="1:22" x14ac:dyDescent="0.3">
      <c r="A99" s="28">
        <v>98</v>
      </c>
      <c r="B99" s="29" t="s">
        <v>163</v>
      </c>
      <c r="C99" s="29" t="s">
        <v>164</v>
      </c>
      <c r="D99" s="29">
        <v>40126008</v>
      </c>
      <c r="E99" s="29">
        <v>46</v>
      </c>
      <c r="F99" s="29">
        <v>23</v>
      </c>
      <c r="G99" s="29">
        <v>9</v>
      </c>
      <c r="H99" s="29" t="s">
        <v>88</v>
      </c>
      <c r="I99" s="29" t="s">
        <v>109</v>
      </c>
      <c r="J99" s="29" t="s">
        <v>130</v>
      </c>
      <c r="K99" s="30">
        <v>2.5000000000000001E-2</v>
      </c>
      <c r="L99" s="29" t="s">
        <v>109</v>
      </c>
      <c r="M99" s="29" t="s">
        <v>109</v>
      </c>
      <c r="N99" s="29" t="s">
        <v>109</v>
      </c>
      <c r="O99" s="29" t="s">
        <v>145</v>
      </c>
      <c r="P99" s="28" t="s">
        <v>131</v>
      </c>
      <c r="Q99" s="28" t="s">
        <v>88</v>
      </c>
      <c r="R99" s="28" t="s">
        <v>109</v>
      </c>
      <c r="S99" s="28" t="s">
        <v>123</v>
      </c>
      <c r="T99" s="28" t="s">
        <v>163</v>
      </c>
      <c r="U99" s="111">
        <f t="shared" si="1"/>
        <v>0.19565217391304349</v>
      </c>
      <c r="V99" s="28" t="s">
        <v>2045</v>
      </c>
    </row>
  </sheetData>
  <conditionalFormatting sqref="D1">
    <cfRule type="duplicateValues" dxfId="81" priority="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C6D05-E685-4A9F-BBF3-F375DBB560A1}">
  <sheetPr codeName="Sheet28"/>
  <dimension ref="A1:V69"/>
  <sheetViews>
    <sheetView workbookViewId="0">
      <pane ySplit="1" topLeftCell="A43" activePane="bottomLeft" state="frozen"/>
      <selection pane="bottomLeft" activeCell="E69" sqref="E69"/>
    </sheetView>
  </sheetViews>
  <sheetFormatPr defaultRowHeight="14.4" x14ac:dyDescent="0.3"/>
  <cols>
    <col min="1" max="1" width="7.5546875" bestFit="1" customWidth="1"/>
    <col min="2" max="2" width="13.109375" bestFit="1" customWidth="1"/>
    <col min="3" max="3" width="107.88671875" bestFit="1" customWidth="1"/>
    <col min="4" max="4" width="14.88671875" bestFit="1" customWidth="1"/>
    <col min="5" max="5" width="18.33203125" bestFit="1" customWidth="1"/>
    <col min="6" max="6" width="19.5546875" bestFit="1" customWidth="1"/>
    <col min="7" max="7" width="13" bestFit="1" customWidth="1"/>
    <col min="8" max="8" width="38.33203125" bestFit="1" customWidth="1"/>
    <col min="9" max="9" width="31.5546875" bestFit="1" customWidth="1"/>
    <col min="10" max="10" width="10.6640625" bestFit="1" customWidth="1"/>
    <col min="11" max="12" width="20.33203125" bestFit="1" customWidth="1"/>
    <col min="13" max="13" width="8.33203125" bestFit="1" customWidth="1"/>
    <col min="14" max="14" width="68.6640625" bestFit="1" customWidth="1"/>
    <col min="15" max="15" width="11.21875" bestFit="1" customWidth="1"/>
    <col min="16" max="16" width="18.77734375" bestFit="1" customWidth="1"/>
    <col min="17" max="17" width="16.21875" bestFit="1" customWidth="1"/>
    <col min="18" max="18" width="18.77734375" bestFit="1" customWidth="1"/>
    <col min="19" max="19" width="20.33203125" bestFit="1" customWidth="1"/>
    <col min="20" max="20" width="17.5546875" bestFit="1" customWidth="1"/>
    <col min="21" max="21" width="41.88671875" bestFit="1" customWidth="1"/>
    <col min="22" max="22" width="15.88671875" bestFit="1" customWidth="1"/>
  </cols>
  <sheetData>
    <row r="1" spans="1:22"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row>
    <row r="2" spans="1:22" x14ac:dyDescent="0.3">
      <c r="A2" s="7">
        <v>1</v>
      </c>
      <c r="B2" s="7" t="s">
        <v>24</v>
      </c>
      <c r="C2" s="7" t="s">
        <v>1832</v>
      </c>
      <c r="D2" s="7">
        <v>60226011</v>
      </c>
      <c r="E2" s="7">
        <v>315</v>
      </c>
      <c r="F2" s="7">
        <v>610</v>
      </c>
      <c r="G2" s="7">
        <v>218</v>
      </c>
      <c r="H2" s="7" t="s">
        <v>2046</v>
      </c>
      <c r="I2" s="7" t="s">
        <v>2047</v>
      </c>
      <c r="J2" s="7" t="s">
        <v>130</v>
      </c>
      <c r="K2" s="46">
        <v>0.83194444444444449</v>
      </c>
      <c r="L2" s="46">
        <v>0.88263888888888886</v>
      </c>
      <c r="M2" s="7" t="s">
        <v>109</v>
      </c>
      <c r="N2" s="7" t="s">
        <v>1833</v>
      </c>
      <c r="O2" s="7" t="s">
        <v>61</v>
      </c>
      <c r="P2" s="7" t="s">
        <v>131</v>
      </c>
      <c r="Q2" s="7" t="s">
        <v>154</v>
      </c>
      <c r="R2" s="7" t="s">
        <v>63</v>
      </c>
      <c r="S2" s="7" t="s">
        <v>136</v>
      </c>
      <c r="T2" s="7" t="s">
        <v>117</v>
      </c>
      <c r="U2" s="111">
        <f t="shared" ref="U2:U33" si="0">G2/E2</f>
        <v>0.69206349206349205</v>
      </c>
      <c r="V2" s="7" t="s">
        <v>2087</v>
      </c>
    </row>
    <row r="3" spans="1:22" x14ac:dyDescent="0.3">
      <c r="A3" s="7">
        <v>2</v>
      </c>
      <c r="B3" s="7" t="s">
        <v>26</v>
      </c>
      <c r="C3" s="7" t="s">
        <v>2048</v>
      </c>
      <c r="D3" s="7">
        <v>40226003</v>
      </c>
      <c r="E3" s="7">
        <v>129</v>
      </c>
      <c r="F3" s="7">
        <v>5</v>
      </c>
      <c r="G3" s="7">
        <v>0</v>
      </c>
      <c r="H3" s="7" t="s">
        <v>65</v>
      </c>
      <c r="I3" s="7" t="s">
        <v>209</v>
      </c>
      <c r="J3" s="7" t="s">
        <v>130</v>
      </c>
      <c r="K3" s="46">
        <v>0.92500000000000004</v>
      </c>
      <c r="L3" s="46">
        <v>1.0416666666666666E-2</v>
      </c>
      <c r="M3" s="7" t="s">
        <v>109</v>
      </c>
      <c r="N3" s="7" t="s">
        <v>109</v>
      </c>
      <c r="O3" s="7" t="s">
        <v>61</v>
      </c>
      <c r="P3" s="7" t="s">
        <v>131</v>
      </c>
      <c r="Q3" s="7" t="s">
        <v>209</v>
      </c>
      <c r="R3" s="7" t="s">
        <v>62</v>
      </c>
      <c r="S3" s="7" t="s">
        <v>136</v>
      </c>
      <c r="T3" s="7" t="s">
        <v>121</v>
      </c>
      <c r="U3" s="111">
        <f t="shared" si="0"/>
        <v>0</v>
      </c>
      <c r="V3" s="7" t="s">
        <v>889</v>
      </c>
    </row>
    <row r="4" spans="1:22" x14ac:dyDescent="0.3">
      <c r="A4" s="7">
        <v>3</v>
      </c>
      <c r="B4" s="7" t="s">
        <v>26</v>
      </c>
      <c r="C4" s="7" t="s">
        <v>1388</v>
      </c>
      <c r="D4" s="7">
        <v>40126024</v>
      </c>
      <c r="E4" s="7">
        <v>196</v>
      </c>
      <c r="F4" s="7">
        <v>302</v>
      </c>
      <c r="G4" s="7">
        <v>48</v>
      </c>
      <c r="H4" s="7" t="s">
        <v>2049</v>
      </c>
      <c r="I4" s="7" t="s">
        <v>1248</v>
      </c>
      <c r="J4" s="7" t="s">
        <v>130</v>
      </c>
      <c r="K4" s="46">
        <v>0.85416666666666663</v>
      </c>
      <c r="L4" s="46">
        <v>0.88888888888888884</v>
      </c>
      <c r="M4" s="7" t="s">
        <v>109</v>
      </c>
      <c r="N4" s="7" t="s">
        <v>109</v>
      </c>
      <c r="O4" s="7" t="s">
        <v>61</v>
      </c>
      <c r="P4" s="7" t="s">
        <v>131</v>
      </c>
      <c r="Q4" s="7" t="s">
        <v>88</v>
      </c>
      <c r="R4" s="7" t="s">
        <v>62</v>
      </c>
      <c r="S4" s="7" t="s">
        <v>136</v>
      </c>
      <c r="T4" s="7" t="s">
        <v>121</v>
      </c>
      <c r="U4" s="111">
        <f t="shared" si="0"/>
        <v>0.24489795918367346</v>
      </c>
      <c r="V4" s="7" t="s">
        <v>2087</v>
      </c>
    </row>
    <row r="5" spans="1:22" x14ac:dyDescent="0.3">
      <c r="A5" s="7">
        <v>4</v>
      </c>
      <c r="B5" s="7" t="s">
        <v>26</v>
      </c>
      <c r="C5" s="7" t="s">
        <v>1389</v>
      </c>
      <c r="D5" s="7">
        <v>40126028</v>
      </c>
      <c r="E5" s="7">
        <v>287</v>
      </c>
      <c r="F5" s="7">
        <v>529</v>
      </c>
      <c r="G5" s="7">
        <v>216</v>
      </c>
      <c r="H5" s="7" t="s">
        <v>2050</v>
      </c>
      <c r="I5" s="7" t="s">
        <v>2051</v>
      </c>
      <c r="J5" s="7" t="s">
        <v>130</v>
      </c>
      <c r="K5" s="46">
        <v>0.8256944444444444</v>
      </c>
      <c r="L5" s="46">
        <v>0.87708333333333333</v>
      </c>
      <c r="M5" s="7" t="s">
        <v>109</v>
      </c>
      <c r="N5" s="7" t="s">
        <v>109</v>
      </c>
      <c r="O5" s="7" t="s">
        <v>61</v>
      </c>
      <c r="P5" s="7" t="s">
        <v>131</v>
      </c>
      <c r="Q5" s="7" t="s">
        <v>88</v>
      </c>
      <c r="R5" s="7" t="s">
        <v>62</v>
      </c>
      <c r="S5" s="7" t="s">
        <v>136</v>
      </c>
      <c r="T5" s="7" t="s">
        <v>121</v>
      </c>
      <c r="U5" s="111">
        <f t="shared" si="0"/>
        <v>0.7526132404181185</v>
      </c>
      <c r="V5" s="7" t="s">
        <v>2008</v>
      </c>
    </row>
    <row r="6" spans="1:22" x14ac:dyDescent="0.3">
      <c r="A6" s="7">
        <v>5</v>
      </c>
      <c r="B6" s="7" t="s">
        <v>26</v>
      </c>
      <c r="C6" s="7" t="s">
        <v>1778</v>
      </c>
      <c r="D6" s="7">
        <v>40226001</v>
      </c>
      <c r="E6" s="7">
        <v>295</v>
      </c>
      <c r="F6" s="7">
        <v>372</v>
      </c>
      <c r="G6" s="7">
        <v>53</v>
      </c>
      <c r="H6" s="7" t="s">
        <v>2052</v>
      </c>
      <c r="I6" s="7" t="s">
        <v>169</v>
      </c>
      <c r="J6" s="7" t="s">
        <v>130</v>
      </c>
      <c r="K6" s="46">
        <v>0.96180555555555558</v>
      </c>
      <c r="L6" s="46">
        <v>0.97361111111111109</v>
      </c>
      <c r="M6" s="7" t="s">
        <v>109</v>
      </c>
      <c r="N6" s="7" t="s">
        <v>109</v>
      </c>
      <c r="O6" s="7" t="s">
        <v>61</v>
      </c>
      <c r="P6" s="7" t="s">
        <v>131</v>
      </c>
      <c r="Q6" s="7" t="s">
        <v>89</v>
      </c>
      <c r="R6" s="7" t="s">
        <v>62</v>
      </c>
      <c r="S6" s="7" t="s">
        <v>136</v>
      </c>
      <c r="T6" s="7" t="s">
        <v>121</v>
      </c>
      <c r="U6" s="111">
        <f t="shared" si="0"/>
        <v>0.17966101694915254</v>
      </c>
      <c r="V6" s="7" t="s">
        <v>2087</v>
      </c>
    </row>
    <row r="7" spans="1:22" x14ac:dyDescent="0.3">
      <c r="A7" s="7">
        <v>6</v>
      </c>
      <c r="B7" s="7" t="s">
        <v>26</v>
      </c>
      <c r="C7" s="7" t="s">
        <v>1391</v>
      </c>
      <c r="D7" s="7">
        <v>40126023</v>
      </c>
      <c r="E7" s="7">
        <v>146</v>
      </c>
      <c r="F7" s="7">
        <v>332</v>
      </c>
      <c r="G7" s="7">
        <v>93</v>
      </c>
      <c r="H7" s="7" t="s">
        <v>1935</v>
      </c>
      <c r="I7" s="7" t="s">
        <v>1246</v>
      </c>
      <c r="J7" s="7" t="s">
        <v>130</v>
      </c>
      <c r="K7" s="46">
        <v>0.82708333333333328</v>
      </c>
      <c r="L7" s="46">
        <v>0.86805555555555558</v>
      </c>
      <c r="M7" s="7" t="s">
        <v>109</v>
      </c>
      <c r="N7" s="7" t="s">
        <v>109</v>
      </c>
      <c r="O7" s="7" t="s">
        <v>61</v>
      </c>
      <c r="P7" s="7" t="s">
        <v>131</v>
      </c>
      <c r="Q7" s="7" t="s">
        <v>209</v>
      </c>
      <c r="R7" s="7" t="s">
        <v>62</v>
      </c>
      <c r="S7" s="7" t="s">
        <v>136</v>
      </c>
      <c r="T7" s="7" t="s">
        <v>121</v>
      </c>
      <c r="U7" s="111">
        <f t="shared" si="0"/>
        <v>0.63698630136986301</v>
      </c>
      <c r="V7" s="7" t="s">
        <v>2087</v>
      </c>
    </row>
    <row r="8" spans="1:22" x14ac:dyDescent="0.3">
      <c r="A8" s="7">
        <v>7</v>
      </c>
      <c r="B8" s="7" t="s">
        <v>23</v>
      </c>
      <c r="C8" s="7" t="s">
        <v>825</v>
      </c>
      <c r="D8" s="7">
        <v>50126210</v>
      </c>
      <c r="E8" s="7">
        <v>25</v>
      </c>
      <c r="F8" s="7">
        <v>48</v>
      </c>
      <c r="G8" s="7">
        <v>1</v>
      </c>
      <c r="H8" s="7" t="s">
        <v>71</v>
      </c>
      <c r="I8" s="7" t="s">
        <v>109</v>
      </c>
      <c r="J8" s="7" t="s">
        <v>130</v>
      </c>
      <c r="K8" s="46">
        <v>0.99861111111111112</v>
      </c>
      <c r="L8" s="7" t="s">
        <v>109</v>
      </c>
      <c r="M8" s="7" t="s">
        <v>109</v>
      </c>
      <c r="N8" s="7" t="s">
        <v>109</v>
      </c>
      <c r="O8" s="7" t="s">
        <v>61</v>
      </c>
      <c r="P8" s="7" t="s">
        <v>131</v>
      </c>
      <c r="Q8" s="7" t="s">
        <v>71</v>
      </c>
      <c r="R8" s="7" t="s">
        <v>62</v>
      </c>
      <c r="S8" s="7" t="s">
        <v>136</v>
      </c>
      <c r="T8" s="7" t="s">
        <v>424</v>
      </c>
      <c r="U8" s="111">
        <f t="shared" si="0"/>
        <v>0.04</v>
      </c>
      <c r="V8" s="7" t="s">
        <v>889</v>
      </c>
    </row>
    <row r="9" spans="1:22" x14ac:dyDescent="0.3">
      <c r="A9" s="7">
        <v>8</v>
      </c>
      <c r="B9" s="7" t="s">
        <v>23</v>
      </c>
      <c r="C9" s="7" t="s">
        <v>1657</v>
      </c>
      <c r="D9" s="7">
        <v>50126380</v>
      </c>
      <c r="E9" s="7">
        <v>65</v>
      </c>
      <c r="F9" s="7">
        <v>100</v>
      </c>
      <c r="G9" s="7">
        <v>37</v>
      </c>
      <c r="H9" s="7" t="s">
        <v>527</v>
      </c>
      <c r="I9" s="7" t="s">
        <v>109</v>
      </c>
      <c r="J9" s="7" t="s">
        <v>130</v>
      </c>
      <c r="K9" s="46">
        <v>0.91249999999999998</v>
      </c>
      <c r="L9" s="7" t="s">
        <v>109</v>
      </c>
      <c r="M9" s="7" t="s">
        <v>109</v>
      </c>
      <c r="N9" s="7" t="s">
        <v>109</v>
      </c>
      <c r="O9" s="7" t="s">
        <v>61</v>
      </c>
      <c r="P9" s="7" t="s">
        <v>131</v>
      </c>
      <c r="Q9" s="7" t="s">
        <v>527</v>
      </c>
      <c r="R9" s="7" t="s">
        <v>62</v>
      </c>
      <c r="S9" s="7" t="s">
        <v>136</v>
      </c>
      <c r="T9" s="7" t="s">
        <v>424</v>
      </c>
      <c r="U9" s="111">
        <f t="shared" si="0"/>
        <v>0.56923076923076921</v>
      </c>
      <c r="V9" s="7" t="s">
        <v>2008</v>
      </c>
    </row>
    <row r="10" spans="1:22" x14ac:dyDescent="0.3">
      <c r="A10" s="7">
        <v>9</v>
      </c>
      <c r="B10" s="7" t="s">
        <v>23</v>
      </c>
      <c r="C10" s="7" t="s">
        <v>833</v>
      </c>
      <c r="D10" s="7">
        <v>50126108</v>
      </c>
      <c r="E10" s="7">
        <v>10</v>
      </c>
      <c r="F10" s="7">
        <v>27</v>
      </c>
      <c r="G10" s="7">
        <v>11</v>
      </c>
      <c r="H10" s="7" t="s">
        <v>70</v>
      </c>
      <c r="I10" s="7" t="s">
        <v>109</v>
      </c>
      <c r="J10" s="7" t="s">
        <v>130</v>
      </c>
      <c r="K10" s="46">
        <v>0.92708333333333337</v>
      </c>
      <c r="L10" s="7" t="s">
        <v>109</v>
      </c>
      <c r="M10" s="7" t="s">
        <v>109</v>
      </c>
      <c r="N10" s="7" t="s">
        <v>109</v>
      </c>
      <c r="O10" s="7" t="s">
        <v>61</v>
      </c>
      <c r="P10" s="7" t="s">
        <v>131</v>
      </c>
      <c r="Q10" s="7" t="s">
        <v>70</v>
      </c>
      <c r="R10" s="7" t="s">
        <v>62</v>
      </c>
      <c r="S10" s="7" t="s">
        <v>136</v>
      </c>
      <c r="T10" s="7" t="s">
        <v>424</v>
      </c>
      <c r="U10" s="111">
        <f t="shared" si="0"/>
        <v>1.1000000000000001</v>
      </c>
      <c r="V10" s="7" t="s">
        <v>889</v>
      </c>
    </row>
    <row r="11" spans="1:22" x14ac:dyDescent="0.3">
      <c r="A11" s="7">
        <v>10</v>
      </c>
      <c r="B11" s="7" t="s">
        <v>23</v>
      </c>
      <c r="C11" s="7" t="s">
        <v>932</v>
      </c>
      <c r="D11" s="7">
        <v>50126263</v>
      </c>
      <c r="E11" s="7">
        <v>100</v>
      </c>
      <c r="F11" s="7">
        <v>182</v>
      </c>
      <c r="G11" s="7">
        <v>103</v>
      </c>
      <c r="H11" s="7" t="s">
        <v>1195</v>
      </c>
      <c r="I11" s="7" t="s">
        <v>109</v>
      </c>
      <c r="J11" s="7" t="s">
        <v>130</v>
      </c>
      <c r="K11" s="46">
        <v>0.67569444444444449</v>
      </c>
      <c r="L11" s="7" t="s">
        <v>109</v>
      </c>
      <c r="M11" s="7" t="s">
        <v>109</v>
      </c>
      <c r="N11" s="7" t="s">
        <v>109</v>
      </c>
      <c r="O11" s="7" t="s">
        <v>61</v>
      </c>
      <c r="P11" s="7" t="s">
        <v>131</v>
      </c>
      <c r="Q11" s="7" t="s">
        <v>71</v>
      </c>
      <c r="R11" s="7" t="s">
        <v>62</v>
      </c>
      <c r="S11" s="7" t="s">
        <v>136</v>
      </c>
      <c r="T11" s="7" t="s">
        <v>424</v>
      </c>
      <c r="U11" s="111">
        <f t="shared" si="0"/>
        <v>1.03</v>
      </c>
      <c r="V11" s="7" t="s">
        <v>1941</v>
      </c>
    </row>
    <row r="12" spans="1:22" x14ac:dyDescent="0.3">
      <c r="A12" s="7">
        <v>11</v>
      </c>
      <c r="B12" s="7" t="s">
        <v>23</v>
      </c>
      <c r="C12" s="7" t="s">
        <v>841</v>
      </c>
      <c r="D12" s="7">
        <v>50126201</v>
      </c>
      <c r="E12" s="7">
        <v>85</v>
      </c>
      <c r="F12" s="7">
        <v>175</v>
      </c>
      <c r="G12" s="7">
        <v>61</v>
      </c>
      <c r="H12" s="7" t="s">
        <v>229</v>
      </c>
      <c r="I12" s="7" t="s">
        <v>109</v>
      </c>
      <c r="J12" s="7" t="s">
        <v>130</v>
      </c>
      <c r="K12" s="46">
        <v>0.78611111111111109</v>
      </c>
      <c r="L12" s="7" t="s">
        <v>109</v>
      </c>
      <c r="M12" s="7" t="s">
        <v>109</v>
      </c>
      <c r="N12" s="7" t="s">
        <v>109</v>
      </c>
      <c r="O12" s="7" t="s">
        <v>61</v>
      </c>
      <c r="P12" s="7" t="s">
        <v>131</v>
      </c>
      <c r="Q12" s="7" t="s">
        <v>68</v>
      </c>
      <c r="R12" s="7" t="s">
        <v>62</v>
      </c>
      <c r="S12" s="7" t="s">
        <v>136</v>
      </c>
      <c r="T12" s="7" t="s">
        <v>424</v>
      </c>
      <c r="U12" s="111">
        <f t="shared" si="0"/>
        <v>0.71764705882352942</v>
      </c>
      <c r="V12" s="7" t="s">
        <v>2087</v>
      </c>
    </row>
    <row r="13" spans="1:22" x14ac:dyDescent="0.3">
      <c r="A13" s="7">
        <v>12</v>
      </c>
      <c r="B13" s="7" t="s">
        <v>23</v>
      </c>
      <c r="C13" s="7" t="s">
        <v>1062</v>
      </c>
      <c r="D13" s="7">
        <v>50126304</v>
      </c>
      <c r="E13" s="7">
        <v>80</v>
      </c>
      <c r="F13" s="7">
        <v>201</v>
      </c>
      <c r="G13" s="7">
        <v>40</v>
      </c>
      <c r="H13" s="7" t="s">
        <v>222</v>
      </c>
      <c r="I13" s="7" t="s">
        <v>109</v>
      </c>
      <c r="J13" s="7" t="s">
        <v>130</v>
      </c>
      <c r="K13" s="46">
        <v>0.73750000000000004</v>
      </c>
      <c r="L13" s="7" t="s">
        <v>109</v>
      </c>
      <c r="M13" s="7" t="s">
        <v>109</v>
      </c>
      <c r="N13" s="7" t="s">
        <v>109</v>
      </c>
      <c r="O13" s="7" t="s">
        <v>61</v>
      </c>
      <c r="P13" s="7" t="s">
        <v>131</v>
      </c>
      <c r="Q13" s="7" t="s">
        <v>222</v>
      </c>
      <c r="R13" s="7" t="s">
        <v>62</v>
      </c>
      <c r="S13" s="7" t="s">
        <v>136</v>
      </c>
      <c r="T13" s="7" t="s">
        <v>1063</v>
      </c>
      <c r="U13" s="111">
        <f t="shared" si="0"/>
        <v>0.5</v>
      </c>
      <c r="V13" s="7" t="s">
        <v>2087</v>
      </c>
    </row>
    <row r="14" spans="1:22" x14ac:dyDescent="0.3">
      <c r="A14" s="7">
        <v>13</v>
      </c>
      <c r="B14" s="7" t="s">
        <v>23</v>
      </c>
      <c r="C14" s="7" t="s">
        <v>1064</v>
      </c>
      <c r="D14" s="7">
        <v>50126306</v>
      </c>
      <c r="E14" s="7">
        <v>60</v>
      </c>
      <c r="F14" s="7">
        <v>127</v>
      </c>
      <c r="G14" s="7">
        <v>23</v>
      </c>
      <c r="H14" s="7" t="s">
        <v>214</v>
      </c>
      <c r="I14" s="7" t="s">
        <v>109</v>
      </c>
      <c r="J14" s="7" t="s">
        <v>130</v>
      </c>
      <c r="K14" s="46">
        <v>2.2916666666666665E-2</v>
      </c>
      <c r="L14" s="7" t="s">
        <v>109</v>
      </c>
      <c r="M14" s="7" t="s">
        <v>109</v>
      </c>
      <c r="N14" s="7" t="s">
        <v>109</v>
      </c>
      <c r="O14" s="7" t="s">
        <v>61</v>
      </c>
      <c r="P14" s="7" t="s">
        <v>131</v>
      </c>
      <c r="Q14" s="7" t="s">
        <v>214</v>
      </c>
      <c r="R14" s="7" t="s">
        <v>62</v>
      </c>
      <c r="S14" s="7" t="s">
        <v>136</v>
      </c>
      <c r="T14" s="7" t="s">
        <v>1063</v>
      </c>
      <c r="U14" s="111">
        <f t="shared" si="0"/>
        <v>0.38333333333333336</v>
      </c>
      <c r="V14" s="7" t="s">
        <v>2087</v>
      </c>
    </row>
    <row r="15" spans="1:22" x14ac:dyDescent="0.3">
      <c r="A15" s="7">
        <v>14</v>
      </c>
      <c r="B15" s="7" t="s">
        <v>23</v>
      </c>
      <c r="C15" s="7" t="s">
        <v>1065</v>
      </c>
      <c r="D15" s="7">
        <v>50126305</v>
      </c>
      <c r="E15" s="7">
        <v>80</v>
      </c>
      <c r="F15" s="7">
        <v>164</v>
      </c>
      <c r="G15" s="7">
        <v>81</v>
      </c>
      <c r="H15" s="7" t="s">
        <v>69</v>
      </c>
      <c r="I15" s="7" t="s">
        <v>109</v>
      </c>
      <c r="J15" s="7" t="s">
        <v>130</v>
      </c>
      <c r="K15" s="46">
        <v>0.71597222222222223</v>
      </c>
      <c r="L15" s="7" t="s">
        <v>109</v>
      </c>
      <c r="M15" s="7" t="s">
        <v>109</v>
      </c>
      <c r="N15" s="7" t="s">
        <v>109</v>
      </c>
      <c r="O15" s="7" t="s">
        <v>61</v>
      </c>
      <c r="P15" s="7" t="s">
        <v>131</v>
      </c>
      <c r="Q15" s="7" t="s">
        <v>69</v>
      </c>
      <c r="R15" s="7" t="s">
        <v>62</v>
      </c>
      <c r="S15" s="7" t="s">
        <v>136</v>
      </c>
      <c r="T15" s="7" t="s">
        <v>1063</v>
      </c>
      <c r="U15" s="111">
        <f t="shared" si="0"/>
        <v>1.0125</v>
      </c>
      <c r="V15" s="7" t="s">
        <v>1941</v>
      </c>
    </row>
    <row r="16" spans="1:22" x14ac:dyDescent="0.3">
      <c r="A16" s="7">
        <v>15</v>
      </c>
      <c r="B16" s="7" t="s">
        <v>23</v>
      </c>
      <c r="C16" s="7" t="s">
        <v>1736</v>
      </c>
      <c r="D16" s="7">
        <v>50126403</v>
      </c>
      <c r="E16" s="7">
        <v>20</v>
      </c>
      <c r="F16" s="7">
        <v>12</v>
      </c>
      <c r="G16" s="7">
        <v>0</v>
      </c>
      <c r="H16" s="7" t="s">
        <v>70</v>
      </c>
      <c r="I16" s="7" t="s">
        <v>109</v>
      </c>
      <c r="J16" s="7" t="s">
        <v>130</v>
      </c>
      <c r="K16" s="46">
        <v>0.94374999999999998</v>
      </c>
      <c r="L16" s="7" t="s">
        <v>109</v>
      </c>
      <c r="M16" s="7" t="s">
        <v>109</v>
      </c>
      <c r="N16" s="7" t="s">
        <v>109</v>
      </c>
      <c r="O16" s="7" t="s">
        <v>61</v>
      </c>
      <c r="P16" s="7" t="s">
        <v>131</v>
      </c>
      <c r="Q16" s="7" t="s">
        <v>70</v>
      </c>
      <c r="R16" s="7" t="s">
        <v>62</v>
      </c>
      <c r="S16" s="7" t="s">
        <v>136</v>
      </c>
      <c r="T16" s="7" t="s">
        <v>278</v>
      </c>
      <c r="U16" s="111">
        <f t="shared" si="0"/>
        <v>0</v>
      </c>
      <c r="V16" s="7" t="s">
        <v>889</v>
      </c>
    </row>
    <row r="17" spans="1:22" x14ac:dyDescent="0.3">
      <c r="A17" s="7">
        <v>16</v>
      </c>
      <c r="B17" s="7" t="s">
        <v>23</v>
      </c>
      <c r="C17" s="7" t="s">
        <v>1702</v>
      </c>
      <c r="D17" s="7">
        <v>50126360</v>
      </c>
      <c r="E17" s="7">
        <v>50</v>
      </c>
      <c r="F17" s="7">
        <v>52</v>
      </c>
      <c r="G17" s="7">
        <v>12</v>
      </c>
      <c r="H17" s="7" t="s">
        <v>222</v>
      </c>
      <c r="I17" s="7" t="s">
        <v>109</v>
      </c>
      <c r="J17" s="7" t="s">
        <v>130</v>
      </c>
      <c r="K17" s="46">
        <v>0.65555555555555556</v>
      </c>
      <c r="L17" s="7" t="s">
        <v>109</v>
      </c>
      <c r="M17" s="7" t="s">
        <v>109</v>
      </c>
      <c r="N17" s="7" t="s">
        <v>2053</v>
      </c>
      <c r="O17" s="7" t="s">
        <v>61</v>
      </c>
      <c r="P17" s="7" t="s">
        <v>131</v>
      </c>
      <c r="Q17" s="7" t="s">
        <v>222</v>
      </c>
      <c r="R17" s="7" t="s">
        <v>62</v>
      </c>
      <c r="S17" s="7" t="s">
        <v>136</v>
      </c>
      <c r="T17" s="7" t="s">
        <v>1568</v>
      </c>
      <c r="U17" s="111">
        <f t="shared" si="0"/>
        <v>0.24</v>
      </c>
      <c r="V17" s="7" t="s">
        <v>889</v>
      </c>
    </row>
    <row r="18" spans="1:22" x14ac:dyDescent="0.3">
      <c r="A18" s="7">
        <v>17</v>
      </c>
      <c r="B18" s="7" t="s">
        <v>23</v>
      </c>
      <c r="C18" s="7" t="s">
        <v>1636</v>
      </c>
      <c r="D18" s="7">
        <v>50126359</v>
      </c>
      <c r="E18" s="7">
        <v>300</v>
      </c>
      <c r="F18" s="7">
        <v>566</v>
      </c>
      <c r="G18" s="7">
        <v>303</v>
      </c>
      <c r="H18" s="7" t="s">
        <v>2054</v>
      </c>
      <c r="I18" s="7" t="s">
        <v>109</v>
      </c>
      <c r="J18" s="7" t="s">
        <v>130</v>
      </c>
      <c r="K18" s="46">
        <v>0.95</v>
      </c>
      <c r="L18" s="7" t="s">
        <v>109</v>
      </c>
      <c r="M18" s="7" t="s">
        <v>109</v>
      </c>
      <c r="N18" s="7" t="s">
        <v>2055</v>
      </c>
      <c r="O18" s="7" t="s">
        <v>61</v>
      </c>
      <c r="P18" s="7" t="s">
        <v>131</v>
      </c>
      <c r="Q18" s="7" t="s">
        <v>94</v>
      </c>
      <c r="R18" s="7" t="s">
        <v>62</v>
      </c>
      <c r="S18" s="7" t="s">
        <v>136</v>
      </c>
      <c r="T18" s="7" t="s">
        <v>1568</v>
      </c>
      <c r="U18" s="111">
        <f t="shared" si="0"/>
        <v>1.01</v>
      </c>
      <c r="V18" s="7" t="s">
        <v>1941</v>
      </c>
    </row>
    <row r="19" spans="1:22" x14ac:dyDescent="0.3">
      <c r="A19" s="7">
        <v>18</v>
      </c>
      <c r="B19" s="7" t="s">
        <v>23</v>
      </c>
      <c r="C19" s="7" t="s">
        <v>2056</v>
      </c>
      <c r="D19" s="7">
        <v>50226049</v>
      </c>
      <c r="E19" s="7">
        <v>100</v>
      </c>
      <c r="F19" s="7">
        <v>37</v>
      </c>
      <c r="G19" s="7">
        <v>8</v>
      </c>
      <c r="H19" s="7" t="s">
        <v>64</v>
      </c>
      <c r="I19" s="7" t="s">
        <v>109</v>
      </c>
      <c r="J19" s="7" t="s">
        <v>130</v>
      </c>
      <c r="K19" s="46">
        <v>7.6388888888888886E-3</v>
      </c>
      <c r="L19" s="7" t="s">
        <v>109</v>
      </c>
      <c r="M19" s="7" t="s">
        <v>109</v>
      </c>
      <c r="N19" s="7" t="s">
        <v>109</v>
      </c>
      <c r="O19" s="7" t="s">
        <v>61</v>
      </c>
      <c r="P19" s="7" t="s">
        <v>131</v>
      </c>
      <c r="Q19" s="7" t="s">
        <v>64</v>
      </c>
      <c r="R19" s="7" t="s">
        <v>62</v>
      </c>
      <c r="S19" s="7" t="s">
        <v>136</v>
      </c>
      <c r="T19" s="7" t="s">
        <v>2057</v>
      </c>
      <c r="U19" s="111">
        <f t="shared" si="0"/>
        <v>0.08</v>
      </c>
      <c r="V19" s="7" t="s">
        <v>889</v>
      </c>
    </row>
    <row r="20" spans="1:22" x14ac:dyDescent="0.3">
      <c r="A20" s="7">
        <v>19</v>
      </c>
      <c r="B20" s="7" t="s">
        <v>23</v>
      </c>
      <c r="C20" s="7" t="s">
        <v>2058</v>
      </c>
      <c r="D20" s="7">
        <v>50226050</v>
      </c>
      <c r="E20" s="7">
        <v>10</v>
      </c>
      <c r="F20" s="7">
        <v>1</v>
      </c>
      <c r="G20" s="7">
        <v>0</v>
      </c>
      <c r="H20" s="7" t="s">
        <v>200</v>
      </c>
      <c r="I20" s="7" t="s">
        <v>109</v>
      </c>
      <c r="J20" s="7" t="s">
        <v>130</v>
      </c>
      <c r="K20" s="46">
        <v>0.93194444444444446</v>
      </c>
      <c r="L20" s="7" t="s">
        <v>109</v>
      </c>
      <c r="M20" s="7" t="s">
        <v>109</v>
      </c>
      <c r="N20" s="7" t="s">
        <v>109</v>
      </c>
      <c r="O20" s="7" t="s">
        <v>61</v>
      </c>
      <c r="P20" s="7" t="s">
        <v>131</v>
      </c>
      <c r="Q20" s="7" t="s">
        <v>200</v>
      </c>
      <c r="R20" s="7" t="s">
        <v>62</v>
      </c>
      <c r="S20" s="7" t="s">
        <v>136</v>
      </c>
      <c r="T20" s="7" t="s">
        <v>2057</v>
      </c>
      <c r="U20" s="111">
        <f t="shared" si="0"/>
        <v>0</v>
      </c>
      <c r="V20" s="7" t="s">
        <v>889</v>
      </c>
    </row>
    <row r="21" spans="1:22" x14ac:dyDescent="0.3">
      <c r="A21" s="7">
        <v>20</v>
      </c>
      <c r="B21" s="7" t="s">
        <v>23</v>
      </c>
      <c r="C21" s="7" t="s">
        <v>2059</v>
      </c>
      <c r="D21" s="7">
        <v>50226048</v>
      </c>
      <c r="E21" s="7">
        <v>250</v>
      </c>
      <c r="F21" s="7">
        <v>278</v>
      </c>
      <c r="G21" s="7">
        <v>90</v>
      </c>
      <c r="H21" s="7" t="s">
        <v>2060</v>
      </c>
      <c r="I21" s="7" t="s">
        <v>109</v>
      </c>
      <c r="J21" s="7" t="s">
        <v>130</v>
      </c>
      <c r="K21" s="46">
        <v>0.90208333333333335</v>
      </c>
      <c r="L21" s="7" t="s">
        <v>109</v>
      </c>
      <c r="M21" s="7" t="s">
        <v>109</v>
      </c>
      <c r="N21" s="7" t="s">
        <v>109</v>
      </c>
      <c r="O21" s="7" t="s">
        <v>61</v>
      </c>
      <c r="P21" s="7" t="s">
        <v>131</v>
      </c>
      <c r="Q21" s="7" t="s">
        <v>68</v>
      </c>
      <c r="R21" s="7" t="s">
        <v>62</v>
      </c>
      <c r="S21" s="7" t="s">
        <v>136</v>
      </c>
      <c r="T21" s="7" t="s">
        <v>2057</v>
      </c>
      <c r="U21" s="111">
        <f t="shared" si="0"/>
        <v>0.36</v>
      </c>
      <c r="V21" s="7" t="s">
        <v>889</v>
      </c>
    </row>
    <row r="22" spans="1:22" s="21" customFormat="1" x14ac:dyDescent="0.3">
      <c r="A22" s="7">
        <v>21</v>
      </c>
      <c r="B22" s="7" t="s">
        <v>23</v>
      </c>
      <c r="C22" s="7" t="s">
        <v>2061</v>
      </c>
      <c r="D22" s="7">
        <v>50226047</v>
      </c>
      <c r="E22" s="7">
        <v>300</v>
      </c>
      <c r="F22" s="7">
        <v>124</v>
      </c>
      <c r="G22" s="7">
        <v>63</v>
      </c>
      <c r="H22" s="7" t="s">
        <v>2062</v>
      </c>
      <c r="I22" s="7" t="s">
        <v>109</v>
      </c>
      <c r="J22" s="7" t="s">
        <v>130</v>
      </c>
      <c r="K22" s="46">
        <v>0.84097222222222223</v>
      </c>
      <c r="L22" s="7" t="s">
        <v>109</v>
      </c>
      <c r="M22" s="7" t="s">
        <v>109</v>
      </c>
      <c r="N22" s="7" t="s">
        <v>109</v>
      </c>
      <c r="O22" s="7" t="s">
        <v>61</v>
      </c>
      <c r="P22" s="7" t="s">
        <v>131</v>
      </c>
      <c r="Q22" s="7" t="s">
        <v>200</v>
      </c>
      <c r="R22" s="7" t="s">
        <v>62</v>
      </c>
      <c r="S22" s="7" t="s">
        <v>136</v>
      </c>
      <c r="T22" s="7" t="s">
        <v>2057</v>
      </c>
      <c r="U22" s="111">
        <f t="shared" si="0"/>
        <v>0.21</v>
      </c>
      <c r="V22" s="7" t="s">
        <v>889</v>
      </c>
    </row>
    <row r="23" spans="1:22" s="21" customFormat="1" x14ac:dyDescent="0.3">
      <c r="A23" s="7">
        <v>22</v>
      </c>
      <c r="B23" s="7" t="s">
        <v>23</v>
      </c>
      <c r="C23" s="7" t="s">
        <v>1293</v>
      </c>
      <c r="D23" s="7">
        <v>50126333</v>
      </c>
      <c r="E23" s="7">
        <v>50</v>
      </c>
      <c r="F23" s="7">
        <v>76</v>
      </c>
      <c r="G23" s="7">
        <v>24</v>
      </c>
      <c r="H23" s="7" t="s">
        <v>71</v>
      </c>
      <c r="I23" s="7" t="s">
        <v>109</v>
      </c>
      <c r="J23" s="7" t="s">
        <v>130</v>
      </c>
      <c r="K23" s="46">
        <v>0.78680555555555554</v>
      </c>
      <c r="L23" s="7" t="s">
        <v>109</v>
      </c>
      <c r="M23" s="7" t="s">
        <v>109</v>
      </c>
      <c r="N23" s="7" t="s">
        <v>2063</v>
      </c>
      <c r="O23" s="7" t="s">
        <v>61</v>
      </c>
      <c r="P23" s="7" t="s">
        <v>131</v>
      </c>
      <c r="Q23" s="7" t="s">
        <v>71</v>
      </c>
      <c r="R23" s="7" t="s">
        <v>62</v>
      </c>
      <c r="S23" s="7" t="s">
        <v>136</v>
      </c>
      <c r="T23" s="7" t="s">
        <v>1295</v>
      </c>
      <c r="U23" s="111">
        <f t="shared" si="0"/>
        <v>0.48</v>
      </c>
      <c r="V23" s="7" t="s">
        <v>889</v>
      </c>
    </row>
    <row r="24" spans="1:22" x14ac:dyDescent="0.3">
      <c r="A24" s="7">
        <v>23</v>
      </c>
      <c r="B24" s="7" t="s">
        <v>143</v>
      </c>
      <c r="C24" s="7" t="s">
        <v>1667</v>
      </c>
      <c r="D24" s="7">
        <v>10126048</v>
      </c>
      <c r="E24" s="7">
        <v>75</v>
      </c>
      <c r="F24" s="7">
        <v>16</v>
      </c>
      <c r="G24" s="7">
        <v>8</v>
      </c>
      <c r="H24" s="7" t="s">
        <v>67</v>
      </c>
      <c r="I24" s="7" t="s">
        <v>95</v>
      </c>
      <c r="J24" s="7" t="s">
        <v>130</v>
      </c>
      <c r="K24" s="46">
        <v>0.97291666666666665</v>
      </c>
      <c r="L24" s="46">
        <v>2.4305555555555556E-2</v>
      </c>
      <c r="M24" s="7" t="s">
        <v>109</v>
      </c>
      <c r="N24" s="7" t="s">
        <v>109</v>
      </c>
      <c r="O24" s="7" t="s">
        <v>61</v>
      </c>
      <c r="P24" s="7" t="s">
        <v>131</v>
      </c>
      <c r="Q24" s="7" t="s">
        <v>95</v>
      </c>
      <c r="R24" s="7" t="s">
        <v>62</v>
      </c>
      <c r="S24" s="7" t="s">
        <v>136</v>
      </c>
      <c r="T24" s="7" t="s">
        <v>402</v>
      </c>
      <c r="U24" s="111">
        <f t="shared" si="0"/>
        <v>0.10666666666666667</v>
      </c>
      <c r="V24" s="7" t="s">
        <v>889</v>
      </c>
    </row>
    <row r="25" spans="1:22" x14ac:dyDescent="0.3">
      <c r="A25" s="7">
        <v>24</v>
      </c>
      <c r="B25" s="7" t="s">
        <v>143</v>
      </c>
      <c r="C25" s="7" t="s">
        <v>1672</v>
      </c>
      <c r="D25" s="7">
        <v>10126046</v>
      </c>
      <c r="E25" s="7">
        <v>50</v>
      </c>
      <c r="F25" s="7" t="s">
        <v>109</v>
      </c>
      <c r="G25" s="7" t="s">
        <v>109</v>
      </c>
      <c r="H25" s="7" t="s">
        <v>70</v>
      </c>
      <c r="I25" s="7" t="s">
        <v>94</v>
      </c>
      <c r="J25" s="7" t="s">
        <v>85</v>
      </c>
      <c r="K25" s="7" t="s">
        <v>109</v>
      </c>
      <c r="L25" s="7" t="s">
        <v>109</v>
      </c>
      <c r="M25" s="7" t="s">
        <v>109</v>
      </c>
      <c r="N25" s="7" t="s">
        <v>109</v>
      </c>
      <c r="O25" s="7" t="s">
        <v>61</v>
      </c>
      <c r="P25" s="7" t="s">
        <v>109</v>
      </c>
      <c r="Q25" s="7" t="s">
        <v>109</v>
      </c>
      <c r="R25" s="7" t="s">
        <v>62</v>
      </c>
      <c r="S25" s="7" t="s">
        <v>136</v>
      </c>
      <c r="T25" s="7" t="s">
        <v>1596</v>
      </c>
      <c r="U25" s="111" t="e">
        <f t="shared" si="0"/>
        <v>#VALUE!</v>
      </c>
      <c r="V25" s="7" t="s">
        <v>109</v>
      </c>
    </row>
    <row r="26" spans="1:22" x14ac:dyDescent="0.3">
      <c r="A26" s="7">
        <v>25</v>
      </c>
      <c r="B26" s="7" t="s">
        <v>143</v>
      </c>
      <c r="C26" s="7" t="s">
        <v>1598</v>
      </c>
      <c r="D26" s="7">
        <v>10126044</v>
      </c>
      <c r="E26" s="7">
        <v>100</v>
      </c>
      <c r="F26" s="7">
        <v>201</v>
      </c>
      <c r="G26" s="7">
        <v>61</v>
      </c>
      <c r="H26" s="7" t="s">
        <v>68</v>
      </c>
      <c r="I26" s="7" t="s">
        <v>154</v>
      </c>
      <c r="J26" s="7" t="s">
        <v>130</v>
      </c>
      <c r="K26" s="46">
        <v>0.73888888888888893</v>
      </c>
      <c r="L26" s="46">
        <v>0.78194444444444444</v>
      </c>
      <c r="M26" s="7" t="s">
        <v>109</v>
      </c>
      <c r="N26" s="7" t="s">
        <v>109</v>
      </c>
      <c r="O26" s="7" t="s">
        <v>61</v>
      </c>
      <c r="P26" s="7" t="s">
        <v>131</v>
      </c>
      <c r="Q26" s="7" t="s">
        <v>154</v>
      </c>
      <c r="R26" s="7" t="s">
        <v>62</v>
      </c>
      <c r="S26" s="7" t="s">
        <v>136</v>
      </c>
      <c r="T26" s="7" t="s">
        <v>480</v>
      </c>
      <c r="U26" s="111">
        <f t="shared" si="0"/>
        <v>0.61</v>
      </c>
      <c r="V26" s="7" t="s">
        <v>2087</v>
      </c>
    </row>
    <row r="27" spans="1:22" x14ac:dyDescent="0.3">
      <c r="A27" s="7">
        <v>26</v>
      </c>
      <c r="B27" s="7" t="s">
        <v>143</v>
      </c>
      <c r="C27" s="7" t="s">
        <v>1959</v>
      </c>
      <c r="D27" s="7">
        <v>10226006</v>
      </c>
      <c r="E27" s="7">
        <v>100</v>
      </c>
      <c r="F27" s="7">
        <v>150</v>
      </c>
      <c r="G27" s="7">
        <v>83</v>
      </c>
      <c r="H27" s="7" t="s">
        <v>196</v>
      </c>
      <c r="I27" s="7" t="s">
        <v>87</v>
      </c>
      <c r="J27" s="7" t="s">
        <v>130</v>
      </c>
      <c r="K27" s="46">
        <v>0.97361111111111109</v>
      </c>
      <c r="L27" s="46">
        <v>0.99375000000000002</v>
      </c>
      <c r="M27" s="7" t="s">
        <v>109</v>
      </c>
      <c r="N27" s="7" t="s">
        <v>109</v>
      </c>
      <c r="O27" s="7" t="s">
        <v>61</v>
      </c>
      <c r="P27" s="7" t="s">
        <v>131</v>
      </c>
      <c r="Q27" s="7" t="s">
        <v>87</v>
      </c>
      <c r="R27" s="7" t="s">
        <v>62</v>
      </c>
      <c r="S27" s="7" t="s">
        <v>136</v>
      </c>
      <c r="T27" s="7" t="s">
        <v>1601</v>
      </c>
      <c r="U27" s="111">
        <f t="shared" si="0"/>
        <v>0.83</v>
      </c>
      <c r="V27" s="7" t="s">
        <v>2087</v>
      </c>
    </row>
    <row r="28" spans="1:22" x14ac:dyDescent="0.3">
      <c r="A28" s="7">
        <v>27</v>
      </c>
      <c r="B28" s="7" t="s">
        <v>143</v>
      </c>
      <c r="C28" s="7" t="s">
        <v>1950</v>
      </c>
      <c r="D28" s="7">
        <v>10226007</v>
      </c>
      <c r="E28" s="7">
        <v>35</v>
      </c>
      <c r="F28" s="7">
        <v>76</v>
      </c>
      <c r="G28" s="7">
        <v>17</v>
      </c>
      <c r="H28" s="7" t="s">
        <v>527</v>
      </c>
      <c r="I28" s="7" t="s">
        <v>93</v>
      </c>
      <c r="J28" s="7" t="s">
        <v>130</v>
      </c>
      <c r="K28" s="46">
        <v>0.69374999999999998</v>
      </c>
      <c r="L28" s="46">
        <v>0.74375000000000002</v>
      </c>
      <c r="M28" s="7" t="s">
        <v>109</v>
      </c>
      <c r="N28" s="7" t="s">
        <v>109</v>
      </c>
      <c r="O28" s="7" t="s">
        <v>61</v>
      </c>
      <c r="P28" s="7" t="s">
        <v>131</v>
      </c>
      <c r="Q28" s="7" t="s">
        <v>93</v>
      </c>
      <c r="R28" s="7" t="s">
        <v>62</v>
      </c>
      <c r="S28" s="7" t="s">
        <v>136</v>
      </c>
      <c r="T28" s="7" t="s">
        <v>2064</v>
      </c>
      <c r="U28" s="111">
        <f t="shared" si="0"/>
        <v>0.48571428571428571</v>
      </c>
      <c r="V28" s="7" t="s">
        <v>2087</v>
      </c>
    </row>
    <row r="29" spans="1:22" x14ac:dyDescent="0.3">
      <c r="A29" s="7">
        <v>28</v>
      </c>
      <c r="B29" s="7" t="s">
        <v>143</v>
      </c>
      <c r="C29" s="7" t="s">
        <v>1869</v>
      </c>
      <c r="D29" s="7">
        <v>10226004</v>
      </c>
      <c r="E29" s="7">
        <v>80</v>
      </c>
      <c r="F29" s="7">
        <v>163</v>
      </c>
      <c r="G29" s="7">
        <v>6</v>
      </c>
      <c r="H29" s="7" t="s">
        <v>71</v>
      </c>
      <c r="I29" s="7" t="s">
        <v>91</v>
      </c>
      <c r="J29" s="7" t="s">
        <v>130</v>
      </c>
      <c r="K29" s="46">
        <v>0.90763888888888888</v>
      </c>
      <c r="L29" s="46">
        <v>0.97013888888888888</v>
      </c>
      <c r="M29" s="7" t="s">
        <v>109</v>
      </c>
      <c r="N29" s="7" t="s">
        <v>109</v>
      </c>
      <c r="O29" s="7" t="s">
        <v>61</v>
      </c>
      <c r="P29" s="7" t="s">
        <v>131</v>
      </c>
      <c r="Q29" s="7" t="s">
        <v>603</v>
      </c>
      <c r="R29" s="7" t="s">
        <v>62</v>
      </c>
      <c r="S29" s="7" t="s">
        <v>136</v>
      </c>
      <c r="T29" s="7" t="s">
        <v>398</v>
      </c>
      <c r="U29" s="111">
        <f t="shared" si="0"/>
        <v>7.4999999999999997E-2</v>
      </c>
      <c r="V29" s="7" t="s">
        <v>2087</v>
      </c>
    </row>
    <row r="30" spans="1:22" x14ac:dyDescent="0.3">
      <c r="A30" s="7">
        <v>29</v>
      </c>
      <c r="B30" s="7" t="s">
        <v>143</v>
      </c>
      <c r="C30" s="7" t="s">
        <v>1384</v>
      </c>
      <c r="D30" s="7">
        <v>10226010</v>
      </c>
      <c r="E30" s="7">
        <v>110</v>
      </c>
      <c r="F30" s="7">
        <v>212</v>
      </c>
      <c r="G30" s="7">
        <v>107</v>
      </c>
      <c r="H30" s="7" t="s">
        <v>863</v>
      </c>
      <c r="I30" s="7" t="s">
        <v>764</v>
      </c>
      <c r="J30" s="7" t="s">
        <v>130</v>
      </c>
      <c r="K30" s="46">
        <v>0.90069444444444446</v>
      </c>
      <c r="L30" s="46">
        <v>0.96319444444444446</v>
      </c>
      <c r="M30" s="7" t="s">
        <v>109</v>
      </c>
      <c r="N30" s="7" t="s">
        <v>109</v>
      </c>
      <c r="O30" s="7" t="s">
        <v>61</v>
      </c>
      <c r="P30" s="7" t="s">
        <v>131</v>
      </c>
      <c r="Q30" s="7" t="s">
        <v>179</v>
      </c>
      <c r="R30" s="7" t="s">
        <v>62</v>
      </c>
      <c r="S30" s="7" t="s">
        <v>136</v>
      </c>
      <c r="T30" s="7" t="s">
        <v>182</v>
      </c>
      <c r="U30" s="111">
        <f t="shared" si="0"/>
        <v>0.97272727272727277</v>
      </c>
      <c r="V30" s="7" t="s">
        <v>2087</v>
      </c>
    </row>
    <row r="31" spans="1:22" x14ac:dyDescent="0.3">
      <c r="A31" s="7">
        <v>30</v>
      </c>
      <c r="B31" s="7" t="s">
        <v>23</v>
      </c>
      <c r="C31" s="7" t="s">
        <v>1748</v>
      </c>
      <c r="D31" s="7">
        <v>50126396</v>
      </c>
      <c r="E31" s="7">
        <v>150</v>
      </c>
      <c r="F31" s="7">
        <v>260</v>
      </c>
      <c r="G31" s="7">
        <v>42</v>
      </c>
      <c r="H31" s="7" t="s">
        <v>1195</v>
      </c>
      <c r="I31" s="7" t="s">
        <v>109</v>
      </c>
      <c r="J31" s="7" t="s">
        <v>130</v>
      </c>
      <c r="K31" s="46">
        <v>2.0833333333333333E-3</v>
      </c>
      <c r="L31" s="7" t="s">
        <v>109</v>
      </c>
      <c r="M31" s="7" t="s">
        <v>109</v>
      </c>
      <c r="N31" s="7" t="s">
        <v>2065</v>
      </c>
      <c r="O31" s="7" t="s">
        <v>61</v>
      </c>
      <c r="P31" s="7" t="s">
        <v>131</v>
      </c>
      <c r="Q31" s="7" t="s">
        <v>71</v>
      </c>
      <c r="R31" s="7" t="s">
        <v>62</v>
      </c>
      <c r="S31" s="7" t="s">
        <v>136</v>
      </c>
      <c r="T31" s="7" t="s">
        <v>310</v>
      </c>
      <c r="U31" s="111">
        <f t="shared" si="0"/>
        <v>0.28000000000000003</v>
      </c>
      <c r="V31" s="7" t="s">
        <v>2087</v>
      </c>
    </row>
    <row r="32" spans="1:22" x14ac:dyDescent="0.3">
      <c r="A32" s="7">
        <v>31</v>
      </c>
      <c r="B32" s="7" t="s">
        <v>23</v>
      </c>
      <c r="C32" s="7" t="s">
        <v>1749</v>
      </c>
      <c r="D32" s="7">
        <v>50126392</v>
      </c>
      <c r="E32" s="7">
        <v>50</v>
      </c>
      <c r="F32" s="7">
        <v>61</v>
      </c>
      <c r="G32" s="7">
        <v>55</v>
      </c>
      <c r="H32" s="7" t="s">
        <v>70</v>
      </c>
      <c r="I32" s="7" t="s">
        <v>109</v>
      </c>
      <c r="J32" s="7" t="s">
        <v>130</v>
      </c>
      <c r="K32" s="46">
        <v>0.82152777777777775</v>
      </c>
      <c r="L32" s="7" t="s">
        <v>109</v>
      </c>
      <c r="M32" s="7" t="s">
        <v>109</v>
      </c>
      <c r="N32" s="7" t="s">
        <v>2065</v>
      </c>
      <c r="O32" s="7" t="s">
        <v>61</v>
      </c>
      <c r="P32" s="7" t="s">
        <v>131</v>
      </c>
      <c r="Q32" s="7" t="s">
        <v>70</v>
      </c>
      <c r="R32" s="7" t="s">
        <v>62</v>
      </c>
      <c r="S32" s="7" t="s">
        <v>136</v>
      </c>
      <c r="T32" s="7" t="s">
        <v>310</v>
      </c>
      <c r="U32" s="111">
        <f t="shared" si="0"/>
        <v>1.1000000000000001</v>
      </c>
      <c r="V32" s="7" t="s">
        <v>1941</v>
      </c>
    </row>
    <row r="33" spans="1:22" x14ac:dyDescent="0.3">
      <c r="A33" s="7">
        <v>32</v>
      </c>
      <c r="B33" s="7" t="s">
        <v>23</v>
      </c>
      <c r="C33" s="7" t="s">
        <v>1750</v>
      </c>
      <c r="D33" s="7">
        <v>50126393</v>
      </c>
      <c r="E33" s="7">
        <v>75</v>
      </c>
      <c r="F33" s="7">
        <v>121</v>
      </c>
      <c r="G33" s="7">
        <v>82</v>
      </c>
      <c r="H33" s="7" t="s">
        <v>200</v>
      </c>
      <c r="I33" s="7" t="s">
        <v>109</v>
      </c>
      <c r="J33" s="7" t="s">
        <v>130</v>
      </c>
      <c r="K33" s="46">
        <v>0.92847222222222225</v>
      </c>
      <c r="L33" s="7" t="s">
        <v>109</v>
      </c>
      <c r="M33" s="7" t="s">
        <v>109</v>
      </c>
      <c r="N33" s="7" t="s">
        <v>2065</v>
      </c>
      <c r="O33" s="7" t="s">
        <v>61</v>
      </c>
      <c r="P33" s="7" t="s">
        <v>131</v>
      </c>
      <c r="Q33" s="7" t="s">
        <v>200</v>
      </c>
      <c r="R33" s="7" t="s">
        <v>62</v>
      </c>
      <c r="S33" s="7" t="s">
        <v>136</v>
      </c>
      <c r="T33" s="7" t="s">
        <v>310</v>
      </c>
      <c r="U33" s="111">
        <f t="shared" si="0"/>
        <v>1.0933333333333333</v>
      </c>
      <c r="V33" s="7" t="s">
        <v>1941</v>
      </c>
    </row>
    <row r="34" spans="1:22" x14ac:dyDescent="0.3">
      <c r="A34" s="7">
        <v>33</v>
      </c>
      <c r="B34" s="7" t="s">
        <v>23</v>
      </c>
      <c r="C34" s="7" t="s">
        <v>1751</v>
      </c>
      <c r="D34" s="7">
        <v>50126399</v>
      </c>
      <c r="E34" s="7">
        <v>50</v>
      </c>
      <c r="F34" s="7">
        <v>96</v>
      </c>
      <c r="G34" s="7">
        <v>49</v>
      </c>
      <c r="H34" s="7" t="s">
        <v>527</v>
      </c>
      <c r="I34" s="7" t="s">
        <v>109</v>
      </c>
      <c r="J34" s="7" t="s">
        <v>130</v>
      </c>
      <c r="K34" s="46">
        <v>0.74861111111111112</v>
      </c>
      <c r="L34" s="7" t="s">
        <v>109</v>
      </c>
      <c r="M34" s="7" t="s">
        <v>109</v>
      </c>
      <c r="N34" s="7" t="s">
        <v>2065</v>
      </c>
      <c r="O34" s="7" t="s">
        <v>61</v>
      </c>
      <c r="P34" s="7" t="s">
        <v>131</v>
      </c>
      <c r="Q34" s="7" t="s">
        <v>527</v>
      </c>
      <c r="R34" s="7" t="s">
        <v>62</v>
      </c>
      <c r="S34" s="7" t="s">
        <v>136</v>
      </c>
      <c r="T34" s="7" t="s">
        <v>310</v>
      </c>
      <c r="U34" s="111">
        <f t="shared" ref="U34:U68" si="1">G34/E34</f>
        <v>0.98</v>
      </c>
      <c r="V34" s="7" t="s">
        <v>1941</v>
      </c>
    </row>
    <row r="35" spans="1:22" x14ac:dyDescent="0.3">
      <c r="A35" s="7">
        <v>34</v>
      </c>
      <c r="B35" s="7" t="s">
        <v>23</v>
      </c>
      <c r="C35" s="7" t="s">
        <v>1753</v>
      </c>
      <c r="D35" s="7">
        <v>50126398</v>
      </c>
      <c r="E35" s="7">
        <v>150</v>
      </c>
      <c r="F35" s="7">
        <v>307</v>
      </c>
      <c r="G35" s="7">
        <v>104</v>
      </c>
      <c r="H35" s="7" t="s">
        <v>1196</v>
      </c>
      <c r="I35" s="7" t="s">
        <v>109</v>
      </c>
      <c r="J35" s="7" t="s">
        <v>130</v>
      </c>
      <c r="K35" s="46">
        <v>0.78819444444444442</v>
      </c>
      <c r="L35" s="7" t="s">
        <v>109</v>
      </c>
      <c r="M35" s="7" t="s">
        <v>109</v>
      </c>
      <c r="N35" s="7" t="s">
        <v>2065</v>
      </c>
      <c r="O35" s="7" t="s">
        <v>61</v>
      </c>
      <c r="P35" s="7" t="s">
        <v>131</v>
      </c>
      <c r="Q35" s="7" t="s">
        <v>200</v>
      </c>
      <c r="R35" s="7" t="s">
        <v>62</v>
      </c>
      <c r="S35" s="7" t="s">
        <v>136</v>
      </c>
      <c r="T35" s="7" t="s">
        <v>310</v>
      </c>
      <c r="U35" s="111">
        <f t="shared" si="1"/>
        <v>0.69333333333333336</v>
      </c>
      <c r="V35" s="7" t="s">
        <v>2087</v>
      </c>
    </row>
    <row r="36" spans="1:22" x14ac:dyDescent="0.3">
      <c r="A36" s="7">
        <v>35</v>
      </c>
      <c r="B36" s="7" t="s">
        <v>23</v>
      </c>
      <c r="C36" s="7" t="s">
        <v>1754</v>
      </c>
      <c r="D36" s="7">
        <v>50126395</v>
      </c>
      <c r="E36" s="7">
        <v>120</v>
      </c>
      <c r="F36" s="7">
        <v>242</v>
      </c>
      <c r="G36" s="7">
        <v>27</v>
      </c>
      <c r="H36" s="7" t="s">
        <v>1837</v>
      </c>
      <c r="I36" s="7" t="s">
        <v>109</v>
      </c>
      <c r="J36" s="7" t="s">
        <v>130</v>
      </c>
      <c r="K36" s="46">
        <v>0.94097222222222221</v>
      </c>
      <c r="L36" s="7" t="s">
        <v>109</v>
      </c>
      <c r="M36" s="7" t="s">
        <v>109</v>
      </c>
      <c r="N36" s="7" t="s">
        <v>2065</v>
      </c>
      <c r="O36" s="7" t="s">
        <v>61</v>
      </c>
      <c r="P36" s="7" t="s">
        <v>131</v>
      </c>
      <c r="Q36" s="7" t="s">
        <v>214</v>
      </c>
      <c r="R36" s="7" t="s">
        <v>62</v>
      </c>
      <c r="S36" s="7" t="s">
        <v>136</v>
      </c>
      <c r="T36" s="7" t="s">
        <v>310</v>
      </c>
      <c r="U36" s="111">
        <f t="shared" si="1"/>
        <v>0.22500000000000001</v>
      </c>
      <c r="V36" s="7" t="s">
        <v>2087</v>
      </c>
    </row>
    <row r="37" spans="1:22" x14ac:dyDescent="0.3">
      <c r="A37" s="7">
        <v>36</v>
      </c>
      <c r="B37" s="7" t="s">
        <v>23</v>
      </c>
      <c r="C37" s="7" t="s">
        <v>1755</v>
      </c>
      <c r="D37" s="7">
        <v>50126394</v>
      </c>
      <c r="E37" s="7">
        <v>150</v>
      </c>
      <c r="F37" s="7">
        <v>243</v>
      </c>
      <c r="G37" s="7">
        <v>154</v>
      </c>
      <c r="H37" s="7" t="s">
        <v>73</v>
      </c>
      <c r="I37" s="7" t="s">
        <v>109</v>
      </c>
      <c r="J37" s="7" t="s">
        <v>130</v>
      </c>
      <c r="K37" s="46">
        <v>0.87986111111111109</v>
      </c>
      <c r="L37" s="7" t="s">
        <v>109</v>
      </c>
      <c r="M37" s="7" t="s">
        <v>109</v>
      </c>
      <c r="N37" s="7" t="s">
        <v>2065</v>
      </c>
      <c r="O37" s="7" t="s">
        <v>61</v>
      </c>
      <c r="P37" s="7" t="s">
        <v>131</v>
      </c>
      <c r="Q37" s="7" t="s">
        <v>64</v>
      </c>
      <c r="R37" s="7" t="s">
        <v>62</v>
      </c>
      <c r="S37" s="7" t="s">
        <v>136</v>
      </c>
      <c r="T37" s="7" t="s">
        <v>310</v>
      </c>
      <c r="U37" s="111">
        <f t="shared" si="1"/>
        <v>1.0266666666666666</v>
      </c>
      <c r="V37" s="7" t="s">
        <v>1941</v>
      </c>
    </row>
    <row r="38" spans="1:22" s="21" customFormat="1" x14ac:dyDescent="0.3">
      <c r="A38" s="7">
        <v>37</v>
      </c>
      <c r="B38" s="7" t="s">
        <v>23</v>
      </c>
      <c r="C38" s="7" t="s">
        <v>1575</v>
      </c>
      <c r="D38" s="7">
        <v>50126351</v>
      </c>
      <c r="E38" s="7">
        <v>10</v>
      </c>
      <c r="F38" s="7">
        <v>1</v>
      </c>
      <c r="G38" s="7">
        <v>0</v>
      </c>
      <c r="H38" s="7" t="s">
        <v>222</v>
      </c>
      <c r="I38" s="7" t="s">
        <v>109</v>
      </c>
      <c r="J38" s="7" t="s">
        <v>130</v>
      </c>
      <c r="K38" s="46">
        <v>0.67083333333333328</v>
      </c>
      <c r="L38" s="7" t="s">
        <v>109</v>
      </c>
      <c r="M38" s="7" t="s">
        <v>109</v>
      </c>
      <c r="N38" s="7" t="s">
        <v>109</v>
      </c>
      <c r="O38" s="7" t="s">
        <v>61</v>
      </c>
      <c r="P38" s="7" t="s">
        <v>131</v>
      </c>
      <c r="Q38" s="7" t="s">
        <v>222</v>
      </c>
      <c r="R38" s="7" t="s">
        <v>62</v>
      </c>
      <c r="S38" s="7" t="s">
        <v>136</v>
      </c>
      <c r="T38" s="7" t="s">
        <v>1576</v>
      </c>
      <c r="U38" s="111">
        <f t="shared" si="1"/>
        <v>0</v>
      </c>
      <c r="V38" s="7" t="s">
        <v>889</v>
      </c>
    </row>
    <row r="39" spans="1:22" s="21" customFormat="1" x14ac:dyDescent="0.3">
      <c r="A39" s="7">
        <v>38</v>
      </c>
      <c r="B39" s="7" t="s">
        <v>23</v>
      </c>
      <c r="C39" s="7" t="s">
        <v>2066</v>
      </c>
      <c r="D39" s="7">
        <v>50126349</v>
      </c>
      <c r="E39" s="7">
        <v>25</v>
      </c>
      <c r="F39" s="7">
        <v>27</v>
      </c>
      <c r="G39" s="7">
        <v>11</v>
      </c>
      <c r="H39" s="7" t="s">
        <v>274</v>
      </c>
      <c r="I39" s="7" t="s">
        <v>109</v>
      </c>
      <c r="J39" s="7" t="s">
        <v>130</v>
      </c>
      <c r="K39" s="46">
        <v>0.90069444444444446</v>
      </c>
      <c r="L39" s="7" t="s">
        <v>109</v>
      </c>
      <c r="M39" s="7" t="s">
        <v>109</v>
      </c>
      <c r="N39" s="7" t="s">
        <v>109</v>
      </c>
      <c r="O39" s="7" t="s">
        <v>61</v>
      </c>
      <c r="P39" s="7" t="s">
        <v>131</v>
      </c>
      <c r="Q39" s="7" t="s">
        <v>274</v>
      </c>
      <c r="R39" s="7" t="s">
        <v>62</v>
      </c>
      <c r="S39" s="7" t="s">
        <v>136</v>
      </c>
      <c r="T39" s="7" t="s">
        <v>1576</v>
      </c>
      <c r="U39" s="111">
        <f t="shared" si="1"/>
        <v>0.44</v>
      </c>
      <c r="V39" s="7" t="s">
        <v>889</v>
      </c>
    </row>
    <row r="40" spans="1:22" s="21" customFormat="1" x14ac:dyDescent="0.3">
      <c r="A40" s="7">
        <v>39</v>
      </c>
      <c r="B40" s="7" t="s">
        <v>23</v>
      </c>
      <c r="C40" s="7" t="s">
        <v>2067</v>
      </c>
      <c r="D40" s="7">
        <v>50126350</v>
      </c>
      <c r="E40" s="7">
        <v>10</v>
      </c>
      <c r="F40" s="7">
        <v>14</v>
      </c>
      <c r="G40" s="7">
        <v>1</v>
      </c>
      <c r="H40" s="7" t="s">
        <v>68</v>
      </c>
      <c r="I40" s="7" t="s">
        <v>109</v>
      </c>
      <c r="J40" s="7" t="s">
        <v>130</v>
      </c>
      <c r="K40" s="46">
        <v>0.6743055555555556</v>
      </c>
      <c r="L40" s="7" t="s">
        <v>109</v>
      </c>
      <c r="M40" s="7" t="s">
        <v>109</v>
      </c>
      <c r="N40" s="7" t="s">
        <v>109</v>
      </c>
      <c r="O40" s="7" t="s">
        <v>61</v>
      </c>
      <c r="P40" s="7" t="s">
        <v>131</v>
      </c>
      <c r="Q40" s="7" t="s">
        <v>68</v>
      </c>
      <c r="R40" s="7" t="s">
        <v>62</v>
      </c>
      <c r="S40" s="7" t="s">
        <v>136</v>
      </c>
      <c r="T40" s="7" t="s">
        <v>1576</v>
      </c>
      <c r="U40" s="111">
        <f t="shared" si="1"/>
        <v>0.1</v>
      </c>
      <c r="V40" s="7" t="s">
        <v>889</v>
      </c>
    </row>
    <row r="41" spans="1:22" x14ac:dyDescent="0.3">
      <c r="A41" s="7">
        <v>40</v>
      </c>
      <c r="B41" s="7" t="s">
        <v>23</v>
      </c>
      <c r="C41" s="7" t="s">
        <v>1864</v>
      </c>
      <c r="D41" s="7">
        <v>50226009</v>
      </c>
      <c r="E41" s="7">
        <v>20</v>
      </c>
      <c r="F41" s="7">
        <v>21</v>
      </c>
      <c r="G41" s="7">
        <v>15</v>
      </c>
      <c r="H41" s="7" t="s">
        <v>69</v>
      </c>
      <c r="I41" s="7" t="s">
        <v>109</v>
      </c>
      <c r="J41" s="7" t="s">
        <v>130</v>
      </c>
      <c r="K41" s="46">
        <v>0.63472222222222219</v>
      </c>
      <c r="L41" s="7" t="s">
        <v>109</v>
      </c>
      <c r="M41" s="7" t="s">
        <v>109</v>
      </c>
      <c r="N41" s="7" t="s">
        <v>109</v>
      </c>
      <c r="O41" s="7" t="s">
        <v>61</v>
      </c>
      <c r="P41" s="7" t="s">
        <v>131</v>
      </c>
      <c r="Q41" s="7" t="s">
        <v>69</v>
      </c>
      <c r="R41" s="7" t="s">
        <v>62</v>
      </c>
      <c r="S41" s="7" t="s">
        <v>136</v>
      </c>
      <c r="T41" s="7" t="s">
        <v>1862</v>
      </c>
      <c r="U41" s="111">
        <f t="shared" si="1"/>
        <v>0.75</v>
      </c>
      <c r="V41" s="7" t="s">
        <v>889</v>
      </c>
    </row>
    <row r="42" spans="1:22" x14ac:dyDescent="0.3">
      <c r="A42" s="7">
        <v>41</v>
      </c>
      <c r="B42" s="7" t="s">
        <v>23</v>
      </c>
      <c r="C42" s="7" t="s">
        <v>2068</v>
      </c>
      <c r="D42" s="7">
        <v>50226010</v>
      </c>
      <c r="E42" s="7">
        <v>100</v>
      </c>
      <c r="F42" s="7">
        <v>176</v>
      </c>
      <c r="G42" s="7">
        <v>91</v>
      </c>
      <c r="H42" s="7" t="s">
        <v>70</v>
      </c>
      <c r="I42" s="7" t="s">
        <v>109</v>
      </c>
      <c r="J42" s="7" t="s">
        <v>130</v>
      </c>
      <c r="K42" s="46">
        <v>0.69305555555555554</v>
      </c>
      <c r="L42" s="7" t="s">
        <v>109</v>
      </c>
      <c r="M42" s="7" t="s">
        <v>109</v>
      </c>
      <c r="N42" s="7" t="s">
        <v>109</v>
      </c>
      <c r="O42" s="7" t="s">
        <v>61</v>
      </c>
      <c r="P42" s="7" t="s">
        <v>131</v>
      </c>
      <c r="Q42" s="7" t="s">
        <v>70</v>
      </c>
      <c r="R42" s="7" t="s">
        <v>62</v>
      </c>
      <c r="S42" s="7" t="s">
        <v>136</v>
      </c>
      <c r="T42" s="7" t="s">
        <v>1862</v>
      </c>
      <c r="U42" s="111">
        <f t="shared" si="1"/>
        <v>0.91</v>
      </c>
      <c r="V42" s="7" t="s">
        <v>889</v>
      </c>
    </row>
    <row r="43" spans="1:22" x14ac:dyDescent="0.3">
      <c r="A43" s="7">
        <v>42</v>
      </c>
      <c r="B43" s="7" t="s">
        <v>23</v>
      </c>
      <c r="C43" s="7" t="s">
        <v>1863</v>
      </c>
      <c r="D43" s="7">
        <v>50226007</v>
      </c>
      <c r="E43" s="7">
        <v>75</v>
      </c>
      <c r="F43" s="7">
        <v>112</v>
      </c>
      <c r="G43" s="7">
        <v>19</v>
      </c>
      <c r="H43" s="7" t="s">
        <v>68</v>
      </c>
      <c r="I43" s="7" t="s">
        <v>109</v>
      </c>
      <c r="J43" s="7" t="s">
        <v>130</v>
      </c>
      <c r="K43" s="46">
        <v>0.99375000000000002</v>
      </c>
      <c r="L43" s="7" t="s">
        <v>109</v>
      </c>
      <c r="M43" s="7" t="s">
        <v>109</v>
      </c>
      <c r="N43" s="7" t="s">
        <v>109</v>
      </c>
      <c r="O43" s="7" t="s">
        <v>61</v>
      </c>
      <c r="P43" s="7" t="s">
        <v>131</v>
      </c>
      <c r="Q43" s="7" t="s">
        <v>68</v>
      </c>
      <c r="R43" s="7" t="s">
        <v>62</v>
      </c>
      <c r="S43" s="7" t="s">
        <v>136</v>
      </c>
      <c r="T43" s="7" t="s">
        <v>1862</v>
      </c>
      <c r="U43" s="111">
        <f t="shared" si="1"/>
        <v>0.25333333333333335</v>
      </c>
      <c r="V43" s="7" t="s">
        <v>889</v>
      </c>
    </row>
    <row r="44" spans="1:22" x14ac:dyDescent="0.3">
      <c r="A44" s="7">
        <v>43</v>
      </c>
      <c r="B44" s="7" t="s">
        <v>23</v>
      </c>
      <c r="C44" s="7" t="s">
        <v>1860</v>
      </c>
      <c r="D44" s="7">
        <v>50226008</v>
      </c>
      <c r="E44" s="7">
        <v>35</v>
      </c>
      <c r="F44" s="7">
        <v>52</v>
      </c>
      <c r="G44" s="7">
        <v>36</v>
      </c>
      <c r="H44" s="7" t="s">
        <v>64</v>
      </c>
      <c r="I44" s="7" t="s">
        <v>109</v>
      </c>
      <c r="J44" s="7" t="s">
        <v>130</v>
      </c>
      <c r="K44" s="46">
        <v>0.67847222222222225</v>
      </c>
      <c r="L44" s="7" t="s">
        <v>109</v>
      </c>
      <c r="M44" s="7" t="s">
        <v>109</v>
      </c>
      <c r="N44" s="7" t="s">
        <v>109</v>
      </c>
      <c r="O44" s="7" t="s">
        <v>61</v>
      </c>
      <c r="P44" s="7" t="s">
        <v>131</v>
      </c>
      <c r="Q44" s="7" t="s">
        <v>64</v>
      </c>
      <c r="R44" s="7" t="s">
        <v>62</v>
      </c>
      <c r="S44" s="7" t="s">
        <v>136</v>
      </c>
      <c r="T44" s="7" t="s">
        <v>1862</v>
      </c>
      <c r="U44" s="111">
        <f t="shared" si="1"/>
        <v>1.0285714285714285</v>
      </c>
      <c r="V44" s="7" t="s">
        <v>1941</v>
      </c>
    </row>
    <row r="45" spans="1:22" x14ac:dyDescent="0.3">
      <c r="A45" s="7">
        <v>44</v>
      </c>
      <c r="B45" s="7" t="s">
        <v>23</v>
      </c>
      <c r="C45" s="7" t="s">
        <v>1371</v>
      </c>
      <c r="D45" s="7">
        <v>50126338</v>
      </c>
      <c r="E45" s="7">
        <v>200</v>
      </c>
      <c r="F45" s="7">
        <v>402</v>
      </c>
      <c r="G45" s="7">
        <v>131</v>
      </c>
      <c r="H45" s="7" t="s">
        <v>2069</v>
      </c>
      <c r="I45" s="7" t="s">
        <v>109</v>
      </c>
      <c r="J45" s="7" t="s">
        <v>130</v>
      </c>
      <c r="K45" s="46">
        <v>0.95902777777777781</v>
      </c>
      <c r="L45" s="7" t="s">
        <v>109</v>
      </c>
      <c r="M45" s="7" t="s">
        <v>109</v>
      </c>
      <c r="N45" s="7" t="s">
        <v>109</v>
      </c>
      <c r="O45" s="7" t="s">
        <v>61</v>
      </c>
      <c r="P45" s="7" t="s">
        <v>131</v>
      </c>
      <c r="Q45" s="7" t="s">
        <v>71</v>
      </c>
      <c r="R45" s="7" t="s">
        <v>62</v>
      </c>
      <c r="S45" s="7" t="s">
        <v>136</v>
      </c>
      <c r="T45" s="7" t="s">
        <v>1365</v>
      </c>
      <c r="U45" s="111">
        <f t="shared" si="1"/>
        <v>0.65500000000000003</v>
      </c>
      <c r="V45" s="7" t="s">
        <v>2087</v>
      </c>
    </row>
    <row r="46" spans="1:22" x14ac:dyDescent="0.3">
      <c r="A46" s="7">
        <v>45</v>
      </c>
      <c r="B46" s="7" t="s">
        <v>23</v>
      </c>
      <c r="C46" s="7" t="s">
        <v>1368</v>
      </c>
      <c r="D46" s="7">
        <v>50126340</v>
      </c>
      <c r="E46" s="7">
        <v>100</v>
      </c>
      <c r="F46" s="7">
        <v>162</v>
      </c>
      <c r="G46" s="7">
        <v>10</v>
      </c>
      <c r="H46" s="7" t="s">
        <v>65</v>
      </c>
      <c r="I46" s="7" t="s">
        <v>109</v>
      </c>
      <c r="J46" s="7" t="s">
        <v>130</v>
      </c>
      <c r="K46" s="46">
        <v>0.95625000000000004</v>
      </c>
      <c r="L46" s="7" t="s">
        <v>109</v>
      </c>
      <c r="M46" s="7" t="s">
        <v>109</v>
      </c>
      <c r="N46" s="7" t="s">
        <v>109</v>
      </c>
      <c r="O46" s="7" t="s">
        <v>61</v>
      </c>
      <c r="P46" s="7" t="s">
        <v>131</v>
      </c>
      <c r="Q46" s="7" t="s">
        <v>65</v>
      </c>
      <c r="R46" s="7" t="s">
        <v>62</v>
      </c>
      <c r="S46" s="7" t="s">
        <v>136</v>
      </c>
      <c r="T46" s="7" t="s">
        <v>1365</v>
      </c>
      <c r="U46" s="111">
        <f t="shared" si="1"/>
        <v>0.1</v>
      </c>
      <c r="V46" s="7" t="s">
        <v>889</v>
      </c>
    </row>
    <row r="47" spans="1:22" x14ac:dyDescent="0.3">
      <c r="A47" s="7">
        <v>46</v>
      </c>
      <c r="B47" s="7" t="s">
        <v>23</v>
      </c>
      <c r="C47" s="7" t="s">
        <v>1370</v>
      </c>
      <c r="D47" s="7">
        <v>50126342</v>
      </c>
      <c r="E47" s="7">
        <v>120</v>
      </c>
      <c r="F47" s="7">
        <v>139</v>
      </c>
      <c r="G47" s="7">
        <v>41</v>
      </c>
      <c r="H47" s="7" t="s">
        <v>2070</v>
      </c>
      <c r="I47" s="7" t="s">
        <v>109</v>
      </c>
      <c r="J47" s="7" t="s">
        <v>130</v>
      </c>
      <c r="K47" s="46">
        <v>0.92083333333333328</v>
      </c>
      <c r="L47" s="7" t="s">
        <v>109</v>
      </c>
      <c r="M47" s="7" t="s">
        <v>109</v>
      </c>
      <c r="N47" s="7" t="s">
        <v>109</v>
      </c>
      <c r="O47" s="7" t="s">
        <v>61</v>
      </c>
      <c r="P47" s="7" t="s">
        <v>131</v>
      </c>
      <c r="Q47" s="7" t="s">
        <v>69</v>
      </c>
      <c r="R47" s="7" t="s">
        <v>62</v>
      </c>
      <c r="S47" s="7" t="s">
        <v>136</v>
      </c>
      <c r="T47" s="7" t="s">
        <v>1365</v>
      </c>
      <c r="U47" s="111">
        <f t="shared" si="1"/>
        <v>0.34166666666666667</v>
      </c>
      <c r="V47" s="7" t="s">
        <v>889</v>
      </c>
    </row>
    <row r="48" spans="1:22" x14ac:dyDescent="0.3">
      <c r="A48" s="7">
        <v>47</v>
      </c>
      <c r="B48" s="7" t="s">
        <v>23</v>
      </c>
      <c r="C48" s="7" t="s">
        <v>1366</v>
      </c>
      <c r="D48" s="7">
        <v>50126343</v>
      </c>
      <c r="E48" s="7">
        <v>200</v>
      </c>
      <c r="F48" s="7">
        <v>353</v>
      </c>
      <c r="G48" s="7">
        <v>168</v>
      </c>
      <c r="H48" s="7" t="s">
        <v>2071</v>
      </c>
      <c r="I48" s="7" t="s">
        <v>109</v>
      </c>
      <c r="J48" s="7" t="s">
        <v>130</v>
      </c>
      <c r="K48" s="46">
        <v>0.95694444444444449</v>
      </c>
      <c r="L48" s="7" t="s">
        <v>109</v>
      </c>
      <c r="M48" s="7" t="s">
        <v>109</v>
      </c>
      <c r="N48" s="7" t="s">
        <v>2072</v>
      </c>
      <c r="O48" s="7" t="s">
        <v>61</v>
      </c>
      <c r="P48" s="7" t="s">
        <v>131</v>
      </c>
      <c r="Q48" s="7" t="s">
        <v>69</v>
      </c>
      <c r="R48" s="7" t="s">
        <v>62</v>
      </c>
      <c r="S48" s="7" t="s">
        <v>136</v>
      </c>
      <c r="T48" s="7" t="s">
        <v>1365</v>
      </c>
      <c r="U48" s="111">
        <f t="shared" si="1"/>
        <v>0.84</v>
      </c>
      <c r="V48" s="7" t="s">
        <v>2087</v>
      </c>
    </row>
    <row r="49" spans="1:22" x14ac:dyDescent="0.3">
      <c r="A49" s="7">
        <v>48</v>
      </c>
      <c r="B49" s="7" t="s">
        <v>23</v>
      </c>
      <c r="C49" s="7" t="s">
        <v>1906</v>
      </c>
      <c r="D49" s="7">
        <v>50226027</v>
      </c>
      <c r="E49" s="7">
        <v>300</v>
      </c>
      <c r="F49" s="7">
        <v>545</v>
      </c>
      <c r="G49" s="7">
        <v>308</v>
      </c>
      <c r="H49" s="7" t="s">
        <v>2073</v>
      </c>
      <c r="I49" s="7" t="s">
        <v>2085</v>
      </c>
      <c r="J49" s="7" t="s">
        <v>130</v>
      </c>
      <c r="K49" s="46">
        <v>0.79652777777777772</v>
      </c>
      <c r="L49" s="46">
        <v>0.87152777777777779</v>
      </c>
      <c r="M49" s="7" t="s">
        <v>109</v>
      </c>
      <c r="N49" s="7" t="s">
        <v>109</v>
      </c>
      <c r="O49" s="7" t="s">
        <v>61</v>
      </c>
      <c r="P49" s="7" t="s">
        <v>131</v>
      </c>
      <c r="Q49" s="7" t="s">
        <v>91</v>
      </c>
      <c r="R49" s="7" t="s">
        <v>62</v>
      </c>
      <c r="S49" s="7" t="s">
        <v>136</v>
      </c>
      <c r="T49" s="7" t="s">
        <v>480</v>
      </c>
      <c r="U49" s="111">
        <f t="shared" si="1"/>
        <v>1.0266666666666666</v>
      </c>
      <c r="V49" s="7" t="s">
        <v>1941</v>
      </c>
    </row>
    <row r="50" spans="1:22" x14ac:dyDescent="0.3">
      <c r="A50" s="7">
        <v>49</v>
      </c>
      <c r="B50" s="7" t="s">
        <v>23</v>
      </c>
      <c r="C50" s="7" t="s">
        <v>1911</v>
      </c>
      <c r="D50" s="7">
        <v>50226026</v>
      </c>
      <c r="E50" s="7">
        <v>150</v>
      </c>
      <c r="F50" s="7">
        <v>277</v>
      </c>
      <c r="G50" s="7">
        <v>70</v>
      </c>
      <c r="H50" s="7" t="s">
        <v>1179</v>
      </c>
      <c r="I50" s="7" t="s">
        <v>97</v>
      </c>
      <c r="J50" s="7" t="s">
        <v>130</v>
      </c>
      <c r="K50" s="46">
        <v>0.81041666666666667</v>
      </c>
      <c r="L50" s="46">
        <v>0.82361111111111107</v>
      </c>
      <c r="M50" s="7" t="s">
        <v>109</v>
      </c>
      <c r="N50" s="7" t="s">
        <v>109</v>
      </c>
      <c r="O50" s="7" t="s">
        <v>61</v>
      </c>
      <c r="P50" s="7" t="s">
        <v>131</v>
      </c>
      <c r="Q50" s="7" t="s">
        <v>95</v>
      </c>
      <c r="R50" s="7" t="s">
        <v>62</v>
      </c>
      <c r="S50" s="7" t="s">
        <v>136</v>
      </c>
      <c r="T50" s="7" t="s">
        <v>480</v>
      </c>
      <c r="U50" s="111">
        <f t="shared" si="1"/>
        <v>0.46666666666666667</v>
      </c>
      <c r="V50" s="7" t="s">
        <v>2087</v>
      </c>
    </row>
    <row r="51" spans="1:22" x14ac:dyDescent="0.3">
      <c r="A51" s="7">
        <v>50</v>
      </c>
      <c r="B51" s="7" t="s">
        <v>23</v>
      </c>
      <c r="C51" s="7" t="s">
        <v>1909</v>
      </c>
      <c r="D51" s="7">
        <v>50226025</v>
      </c>
      <c r="E51" s="7">
        <v>300</v>
      </c>
      <c r="F51" s="7">
        <v>617</v>
      </c>
      <c r="G51" s="7">
        <v>257</v>
      </c>
      <c r="H51" s="7" t="s">
        <v>2074</v>
      </c>
      <c r="I51" s="7" t="s">
        <v>2086</v>
      </c>
      <c r="J51" s="7" t="s">
        <v>130</v>
      </c>
      <c r="K51" s="46">
        <v>0.79027777777777775</v>
      </c>
      <c r="L51" s="46">
        <v>0.79027777777777775</v>
      </c>
      <c r="M51" s="7" t="s">
        <v>109</v>
      </c>
      <c r="N51" s="7" t="s">
        <v>109</v>
      </c>
      <c r="O51" s="7" t="s">
        <v>61</v>
      </c>
      <c r="P51" s="7" t="s">
        <v>131</v>
      </c>
      <c r="Q51" s="7" t="s">
        <v>370</v>
      </c>
      <c r="R51" s="7" t="s">
        <v>62</v>
      </c>
      <c r="S51" s="7" t="s">
        <v>136</v>
      </c>
      <c r="T51" s="7" t="s">
        <v>480</v>
      </c>
      <c r="U51" s="111">
        <f t="shared" si="1"/>
        <v>0.85666666666666669</v>
      </c>
      <c r="V51" s="7" t="s">
        <v>2087</v>
      </c>
    </row>
    <row r="52" spans="1:22" x14ac:dyDescent="0.3">
      <c r="A52" s="7">
        <v>51</v>
      </c>
      <c r="B52" s="7" t="s">
        <v>23</v>
      </c>
      <c r="C52" s="7" t="s">
        <v>2075</v>
      </c>
      <c r="D52" s="7">
        <v>50226051</v>
      </c>
      <c r="E52" s="7">
        <v>200</v>
      </c>
      <c r="F52" s="7">
        <v>227</v>
      </c>
      <c r="G52" s="7">
        <v>210</v>
      </c>
      <c r="H52" s="7" t="s">
        <v>2076</v>
      </c>
      <c r="I52" s="7" t="s">
        <v>109</v>
      </c>
      <c r="J52" s="7" t="s">
        <v>130</v>
      </c>
      <c r="K52" s="46">
        <v>0.87777777777777777</v>
      </c>
      <c r="L52" s="7" t="s">
        <v>109</v>
      </c>
      <c r="M52" s="7" t="s">
        <v>109</v>
      </c>
      <c r="N52" s="7" t="s">
        <v>109</v>
      </c>
      <c r="O52" s="7" t="s">
        <v>61</v>
      </c>
      <c r="P52" s="7" t="s">
        <v>131</v>
      </c>
      <c r="Q52" s="7" t="s">
        <v>200</v>
      </c>
      <c r="R52" s="7" t="s">
        <v>62</v>
      </c>
      <c r="S52" s="7" t="s">
        <v>136</v>
      </c>
      <c r="T52" s="7" t="s">
        <v>289</v>
      </c>
      <c r="U52" s="111">
        <f t="shared" si="1"/>
        <v>1.05</v>
      </c>
      <c r="V52" s="7" t="s">
        <v>1941</v>
      </c>
    </row>
    <row r="53" spans="1:22" x14ac:dyDescent="0.3">
      <c r="A53" s="7">
        <v>52</v>
      </c>
      <c r="B53" s="7" t="s">
        <v>23</v>
      </c>
      <c r="C53" s="7" t="s">
        <v>980</v>
      </c>
      <c r="D53" s="7">
        <v>50126278</v>
      </c>
      <c r="E53" s="7">
        <v>400</v>
      </c>
      <c r="F53" s="7">
        <v>589</v>
      </c>
      <c r="G53" s="7">
        <v>412</v>
      </c>
      <c r="H53" s="7" t="s">
        <v>2077</v>
      </c>
      <c r="I53" s="7" t="s">
        <v>109</v>
      </c>
      <c r="J53" s="7" t="s">
        <v>130</v>
      </c>
      <c r="K53" s="46">
        <v>0.87430555555555556</v>
      </c>
      <c r="L53" s="7" t="s">
        <v>109</v>
      </c>
      <c r="M53" s="7" t="s">
        <v>109</v>
      </c>
      <c r="N53" s="7" t="s">
        <v>109</v>
      </c>
      <c r="O53" s="7" t="s">
        <v>61</v>
      </c>
      <c r="P53" s="7" t="s">
        <v>131</v>
      </c>
      <c r="Q53" s="7" t="s">
        <v>154</v>
      </c>
      <c r="R53" s="7" t="s">
        <v>62</v>
      </c>
      <c r="S53" s="7" t="s">
        <v>136</v>
      </c>
      <c r="T53" s="7" t="s">
        <v>334</v>
      </c>
      <c r="U53" s="111">
        <f t="shared" si="1"/>
        <v>1.03</v>
      </c>
      <c r="V53" s="7" t="s">
        <v>1941</v>
      </c>
    </row>
    <row r="54" spans="1:22" x14ac:dyDescent="0.3">
      <c r="A54" s="7">
        <v>53</v>
      </c>
      <c r="B54" s="7" t="s">
        <v>23</v>
      </c>
      <c r="C54" s="7" t="s">
        <v>982</v>
      </c>
      <c r="D54" s="7">
        <v>50126277</v>
      </c>
      <c r="E54" s="7">
        <v>400</v>
      </c>
      <c r="F54" s="7">
        <v>701</v>
      </c>
      <c r="G54" s="7">
        <v>421</v>
      </c>
      <c r="H54" s="7" t="s">
        <v>2078</v>
      </c>
      <c r="I54" s="7" t="s">
        <v>109</v>
      </c>
      <c r="J54" s="7" t="s">
        <v>130</v>
      </c>
      <c r="K54" s="46">
        <v>0.74513888888888891</v>
      </c>
      <c r="L54" s="7" t="s">
        <v>109</v>
      </c>
      <c r="M54" s="7" t="s">
        <v>109</v>
      </c>
      <c r="N54" s="7" t="s">
        <v>109</v>
      </c>
      <c r="O54" s="7" t="s">
        <v>61</v>
      </c>
      <c r="P54" s="7" t="s">
        <v>131</v>
      </c>
      <c r="Q54" s="7" t="s">
        <v>179</v>
      </c>
      <c r="R54" s="7" t="s">
        <v>62</v>
      </c>
      <c r="S54" s="7" t="s">
        <v>136</v>
      </c>
      <c r="T54" s="7" t="s">
        <v>334</v>
      </c>
      <c r="U54" s="111">
        <f t="shared" si="1"/>
        <v>1.0525</v>
      </c>
      <c r="V54" s="7" t="s">
        <v>1941</v>
      </c>
    </row>
    <row r="55" spans="1:22" x14ac:dyDescent="0.3">
      <c r="A55" s="7">
        <v>54</v>
      </c>
      <c r="B55" s="7" t="s">
        <v>23</v>
      </c>
      <c r="C55" s="7" t="s">
        <v>985</v>
      </c>
      <c r="D55" s="7">
        <v>50126273</v>
      </c>
      <c r="E55" s="7">
        <v>250</v>
      </c>
      <c r="F55" s="7">
        <v>408</v>
      </c>
      <c r="G55" s="7">
        <v>257</v>
      </c>
      <c r="H55" s="7" t="s">
        <v>2079</v>
      </c>
      <c r="I55" s="7" t="s">
        <v>109</v>
      </c>
      <c r="J55" s="7" t="s">
        <v>130</v>
      </c>
      <c r="K55" s="46">
        <v>1.8055555555555554E-2</v>
      </c>
      <c r="L55" s="7" t="s">
        <v>109</v>
      </c>
      <c r="M55" s="7" t="s">
        <v>109</v>
      </c>
      <c r="N55" s="7" t="s">
        <v>109</v>
      </c>
      <c r="O55" s="7" t="s">
        <v>61</v>
      </c>
      <c r="P55" s="7" t="s">
        <v>109</v>
      </c>
      <c r="Q55" s="7" t="s">
        <v>109</v>
      </c>
      <c r="R55" s="7" t="s">
        <v>62</v>
      </c>
      <c r="S55" s="7" t="s">
        <v>136</v>
      </c>
      <c r="T55" s="7" t="s">
        <v>334</v>
      </c>
      <c r="U55" s="111">
        <f t="shared" si="1"/>
        <v>1.028</v>
      </c>
      <c r="V55" s="7" t="s">
        <v>1941</v>
      </c>
    </row>
    <row r="56" spans="1:22" x14ac:dyDescent="0.3">
      <c r="A56" s="7">
        <v>55</v>
      </c>
      <c r="B56" s="7" t="s">
        <v>23</v>
      </c>
      <c r="C56" s="7" t="s">
        <v>588</v>
      </c>
      <c r="D56" s="7">
        <v>50126064</v>
      </c>
      <c r="E56" s="7">
        <v>125</v>
      </c>
      <c r="F56" s="7">
        <v>191</v>
      </c>
      <c r="G56" s="7">
        <v>39</v>
      </c>
      <c r="H56" s="7" t="s">
        <v>191</v>
      </c>
      <c r="I56" s="7" t="s">
        <v>109</v>
      </c>
      <c r="J56" s="7" t="s">
        <v>130</v>
      </c>
      <c r="K56" s="46">
        <v>0</v>
      </c>
      <c r="L56" s="7" t="s">
        <v>109</v>
      </c>
      <c r="M56" s="7" t="s">
        <v>109</v>
      </c>
      <c r="N56" s="7" t="s">
        <v>109</v>
      </c>
      <c r="O56" s="7" t="s">
        <v>61</v>
      </c>
      <c r="P56" s="7" t="s">
        <v>131</v>
      </c>
      <c r="Q56" s="7" t="s">
        <v>214</v>
      </c>
      <c r="R56" s="7" t="s">
        <v>62</v>
      </c>
      <c r="S56" s="7" t="s">
        <v>136</v>
      </c>
      <c r="T56" s="7" t="s">
        <v>610</v>
      </c>
      <c r="U56" s="111">
        <f t="shared" si="1"/>
        <v>0.312</v>
      </c>
      <c r="V56" s="7" t="s">
        <v>889</v>
      </c>
    </row>
    <row r="57" spans="1:22" x14ac:dyDescent="0.3">
      <c r="A57" s="7">
        <v>56</v>
      </c>
      <c r="B57" s="7" t="s">
        <v>23</v>
      </c>
      <c r="C57" s="7" t="s">
        <v>2080</v>
      </c>
      <c r="D57" s="7">
        <v>50226046</v>
      </c>
      <c r="E57" s="7">
        <v>100</v>
      </c>
      <c r="F57" s="7">
        <v>187</v>
      </c>
      <c r="G57" s="7">
        <v>112</v>
      </c>
      <c r="H57" s="7" t="s">
        <v>200</v>
      </c>
      <c r="I57" s="7" t="s">
        <v>109</v>
      </c>
      <c r="J57" s="7" t="s">
        <v>130</v>
      </c>
      <c r="K57" s="46">
        <v>0.68819444444444444</v>
      </c>
      <c r="L57" s="7" t="s">
        <v>109</v>
      </c>
      <c r="M57" s="7" t="s">
        <v>109</v>
      </c>
      <c r="N57" s="7" t="s">
        <v>109</v>
      </c>
      <c r="O57" s="7" t="s">
        <v>61</v>
      </c>
      <c r="P57" s="7" t="s">
        <v>131</v>
      </c>
      <c r="Q57" s="7" t="s">
        <v>200</v>
      </c>
      <c r="R57" s="7" t="s">
        <v>62</v>
      </c>
      <c r="S57" s="7" t="s">
        <v>136</v>
      </c>
      <c r="T57" s="7" t="s">
        <v>610</v>
      </c>
      <c r="U57" s="111">
        <f t="shared" si="1"/>
        <v>1.1200000000000001</v>
      </c>
      <c r="V57" s="7" t="s">
        <v>1941</v>
      </c>
    </row>
    <row r="58" spans="1:22" x14ac:dyDescent="0.3">
      <c r="A58" s="7">
        <v>57</v>
      </c>
      <c r="B58" s="7" t="s">
        <v>23</v>
      </c>
      <c r="C58" s="7" t="s">
        <v>591</v>
      </c>
      <c r="D58" s="7">
        <v>50126066</v>
      </c>
      <c r="E58" s="7">
        <v>150</v>
      </c>
      <c r="F58" s="7">
        <v>278</v>
      </c>
      <c r="G58" s="7">
        <v>80</v>
      </c>
      <c r="H58" s="7" t="s">
        <v>863</v>
      </c>
      <c r="I58" s="7" t="s">
        <v>109</v>
      </c>
      <c r="J58" s="7" t="s">
        <v>130</v>
      </c>
      <c r="K58" s="46">
        <v>1.8055555555555554E-2</v>
      </c>
      <c r="L58" s="7" t="s">
        <v>109</v>
      </c>
      <c r="M58" s="7" t="s">
        <v>109</v>
      </c>
      <c r="N58" s="7" t="s">
        <v>109</v>
      </c>
      <c r="O58" s="7" t="s">
        <v>61</v>
      </c>
      <c r="P58" s="7" t="s">
        <v>131</v>
      </c>
      <c r="Q58" s="7" t="s">
        <v>69</v>
      </c>
      <c r="R58" s="7" t="s">
        <v>62</v>
      </c>
      <c r="S58" s="7" t="s">
        <v>136</v>
      </c>
      <c r="T58" s="7" t="s">
        <v>610</v>
      </c>
      <c r="U58" s="111">
        <f t="shared" si="1"/>
        <v>0.53333333333333333</v>
      </c>
      <c r="V58" s="7" t="s">
        <v>2087</v>
      </c>
    </row>
    <row r="59" spans="1:22" x14ac:dyDescent="0.3">
      <c r="A59" s="7">
        <v>58</v>
      </c>
      <c r="B59" s="7" t="s">
        <v>23</v>
      </c>
      <c r="C59" s="7" t="s">
        <v>592</v>
      </c>
      <c r="D59" s="7">
        <v>50126073</v>
      </c>
      <c r="E59" s="7">
        <v>40</v>
      </c>
      <c r="F59" s="7">
        <v>69</v>
      </c>
      <c r="G59" s="7">
        <v>28</v>
      </c>
      <c r="H59" s="7" t="s">
        <v>67</v>
      </c>
      <c r="I59" s="7" t="s">
        <v>109</v>
      </c>
      <c r="J59" s="7" t="s">
        <v>130</v>
      </c>
      <c r="K59" s="46">
        <v>0.72916666666666663</v>
      </c>
      <c r="L59" s="7" t="s">
        <v>109</v>
      </c>
      <c r="M59" s="7" t="s">
        <v>109</v>
      </c>
      <c r="N59" s="7" t="s">
        <v>109</v>
      </c>
      <c r="O59" s="7" t="s">
        <v>61</v>
      </c>
      <c r="P59" s="7" t="s">
        <v>131</v>
      </c>
      <c r="Q59" s="7" t="s">
        <v>67</v>
      </c>
      <c r="R59" s="7" t="s">
        <v>62</v>
      </c>
      <c r="S59" s="7" t="s">
        <v>136</v>
      </c>
      <c r="T59" s="7" t="s">
        <v>610</v>
      </c>
      <c r="U59" s="111">
        <f t="shared" si="1"/>
        <v>0.7</v>
      </c>
      <c r="V59" s="7" t="s">
        <v>889</v>
      </c>
    </row>
    <row r="60" spans="1:22" x14ac:dyDescent="0.3">
      <c r="A60" s="7">
        <v>59</v>
      </c>
      <c r="B60" s="7" t="s">
        <v>23</v>
      </c>
      <c r="C60" s="7" t="s">
        <v>595</v>
      </c>
      <c r="D60" s="7">
        <v>50126068</v>
      </c>
      <c r="E60" s="7">
        <v>25</v>
      </c>
      <c r="F60" s="7">
        <v>26</v>
      </c>
      <c r="G60" s="7">
        <v>13</v>
      </c>
      <c r="H60" s="7" t="s">
        <v>527</v>
      </c>
      <c r="I60" s="7" t="s">
        <v>109</v>
      </c>
      <c r="J60" s="7" t="s">
        <v>130</v>
      </c>
      <c r="K60" s="46">
        <v>0.69236111111111109</v>
      </c>
      <c r="L60" s="7" t="s">
        <v>109</v>
      </c>
      <c r="M60" s="7" t="s">
        <v>109</v>
      </c>
      <c r="N60" s="7" t="s">
        <v>109</v>
      </c>
      <c r="O60" s="7" t="s">
        <v>61</v>
      </c>
      <c r="P60" s="7" t="s">
        <v>131</v>
      </c>
      <c r="Q60" s="7" t="s">
        <v>527</v>
      </c>
      <c r="R60" s="7" t="s">
        <v>62</v>
      </c>
      <c r="S60" s="7" t="s">
        <v>136</v>
      </c>
      <c r="T60" s="7" t="s">
        <v>610</v>
      </c>
      <c r="U60" s="111">
        <f t="shared" si="1"/>
        <v>0.52</v>
      </c>
      <c r="V60" s="7" t="s">
        <v>889</v>
      </c>
    </row>
    <row r="61" spans="1:22" x14ac:dyDescent="0.3">
      <c r="A61" s="7">
        <v>60</v>
      </c>
      <c r="B61" s="7" t="s">
        <v>23</v>
      </c>
      <c r="C61" s="7" t="s">
        <v>614</v>
      </c>
      <c r="D61" s="7">
        <v>50126069</v>
      </c>
      <c r="E61" s="7">
        <v>25</v>
      </c>
      <c r="F61" s="7">
        <v>28</v>
      </c>
      <c r="G61" s="7">
        <v>10</v>
      </c>
      <c r="H61" s="7" t="s">
        <v>274</v>
      </c>
      <c r="I61" s="7" t="s">
        <v>109</v>
      </c>
      <c r="J61" s="7" t="s">
        <v>130</v>
      </c>
      <c r="K61" s="46">
        <v>0.92361111111111116</v>
      </c>
      <c r="L61" s="7" t="s">
        <v>109</v>
      </c>
      <c r="M61" s="7" t="s">
        <v>109</v>
      </c>
      <c r="N61" s="7" t="s">
        <v>109</v>
      </c>
      <c r="O61" s="7" t="s">
        <v>61</v>
      </c>
      <c r="P61" s="7" t="s">
        <v>131</v>
      </c>
      <c r="Q61" s="7" t="s">
        <v>274</v>
      </c>
      <c r="R61" s="7" t="s">
        <v>62</v>
      </c>
      <c r="S61" s="7" t="s">
        <v>136</v>
      </c>
      <c r="T61" s="7" t="s">
        <v>610</v>
      </c>
      <c r="U61" s="111">
        <f t="shared" si="1"/>
        <v>0.4</v>
      </c>
      <c r="V61" s="7" t="s">
        <v>889</v>
      </c>
    </row>
    <row r="62" spans="1:22" x14ac:dyDescent="0.3">
      <c r="A62" s="7">
        <v>61</v>
      </c>
      <c r="B62" s="7" t="s">
        <v>170</v>
      </c>
      <c r="C62" s="7" t="s">
        <v>1355</v>
      </c>
      <c r="D62" s="7">
        <v>40126027</v>
      </c>
      <c r="E62" s="7">
        <v>150</v>
      </c>
      <c r="F62" s="7">
        <v>300</v>
      </c>
      <c r="G62" s="7">
        <v>157</v>
      </c>
      <c r="H62" s="7" t="s">
        <v>1007</v>
      </c>
      <c r="I62" s="7" t="s">
        <v>2081</v>
      </c>
      <c r="J62" s="7" t="s">
        <v>130</v>
      </c>
      <c r="K62" s="46">
        <v>0.73888888888888893</v>
      </c>
      <c r="L62" s="46">
        <v>0.75972222222222219</v>
      </c>
      <c r="M62" s="7" t="s">
        <v>109</v>
      </c>
      <c r="N62" s="7" t="s">
        <v>2082</v>
      </c>
      <c r="O62" s="7" t="s">
        <v>61</v>
      </c>
      <c r="P62" s="7" t="s">
        <v>131</v>
      </c>
      <c r="Q62" s="7" t="s">
        <v>209</v>
      </c>
      <c r="R62" s="7" t="s">
        <v>62</v>
      </c>
      <c r="S62" s="7" t="s">
        <v>136</v>
      </c>
      <c r="T62" s="7" t="s">
        <v>1356</v>
      </c>
      <c r="U62" s="111">
        <f t="shared" si="1"/>
        <v>1.0466666666666666</v>
      </c>
      <c r="V62" s="7" t="s">
        <v>1941</v>
      </c>
    </row>
    <row r="63" spans="1:22" x14ac:dyDescent="0.3">
      <c r="A63" s="7">
        <v>62</v>
      </c>
      <c r="B63" s="7" t="s">
        <v>411</v>
      </c>
      <c r="C63" s="7" t="s">
        <v>1357</v>
      </c>
      <c r="D63" s="7">
        <v>30126010</v>
      </c>
      <c r="E63" s="7">
        <v>150</v>
      </c>
      <c r="F63" s="7" t="s">
        <v>109</v>
      </c>
      <c r="G63" s="7" t="s">
        <v>109</v>
      </c>
      <c r="H63" s="7" t="s">
        <v>229</v>
      </c>
      <c r="I63" s="7" t="s">
        <v>285</v>
      </c>
      <c r="J63" s="7" t="s">
        <v>109</v>
      </c>
      <c r="K63" s="46">
        <v>3.9583333333333331E-2</v>
      </c>
      <c r="L63" s="7" t="s">
        <v>109</v>
      </c>
      <c r="M63" s="7" t="s">
        <v>109</v>
      </c>
      <c r="N63" s="7" t="s">
        <v>872</v>
      </c>
      <c r="O63" s="7" t="s">
        <v>61</v>
      </c>
      <c r="P63" s="7" t="s">
        <v>109</v>
      </c>
      <c r="Q63" s="7" t="s">
        <v>109</v>
      </c>
      <c r="R63" s="7" t="s">
        <v>62</v>
      </c>
      <c r="S63" s="7" t="s">
        <v>136</v>
      </c>
      <c r="T63" s="7" t="s">
        <v>1359</v>
      </c>
      <c r="U63" s="111" t="e">
        <f t="shared" si="1"/>
        <v>#VALUE!</v>
      </c>
      <c r="V63" s="7" t="s">
        <v>109</v>
      </c>
    </row>
    <row r="64" spans="1:22" x14ac:dyDescent="0.3">
      <c r="A64" s="7">
        <v>63</v>
      </c>
      <c r="B64" s="7" t="s">
        <v>411</v>
      </c>
      <c r="C64" s="7" t="s">
        <v>1360</v>
      </c>
      <c r="D64" s="7">
        <v>30126011</v>
      </c>
      <c r="E64" s="7">
        <v>150</v>
      </c>
      <c r="F64" s="7">
        <v>301</v>
      </c>
      <c r="G64" s="7">
        <v>31</v>
      </c>
      <c r="H64" s="7" t="s">
        <v>2083</v>
      </c>
      <c r="I64" s="7" t="s">
        <v>97</v>
      </c>
      <c r="J64" s="7" t="s">
        <v>130</v>
      </c>
      <c r="K64" s="46">
        <v>0.91597222222222219</v>
      </c>
      <c r="L64" s="46">
        <v>0.93194444444444446</v>
      </c>
      <c r="M64" s="7" t="s">
        <v>109</v>
      </c>
      <c r="N64" s="7" t="s">
        <v>872</v>
      </c>
      <c r="O64" s="7" t="s">
        <v>61</v>
      </c>
      <c r="P64" s="7" t="s">
        <v>131</v>
      </c>
      <c r="Q64" s="7" t="s">
        <v>95</v>
      </c>
      <c r="R64" s="7" t="s">
        <v>62</v>
      </c>
      <c r="S64" s="7" t="s">
        <v>136</v>
      </c>
      <c r="T64" s="7" t="s">
        <v>1359</v>
      </c>
      <c r="U64" s="111">
        <f t="shared" si="1"/>
        <v>0.20666666666666667</v>
      </c>
      <c r="V64" s="7" t="s">
        <v>2087</v>
      </c>
    </row>
    <row r="65" spans="1:22" x14ac:dyDescent="0.3">
      <c r="A65" s="7">
        <v>64</v>
      </c>
      <c r="B65" s="7" t="s">
        <v>411</v>
      </c>
      <c r="C65" s="7" t="s">
        <v>1559</v>
      </c>
      <c r="D65" s="7">
        <v>30126013</v>
      </c>
      <c r="E65" s="7">
        <v>150</v>
      </c>
      <c r="F65" s="7">
        <v>303</v>
      </c>
      <c r="G65" s="7">
        <v>99</v>
      </c>
      <c r="H65" s="7" t="s">
        <v>2084</v>
      </c>
      <c r="I65" s="7" t="s">
        <v>764</v>
      </c>
      <c r="J65" s="7" t="s">
        <v>130</v>
      </c>
      <c r="K65" s="46">
        <v>0.75624999999999998</v>
      </c>
      <c r="L65" s="46">
        <v>0.78611111111111109</v>
      </c>
      <c r="M65" s="7" t="s">
        <v>109</v>
      </c>
      <c r="N65" s="7" t="s">
        <v>109</v>
      </c>
      <c r="O65" s="7" t="s">
        <v>61</v>
      </c>
      <c r="P65" s="7" t="s">
        <v>131</v>
      </c>
      <c r="Q65" s="7" t="s">
        <v>94</v>
      </c>
      <c r="R65" s="7" t="s">
        <v>62</v>
      </c>
      <c r="S65" s="7" t="s">
        <v>136</v>
      </c>
      <c r="T65" s="7" t="s">
        <v>1562</v>
      </c>
      <c r="U65" s="111">
        <f t="shared" si="1"/>
        <v>0.66</v>
      </c>
      <c r="V65" s="7" t="s">
        <v>2087</v>
      </c>
    </row>
    <row r="66" spans="1:22" x14ac:dyDescent="0.3">
      <c r="A66" s="7">
        <v>65</v>
      </c>
      <c r="B66" s="7" t="s">
        <v>143</v>
      </c>
      <c r="C66" s="47" t="s">
        <v>2088</v>
      </c>
      <c r="D66" s="7">
        <v>10126006</v>
      </c>
      <c r="E66" s="7">
        <v>6</v>
      </c>
      <c r="F66" s="7">
        <v>6</v>
      </c>
      <c r="G66" s="7">
        <v>0</v>
      </c>
      <c r="H66" s="7" t="s">
        <v>70</v>
      </c>
      <c r="I66" s="7" t="s">
        <v>94</v>
      </c>
      <c r="J66" s="7" t="s">
        <v>130</v>
      </c>
      <c r="K66" s="46">
        <v>0.90972222222222221</v>
      </c>
      <c r="L66" s="46">
        <v>0.92708333333333337</v>
      </c>
      <c r="M66" s="7" t="s">
        <v>109</v>
      </c>
      <c r="N66" s="7" t="s">
        <v>109</v>
      </c>
      <c r="O66" s="7" t="s">
        <v>606</v>
      </c>
      <c r="P66" s="7" t="s">
        <v>131</v>
      </c>
      <c r="Q66" s="7" t="s">
        <v>94</v>
      </c>
      <c r="R66" s="7" t="s">
        <v>62</v>
      </c>
      <c r="S66" s="7" t="s">
        <v>146</v>
      </c>
      <c r="T66" s="7" t="s">
        <v>2089</v>
      </c>
      <c r="U66" s="111">
        <f t="shared" si="1"/>
        <v>0</v>
      </c>
      <c r="V66" s="7" t="s">
        <v>2090</v>
      </c>
    </row>
    <row r="67" spans="1:22" x14ac:dyDescent="0.3">
      <c r="A67" s="7">
        <v>66</v>
      </c>
      <c r="B67" s="7" t="s">
        <v>143</v>
      </c>
      <c r="C67" s="47" t="s">
        <v>2026</v>
      </c>
      <c r="D67" s="7">
        <v>10226008</v>
      </c>
      <c r="E67" s="7">
        <v>104</v>
      </c>
      <c r="F67" s="7">
        <v>92</v>
      </c>
      <c r="G67" s="7">
        <v>34</v>
      </c>
      <c r="H67" s="7" t="s">
        <v>67</v>
      </c>
      <c r="I67" s="7" t="s">
        <v>89</v>
      </c>
      <c r="J67" s="7" t="s">
        <v>130</v>
      </c>
      <c r="K67" s="46">
        <v>0.98472222222222228</v>
      </c>
      <c r="L67" s="46">
        <v>2.4305555555555556E-2</v>
      </c>
      <c r="M67" s="7" t="s">
        <v>109</v>
      </c>
      <c r="N67" s="7" t="s">
        <v>109</v>
      </c>
      <c r="O67" s="7" t="s">
        <v>606</v>
      </c>
      <c r="P67" s="7" t="s">
        <v>131</v>
      </c>
      <c r="Q67" s="7" t="s">
        <v>89</v>
      </c>
      <c r="R67" s="7" t="s">
        <v>62</v>
      </c>
      <c r="S67" s="7" t="s">
        <v>69</v>
      </c>
      <c r="T67" s="7" t="s">
        <v>398</v>
      </c>
      <c r="U67" s="111">
        <f t="shared" si="1"/>
        <v>0.32692307692307693</v>
      </c>
      <c r="V67" s="7" t="s">
        <v>2090</v>
      </c>
    </row>
    <row r="68" spans="1:22" x14ac:dyDescent="0.3">
      <c r="A68" s="7">
        <v>67</v>
      </c>
      <c r="B68" s="7" t="s">
        <v>24</v>
      </c>
      <c r="C68" s="47" t="s">
        <v>897</v>
      </c>
      <c r="D68" s="7">
        <v>60126007</v>
      </c>
      <c r="E68" s="7">
        <v>220</v>
      </c>
      <c r="F68" s="7">
        <v>172</v>
      </c>
      <c r="G68" s="7">
        <v>60</v>
      </c>
      <c r="H68" s="7" t="s">
        <v>1445</v>
      </c>
      <c r="I68" s="7" t="s">
        <v>109</v>
      </c>
      <c r="J68" s="7" t="s">
        <v>130</v>
      </c>
      <c r="K68" s="46">
        <v>2.6388888888888889E-2</v>
      </c>
      <c r="L68" s="7" t="s">
        <v>109</v>
      </c>
      <c r="M68" s="7" t="s">
        <v>109</v>
      </c>
      <c r="N68" s="7" t="s">
        <v>109</v>
      </c>
      <c r="O68" s="7" t="s">
        <v>606</v>
      </c>
      <c r="P68" s="7" t="s">
        <v>131</v>
      </c>
      <c r="Q68" s="7" t="s">
        <v>179</v>
      </c>
      <c r="R68" s="7" t="s">
        <v>63</v>
      </c>
      <c r="S68" s="7" t="s">
        <v>2091</v>
      </c>
      <c r="T68" s="7" t="s">
        <v>891</v>
      </c>
      <c r="U68" s="111">
        <f t="shared" si="1"/>
        <v>0.27272727272727271</v>
      </c>
      <c r="V68" s="7" t="s">
        <v>2090</v>
      </c>
    </row>
    <row r="69" spans="1:22" x14ac:dyDescent="0.3">
      <c r="A69" s="7">
        <v>68</v>
      </c>
      <c r="B69" s="7" t="s">
        <v>143</v>
      </c>
      <c r="C69" s="7" t="s">
        <v>1869</v>
      </c>
      <c r="D69" s="7">
        <v>10226004</v>
      </c>
      <c r="E69" s="7">
        <v>276</v>
      </c>
      <c r="F69" s="7" t="s">
        <v>109</v>
      </c>
      <c r="G69" s="7" t="s">
        <v>109</v>
      </c>
      <c r="H69" s="7" t="s">
        <v>109</v>
      </c>
      <c r="I69" s="7" t="s">
        <v>109</v>
      </c>
      <c r="J69" s="7" t="s">
        <v>109</v>
      </c>
      <c r="K69" s="7" t="s">
        <v>109</v>
      </c>
      <c r="L69" s="7" t="s">
        <v>109</v>
      </c>
      <c r="M69" s="7" t="s">
        <v>109</v>
      </c>
      <c r="N69" s="7" t="s">
        <v>109</v>
      </c>
      <c r="O69" s="7" t="s">
        <v>606</v>
      </c>
      <c r="P69" s="7" t="s">
        <v>109</v>
      </c>
      <c r="Q69" s="7" t="s">
        <v>109</v>
      </c>
      <c r="R69" s="7" t="s">
        <v>62</v>
      </c>
      <c r="S69" s="7" t="s">
        <v>2092</v>
      </c>
      <c r="T69" s="7" t="s">
        <v>398</v>
      </c>
      <c r="U69" s="7" t="s">
        <v>109</v>
      </c>
      <c r="V69" s="7" t="s">
        <v>109</v>
      </c>
    </row>
  </sheetData>
  <conditionalFormatting sqref="D1">
    <cfRule type="duplicateValues" dxfId="80"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79BA9-7B5B-40AE-8F26-EFDC97FAE073}">
  <sheetPr codeName="Sheet29"/>
  <dimension ref="A1:V74"/>
  <sheetViews>
    <sheetView workbookViewId="0">
      <pane ySplit="1" topLeftCell="A49" activePane="bottomLeft" state="frozen"/>
      <selection pane="bottomLeft" activeCell="H75" sqref="H75"/>
    </sheetView>
  </sheetViews>
  <sheetFormatPr defaultRowHeight="14.4" x14ac:dyDescent="0.3"/>
  <cols>
    <col min="1" max="2" width="8.88671875" style="31"/>
    <col min="3" max="3" width="55.77734375" style="31" customWidth="1"/>
    <col min="4" max="7" width="8.88671875" style="31"/>
    <col min="8" max="8" width="54.88671875" style="31" customWidth="1"/>
    <col min="9" max="9" width="30" style="31" customWidth="1"/>
    <col min="10" max="10" width="8.88671875" style="31"/>
    <col min="11" max="11" width="12.33203125" style="31" customWidth="1"/>
    <col min="12" max="12" width="18.21875" style="31" customWidth="1"/>
    <col min="13" max="15" width="8.88671875" style="31"/>
    <col min="16" max="16" width="10.6640625" style="31" customWidth="1"/>
    <col min="17" max="17" width="13.33203125" style="31" customWidth="1"/>
    <col min="18" max="20" width="8.88671875" style="31"/>
    <col min="21" max="21" width="8.88671875" style="120"/>
    <col min="22" max="22" width="17.21875" style="31" customWidth="1"/>
    <col min="23" max="16384" width="8.88671875" style="31"/>
  </cols>
  <sheetData>
    <row r="1" spans="1:22"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18" t="s">
        <v>20</v>
      </c>
      <c r="V1" s="1" t="s">
        <v>21</v>
      </c>
    </row>
    <row r="2" spans="1:22" x14ac:dyDescent="0.3">
      <c r="A2" s="7">
        <v>1</v>
      </c>
      <c r="B2" s="29" t="s">
        <v>292</v>
      </c>
      <c r="C2" s="29" t="s">
        <v>2093</v>
      </c>
      <c r="D2" s="29">
        <v>40226005</v>
      </c>
      <c r="E2" s="91">
        <v>200</v>
      </c>
      <c r="F2" s="7">
        <v>254</v>
      </c>
      <c r="G2" s="7">
        <v>99</v>
      </c>
      <c r="H2" s="7" t="s">
        <v>2094</v>
      </c>
      <c r="I2" s="53" t="s">
        <v>2095</v>
      </c>
      <c r="J2" s="7" t="s">
        <v>130</v>
      </c>
      <c r="K2" s="11">
        <v>0.94374999999999998</v>
      </c>
      <c r="L2" s="11">
        <v>0.99236111111111114</v>
      </c>
      <c r="M2" s="7" t="s">
        <v>109</v>
      </c>
      <c r="N2" s="29" t="s">
        <v>109</v>
      </c>
      <c r="O2" s="29" t="s">
        <v>61</v>
      </c>
      <c r="P2" s="7" t="s">
        <v>131</v>
      </c>
      <c r="Q2" s="7" t="s">
        <v>94</v>
      </c>
      <c r="R2" s="7" t="s">
        <v>63</v>
      </c>
      <c r="S2" s="7" t="s">
        <v>109</v>
      </c>
      <c r="T2" s="29" t="s">
        <v>295</v>
      </c>
      <c r="U2" s="111">
        <f t="shared" ref="U2:U33" si="0">G2/E2</f>
        <v>0.495</v>
      </c>
      <c r="V2" s="7" t="s">
        <v>2146</v>
      </c>
    </row>
    <row r="3" spans="1:22" x14ac:dyDescent="0.3">
      <c r="A3" s="7">
        <v>2</v>
      </c>
      <c r="B3" s="29" t="s">
        <v>24</v>
      </c>
      <c r="C3" s="29" t="s">
        <v>1832</v>
      </c>
      <c r="D3" s="29">
        <v>60226011</v>
      </c>
      <c r="E3" s="91">
        <v>159</v>
      </c>
      <c r="F3" s="7">
        <v>148</v>
      </c>
      <c r="G3" s="7">
        <v>55</v>
      </c>
      <c r="H3" s="53" t="s">
        <v>1282</v>
      </c>
      <c r="I3" s="53" t="s">
        <v>209</v>
      </c>
      <c r="J3" s="7" t="s">
        <v>130</v>
      </c>
      <c r="K3" s="11">
        <v>0.98541666666666672</v>
      </c>
      <c r="L3" s="11">
        <v>3.2638888888888891E-2</v>
      </c>
      <c r="M3" s="7" t="s">
        <v>109</v>
      </c>
      <c r="N3" s="32" t="s">
        <v>2096</v>
      </c>
      <c r="O3" s="29" t="s">
        <v>61</v>
      </c>
      <c r="P3" s="7" t="s">
        <v>131</v>
      </c>
      <c r="Q3" s="7" t="s">
        <v>209</v>
      </c>
      <c r="R3" s="7" t="s">
        <v>63</v>
      </c>
      <c r="S3" s="7" t="s">
        <v>109</v>
      </c>
      <c r="T3" s="29" t="s">
        <v>117</v>
      </c>
      <c r="U3" s="111">
        <f t="shared" si="0"/>
        <v>0.34591194968553457</v>
      </c>
      <c r="V3" s="7" t="s">
        <v>2146</v>
      </c>
    </row>
    <row r="4" spans="1:22" x14ac:dyDescent="0.3">
      <c r="A4" s="7">
        <v>3</v>
      </c>
      <c r="B4" s="29" t="s">
        <v>24</v>
      </c>
      <c r="C4" s="29" t="s">
        <v>1834</v>
      </c>
      <c r="D4" s="29">
        <v>60226012</v>
      </c>
      <c r="E4" s="91">
        <v>159</v>
      </c>
      <c r="F4" s="7">
        <v>202</v>
      </c>
      <c r="G4" s="7">
        <v>164</v>
      </c>
      <c r="H4" s="53" t="s">
        <v>2097</v>
      </c>
      <c r="I4" s="7" t="s">
        <v>86</v>
      </c>
      <c r="J4" s="7" t="s">
        <v>130</v>
      </c>
      <c r="K4" s="11">
        <v>0.78333333333333333</v>
      </c>
      <c r="L4" s="11">
        <v>0.81666666666666665</v>
      </c>
      <c r="M4" s="7" t="s">
        <v>109</v>
      </c>
      <c r="N4" s="32" t="s">
        <v>2096</v>
      </c>
      <c r="O4" s="29" t="s">
        <v>61</v>
      </c>
      <c r="P4" s="7" t="s">
        <v>131</v>
      </c>
      <c r="Q4" s="7" t="s">
        <v>86</v>
      </c>
      <c r="R4" s="7" t="s">
        <v>63</v>
      </c>
      <c r="S4" s="7" t="s">
        <v>109</v>
      </c>
      <c r="T4" s="29" t="s">
        <v>117</v>
      </c>
      <c r="U4" s="111">
        <f t="shared" si="0"/>
        <v>1.0314465408805031</v>
      </c>
      <c r="V4" s="7" t="s">
        <v>1945</v>
      </c>
    </row>
    <row r="5" spans="1:22" x14ac:dyDescent="0.3">
      <c r="A5" s="7">
        <v>4</v>
      </c>
      <c r="B5" s="29" t="s">
        <v>24</v>
      </c>
      <c r="C5" s="29" t="s">
        <v>892</v>
      </c>
      <c r="D5" s="29">
        <v>60126002</v>
      </c>
      <c r="E5" s="91">
        <v>71</v>
      </c>
      <c r="F5" s="7">
        <v>106</v>
      </c>
      <c r="G5" s="7">
        <v>57</v>
      </c>
      <c r="H5" s="7" t="s">
        <v>214</v>
      </c>
      <c r="I5" s="7" t="s">
        <v>87</v>
      </c>
      <c r="J5" s="7" t="s">
        <v>130</v>
      </c>
      <c r="K5" s="11">
        <v>0.76527777777777772</v>
      </c>
      <c r="L5" s="11">
        <v>0.85833333333333328</v>
      </c>
      <c r="M5" s="7" t="s">
        <v>109</v>
      </c>
      <c r="N5" s="32" t="s">
        <v>2098</v>
      </c>
      <c r="O5" s="29" t="s">
        <v>61</v>
      </c>
      <c r="P5" s="7" t="s">
        <v>131</v>
      </c>
      <c r="Q5" s="7" t="s">
        <v>87</v>
      </c>
      <c r="R5" s="7" t="s">
        <v>63</v>
      </c>
      <c r="S5" s="7" t="s">
        <v>109</v>
      </c>
      <c r="T5" s="29" t="s">
        <v>891</v>
      </c>
      <c r="U5" s="111">
        <f t="shared" si="0"/>
        <v>0.80281690140845074</v>
      </c>
      <c r="V5" s="7" t="s">
        <v>2146</v>
      </c>
    </row>
    <row r="6" spans="1:22" x14ac:dyDescent="0.3">
      <c r="A6" s="7">
        <v>5</v>
      </c>
      <c r="B6" s="29" t="s">
        <v>23</v>
      </c>
      <c r="C6" s="29" t="s">
        <v>825</v>
      </c>
      <c r="D6" s="29">
        <v>50126210</v>
      </c>
      <c r="E6" s="91">
        <v>100</v>
      </c>
      <c r="F6" s="7">
        <v>107</v>
      </c>
      <c r="G6" s="7">
        <v>30</v>
      </c>
      <c r="H6" s="53" t="s">
        <v>88</v>
      </c>
      <c r="I6" s="7" t="s">
        <v>109</v>
      </c>
      <c r="J6" s="7" t="s">
        <v>130</v>
      </c>
      <c r="K6" s="11">
        <v>0.95972222222222225</v>
      </c>
      <c r="L6" s="7" t="s">
        <v>109</v>
      </c>
      <c r="M6" s="7" t="s">
        <v>109</v>
      </c>
      <c r="N6" s="32" t="s">
        <v>110</v>
      </c>
      <c r="O6" s="29" t="s">
        <v>61</v>
      </c>
      <c r="P6" s="7" t="s">
        <v>131</v>
      </c>
      <c r="Q6" s="7" t="s">
        <v>88</v>
      </c>
      <c r="R6" s="7" t="s">
        <v>62</v>
      </c>
      <c r="S6" s="7" t="s">
        <v>109</v>
      </c>
      <c r="T6" s="29" t="s">
        <v>424</v>
      </c>
      <c r="U6" s="111">
        <f t="shared" si="0"/>
        <v>0.3</v>
      </c>
      <c r="V6" s="7" t="s">
        <v>152</v>
      </c>
    </row>
    <row r="7" spans="1:22" x14ac:dyDescent="0.3">
      <c r="A7" s="7">
        <v>6</v>
      </c>
      <c r="B7" s="29" t="s">
        <v>23</v>
      </c>
      <c r="C7" s="29" t="s">
        <v>1915</v>
      </c>
      <c r="D7" s="29">
        <v>50226019</v>
      </c>
      <c r="E7" s="91">
        <v>400</v>
      </c>
      <c r="F7" s="7">
        <v>590</v>
      </c>
      <c r="G7" s="7">
        <v>387</v>
      </c>
      <c r="H7" s="53" t="s">
        <v>2099</v>
      </c>
      <c r="I7" s="7" t="s">
        <v>109</v>
      </c>
      <c r="J7" s="7" t="s">
        <v>130</v>
      </c>
      <c r="K7" s="11">
        <v>0.9</v>
      </c>
      <c r="L7" s="7" t="s">
        <v>109</v>
      </c>
      <c r="M7" s="7" t="s">
        <v>109</v>
      </c>
      <c r="N7" s="32" t="s">
        <v>110</v>
      </c>
      <c r="O7" s="29" t="s">
        <v>61</v>
      </c>
      <c r="P7" s="7" t="s">
        <v>131</v>
      </c>
      <c r="Q7" s="7" t="s">
        <v>95</v>
      </c>
      <c r="R7" s="7" t="s">
        <v>62</v>
      </c>
      <c r="S7" s="7" t="s">
        <v>109</v>
      </c>
      <c r="T7" s="29" t="s">
        <v>424</v>
      </c>
      <c r="U7" s="111">
        <f t="shared" si="0"/>
        <v>0.96750000000000003</v>
      </c>
      <c r="V7" s="7" t="s">
        <v>1945</v>
      </c>
    </row>
    <row r="8" spans="1:22" x14ac:dyDescent="0.3">
      <c r="A8" s="7">
        <v>7</v>
      </c>
      <c r="B8" s="29" t="s">
        <v>23</v>
      </c>
      <c r="C8" s="29" t="s">
        <v>1917</v>
      </c>
      <c r="D8" s="29">
        <v>50226023</v>
      </c>
      <c r="E8" s="91">
        <v>400</v>
      </c>
      <c r="F8" s="7">
        <v>382</v>
      </c>
      <c r="G8" s="7">
        <v>212</v>
      </c>
      <c r="H8" s="7" t="s">
        <v>2100</v>
      </c>
      <c r="I8" s="7" t="s">
        <v>109</v>
      </c>
      <c r="J8" s="7" t="s">
        <v>130</v>
      </c>
      <c r="K8" s="11">
        <v>0.72430555555555554</v>
      </c>
      <c r="L8" s="7" t="s">
        <v>109</v>
      </c>
      <c r="M8" s="7" t="s">
        <v>109</v>
      </c>
      <c r="N8" s="32" t="s">
        <v>110</v>
      </c>
      <c r="O8" s="29" t="s">
        <v>61</v>
      </c>
      <c r="P8" s="7" t="s">
        <v>131</v>
      </c>
      <c r="Q8" s="7" t="s">
        <v>196</v>
      </c>
      <c r="R8" s="7" t="s">
        <v>62</v>
      </c>
      <c r="S8" s="7" t="s">
        <v>109</v>
      </c>
      <c r="T8" s="29" t="s">
        <v>424</v>
      </c>
      <c r="U8" s="111">
        <f t="shared" si="0"/>
        <v>0.53</v>
      </c>
      <c r="V8" s="7" t="s">
        <v>152</v>
      </c>
    </row>
    <row r="9" spans="1:22" x14ac:dyDescent="0.3">
      <c r="A9" s="7">
        <v>8</v>
      </c>
      <c r="B9" s="29" t="s">
        <v>23</v>
      </c>
      <c r="C9" s="29" t="s">
        <v>1919</v>
      </c>
      <c r="D9" s="29">
        <v>50226021</v>
      </c>
      <c r="E9" s="91">
        <v>500</v>
      </c>
      <c r="F9" s="7">
        <v>542</v>
      </c>
      <c r="G9" s="7">
        <v>449</v>
      </c>
      <c r="H9" s="53" t="s">
        <v>2101</v>
      </c>
      <c r="I9" s="7" t="s">
        <v>109</v>
      </c>
      <c r="J9" s="7" t="s">
        <v>130</v>
      </c>
      <c r="K9" s="11">
        <v>0.87222222222222223</v>
      </c>
      <c r="L9" s="7" t="s">
        <v>109</v>
      </c>
      <c r="M9" s="7" t="s">
        <v>109</v>
      </c>
      <c r="N9" s="32" t="s">
        <v>110</v>
      </c>
      <c r="O9" s="29" t="s">
        <v>61</v>
      </c>
      <c r="P9" s="7" t="s">
        <v>131</v>
      </c>
      <c r="Q9" s="7" t="s">
        <v>209</v>
      </c>
      <c r="R9" s="7" t="s">
        <v>62</v>
      </c>
      <c r="S9" s="7" t="s">
        <v>109</v>
      </c>
      <c r="T9" s="29" t="s">
        <v>424</v>
      </c>
      <c r="U9" s="111">
        <f t="shared" si="0"/>
        <v>0.89800000000000002</v>
      </c>
      <c r="V9" s="7" t="s">
        <v>1945</v>
      </c>
    </row>
    <row r="10" spans="1:22" x14ac:dyDescent="0.3">
      <c r="A10" s="7">
        <v>9</v>
      </c>
      <c r="B10" s="29" t="s">
        <v>23</v>
      </c>
      <c r="C10" s="29" t="s">
        <v>835</v>
      </c>
      <c r="D10" s="29">
        <v>50126103</v>
      </c>
      <c r="E10" s="91">
        <v>100</v>
      </c>
      <c r="F10" s="7">
        <v>206</v>
      </c>
      <c r="G10" s="7">
        <v>65</v>
      </c>
      <c r="H10" s="53" t="s">
        <v>209</v>
      </c>
      <c r="I10" s="7" t="s">
        <v>109</v>
      </c>
      <c r="J10" s="7" t="s">
        <v>130</v>
      </c>
      <c r="K10" s="11">
        <v>0.80833333333333335</v>
      </c>
      <c r="L10" s="7" t="s">
        <v>109</v>
      </c>
      <c r="M10" s="7" t="s">
        <v>109</v>
      </c>
      <c r="N10" s="32" t="s">
        <v>110</v>
      </c>
      <c r="O10" s="29" t="s">
        <v>61</v>
      </c>
      <c r="P10" s="7" t="s">
        <v>131</v>
      </c>
      <c r="Q10" s="7" t="s">
        <v>209</v>
      </c>
      <c r="R10" s="7" t="s">
        <v>62</v>
      </c>
      <c r="S10" s="7" t="s">
        <v>109</v>
      </c>
      <c r="T10" s="29" t="s">
        <v>424</v>
      </c>
      <c r="U10" s="111">
        <f t="shared" si="0"/>
        <v>0.65</v>
      </c>
      <c r="V10" s="7" t="s">
        <v>2141</v>
      </c>
    </row>
    <row r="11" spans="1:22" x14ac:dyDescent="0.3">
      <c r="A11" s="7">
        <v>10</v>
      </c>
      <c r="B11" s="29" t="s">
        <v>23</v>
      </c>
      <c r="C11" s="29" t="s">
        <v>836</v>
      </c>
      <c r="D11" s="29">
        <v>50126104</v>
      </c>
      <c r="E11" s="91">
        <v>65</v>
      </c>
      <c r="F11" s="7">
        <v>109</v>
      </c>
      <c r="G11" s="7">
        <v>18</v>
      </c>
      <c r="H11" s="53" t="s">
        <v>65</v>
      </c>
      <c r="I11" s="7" t="s">
        <v>109</v>
      </c>
      <c r="J11" s="7" t="s">
        <v>130</v>
      </c>
      <c r="K11" s="11">
        <v>0.91874999999999996</v>
      </c>
      <c r="L11" s="7" t="s">
        <v>109</v>
      </c>
      <c r="M11" s="7" t="s">
        <v>109</v>
      </c>
      <c r="N11" s="32" t="s">
        <v>110</v>
      </c>
      <c r="O11" s="29" t="s">
        <v>61</v>
      </c>
      <c r="P11" s="7" t="s">
        <v>131</v>
      </c>
      <c r="Q11" s="7" t="s">
        <v>65</v>
      </c>
      <c r="R11" s="7" t="s">
        <v>62</v>
      </c>
      <c r="S11" s="7" t="s">
        <v>109</v>
      </c>
      <c r="T11" s="29" t="s">
        <v>424</v>
      </c>
      <c r="U11" s="111">
        <f t="shared" si="0"/>
        <v>0.27692307692307694</v>
      </c>
      <c r="V11" s="7" t="s">
        <v>2146</v>
      </c>
    </row>
    <row r="12" spans="1:22" x14ac:dyDescent="0.3">
      <c r="A12" s="7">
        <v>11</v>
      </c>
      <c r="B12" s="29" t="s">
        <v>23</v>
      </c>
      <c r="C12" s="29" t="s">
        <v>1972</v>
      </c>
      <c r="D12" s="29">
        <v>50226033</v>
      </c>
      <c r="E12" s="91">
        <v>100</v>
      </c>
      <c r="F12" s="7">
        <v>123</v>
      </c>
      <c r="G12" s="7">
        <v>51</v>
      </c>
      <c r="H12" s="53" t="s">
        <v>91</v>
      </c>
      <c r="I12" s="7" t="s">
        <v>109</v>
      </c>
      <c r="J12" s="7" t="s">
        <v>130</v>
      </c>
      <c r="K12" s="11">
        <v>0.79236111111111107</v>
      </c>
      <c r="L12" s="7" t="s">
        <v>109</v>
      </c>
      <c r="M12" s="7" t="s">
        <v>109</v>
      </c>
      <c r="N12" s="32" t="s">
        <v>110</v>
      </c>
      <c r="O12" s="29" t="s">
        <v>61</v>
      </c>
      <c r="P12" s="7" t="s">
        <v>131</v>
      </c>
      <c r="Q12" s="7" t="s">
        <v>91</v>
      </c>
      <c r="R12" s="7" t="s">
        <v>62</v>
      </c>
      <c r="S12" s="7" t="s">
        <v>109</v>
      </c>
      <c r="T12" s="29" t="s">
        <v>424</v>
      </c>
      <c r="U12" s="111">
        <f t="shared" si="0"/>
        <v>0.51</v>
      </c>
      <c r="V12" s="7" t="s">
        <v>2146</v>
      </c>
    </row>
    <row r="13" spans="1:22" x14ac:dyDescent="0.3">
      <c r="A13" s="7">
        <v>12</v>
      </c>
      <c r="B13" s="29" t="s">
        <v>23</v>
      </c>
      <c r="C13" s="29" t="s">
        <v>428</v>
      </c>
      <c r="D13" s="29">
        <v>50126024</v>
      </c>
      <c r="E13" s="91">
        <v>500</v>
      </c>
      <c r="F13" s="7">
        <v>584</v>
      </c>
      <c r="G13" s="7">
        <v>347</v>
      </c>
      <c r="H13" s="53" t="s">
        <v>2102</v>
      </c>
      <c r="I13" s="7" t="s">
        <v>109</v>
      </c>
      <c r="J13" s="7" t="s">
        <v>130</v>
      </c>
      <c r="K13" s="11">
        <v>6.9444444444444441E-3</v>
      </c>
      <c r="L13" s="7" t="s">
        <v>109</v>
      </c>
      <c r="M13" s="7" t="s">
        <v>109</v>
      </c>
      <c r="N13" s="32" t="s">
        <v>110</v>
      </c>
      <c r="O13" s="29" t="s">
        <v>61</v>
      </c>
      <c r="P13" s="7" t="s">
        <v>131</v>
      </c>
      <c r="Q13" s="7" t="s">
        <v>214</v>
      </c>
      <c r="R13" s="7" t="s">
        <v>62</v>
      </c>
      <c r="S13" s="7" t="s">
        <v>109</v>
      </c>
      <c r="T13" s="29" t="s">
        <v>424</v>
      </c>
      <c r="U13" s="111">
        <f t="shared" si="0"/>
        <v>0.69399999999999995</v>
      </c>
      <c r="V13" s="7" t="s">
        <v>2146</v>
      </c>
    </row>
    <row r="14" spans="1:22" x14ac:dyDescent="0.3">
      <c r="A14" s="7">
        <v>13</v>
      </c>
      <c r="B14" s="29" t="s">
        <v>23</v>
      </c>
      <c r="C14" s="29" t="s">
        <v>2037</v>
      </c>
      <c r="D14" s="29">
        <v>50226040</v>
      </c>
      <c r="E14" s="91">
        <v>120</v>
      </c>
      <c r="F14" s="7">
        <v>130</v>
      </c>
      <c r="G14" s="7">
        <v>95</v>
      </c>
      <c r="H14" s="7" t="s">
        <v>154</v>
      </c>
      <c r="I14" s="7" t="s">
        <v>109</v>
      </c>
      <c r="J14" s="7" t="s">
        <v>130</v>
      </c>
      <c r="K14" s="11">
        <v>0.78402777777777777</v>
      </c>
      <c r="L14" s="7" t="s">
        <v>109</v>
      </c>
      <c r="M14" s="7" t="s">
        <v>109</v>
      </c>
      <c r="N14" s="32" t="s">
        <v>110</v>
      </c>
      <c r="O14" s="29" t="s">
        <v>61</v>
      </c>
      <c r="P14" s="7" t="s">
        <v>131</v>
      </c>
      <c r="Q14" s="7" t="s">
        <v>154</v>
      </c>
      <c r="R14" s="7" t="s">
        <v>62</v>
      </c>
      <c r="S14" s="7" t="s">
        <v>109</v>
      </c>
      <c r="T14" s="29" t="s">
        <v>424</v>
      </c>
      <c r="U14" s="111">
        <f t="shared" si="0"/>
        <v>0.79166666666666663</v>
      </c>
      <c r="V14" s="7" t="s">
        <v>2146</v>
      </c>
    </row>
    <row r="15" spans="1:22" x14ac:dyDescent="0.3">
      <c r="A15" s="7">
        <v>14</v>
      </c>
      <c r="B15" s="29" t="s">
        <v>23</v>
      </c>
      <c r="C15" s="29" t="s">
        <v>2036</v>
      </c>
      <c r="D15" s="29">
        <v>50226039</v>
      </c>
      <c r="E15" s="91">
        <v>150</v>
      </c>
      <c r="F15" s="7">
        <v>193</v>
      </c>
      <c r="G15" s="7">
        <v>149</v>
      </c>
      <c r="H15" s="7" t="s">
        <v>1549</v>
      </c>
      <c r="I15" s="7" t="s">
        <v>109</v>
      </c>
      <c r="J15" s="7" t="s">
        <v>130</v>
      </c>
      <c r="K15" s="11">
        <v>0.97499999999999998</v>
      </c>
      <c r="L15" s="7" t="s">
        <v>109</v>
      </c>
      <c r="M15" s="7" t="s">
        <v>109</v>
      </c>
      <c r="N15" s="32" t="s">
        <v>110</v>
      </c>
      <c r="O15" s="29" t="s">
        <v>61</v>
      </c>
      <c r="P15" s="7" t="s">
        <v>131</v>
      </c>
      <c r="Q15" s="7" t="s">
        <v>94</v>
      </c>
      <c r="R15" s="7" t="s">
        <v>62</v>
      </c>
      <c r="S15" s="7" t="s">
        <v>109</v>
      </c>
      <c r="T15" s="29" t="s">
        <v>424</v>
      </c>
      <c r="U15" s="111">
        <f t="shared" si="0"/>
        <v>0.99333333333333329</v>
      </c>
      <c r="V15" s="7" t="s">
        <v>1945</v>
      </c>
    </row>
    <row r="16" spans="1:22" x14ac:dyDescent="0.3">
      <c r="A16" s="7">
        <v>15</v>
      </c>
      <c r="B16" s="29" t="s">
        <v>23</v>
      </c>
      <c r="C16" s="29" t="s">
        <v>2035</v>
      </c>
      <c r="D16" s="29">
        <v>50226038</v>
      </c>
      <c r="E16" s="91">
        <v>100</v>
      </c>
      <c r="F16" s="7">
        <v>120</v>
      </c>
      <c r="G16" s="7">
        <v>63</v>
      </c>
      <c r="H16" s="53" t="s">
        <v>87</v>
      </c>
      <c r="I16" s="7" t="s">
        <v>109</v>
      </c>
      <c r="J16" s="7" t="s">
        <v>130</v>
      </c>
      <c r="K16" s="11">
        <v>0.82499999999999996</v>
      </c>
      <c r="L16" s="7" t="s">
        <v>109</v>
      </c>
      <c r="M16" s="7" t="s">
        <v>109</v>
      </c>
      <c r="N16" s="32" t="s">
        <v>110</v>
      </c>
      <c r="O16" s="29" t="s">
        <v>61</v>
      </c>
      <c r="P16" s="7" t="s">
        <v>131</v>
      </c>
      <c r="Q16" s="7" t="s">
        <v>87</v>
      </c>
      <c r="R16" s="7" t="s">
        <v>62</v>
      </c>
      <c r="S16" s="7" t="s">
        <v>109</v>
      </c>
      <c r="T16" s="29" t="s">
        <v>424</v>
      </c>
      <c r="U16" s="111">
        <f t="shared" si="0"/>
        <v>0.63</v>
      </c>
      <c r="V16" s="7" t="s">
        <v>2146</v>
      </c>
    </row>
    <row r="17" spans="1:22" x14ac:dyDescent="0.3">
      <c r="A17" s="7">
        <v>16</v>
      </c>
      <c r="B17" s="29" t="s">
        <v>23</v>
      </c>
      <c r="C17" s="29" t="s">
        <v>2034</v>
      </c>
      <c r="D17" s="29">
        <v>50226037</v>
      </c>
      <c r="E17" s="91">
        <v>100</v>
      </c>
      <c r="F17" s="7">
        <v>126</v>
      </c>
      <c r="G17" s="7">
        <v>42</v>
      </c>
      <c r="H17" s="53" t="s">
        <v>86</v>
      </c>
      <c r="I17" s="7" t="s">
        <v>109</v>
      </c>
      <c r="J17" s="7" t="s">
        <v>130</v>
      </c>
      <c r="K17" s="11">
        <v>0.78263888888888888</v>
      </c>
      <c r="L17" s="7" t="s">
        <v>109</v>
      </c>
      <c r="M17" s="7" t="s">
        <v>109</v>
      </c>
      <c r="N17" s="32" t="s">
        <v>110</v>
      </c>
      <c r="O17" s="29" t="s">
        <v>61</v>
      </c>
      <c r="P17" s="7" t="s">
        <v>131</v>
      </c>
      <c r="Q17" s="7" t="s">
        <v>86</v>
      </c>
      <c r="R17" s="7" t="s">
        <v>62</v>
      </c>
      <c r="S17" s="7" t="s">
        <v>109</v>
      </c>
      <c r="T17" s="29" t="s">
        <v>424</v>
      </c>
      <c r="U17" s="111">
        <f t="shared" si="0"/>
        <v>0.42</v>
      </c>
      <c r="V17" s="7" t="s">
        <v>2146</v>
      </c>
    </row>
    <row r="18" spans="1:22" x14ac:dyDescent="0.3">
      <c r="A18" s="7">
        <v>17</v>
      </c>
      <c r="B18" s="29" t="s">
        <v>23</v>
      </c>
      <c r="C18" s="29" t="s">
        <v>1921</v>
      </c>
      <c r="D18" s="29">
        <v>50226017</v>
      </c>
      <c r="E18" s="91">
        <v>600</v>
      </c>
      <c r="F18" s="7">
        <v>696</v>
      </c>
      <c r="G18" s="7">
        <v>607</v>
      </c>
      <c r="H18" s="53" t="s">
        <v>2103</v>
      </c>
      <c r="I18" s="7" t="s">
        <v>109</v>
      </c>
      <c r="J18" s="7" t="s">
        <v>130</v>
      </c>
      <c r="K18" s="11">
        <v>2.013888888888889E-2</v>
      </c>
      <c r="L18" s="7" t="s">
        <v>109</v>
      </c>
      <c r="M18" s="7" t="s">
        <v>109</v>
      </c>
      <c r="N18" s="32" t="s">
        <v>110</v>
      </c>
      <c r="O18" s="29" t="s">
        <v>61</v>
      </c>
      <c r="P18" s="7" t="s">
        <v>131</v>
      </c>
      <c r="Q18" s="7" t="s">
        <v>154</v>
      </c>
      <c r="R18" s="7" t="s">
        <v>62</v>
      </c>
      <c r="S18" s="7" t="s">
        <v>109</v>
      </c>
      <c r="T18" s="29" t="s">
        <v>424</v>
      </c>
      <c r="U18" s="111">
        <f t="shared" si="0"/>
        <v>1.0116666666666667</v>
      </c>
      <c r="V18" s="7" t="s">
        <v>1945</v>
      </c>
    </row>
    <row r="19" spans="1:22" x14ac:dyDescent="0.3">
      <c r="A19" s="7">
        <v>18</v>
      </c>
      <c r="B19" s="29" t="s">
        <v>23</v>
      </c>
      <c r="C19" s="29" t="s">
        <v>1641</v>
      </c>
      <c r="D19" s="29">
        <v>50126366</v>
      </c>
      <c r="E19" s="91">
        <v>300</v>
      </c>
      <c r="F19" s="7">
        <v>293</v>
      </c>
      <c r="G19" s="7">
        <v>127</v>
      </c>
      <c r="H19" s="53" t="s">
        <v>2104</v>
      </c>
      <c r="I19" s="7" t="s">
        <v>109</v>
      </c>
      <c r="J19" s="7" t="s">
        <v>130</v>
      </c>
      <c r="K19" s="11">
        <v>0.84652777777777777</v>
      </c>
      <c r="L19" s="7" t="s">
        <v>109</v>
      </c>
      <c r="M19" s="7" t="s">
        <v>109</v>
      </c>
      <c r="N19" s="32" t="s">
        <v>110</v>
      </c>
      <c r="O19" s="29" t="s">
        <v>61</v>
      </c>
      <c r="P19" s="7" t="s">
        <v>131</v>
      </c>
      <c r="Q19" s="7" t="s">
        <v>154</v>
      </c>
      <c r="R19" s="7" t="s">
        <v>62</v>
      </c>
      <c r="S19" s="7" t="s">
        <v>109</v>
      </c>
      <c r="T19" s="29" t="s">
        <v>424</v>
      </c>
      <c r="U19" s="111">
        <f t="shared" si="0"/>
        <v>0.42333333333333334</v>
      </c>
      <c r="V19" s="7" t="s">
        <v>152</v>
      </c>
    </row>
    <row r="20" spans="1:22" x14ac:dyDescent="0.3">
      <c r="A20" s="7">
        <v>19</v>
      </c>
      <c r="B20" s="29" t="s">
        <v>23</v>
      </c>
      <c r="C20" s="29" t="s">
        <v>833</v>
      </c>
      <c r="D20" s="29">
        <v>50126108</v>
      </c>
      <c r="E20" s="91">
        <v>100</v>
      </c>
      <c r="F20" s="7">
        <v>100</v>
      </c>
      <c r="G20" s="7">
        <v>59</v>
      </c>
      <c r="H20" s="53" t="s">
        <v>93</v>
      </c>
      <c r="I20" s="7" t="s">
        <v>109</v>
      </c>
      <c r="J20" s="7" t="s">
        <v>130</v>
      </c>
      <c r="K20" s="11">
        <v>3.6111111111111108E-2</v>
      </c>
      <c r="L20" s="7" t="s">
        <v>109</v>
      </c>
      <c r="M20" s="7" t="s">
        <v>109</v>
      </c>
      <c r="N20" s="32" t="s">
        <v>110</v>
      </c>
      <c r="O20" s="29" t="s">
        <v>61</v>
      </c>
      <c r="P20" s="7" t="s">
        <v>131</v>
      </c>
      <c r="Q20" s="7" t="s">
        <v>93</v>
      </c>
      <c r="R20" s="7" t="s">
        <v>62</v>
      </c>
      <c r="S20" s="7" t="s">
        <v>109</v>
      </c>
      <c r="T20" s="29" t="s">
        <v>424</v>
      </c>
      <c r="U20" s="111">
        <f t="shared" si="0"/>
        <v>0.59</v>
      </c>
      <c r="V20" s="7" t="s">
        <v>2146</v>
      </c>
    </row>
    <row r="21" spans="1:22" x14ac:dyDescent="0.3">
      <c r="A21" s="7">
        <v>20</v>
      </c>
      <c r="B21" s="29" t="s">
        <v>23</v>
      </c>
      <c r="C21" s="29" t="s">
        <v>712</v>
      </c>
      <c r="D21" s="29">
        <v>50126170</v>
      </c>
      <c r="E21" s="91">
        <v>50</v>
      </c>
      <c r="F21" s="7">
        <v>70</v>
      </c>
      <c r="G21" s="7">
        <v>1</v>
      </c>
      <c r="H21" s="53" t="s">
        <v>95</v>
      </c>
      <c r="I21" s="7" t="s">
        <v>109</v>
      </c>
      <c r="J21" s="7" t="s">
        <v>130</v>
      </c>
      <c r="K21" s="11">
        <v>0.83819444444444446</v>
      </c>
      <c r="L21" s="7" t="s">
        <v>109</v>
      </c>
      <c r="M21" s="7" t="s">
        <v>109</v>
      </c>
      <c r="N21" s="29" t="s">
        <v>109</v>
      </c>
      <c r="O21" s="29" t="s">
        <v>61</v>
      </c>
      <c r="P21" s="7" t="s">
        <v>131</v>
      </c>
      <c r="Q21" s="7" t="s">
        <v>95</v>
      </c>
      <c r="R21" s="7" t="s">
        <v>62</v>
      </c>
      <c r="S21" s="7" t="s">
        <v>109</v>
      </c>
      <c r="T21" s="29" t="s">
        <v>424</v>
      </c>
      <c r="U21" s="111">
        <f t="shared" si="0"/>
        <v>0.02</v>
      </c>
      <c r="V21" s="7" t="s">
        <v>2146</v>
      </c>
    </row>
    <row r="22" spans="1:22" x14ac:dyDescent="0.3">
      <c r="A22" s="7">
        <v>21</v>
      </c>
      <c r="B22" s="29" t="s">
        <v>23</v>
      </c>
      <c r="C22" s="29" t="s">
        <v>1651</v>
      </c>
      <c r="D22" s="29">
        <v>50126375</v>
      </c>
      <c r="E22" s="91">
        <v>50</v>
      </c>
      <c r="F22" s="7">
        <v>100</v>
      </c>
      <c r="G22" s="7">
        <v>51</v>
      </c>
      <c r="H22" s="7" t="s">
        <v>93</v>
      </c>
      <c r="I22" s="7" t="s">
        <v>109</v>
      </c>
      <c r="J22" s="7" t="s">
        <v>130</v>
      </c>
      <c r="K22" s="11">
        <v>0.82638888888888884</v>
      </c>
      <c r="L22" s="7" t="s">
        <v>109</v>
      </c>
      <c r="M22" s="7" t="s">
        <v>109</v>
      </c>
      <c r="N22" s="29" t="s">
        <v>109</v>
      </c>
      <c r="O22" s="29" t="s">
        <v>61</v>
      </c>
      <c r="P22" s="7" t="s">
        <v>131</v>
      </c>
      <c r="Q22" s="7" t="s">
        <v>93</v>
      </c>
      <c r="R22" s="7" t="s">
        <v>62</v>
      </c>
      <c r="S22" s="7" t="s">
        <v>109</v>
      </c>
      <c r="T22" s="29" t="s">
        <v>424</v>
      </c>
      <c r="U22" s="111">
        <f t="shared" si="0"/>
        <v>1.02</v>
      </c>
      <c r="V22" s="7" t="s">
        <v>1945</v>
      </c>
    </row>
    <row r="23" spans="1:22" x14ac:dyDescent="0.3">
      <c r="A23" s="7">
        <v>22</v>
      </c>
      <c r="B23" s="29" t="s">
        <v>23</v>
      </c>
      <c r="C23" s="29" t="s">
        <v>1913</v>
      </c>
      <c r="D23" s="29">
        <v>50226029</v>
      </c>
      <c r="E23" s="91">
        <v>50</v>
      </c>
      <c r="F23" s="7" t="s">
        <v>109</v>
      </c>
      <c r="G23" s="7" t="s">
        <v>109</v>
      </c>
      <c r="H23" s="53" t="s">
        <v>86</v>
      </c>
      <c r="I23" s="7" t="s">
        <v>109</v>
      </c>
      <c r="J23" s="18" t="s">
        <v>85</v>
      </c>
      <c r="K23" s="7" t="s">
        <v>109</v>
      </c>
      <c r="L23" s="7" t="s">
        <v>109</v>
      </c>
      <c r="M23" s="7" t="s">
        <v>109</v>
      </c>
      <c r="N23" s="29" t="s">
        <v>109</v>
      </c>
      <c r="O23" s="29" t="s">
        <v>61</v>
      </c>
      <c r="P23" s="7" t="s">
        <v>109</v>
      </c>
      <c r="Q23" s="7" t="s">
        <v>109</v>
      </c>
      <c r="R23" s="7" t="s">
        <v>62</v>
      </c>
      <c r="S23" s="7" t="s">
        <v>109</v>
      </c>
      <c r="T23" s="29" t="s">
        <v>424</v>
      </c>
      <c r="U23" s="111" t="e">
        <f t="shared" si="0"/>
        <v>#VALUE!</v>
      </c>
      <c r="V23" s="7" t="s">
        <v>109</v>
      </c>
    </row>
    <row r="24" spans="1:22" x14ac:dyDescent="0.3">
      <c r="A24" s="7">
        <v>23</v>
      </c>
      <c r="B24" s="29" t="s">
        <v>170</v>
      </c>
      <c r="C24" s="29" t="s">
        <v>1350</v>
      </c>
      <c r="D24" s="29">
        <v>40126025</v>
      </c>
      <c r="E24" s="91">
        <v>150</v>
      </c>
      <c r="F24" s="7">
        <v>81</v>
      </c>
      <c r="G24" s="7">
        <v>15</v>
      </c>
      <c r="H24" s="7" t="s">
        <v>222</v>
      </c>
      <c r="I24" s="53" t="s">
        <v>88</v>
      </c>
      <c r="J24" s="7" t="s">
        <v>130</v>
      </c>
      <c r="K24" s="11">
        <v>2.0833333333333332E-2</v>
      </c>
      <c r="L24" s="11">
        <v>4.5138888888888888E-2</v>
      </c>
      <c r="M24" s="7" t="s">
        <v>109</v>
      </c>
      <c r="N24" s="32" t="s">
        <v>2105</v>
      </c>
      <c r="O24" s="29" t="s">
        <v>61</v>
      </c>
      <c r="P24" s="7" t="s">
        <v>131</v>
      </c>
      <c r="Q24" s="7" t="s">
        <v>109</v>
      </c>
      <c r="R24" s="7" t="s">
        <v>62</v>
      </c>
      <c r="S24" s="7" t="s">
        <v>109</v>
      </c>
      <c r="T24" s="29" t="s">
        <v>859</v>
      </c>
      <c r="U24" s="111">
        <f t="shared" si="0"/>
        <v>0.1</v>
      </c>
      <c r="V24" s="7" t="s">
        <v>2146</v>
      </c>
    </row>
    <row r="25" spans="1:22" x14ac:dyDescent="0.3">
      <c r="A25" s="7">
        <v>24</v>
      </c>
      <c r="B25" s="29" t="s">
        <v>411</v>
      </c>
      <c r="C25" s="29" t="s">
        <v>1357</v>
      </c>
      <c r="D25" s="29">
        <v>30126010</v>
      </c>
      <c r="E25" s="91">
        <v>263</v>
      </c>
      <c r="F25" s="7">
        <v>430</v>
      </c>
      <c r="G25" s="7">
        <v>163</v>
      </c>
      <c r="H25" s="7" t="s">
        <v>2106</v>
      </c>
      <c r="I25" s="7" t="s">
        <v>2107</v>
      </c>
      <c r="J25" s="7" t="s">
        <v>130</v>
      </c>
      <c r="K25" s="11">
        <v>2.7777777777777779E-3</v>
      </c>
      <c r="L25" s="11">
        <v>3.5416666666666666E-2</v>
      </c>
      <c r="M25" s="7" t="s">
        <v>109</v>
      </c>
      <c r="N25" s="32" t="s">
        <v>2108</v>
      </c>
      <c r="O25" s="29" t="s">
        <v>61</v>
      </c>
      <c r="P25" s="7" t="s">
        <v>131</v>
      </c>
      <c r="Q25" s="7" t="s">
        <v>90</v>
      </c>
      <c r="R25" s="7" t="s">
        <v>62</v>
      </c>
      <c r="S25" s="7" t="s">
        <v>109</v>
      </c>
      <c r="T25" s="29" t="s">
        <v>1359</v>
      </c>
      <c r="U25" s="111">
        <f t="shared" si="0"/>
        <v>0.61977186311787069</v>
      </c>
      <c r="V25" s="7" t="s">
        <v>2146</v>
      </c>
    </row>
    <row r="26" spans="1:22" x14ac:dyDescent="0.3">
      <c r="A26" s="7">
        <v>25</v>
      </c>
      <c r="B26" s="29" t="s">
        <v>411</v>
      </c>
      <c r="C26" s="29" t="s">
        <v>1360</v>
      </c>
      <c r="D26" s="29">
        <v>30126011</v>
      </c>
      <c r="E26" s="91">
        <v>250</v>
      </c>
      <c r="F26" s="7">
        <v>620</v>
      </c>
      <c r="G26" s="7">
        <v>206</v>
      </c>
      <c r="H26" s="7" t="s">
        <v>2109</v>
      </c>
      <c r="I26" s="7" t="s">
        <v>2110</v>
      </c>
      <c r="J26" s="7" t="s">
        <v>130</v>
      </c>
      <c r="K26" s="11">
        <v>0.97430555555555554</v>
      </c>
      <c r="L26" s="11">
        <v>1.2500000000000001E-2</v>
      </c>
      <c r="M26" s="7" t="s">
        <v>109</v>
      </c>
      <c r="N26" s="32" t="s">
        <v>2108</v>
      </c>
      <c r="O26" s="29" t="s">
        <v>61</v>
      </c>
      <c r="P26" s="7" t="s">
        <v>131</v>
      </c>
      <c r="Q26" s="7" t="s">
        <v>93</v>
      </c>
      <c r="R26" s="7" t="s">
        <v>62</v>
      </c>
      <c r="S26" s="7" t="s">
        <v>109</v>
      </c>
      <c r="T26" s="29" t="s">
        <v>1359</v>
      </c>
      <c r="U26" s="111">
        <f t="shared" si="0"/>
        <v>0.82399999999999995</v>
      </c>
      <c r="V26" s="7" t="s">
        <v>2146</v>
      </c>
    </row>
    <row r="27" spans="1:22" x14ac:dyDescent="0.3">
      <c r="A27" s="7">
        <v>26</v>
      </c>
      <c r="B27" s="29" t="s">
        <v>411</v>
      </c>
      <c r="C27" s="29" t="s">
        <v>1361</v>
      </c>
      <c r="D27" s="29">
        <v>30126012</v>
      </c>
      <c r="E27" s="91">
        <v>250</v>
      </c>
      <c r="F27" s="7">
        <v>129</v>
      </c>
      <c r="G27" s="7">
        <v>17</v>
      </c>
      <c r="H27" s="53" t="s">
        <v>2111</v>
      </c>
      <c r="I27" s="7" t="s">
        <v>2112</v>
      </c>
      <c r="J27" s="7" t="s">
        <v>130</v>
      </c>
      <c r="K27" s="11">
        <v>0.8979166666666667</v>
      </c>
      <c r="L27" s="11">
        <v>0.95208333333333328</v>
      </c>
      <c r="M27" s="7" t="s">
        <v>109</v>
      </c>
      <c r="N27" s="32" t="s">
        <v>2108</v>
      </c>
      <c r="O27" s="29" t="s">
        <v>61</v>
      </c>
      <c r="P27" s="7" t="s">
        <v>131</v>
      </c>
      <c r="Q27" s="7" t="s">
        <v>90</v>
      </c>
      <c r="R27" s="7" t="s">
        <v>62</v>
      </c>
      <c r="S27" s="7" t="s">
        <v>109</v>
      </c>
      <c r="T27" s="29" t="s">
        <v>1359</v>
      </c>
      <c r="U27" s="111">
        <f t="shared" si="0"/>
        <v>6.8000000000000005E-2</v>
      </c>
      <c r="V27" s="7" t="s">
        <v>152</v>
      </c>
    </row>
    <row r="28" spans="1:22" x14ac:dyDescent="0.3">
      <c r="A28" s="7">
        <v>27</v>
      </c>
      <c r="B28" s="29" t="s">
        <v>411</v>
      </c>
      <c r="C28" s="29" t="s">
        <v>1559</v>
      </c>
      <c r="D28" s="29">
        <v>30126013</v>
      </c>
      <c r="E28" s="91">
        <v>175</v>
      </c>
      <c r="F28" s="7">
        <v>143</v>
      </c>
      <c r="G28" s="7">
        <v>31</v>
      </c>
      <c r="H28" s="53" t="s">
        <v>1774</v>
      </c>
      <c r="I28" s="7" t="s">
        <v>989</v>
      </c>
      <c r="J28" s="7" t="s">
        <v>130</v>
      </c>
      <c r="K28" s="11">
        <v>6.25E-2</v>
      </c>
      <c r="L28" s="11">
        <v>6.9444444444444448E-2</v>
      </c>
      <c r="M28" s="7" t="s">
        <v>109</v>
      </c>
      <c r="N28" s="29" t="s">
        <v>109</v>
      </c>
      <c r="O28" s="29" t="s">
        <v>61</v>
      </c>
      <c r="P28" s="7" t="s">
        <v>131</v>
      </c>
      <c r="Q28" s="7" t="s">
        <v>89</v>
      </c>
      <c r="R28" s="7" t="s">
        <v>62</v>
      </c>
      <c r="S28" s="7" t="s">
        <v>109</v>
      </c>
      <c r="T28" s="29" t="s">
        <v>1562</v>
      </c>
      <c r="U28" s="111">
        <f t="shared" si="0"/>
        <v>0.17714285714285713</v>
      </c>
      <c r="V28" s="7" t="s">
        <v>2146</v>
      </c>
    </row>
    <row r="29" spans="1:22" x14ac:dyDescent="0.3">
      <c r="A29" s="7">
        <v>28</v>
      </c>
      <c r="B29" s="29" t="s">
        <v>23</v>
      </c>
      <c r="C29" s="29" t="s">
        <v>1371</v>
      </c>
      <c r="D29" s="29">
        <v>50126338</v>
      </c>
      <c r="E29" s="91">
        <v>150</v>
      </c>
      <c r="F29" s="7">
        <v>188</v>
      </c>
      <c r="G29" s="7">
        <v>53</v>
      </c>
      <c r="H29" s="7" t="s">
        <v>2113</v>
      </c>
      <c r="I29" s="7" t="s">
        <v>109</v>
      </c>
      <c r="J29" s="7" t="s">
        <v>130</v>
      </c>
      <c r="K29" s="11">
        <v>7.4305555555555555E-2</v>
      </c>
      <c r="L29" s="7" t="s">
        <v>109</v>
      </c>
      <c r="M29" s="7" t="s">
        <v>109</v>
      </c>
      <c r="N29" s="29" t="s">
        <v>109</v>
      </c>
      <c r="O29" s="29" t="s">
        <v>61</v>
      </c>
      <c r="P29" s="7" t="s">
        <v>131</v>
      </c>
      <c r="Q29" s="7" t="s">
        <v>109</v>
      </c>
      <c r="R29" s="7" t="s">
        <v>62</v>
      </c>
      <c r="S29" s="7" t="s">
        <v>200</v>
      </c>
      <c r="T29" s="29" t="s">
        <v>1365</v>
      </c>
      <c r="U29" s="111">
        <f t="shared" si="0"/>
        <v>0.35333333333333333</v>
      </c>
      <c r="V29" s="7" t="s">
        <v>2146</v>
      </c>
    </row>
    <row r="30" spans="1:22" x14ac:dyDescent="0.3">
      <c r="A30" s="7">
        <v>29</v>
      </c>
      <c r="B30" s="29" t="s">
        <v>23</v>
      </c>
      <c r="C30" s="29" t="s">
        <v>1369</v>
      </c>
      <c r="D30" s="29">
        <v>50126339</v>
      </c>
      <c r="E30" s="91">
        <v>150</v>
      </c>
      <c r="F30" s="7">
        <v>222</v>
      </c>
      <c r="G30" s="7">
        <v>79</v>
      </c>
      <c r="H30" s="7" t="s">
        <v>2114</v>
      </c>
      <c r="I30" s="7" t="s">
        <v>109</v>
      </c>
      <c r="J30" s="7" t="s">
        <v>130</v>
      </c>
      <c r="K30" s="11">
        <v>4.7222222222222221E-2</v>
      </c>
      <c r="L30" s="7" t="s">
        <v>109</v>
      </c>
      <c r="M30" s="7" t="s">
        <v>109</v>
      </c>
      <c r="N30" s="29" t="s">
        <v>109</v>
      </c>
      <c r="O30" s="29" t="s">
        <v>61</v>
      </c>
      <c r="P30" s="7" t="s">
        <v>131</v>
      </c>
      <c r="Q30" s="7" t="s">
        <v>196</v>
      </c>
      <c r="R30" s="7" t="s">
        <v>62</v>
      </c>
      <c r="S30" s="7" t="s">
        <v>109</v>
      </c>
      <c r="T30" s="29" t="s">
        <v>1365</v>
      </c>
      <c r="U30" s="111">
        <f t="shared" si="0"/>
        <v>0.52666666666666662</v>
      </c>
      <c r="V30" s="7" t="s">
        <v>2146</v>
      </c>
    </row>
    <row r="31" spans="1:22" x14ac:dyDescent="0.3">
      <c r="A31" s="7">
        <v>30</v>
      </c>
      <c r="B31" s="29" t="s">
        <v>23</v>
      </c>
      <c r="C31" s="29" t="s">
        <v>1729</v>
      </c>
      <c r="D31" s="29">
        <v>50126400</v>
      </c>
      <c r="E31" s="91">
        <v>100</v>
      </c>
      <c r="F31" s="7">
        <v>77</v>
      </c>
      <c r="G31" s="7">
        <v>15</v>
      </c>
      <c r="H31" s="53" t="s">
        <v>153</v>
      </c>
      <c r="I31" s="7" t="s">
        <v>109</v>
      </c>
      <c r="J31" s="7" t="s">
        <v>130</v>
      </c>
      <c r="K31" s="11">
        <v>1.8749999999999999E-2</v>
      </c>
      <c r="L31" s="7" t="s">
        <v>109</v>
      </c>
      <c r="M31" s="7" t="s">
        <v>109</v>
      </c>
      <c r="N31" s="29" t="s">
        <v>109</v>
      </c>
      <c r="O31" s="29" t="s">
        <v>61</v>
      </c>
      <c r="P31" s="7" t="s">
        <v>131</v>
      </c>
      <c r="Q31" s="7" t="s">
        <v>153</v>
      </c>
      <c r="R31" s="7" t="s">
        <v>62</v>
      </c>
      <c r="S31" s="7" t="s">
        <v>109</v>
      </c>
      <c r="T31" s="29" t="s">
        <v>362</v>
      </c>
      <c r="U31" s="111">
        <f t="shared" si="0"/>
        <v>0.15</v>
      </c>
      <c r="V31" s="7" t="s">
        <v>152</v>
      </c>
    </row>
    <row r="32" spans="1:22" x14ac:dyDescent="0.3">
      <c r="A32" s="7">
        <v>31</v>
      </c>
      <c r="B32" s="29" t="s">
        <v>23</v>
      </c>
      <c r="C32" s="29" t="s">
        <v>1906</v>
      </c>
      <c r="D32" s="29">
        <v>50226027</v>
      </c>
      <c r="E32" s="91">
        <v>175</v>
      </c>
      <c r="F32" s="7">
        <v>109</v>
      </c>
      <c r="G32" s="7">
        <v>12</v>
      </c>
      <c r="H32" s="7" t="s">
        <v>214</v>
      </c>
      <c r="I32" s="53" t="s">
        <v>209</v>
      </c>
      <c r="J32" s="7" t="s">
        <v>130</v>
      </c>
      <c r="K32" s="11">
        <v>0.96875</v>
      </c>
      <c r="L32" s="11">
        <v>4.9305555555555554E-2</v>
      </c>
      <c r="M32" s="7" t="s">
        <v>109</v>
      </c>
      <c r="N32" s="29" t="s">
        <v>109</v>
      </c>
      <c r="O32" s="29" t="s">
        <v>61</v>
      </c>
      <c r="P32" s="7" t="s">
        <v>131</v>
      </c>
      <c r="Q32" s="7" t="s">
        <v>209</v>
      </c>
      <c r="R32" s="7" t="s">
        <v>62</v>
      </c>
      <c r="S32" s="7" t="s">
        <v>109</v>
      </c>
      <c r="T32" s="29" t="s">
        <v>480</v>
      </c>
      <c r="U32" s="111">
        <f t="shared" si="0"/>
        <v>6.8571428571428575E-2</v>
      </c>
      <c r="V32" s="7" t="s">
        <v>2146</v>
      </c>
    </row>
    <row r="33" spans="1:22" x14ac:dyDescent="0.3">
      <c r="A33" s="7">
        <v>32</v>
      </c>
      <c r="B33" s="29" t="s">
        <v>23</v>
      </c>
      <c r="C33" s="29" t="s">
        <v>749</v>
      </c>
      <c r="D33" s="29">
        <v>51225108</v>
      </c>
      <c r="E33" s="91">
        <v>50</v>
      </c>
      <c r="F33" s="7">
        <v>53</v>
      </c>
      <c r="G33" s="7">
        <v>18</v>
      </c>
      <c r="H33" s="53" t="s">
        <v>68</v>
      </c>
      <c r="I33" s="7" t="s">
        <v>109</v>
      </c>
      <c r="J33" s="7" t="s">
        <v>130</v>
      </c>
      <c r="K33" s="11">
        <v>5.5555555555555558E-3</v>
      </c>
      <c r="L33" s="7" t="s">
        <v>109</v>
      </c>
      <c r="M33" s="7" t="s">
        <v>109</v>
      </c>
      <c r="N33" s="32" t="s">
        <v>2013</v>
      </c>
      <c r="O33" s="29" t="s">
        <v>145</v>
      </c>
      <c r="P33" s="7" t="s">
        <v>131</v>
      </c>
      <c r="Q33" s="7" t="s">
        <v>68</v>
      </c>
      <c r="R33" s="7" t="s">
        <v>62</v>
      </c>
      <c r="S33" s="7" t="s">
        <v>109</v>
      </c>
      <c r="T33" s="29" t="s">
        <v>112</v>
      </c>
      <c r="U33" s="111">
        <f t="shared" si="0"/>
        <v>0.36</v>
      </c>
      <c r="V33" s="7" t="s">
        <v>640</v>
      </c>
    </row>
    <row r="34" spans="1:22" x14ac:dyDescent="0.3">
      <c r="A34" s="7">
        <v>33</v>
      </c>
      <c r="B34" s="29" t="s">
        <v>23</v>
      </c>
      <c r="C34" s="29" t="s">
        <v>1364</v>
      </c>
      <c r="D34" s="29">
        <v>50126341</v>
      </c>
      <c r="E34" s="91">
        <v>100</v>
      </c>
      <c r="F34" s="7">
        <v>112</v>
      </c>
      <c r="G34" s="7">
        <v>41</v>
      </c>
      <c r="H34" s="53" t="s">
        <v>200</v>
      </c>
      <c r="I34" s="7" t="s">
        <v>109</v>
      </c>
      <c r="J34" s="7" t="s">
        <v>130</v>
      </c>
      <c r="K34" s="11">
        <v>0.81041666666666667</v>
      </c>
      <c r="L34" s="7" t="s">
        <v>109</v>
      </c>
      <c r="M34" s="7" t="s">
        <v>109</v>
      </c>
      <c r="N34" s="29" t="s">
        <v>109</v>
      </c>
      <c r="O34" s="29" t="s">
        <v>61</v>
      </c>
      <c r="P34" s="7" t="s">
        <v>131</v>
      </c>
      <c r="Q34" s="7" t="s">
        <v>200</v>
      </c>
      <c r="R34" s="7" t="s">
        <v>62</v>
      </c>
      <c r="S34" s="7" t="s">
        <v>109</v>
      </c>
      <c r="T34" s="29" t="s">
        <v>1365</v>
      </c>
      <c r="U34" s="111">
        <f t="shared" ref="U34:U65" si="1">G34/E34</f>
        <v>0.41</v>
      </c>
      <c r="V34" s="7" t="s">
        <v>2146</v>
      </c>
    </row>
    <row r="35" spans="1:22" x14ac:dyDescent="0.3">
      <c r="A35" s="7">
        <v>34</v>
      </c>
      <c r="B35" s="29" t="s">
        <v>23</v>
      </c>
      <c r="C35" s="29" t="s">
        <v>2115</v>
      </c>
      <c r="D35" s="29">
        <v>50226055</v>
      </c>
      <c r="E35" s="91">
        <v>150</v>
      </c>
      <c r="F35" s="7">
        <v>99</v>
      </c>
      <c r="G35" s="7">
        <v>28</v>
      </c>
      <c r="H35" s="53" t="s">
        <v>2116</v>
      </c>
      <c r="I35" s="7" t="s">
        <v>109</v>
      </c>
      <c r="J35" s="7" t="s">
        <v>130</v>
      </c>
      <c r="K35" s="11">
        <v>6.9444444444444448E-2</v>
      </c>
      <c r="L35" s="7" t="s">
        <v>109</v>
      </c>
      <c r="M35" s="7" t="s">
        <v>109</v>
      </c>
      <c r="N35" s="29" t="s">
        <v>109</v>
      </c>
      <c r="O35" s="29" t="s">
        <v>61</v>
      </c>
      <c r="P35" s="7" t="s">
        <v>131</v>
      </c>
      <c r="Q35" s="7" t="s">
        <v>65</v>
      </c>
      <c r="R35" s="7" t="s">
        <v>62</v>
      </c>
      <c r="S35" s="7" t="s">
        <v>109</v>
      </c>
      <c r="T35" s="29" t="s">
        <v>289</v>
      </c>
      <c r="U35" s="111">
        <f t="shared" si="1"/>
        <v>0.18666666666666668</v>
      </c>
      <c r="V35" s="7" t="s">
        <v>2146</v>
      </c>
    </row>
    <row r="36" spans="1:22" x14ac:dyDescent="0.3">
      <c r="A36" s="7">
        <v>35</v>
      </c>
      <c r="B36" s="29" t="s">
        <v>23</v>
      </c>
      <c r="C36" s="29" t="s">
        <v>2117</v>
      </c>
      <c r="D36" s="29">
        <v>50226054</v>
      </c>
      <c r="E36" s="91">
        <v>175</v>
      </c>
      <c r="F36" s="7">
        <v>302</v>
      </c>
      <c r="G36" s="7">
        <v>199</v>
      </c>
      <c r="H36" s="53" t="s">
        <v>2118</v>
      </c>
      <c r="I36" s="7" t="s">
        <v>109</v>
      </c>
      <c r="J36" s="7" t="s">
        <v>130</v>
      </c>
      <c r="K36" s="11">
        <v>4.8611111111111112E-2</v>
      </c>
      <c r="L36" s="7" t="s">
        <v>109</v>
      </c>
      <c r="M36" s="7" t="s">
        <v>109</v>
      </c>
      <c r="N36" s="29" t="s">
        <v>109</v>
      </c>
      <c r="O36" s="29" t="s">
        <v>61</v>
      </c>
      <c r="P36" s="7" t="s">
        <v>131</v>
      </c>
      <c r="Q36" s="7" t="s">
        <v>68</v>
      </c>
      <c r="R36" s="7" t="s">
        <v>62</v>
      </c>
      <c r="S36" s="7" t="s">
        <v>109</v>
      </c>
      <c r="T36" s="29" t="s">
        <v>289</v>
      </c>
      <c r="U36" s="111">
        <f t="shared" si="1"/>
        <v>1.1371428571428572</v>
      </c>
      <c r="V36" s="7" t="s">
        <v>1945</v>
      </c>
    </row>
    <row r="37" spans="1:22" x14ac:dyDescent="0.3">
      <c r="A37" s="7">
        <v>36</v>
      </c>
      <c r="B37" s="29" t="s">
        <v>23</v>
      </c>
      <c r="C37" s="29" t="s">
        <v>2119</v>
      </c>
      <c r="D37" s="29">
        <v>50226057</v>
      </c>
      <c r="E37" s="91">
        <v>150</v>
      </c>
      <c r="F37" s="7">
        <v>142</v>
      </c>
      <c r="G37" s="7">
        <v>93</v>
      </c>
      <c r="H37" s="7" t="s">
        <v>2120</v>
      </c>
      <c r="I37" s="7" t="s">
        <v>109</v>
      </c>
      <c r="J37" s="7" t="s">
        <v>130</v>
      </c>
      <c r="K37" s="11">
        <v>6.25E-2</v>
      </c>
      <c r="L37" s="7" t="s">
        <v>109</v>
      </c>
      <c r="M37" s="7" t="s">
        <v>109</v>
      </c>
      <c r="N37" s="29" t="s">
        <v>109</v>
      </c>
      <c r="O37" s="29" t="s">
        <v>61</v>
      </c>
      <c r="P37" s="7" t="s">
        <v>131</v>
      </c>
      <c r="Q37" s="7" t="s">
        <v>196</v>
      </c>
      <c r="R37" s="7" t="s">
        <v>62</v>
      </c>
      <c r="S37" s="7" t="s">
        <v>109</v>
      </c>
      <c r="T37" s="29" t="s">
        <v>289</v>
      </c>
      <c r="U37" s="111">
        <f t="shared" si="1"/>
        <v>0.62</v>
      </c>
      <c r="V37" s="7" t="s">
        <v>2146</v>
      </c>
    </row>
    <row r="38" spans="1:22" x14ac:dyDescent="0.3">
      <c r="A38" s="7">
        <v>37</v>
      </c>
      <c r="B38" s="29" t="s">
        <v>23</v>
      </c>
      <c r="C38" s="29" t="s">
        <v>2121</v>
      </c>
      <c r="D38" s="29">
        <v>50226043</v>
      </c>
      <c r="E38" s="91">
        <v>75</v>
      </c>
      <c r="F38" s="7">
        <v>85</v>
      </c>
      <c r="G38" s="7">
        <v>10</v>
      </c>
      <c r="H38" s="53" t="s">
        <v>153</v>
      </c>
      <c r="I38" s="7" t="s">
        <v>109</v>
      </c>
      <c r="J38" s="7" t="s">
        <v>130</v>
      </c>
      <c r="K38" s="11">
        <v>3.8194444444444448E-2</v>
      </c>
      <c r="L38" s="7" t="s">
        <v>109</v>
      </c>
      <c r="M38" s="7" t="s">
        <v>109</v>
      </c>
      <c r="N38" s="29" t="s">
        <v>109</v>
      </c>
      <c r="O38" s="29" t="s">
        <v>61</v>
      </c>
      <c r="P38" s="7" t="s">
        <v>131</v>
      </c>
      <c r="Q38" s="7" t="s">
        <v>153</v>
      </c>
      <c r="R38" s="7" t="s">
        <v>62</v>
      </c>
      <c r="S38" s="7" t="s">
        <v>109</v>
      </c>
      <c r="T38" s="29" t="s">
        <v>464</v>
      </c>
      <c r="U38" s="111">
        <f t="shared" si="1"/>
        <v>0.13333333333333333</v>
      </c>
      <c r="V38" s="7" t="s">
        <v>2146</v>
      </c>
    </row>
    <row r="39" spans="1:22" x14ac:dyDescent="0.3">
      <c r="A39" s="7">
        <v>38</v>
      </c>
      <c r="B39" s="29" t="s">
        <v>23</v>
      </c>
      <c r="C39" s="29" t="s">
        <v>752</v>
      </c>
      <c r="D39" s="29">
        <v>50126141</v>
      </c>
      <c r="E39" s="91">
        <v>50</v>
      </c>
      <c r="F39" s="7">
        <v>49</v>
      </c>
      <c r="G39" s="7">
        <v>23</v>
      </c>
      <c r="H39" s="53" t="s">
        <v>222</v>
      </c>
      <c r="I39" s="53" t="s">
        <v>89</v>
      </c>
      <c r="J39" s="7" t="s">
        <v>130</v>
      </c>
      <c r="K39" s="11">
        <v>0.94374999999999998</v>
      </c>
      <c r="L39" s="11">
        <v>0.95833333333333337</v>
      </c>
      <c r="M39" s="7" t="s">
        <v>109</v>
      </c>
      <c r="N39" s="29" t="s">
        <v>109</v>
      </c>
      <c r="O39" s="29" t="s">
        <v>61</v>
      </c>
      <c r="P39" s="7" t="s">
        <v>131</v>
      </c>
      <c r="Q39" s="7" t="s">
        <v>89</v>
      </c>
      <c r="R39" s="7" t="s">
        <v>62</v>
      </c>
      <c r="S39" s="7" t="s">
        <v>109</v>
      </c>
      <c r="T39" s="29" t="s">
        <v>480</v>
      </c>
      <c r="U39" s="111">
        <f t="shared" si="1"/>
        <v>0.46</v>
      </c>
      <c r="V39" s="7" t="s">
        <v>2146</v>
      </c>
    </row>
    <row r="40" spans="1:22" x14ac:dyDescent="0.3">
      <c r="A40" s="7">
        <v>39</v>
      </c>
      <c r="B40" s="29" t="s">
        <v>23</v>
      </c>
      <c r="C40" s="29" t="s">
        <v>756</v>
      </c>
      <c r="D40" s="29">
        <v>50126144</v>
      </c>
      <c r="E40" s="91">
        <v>50</v>
      </c>
      <c r="F40" s="7">
        <v>51</v>
      </c>
      <c r="G40" s="7">
        <v>17</v>
      </c>
      <c r="H40" s="7" t="s">
        <v>65</v>
      </c>
      <c r="I40" s="53" t="s">
        <v>209</v>
      </c>
      <c r="J40" s="7" t="s">
        <v>130</v>
      </c>
      <c r="K40" s="11">
        <v>2.1527777777777778E-2</v>
      </c>
      <c r="L40" s="7" t="s">
        <v>109</v>
      </c>
      <c r="M40" s="7" t="s">
        <v>109</v>
      </c>
      <c r="N40" s="29" t="s">
        <v>109</v>
      </c>
      <c r="O40" s="29" t="s">
        <v>61</v>
      </c>
      <c r="P40" s="7" t="s">
        <v>131</v>
      </c>
      <c r="Q40" s="7" t="s">
        <v>209</v>
      </c>
      <c r="R40" s="7" t="s">
        <v>62</v>
      </c>
      <c r="S40" s="7" t="s">
        <v>109</v>
      </c>
      <c r="T40" s="29" t="s">
        <v>480</v>
      </c>
      <c r="U40" s="111">
        <f t="shared" si="1"/>
        <v>0.34</v>
      </c>
      <c r="V40" s="7" t="s">
        <v>2146</v>
      </c>
    </row>
    <row r="41" spans="1:22" x14ac:dyDescent="0.3">
      <c r="A41" s="7">
        <v>40</v>
      </c>
      <c r="B41" s="29" t="s">
        <v>23</v>
      </c>
      <c r="C41" s="29" t="s">
        <v>1054</v>
      </c>
      <c r="D41" s="29">
        <v>50126315</v>
      </c>
      <c r="E41" s="91">
        <v>100</v>
      </c>
      <c r="F41" s="7">
        <v>217</v>
      </c>
      <c r="G41" s="7">
        <v>128</v>
      </c>
      <c r="H41" s="7" t="s">
        <v>1283</v>
      </c>
      <c r="I41" s="53" t="s">
        <v>91</v>
      </c>
      <c r="J41" s="7" t="s">
        <v>130</v>
      </c>
      <c r="K41" s="11">
        <v>0.76666666666666672</v>
      </c>
      <c r="L41" s="11">
        <v>0.94305555555555554</v>
      </c>
      <c r="M41" s="7" t="s">
        <v>109</v>
      </c>
      <c r="N41" s="29" t="s">
        <v>109</v>
      </c>
      <c r="O41" s="29" t="s">
        <v>61</v>
      </c>
      <c r="P41" s="7" t="s">
        <v>131</v>
      </c>
      <c r="Q41" s="7" t="s">
        <v>91</v>
      </c>
      <c r="R41" s="7" t="s">
        <v>62</v>
      </c>
      <c r="S41" s="7" t="s">
        <v>109</v>
      </c>
      <c r="T41" s="29" t="s">
        <v>480</v>
      </c>
      <c r="U41" s="111">
        <f t="shared" si="1"/>
        <v>1.28</v>
      </c>
      <c r="V41" s="7" t="s">
        <v>1945</v>
      </c>
    </row>
    <row r="42" spans="1:22" x14ac:dyDescent="0.3">
      <c r="A42" s="7">
        <v>41</v>
      </c>
      <c r="B42" s="29" t="s">
        <v>23</v>
      </c>
      <c r="C42" s="29" t="s">
        <v>1056</v>
      </c>
      <c r="D42" s="29">
        <v>50126316</v>
      </c>
      <c r="E42" s="91">
        <v>100</v>
      </c>
      <c r="F42" s="7">
        <v>115</v>
      </c>
      <c r="G42" s="7">
        <v>35</v>
      </c>
      <c r="H42" s="53" t="s">
        <v>67</v>
      </c>
      <c r="I42" s="53" t="s">
        <v>89</v>
      </c>
      <c r="J42" s="7" t="s">
        <v>130</v>
      </c>
      <c r="K42" s="11">
        <v>0.95833333333333337</v>
      </c>
      <c r="L42" s="11">
        <v>0.97986111111111107</v>
      </c>
      <c r="M42" s="7" t="s">
        <v>109</v>
      </c>
      <c r="N42" s="29" t="s">
        <v>109</v>
      </c>
      <c r="O42" s="29" t="s">
        <v>61</v>
      </c>
      <c r="P42" s="7" t="s">
        <v>131</v>
      </c>
      <c r="Q42" s="7" t="s">
        <v>89</v>
      </c>
      <c r="R42" s="7" t="s">
        <v>62</v>
      </c>
      <c r="S42" s="7" t="s">
        <v>109</v>
      </c>
      <c r="T42" s="29" t="s">
        <v>480</v>
      </c>
      <c r="U42" s="111">
        <f t="shared" si="1"/>
        <v>0.35</v>
      </c>
      <c r="V42" s="7" t="s">
        <v>2146</v>
      </c>
    </row>
    <row r="43" spans="1:22" x14ac:dyDescent="0.3">
      <c r="A43" s="7">
        <v>42</v>
      </c>
      <c r="B43" s="29" t="s">
        <v>23</v>
      </c>
      <c r="C43" s="29" t="s">
        <v>1909</v>
      </c>
      <c r="D43" s="29">
        <v>50226025</v>
      </c>
      <c r="E43" s="91">
        <v>150</v>
      </c>
      <c r="F43" s="7">
        <v>135</v>
      </c>
      <c r="G43" s="7">
        <v>43</v>
      </c>
      <c r="H43" s="53" t="s">
        <v>2122</v>
      </c>
      <c r="I43" s="53" t="s">
        <v>2123</v>
      </c>
      <c r="J43" s="7" t="s">
        <v>130</v>
      </c>
      <c r="K43" s="11">
        <v>0.97777777777777775</v>
      </c>
      <c r="L43" s="11">
        <v>1.3194444444444444E-2</v>
      </c>
      <c r="M43" s="7" t="s">
        <v>109</v>
      </c>
      <c r="N43" s="29" t="s">
        <v>109</v>
      </c>
      <c r="O43" s="29" t="s">
        <v>61</v>
      </c>
      <c r="P43" s="7" t="s">
        <v>131</v>
      </c>
      <c r="Q43" s="7" t="s">
        <v>87</v>
      </c>
      <c r="R43" s="7" t="s">
        <v>62</v>
      </c>
      <c r="S43" s="7" t="s">
        <v>109</v>
      </c>
      <c r="T43" s="29" t="s">
        <v>480</v>
      </c>
      <c r="U43" s="111">
        <f t="shared" si="1"/>
        <v>0.28666666666666668</v>
      </c>
      <c r="V43" s="7" t="s">
        <v>2146</v>
      </c>
    </row>
    <row r="44" spans="1:22" x14ac:dyDescent="0.3">
      <c r="A44" s="7">
        <v>43</v>
      </c>
      <c r="B44" s="29" t="s">
        <v>23</v>
      </c>
      <c r="C44" s="29" t="s">
        <v>198</v>
      </c>
      <c r="D44" s="29">
        <v>50925062</v>
      </c>
      <c r="E44" s="91">
        <v>75</v>
      </c>
      <c r="F44" s="7">
        <v>114</v>
      </c>
      <c r="G44" s="7">
        <v>60</v>
      </c>
      <c r="H44" s="7" t="s">
        <v>2124</v>
      </c>
      <c r="I44" s="7" t="s">
        <v>109</v>
      </c>
      <c r="J44" s="7" t="s">
        <v>130</v>
      </c>
      <c r="K44" s="11">
        <v>5.9027777777777776E-2</v>
      </c>
      <c r="L44" s="7" t="s">
        <v>109</v>
      </c>
      <c r="M44" s="7" t="s">
        <v>109</v>
      </c>
      <c r="N44" s="29" t="s">
        <v>109</v>
      </c>
      <c r="O44" s="29" t="s">
        <v>61</v>
      </c>
      <c r="P44" s="7" t="s">
        <v>131</v>
      </c>
      <c r="Q44" s="7" t="s">
        <v>68</v>
      </c>
      <c r="R44" s="7" t="s">
        <v>62</v>
      </c>
      <c r="S44" s="7" t="s">
        <v>109</v>
      </c>
      <c r="T44" s="29" t="s">
        <v>197</v>
      </c>
      <c r="U44" s="111">
        <f t="shared" si="1"/>
        <v>0.8</v>
      </c>
      <c r="V44" s="7" t="s">
        <v>2146</v>
      </c>
    </row>
    <row r="45" spans="1:22" x14ac:dyDescent="0.3">
      <c r="A45" s="7">
        <v>44</v>
      </c>
      <c r="B45" s="29" t="s">
        <v>23</v>
      </c>
      <c r="C45" s="29" t="s">
        <v>215</v>
      </c>
      <c r="D45" s="29">
        <v>50925077</v>
      </c>
      <c r="E45" s="91">
        <v>50</v>
      </c>
      <c r="F45" s="7">
        <v>43</v>
      </c>
      <c r="G45" s="7">
        <v>29</v>
      </c>
      <c r="H45" s="53" t="s">
        <v>196</v>
      </c>
      <c r="I45" s="7" t="s">
        <v>109</v>
      </c>
      <c r="J45" s="7" t="s">
        <v>130</v>
      </c>
      <c r="K45" s="11">
        <v>2.5694444444444443E-2</v>
      </c>
      <c r="L45" s="7" t="s">
        <v>109</v>
      </c>
      <c r="M45" s="7" t="s">
        <v>109</v>
      </c>
      <c r="N45" s="32" t="s">
        <v>2013</v>
      </c>
      <c r="O45" s="29" t="s">
        <v>61</v>
      </c>
      <c r="P45" s="7" t="s">
        <v>131</v>
      </c>
      <c r="Q45" s="7" t="s">
        <v>196</v>
      </c>
      <c r="R45" s="7" t="s">
        <v>62</v>
      </c>
      <c r="S45" s="7" t="s">
        <v>109</v>
      </c>
      <c r="T45" s="29" t="s">
        <v>197</v>
      </c>
      <c r="U45" s="111">
        <f t="shared" si="1"/>
        <v>0.57999999999999996</v>
      </c>
      <c r="V45" s="7" t="s">
        <v>152</v>
      </c>
    </row>
    <row r="46" spans="1:22" x14ac:dyDescent="0.3">
      <c r="A46" s="7">
        <v>45</v>
      </c>
      <c r="B46" s="29" t="s">
        <v>23</v>
      </c>
      <c r="C46" s="29" t="s">
        <v>205</v>
      </c>
      <c r="D46" s="29">
        <v>50925075</v>
      </c>
      <c r="E46" s="91">
        <v>100</v>
      </c>
      <c r="F46" s="7">
        <v>182</v>
      </c>
      <c r="G46" s="7">
        <v>51</v>
      </c>
      <c r="H46" s="53" t="s">
        <v>2125</v>
      </c>
      <c r="I46" s="7" t="s">
        <v>109</v>
      </c>
      <c r="J46" s="7" t="s">
        <v>130</v>
      </c>
      <c r="K46" s="11">
        <v>3.8194444444444448E-2</v>
      </c>
      <c r="L46" s="7" t="s">
        <v>109</v>
      </c>
      <c r="M46" s="7" t="s">
        <v>109</v>
      </c>
      <c r="N46" s="29" t="s">
        <v>109</v>
      </c>
      <c r="O46" s="29" t="s">
        <v>61</v>
      </c>
      <c r="P46" s="7" t="s">
        <v>131</v>
      </c>
      <c r="Q46" s="7" t="s">
        <v>64</v>
      </c>
      <c r="R46" s="7" t="s">
        <v>62</v>
      </c>
      <c r="S46" s="7" t="s">
        <v>109</v>
      </c>
      <c r="T46" s="29" t="s">
        <v>197</v>
      </c>
      <c r="U46" s="111">
        <f t="shared" si="1"/>
        <v>0.51</v>
      </c>
      <c r="V46" s="7" t="s">
        <v>2146</v>
      </c>
    </row>
    <row r="47" spans="1:22" x14ac:dyDescent="0.3">
      <c r="A47" s="7">
        <v>46</v>
      </c>
      <c r="B47" s="29" t="s">
        <v>23</v>
      </c>
      <c r="C47" s="29" t="s">
        <v>2126</v>
      </c>
      <c r="D47" s="29">
        <v>50226064</v>
      </c>
      <c r="E47" s="91">
        <v>50</v>
      </c>
      <c r="F47" s="7">
        <v>61</v>
      </c>
      <c r="G47" s="7">
        <v>34</v>
      </c>
      <c r="H47" s="53" t="s">
        <v>200</v>
      </c>
      <c r="I47" s="7" t="s">
        <v>109</v>
      </c>
      <c r="J47" s="7" t="s">
        <v>130</v>
      </c>
      <c r="K47" s="11">
        <v>0.88124999999999998</v>
      </c>
      <c r="L47" s="7" t="s">
        <v>109</v>
      </c>
      <c r="M47" s="7" t="s">
        <v>109</v>
      </c>
      <c r="N47" s="29" t="s">
        <v>109</v>
      </c>
      <c r="O47" s="29" t="s">
        <v>61</v>
      </c>
      <c r="P47" s="7" t="s">
        <v>131</v>
      </c>
      <c r="Q47" s="7" t="s">
        <v>200</v>
      </c>
      <c r="R47" s="7" t="s">
        <v>62</v>
      </c>
      <c r="S47" s="7" t="s">
        <v>109</v>
      </c>
      <c r="T47" s="29" t="s">
        <v>610</v>
      </c>
      <c r="U47" s="111">
        <f t="shared" si="1"/>
        <v>0.68</v>
      </c>
      <c r="V47" s="7" t="s">
        <v>2146</v>
      </c>
    </row>
    <row r="48" spans="1:22" x14ac:dyDescent="0.3">
      <c r="A48" s="7">
        <v>47</v>
      </c>
      <c r="B48" s="29" t="s">
        <v>23</v>
      </c>
      <c r="C48" s="29" t="s">
        <v>2127</v>
      </c>
      <c r="D48" s="29">
        <v>50226065</v>
      </c>
      <c r="E48" s="91">
        <v>50</v>
      </c>
      <c r="F48" s="7">
        <v>100</v>
      </c>
      <c r="G48" s="7">
        <v>35</v>
      </c>
      <c r="H48" s="7" t="s">
        <v>153</v>
      </c>
      <c r="I48" s="7" t="s">
        <v>109</v>
      </c>
      <c r="J48" s="7" t="s">
        <v>130</v>
      </c>
      <c r="K48" s="11">
        <v>0.67361111111111116</v>
      </c>
      <c r="L48" s="7" t="s">
        <v>109</v>
      </c>
      <c r="M48" s="7" t="s">
        <v>109</v>
      </c>
      <c r="N48" s="29" t="s">
        <v>109</v>
      </c>
      <c r="O48" s="29" t="s">
        <v>61</v>
      </c>
      <c r="P48" s="7" t="s">
        <v>131</v>
      </c>
      <c r="Q48" s="7" t="s">
        <v>153</v>
      </c>
      <c r="R48" s="7" t="s">
        <v>62</v>
      </c>
      <c r="S48" s="7" t="s">
        <v>109</v>
      </c>
      <c r="T48" s="29" t="s">
        <v>610</v>
      </c>
      <c r="U48" s="111">
        <f t="shared" si="1"/>
        <v>0.7</v>
      </c>
      <c r="V48" s="7" t="s">
        <v>2141</v>
      </c>
    </row>
    <row r="49" spans="1:22" x14ac:dyDescent="0.3">
      <c r="A49" s="7">
        <v>48</v>
      </c>
      <c r="B49" s="29" t="s">
        <v>23</v>
      </c>
      <c r="C49" s="29" t="s">
        <v>1307</v>
      </c>
      <c r="D49" s="29">
        <v>50126334</v>
      </c>
      <c r="E49" s="91">
        <v>50</v>
      </c>
      <c r="F49" s="7">
        <v>71</v>
      </c>
      <c r="G49" s="7">
        <v>9</v>
      </c>
      <c r="H49" s="53" t="s">
        <v>90</v>
      </c>
      <c r="I49" s="7" t="s">
        <v>109</v>
      </c>
      <c r="J49" s="7" t="s">
        <v>130</v>
      </c>
      <c r="K49" s="11">
        <v>0.75763888888888886</v>
      </c>
      <c r="L49" s="7" t="s">
        <v>109</v>
      </c>
      <c r="M49" s="7" t="s">
        <v>109</v>
      </c>
      <c r="N49" s="29" t="s">
        <v>109</v>
      </c>
      <c r="O49" s="29" t="s">
        <v>61</v>
      </c>
      <c r="P49" s="7" t="s">
        <v>131</v>
      </c>
      <c r="Q49" s="7" t="s">
        <v>90</v>
      </c>
      <c r="R49" s="7" t="s">
        <v>62</v>
      </c>
      <c r="S49" s="7" t="s">
        <v>109</v>
      </c>
      <c r="T49" s="29" t="s">
        <v>1309</v>
      </c>
      <c r="U49" s="111">
        <f t="shared" si="1"/>
        <v>0.18</v>
      </c>
      <c r="V49" s="7" t="s">
        <v>2146</v>
      </c>
    </row>
    <row r="50" spans="1:22" x14ac:dyDescent="0.3">
      <c r="A50" s="7">
        <v>49</v>
      </c>
      <c r="B50" s="29" t="s">
        <v>23</v>
      </c>
      <c r="C50" s="29" t="s">
        <v>1636</v>
      </c>
      <c r="D50" s="29">
        <v>50126359</v>
      </c>
      <c r="E50" s="91">
        <v>150</v>
      </c>
      <c r="F50" s="7">
        <v>125</v>
      </c>
      <c r="G50" s="7">
        <v>47</v>
      </c>
      <c r="H50" s="7" t="s">
        <v>2128</v>
      </c>
      <c r="I50" s="7" t="s">
        <v>109</v>
      </c>
      <c r="J50" s="7" t="s">
        <v>130</v>
      </c>
      <c r="K50" s="11">
        <v>0.91388888888888886</v>
      </c>
      <c r="L50" s="7" t="s">
        <v>109</v>
      </c>
      <c r="M50" s="7" t="s">
        <v>109</v>
      </c>
      <c r="N50" s="32" t="s">
        <v>2129</v>
      </c>
      <c r="O50" s="29" t="s">
        <v>61</v>
      </c>
      <c r="P50" s="7" t="s">
        <v>131</v>
      </c>
      <c r="Q50" s="7" t="s">
        <v>274</v>
      </c>
      <c r="R50" s="7" t="s">
        <v>62</v>
      </c>
      <c r="S50" s="7" t="s">
        <v>109</v>
      </c>
      <c r="T50" s="29" t="s">
        <v>1568</v>
      </c>
      <c r="U50" s="111">
        <f t="shared" si="1"/>
        <v>0.31333333333333335</v>
      </c>
      <c r="V50" s="7" t="s">
        <v>2146</v>
      </c>
    </row>
    <row r="51" spans="1:22" x14ac:dyDescent="0.3">
      <c r="A51" s="7">
        <v>50</v>
      </c>
      <c r="B51" s="29" t="s">
        <v>23</v>
      </c>
      <c r="C51" s="29" t="s">
        <v>2130</v>
      </c>
      <c r="D51" s="29">
        <v>50226058</v>
      </c>
      <c r="E51" s="91">
        <v>175</v>
      </c>
      <c r="F51" s="7">
        <v>214</v>
      </c>
      <c r="G51" s="7">
        <v>144</v>
      </c>
      <c r="H51" s="7" t="s">
        <v>2131</v>
      </c>
      <c r="I51" s="7" t="s">
        <v>109</v>
      </c>
      <c r="J51" s="7" t="s">
        <v>130</v>
      </c>
      <c r="K51" s="11">
        <v>0.82013888888888886</v>
      </c>
      <c r="L51" s="7" t="s">
        <v>109</v>
      </c>
      <c r="M51" s="7" t="s">
        <v>109</v>
      </c>
      <c r="N51" s="29" t="s">
        <v>109</v>
      </c>
      <c r="O51" s="29" t="s">
        <v>61</v>
      </c>
      <c r="P51" s="7" t="s">
        <v>131</v>
      </c>
      <c r="Q51" s="7" t="s">
        <v>274</v>
      </c>
      <c r="R51" s="7" t="s">
        <v>62</v>
      </c>
      <c r="S51" s="7" t="s">
        <v>109</v>
      </c>
      <c r="T51" s="29" t="s">
        <v>117</v>
      </c>
      <c r="U51" s="111">
        <f t="shared" si="1"/>
        <v>0.82285714285714284</v>
      </c>
      <c r="V51" s="7" t="s">
        <v>2146</v>
      </c>
    </row>
    <row r="52" spans="1:22" x14ac:dyDescent="0.3">
      <c r="A52" s="7">
        <v>51</v>
      </c>
      <c r="B52" s="29" t="s">
        <v>23</v>
      </c>
      <c r="C52" s="29" t="s">
        <v>1841</v>
      </c>
      <c r="D52" s="29">
        <v>50226011</v>
      </c>
      <c r="E52" s="91">
        <v>175</v>
      </c>
      <c r="F52" s="7">
        <v>70</v>
      </c>
      <c r="G52" s="7">
        <v>11</v>
      </c>
      <c r="H52" s="7" t="s">
        <v>2132</v>
      </c>
      <c r="I52" s="7" t="s">
        <v>109</v>
      </c>
      <c r="J52" s="7" t="s">
        <v>130</v>
      </c>
      <c r="K52" s="11">
        <v>6.9444444444444448E-2</v>
      </c>
      <c r="L52" s="7" t="s">
        <v>109</v>
      </c>
      <c r="M52" s="7" t="s">
        <v>109</v>
      </c>
      <c r="N52" s="29" t="s">
        <v>109</v>
      </c>
      <c r="O52" s="29" t="s">
        <v>61</v>
      </c>
      <c r="P52" s="7" t="s">
        <v>131</v>
      </c>
      <c r="Q52" s="7" t="s">
        <v>222</v>
      </c>
      <c r="R52" s="7" t="s">
        <v>62</v>
      </c>
      <c r="S52" s="7" t="s">
        <v>109</v>
      </c>
      <c r="T52" s="29" t="s">
        <v>1433</v>
      </c>
      <c r="U52" s="111">
        <f t="shared" si="1"/>
        <v>6.2857142857142861E-2</v>
      </c>
      <c r="V52" s="7" t="s">
        <v>2146</v>
      </c>
    </row>
    <row r="53" spans="1:22" x14ac:dyDescent="0.3">
      <c r="A53" s="7">
        <v>52</v>
      </c>
      <c r="B53" s="29" t="s">
        <v>23</v>
      </c>
      <c r="C53" s="29" t="s">
        <v>1842</v>
      </c>
      <c r="D53" s="29">
        <v>50226012</v>
      </c>
      <c r="E53" s="91">
        <v>450</v>
      </c>
      <c r="F53" s="7">
        <v>229</v>
      </c>
      <c r="G53" s="7">
        <v>35</v>
      </c>
      <c r="H53" s="7" t="s">
        <v>2133</v>
      </c>
      <c r="I53" s="7" t="s">
        <v>109</v>
      </c>
      <c r="J53" s="7" t="s">
        <v>130</v>
      </c>
      <c r="K53" s="11">
        <v>7.1527777777777773E-2</v>
      </c>
      <c r="L53" s="7" t="s">
        <v>109</v>
      </c>
      <c r="M53" s="7" t="s">
        <v>109</v>
      </c>
      <c r="N53" s="29" t="s">
        <v>109</v>
      </c>
      <c r="O53" s="29" t="s">
        <v>61</v>
      </c>
      <c r="P53" s="7" t="s">
        <v>131</v>
      </c>
      <c r="Q53" s="7" t="s">
        <v>196</v>
      </c>
      <c r="R53" s="7" t="s">
        <v>62</v>
      </c>
      <c r="S53" s="7" t="s">
        <v>109</v>
      </c>
      <c r="T53" s="29" t="s">
        <v>1433</v>
      </c>
      <c r="U53" s="111">
        <f t="shared" si="1"/>
        <v>7.7777777777777779E-2</v>
      </c>
      <c r="V53" s="7" t="s">
        <v>2146</v>
      </c>
    </row>
    <row r="54" spans="1:22" x14ac:dyDescent="0.3">
      <c r="A54" s="7">
        <v>53</v>
      </c>
      <c r="B54" s="29" t="s">
        <v>23</v>
      </c>
      <c r="C54" s="29" t="s">
        <v>1844</v>
      </c>
      <c r="D54" s="29">
        <v>50226014</v>
      </c>
      <c r="E54" s="91">
        <v>450</v>
      </c>
      <c r="F54" s="7">
        <v>546</v>
      </c>
      <c r="G54" s="7">
        <v>298</v>
      </c>
      <c r="H54" s="53" t="s">
        <v>2134</v>
      </c>
      <c r="I54" s="7" t="s">
        <v>109</v>
      </c>
      <c r="J54" s="7" t="s">
        <v>130</v>
      </c>
      <c r="K54" s="11">
        <v>7.013888888888889E-2</v>
      </c>
      <c r="L54" s="7" t="s">
        <v>109</v>
      </c>
      <c r="M54" s="7" t="s">
        <v>109</v>
      </c>
      <c r="N54" s="29" t="s">
        <v>109</v>
      </c>
      <c r="O54" s="29" t="s">
        <v>61</v>
      </c>
      <c r="P54" s="7" t="s">
        <v>131</v>
      </c>
      <c r="Q54" s="7" t="s">
        <v>71</v>
      </c>
      <c r="R54" s="7" t="s">
        <v>62</v>
      </c>
      <c r="S54" s="7" t="s">
        <v>109</v>
      </c>
      <c r="T54" s="29" t="s">
        <v>1433</v>
      </c>
      <c r="U54" s="111">
        <f t="shared" si="1"/>
        <v>0.66222222222222227</v>
      </c>
      <c r="V54" s="7" t="s">
        <v>2146</v>
      </c>
    </row>
    <row r="55" spans="1:22" x14ac:dyDescent="0.3">
      <c r="A55" s="7">
        <v>54</v>
      </c>
      <c r="B55" s="29" t="s">
        <v>23</v>
      </c>
      <c r="C55" s="29" t="s">
        <v>2135</v>
      </c>
      <c r="D55" s="29">
        <v>50226063</v>
      </c>
      <c r="E55" s="91">
        <v>30</v>
      </c>
      <c r="F55" s="7">
        <v>58</v>
      </c>
      <c r="G55" s="7">
        <v>18</v>
      </c>
      <c r="H55" s="53" t="s">
        <v>70</v>
      </c>
      <c r="I55" s="7" t="s">
        <v>109</v>
      </c>
      <c r="J55" s="7" t="s">
        <v>130</v>
      </c>
      <c r="K55" s="11">
        <v>0.79305555555555551</v>
      </c>
      <c r="L55" s="7" t="s">
        <v>109</v>
      </c>
      <c r="M55" s="7" t="s">
        <v>109</v>
      </c>
      <c r="N55" s="29" t="s">
        <v>109</v>
      </c>
      <c r="O55" s="29" t="s">
        <v>61</v>
      </c>
      <c r="P55" s="7" t="s">
        <v>131</v>
      </c>
      <c r="Q55" s="7" t="s">
        <v>70</v>
      </c>
      <c r="R55" s="7" t="s">
        <v>62</v>
      </c>
      <c r="S55" s="7" t="s">
        <v>109</v>
      </c>
      <c r="T55" s="29" t="s">
        <v>121</v>
      </c>
      <c r="U55" s="111">
        <f t="shared" si="1"/>
        <v>0.6</v>
      </c>
      <c r="V55" s="7" t="s">
        <v>152</v>
      </c>
    </row>
    <row r="56" spans="1:22" x14ac:dyDescent="0.3">
      <c r="A56" s="7">
        <v>55</v>
      </c>
      <c r="B56" s="29" t="s">
        <v>23</v>
      </c>
      <c r="C56" s="29" t="s">
        <v>2136</v>
      </c>
      <c r="D56" s="29">
        <v>50226062</v>
      </c>
      <c r="E56" s="91">
        <v>30</v>
      </c>
      <c r="F56" s="7">
        <v>62</v>
      </c>
      <c r="G56" s="7">
        <v>33</v>
      </c>
      <c r="H56" s="53" t="s">
        <v>196</v>
      </c>
      <c r="I56" s="7" t="s">
        <v>109</v>
      </c>
      <c r="J56" s="7" t="s">
        <v>130</v>
      </c>
      <c r="K56" s="11">
        <v>0.83750000000000002</v>
      </c>
      <c r="L56" s="7" t="s">
        <v>109</v>
      </c>
      <c r="M56" s="7" t="s">
        <v>109</v>
      </c>
      <c r="N56" s="29" t="s">
        <v>109</v>
      </c>
      <c r="O56" s="29" t="s">
        <v>61</v>
      </c>
      <c r="P56" s="7" t="s">
        <v>131</v>
      </c>
      <c r="Q56" s="7" t="s">
        <v>196</v>
      </c>
      <c r="R56" s="7" t="s">
        <v>62</v>
      </c>
      <c r="S56" s="7" t="s">
        <v>109</v>
      </c>
      <c r="T56" s="29" t="s">
        <v>121</v>
      </c>
      <c r="U56" s="111">
        <f t="shared" si="1"/>
        <v>1.1000000000000001</v>
      </c>
      <c r="V56" s="7" t="s">
        <v>1945</v>
      </c>
    </row>
    <row r="57" spans="1:22" x14ac:dyDescent="0.3">
      <c r="A57" s="7">
        <v>56</v>
      </c>
      <c r="B57" s="29" t="s">
        <v>23</v>
      </c>
      <c r="C57" s="29" t="s">
        <v>2137</v>
      </c>
      <c r="D57" s="29">
        <v>50226061</v>
      </c>
      <c r="E57" s="91">
        <v>40</v>
      </c>
      <c r="F57" s="7">
        <v>60</v>
      </c>
      <c r="G57" s="7">
        <v>13</v>
      </c>
      <c r="H57" s="53" t="s">
        <v>214</v>
      </c>
      <c r="I57" s="7" t="s">
        <v>109</v>
      </c>
      <c r="J57" s="7" t="s">
        <v>130</v>
      </c>
      <c r="K57" s="11">
        <v>0.91180555555555554</v>
      </c>
      <c r="L57" s="7" t="s">
        <v>109</v>
      </c>
      <c r="M57" s="7" t="s">
        <v>109</v>
      </c>
      <c r="N57" s="29" t="s">
        <v>109</v>
      </c>
      <c r="O57" s="29" t="s">
        <v>61</v>
      </c>
      <c r="P57" s="7" t="s">
        <v>131</v>
      </c>
      <c r="Q57" s="7" t="s">
        <v>214</v>
      </c>
      <c r="R57" s="7" t="s">
        <v>62</v>
      </c>
      <c r="S57" s="7" t="s">
        <v>109</v>
      </c>
      <c r="T57" s="29" t="s">
        <v>121</v>
      </c>
      <c r="U57" s="111">
        <f t="shared" si="1"/>
        <v>0.32500000000000001</v>
      </c>
      <c r="V57" s="7" t="s">
        <v>2146</v>
      </c>
    </row>
    <row r="58" spans="1:22" x14ac:dyDescent="0.3">
      <c r="A58" s="7">
        <v>57</v>
      </c>
      <c r="B58" s="29" t="s">
        <v>23</v>
      </c>
      <c r="C58" s="29" t="s">
        <v>2138</v>
      </c>
      <c r="D58" s="29">
        <v>50226060</v>
      </c>
      <c r="E58" s="91">
        <v>40</v>
      </c>
      <c r="F58" s="7">
        <v>59</v>
      </c>
      <c r="G58" s="7">
        <v>47</v>
      </c>
      <c r="H58" s="53" t="s">
        <v>94</v>
      </c>
      <c r="I58" s="7" t="s">
        <v>109</v>
      </c>
      <c r="J58" s="7" t="s">
        <v>130</v>
      </c>
      <c r="K58" s="11">
        <v>4.0972222222222222E-2</v>
      </c>
      <c r="L58" s="7" t="s">
        <v>109</v>
      </c>
      <c r="M58" s="7" t="s">
        <v>109</v>
      </c>
      <c r="N58" s="29" t="s">
        <v>109</v>
      </c>
      <c r="O58" s="29" t="s">
        <v>61</v>
      </c>
      <c r="P58" s="7" t="s">
        <v>131</v>
      </c>
      <c r="Q58" s="7" t="s">
        <v>94</v>
      </c>
      <c r="R58" s="7" t="s">
        <v>62</v>
      </c>
      <c r="S58" s="7" t="s">
        <v>109</v>
      </c>
      <c r="T58" s="29" t="s">
        <v>121</v>
      </c>
      <c r="U58" s="111">
        <f t="shared" si="1"/>
        <v>1.175</v>
      </c>
      <c r="V58" s="7" t="s">
        <v>1945</v>
      </c>
    </row>
    <row r="59" spans="1:22" x14ac:dyDescent="0.3">
      <c r="A59" s="7">
        <v>58</v>
      </c>
      <c r="B59" s="29" t="s">
        <v>23</v>
      </c>
      <c r="C59" s="29" t="s">
        <v>2139</v>
      </c>
      <c r="D59" s="29">
        <v>50226059</v>
      </c>
      <c r="E59" s="91">
        <v>40</v>
      </c>
      <c r="F59" s="7">
        <v>69</v>
      </c>
      <c r="G59" s="7">
        <v>40</v>
      </c>
      <c r="H59" s="53" t="s">
        <v>71</v>
      </c>
      <c r="I59" s="7" t="s">
        <v>109</v>
      </c>
      <c r="J59" s="7" t="s">
        <v>130</v>
      </c>
      <c r="K59" s="11">
        <v>0.8569444444444444</v>
      </c>
      <c r="L59" s="7" t="s">
        <v>109</v>
      </c>
      <c r="M59" s="7" t="s">
        <v>109</v>
      </c>
      <c r="N59" s="29" t="s">
        <v>109</v>
      </c>
      <c r="O59" s="29" t="s">
        <v>61</v>
      </c>
      <c r="P59" s="7" t="s">
        <v>131</v>
      </c>
      <c r="Q59" s="7" t="s">
        <v>71</v>
      </c>
      <c r="R59" s="7" t="s">
        <v>62</v>
      </c>
      <c r="S59" s="7" t="s">
        <v>109</v>
      </c>
      <c r="T59" s="29" t="s">
        <v>121</v>
      </c>
      <c r="U59" s="111">
        <f t="shared" si="1"/>
        <v>1</v>
      </c>
      <c r="V59" s="7" t="s">
        <v>1945</v>
      </c>
    </row>
    <row r="60" spans="1:22" x14ac:dyDescent="0.3">
      <c r="A60" s="7">
        <v>59</v>
      </c>
      <c r="B60" s="29" t="s">
        <v>143</v>
      </c>
      <c r="C60" s="29" t="s">
        <v>1869</v>
      </c>
      <c r="D60" s="29">
        <v>10226004</v>
      </c>
      <c r="E60" s="91">
        <v>45</v>
      </c>
      <c r="F60" s="7" t="s">
        <v>109</v>
      </c>
      <c r="G60" s="7" t="s">
        <v>109</v>
      </c>
      <c r="H60" s="53" t="s">
        <v>70</v>
      </c>
      <c r="I60" s="7" t="s">
        <v>90</v>
      </c>
      <c r="J60" s="18" t="s">
        <v>85</v>
      </c>
      <c r="K60" s="7" t="s">
        <v>109</v>
      </c>
      <c r="L60" s="7" t="s">
        <v>109</v>
      </c>
      <c r="M60" s="7" t="s">
        <v>109</v>
      </c>
      <c r="N60" s="29" t="s">
        <v>109</v>
      </c>
      <c r="O60" s="29" t="s">
        <v>61</v>
      </c>
      <c r="P60" s="7" t="s">
        <v>109</v>
      </c>
      <c r="Q60" s="7" t="s">
        <v>109</v>
      </c>
      <c r="R60" s="7" t="s">
        <v>62</v>
      </c>
      <c r="S60" s="7" t="s">
        <v>109</v>
      </c>
      <c r="T60" s="29" t="s">
        <v>398</v>
      </c>
      <c r="U60" s="111" t="e">
        <f t="shared" si="1"/>
        <v>#VALUE!</v>
      </c>
      <c r="V60" s="7" t="s">
        <v>109</v>
      </c>
    </row>
    <row r="61" spans="1:22" x14ac:dyDescent="0.3">
      <c r="A61" s="7">
        <v>60</v>
      </c>
      <c r="B61" s="29" t="s">
        <v>23</v>
      </c>
      <c r="C61" s="29" t="s">
        <v>647</v>
      </c>
      <c r="D61" s="29">
        <v>50126033</v>
      </c>
      <c r="E61" s="91">
        <v>50</v>
      </c>
      <c r="F61" s="7">
        <v>53</v>
      </c>
      <c r="G61" s="7">
        <v>10</v>
      </c>
      <c r="H61" s="7" t="s">
        <v>274</v>
      </c>
      <c r="I61" s="53" t="s">
        <v>91</v>
      </c>
      <c r="J61" s="7" t="s">
        <v>130</v>
      </c>
      <c r="K61" s="11">
        <v>0.05</v>
      </c>
      <c r="L61" s="11">
        <v>5.7638888888888892E-2</v>
      </c>
      <c r="M61" s="7" t="s">
        <v>109</v>
      </c>
      <c r="N61" s="29" t="s">
        <v>109</v>
      </c>
      <c r="O61" s="29" t="s">
        <v>61</v>
      </c>
      <c r="P61" s="7" t="s">
        <v>131</v>
      </c>
      <c r="Q61" s="7" t="s">
        <v>91</v>
      </c>
      <c r="R61" s="7" t="s">
        <v>62</v>
      </c>
      <c r="S61" s="7" t="s">
        <v>109</v>
      </c>
      <c r="T61" s="29" t="s">
        <v>480</v>
      </c>
      <c r="U61" s="111">
        <f t="shared" si="1"/>
        <v>0.2</v>
      </c>
      <c r="V61" s="7" t="s">
        <v>2146</v>
      </c>
    </row>
    <row r="62" spans="1:22" x14ac:dyDescent="0.3">
      <c r="A62" s="7">
        <v>61</v>
      </c>
      <c r="B62" s="29" t="s">
        <v>23</v>
      </c>
      <c r="C62" s="29" t="s">
        <v>648</v>
      </c>
      <c r="D62" s="29">
        <v>50126036</v>
      </c>
      <c r="E62" s="91">
        <v>100</v>
      </c>
      <c r="F62" s="7">
        <v>93</v>
      </c>
      <c r="G62" s="7">
        <v>32</v>
      </c>
      <c r="H62" s="53" t="s">
        <v>69</v>
      </c>
      <c r="I62" s="7" t="s">
        <v>94</v>
      </c>
      <c r="J62" s="7" t="s">
        <v>130</v>
      </c>
      <c r="K62" s="11">
        <v>6.0416666666666667E-2</v>
      </c>
      <c r="L62" s="11">
        <v>6.8750000000000006E-2</v>
      </c>
      <c r="M62" s="7" t="s">
        <v>109</v>
      </c>
      <c r="N62" s="29" t="s">
        <v>109</v>
      </c>
      <c r="O62" s="29" t="s">
        <v>61</v>
      </c>
      <c r="P62" s="7" t="s">
        <v>131</v>
      </c>
      <c r="Q62" s="7" t="s">
        <v>94</v>
      </c>
      <c r="R62" s="7" t="s">
        <v>62</v>
      </c>
      <c r="S62" s="7" t="s">
        <v>109</v>
      </c>
      <c r="T62" s="29" t="s">
        <v>480</v>
      </c>
      <c r="U62" s="111">
        <f t="shared" si="1"/>
        <v>0.32</v>
      </c>
      <c r="V62" s="7" t="s">
        <v>2146</v>
      </c>
    </row>
    <row r="63" spans="1:22" x14ac:dyDescent="0.3">
      <c r="A63" s="7">
        <v>62</v>
      </c>
      <c r="B63" s="29" t="s">
        <v>23</v>
      </c>
      <c r="C63" s="29" t="s">
        <v>651</v>
      </c>
      <c r="D63" s="29">
        <v>50126034</v>
      </c>
      <c r="E63" s="91">
        <v>200</v>
      </c>
      <c r="F63" s="7">
        <v>202</v>
      </c>
      <c r="G63" s="7">
        <v>53</v>
      </c>
      <c r="H63" s="7" t="s">
        <v>1538</v>
      </c>
      <c r="I63" s="53" t="s">
        <v>991</v>
      </c>
      <c r="J63" s="7" t="s">
        <v>130</v>
      </c>
      <c r="K63" s="11">
        <v>0.99652777777777779</v>
      </c>
      <c r="L63" s="11">
        <v>1.4583333333333334E-2</v>
      </c>
      <c r="M63" s="7" t="s">
        <v>109</v>
      </c>
      <c r="N63" s="29" t="s">
        <v>109</v>
      </c>
      <c r="O63" s="29" t="s">
        <v>61</v>
      </c>
      <c r="P63" s="7" t="s">
        <v>131</v>
      </c>
      <c r="Q63" s="7" t="s">
        <v>90</v>
      </c>
      <c r="R63" s="7" t="s">
        <v>62</v>
      </c>
      <c r="S63" s="7" t="s">
        <v>109</v>
      </c>
      <c r="T63" s="29" t="s">
        <v>480</v>
      </c>
      <c r="U63" s="111">
        <f t="shared" si="1"/>
        <v>0.26500000000000001</v>
      </c>
      <c r="V63" s="7" t="s">
        <v>2146</v>
      </c>
    </row>
    <row r="64" spans="1:22" x14ac:dyDescent="0.3">
      <c r="A64" s="7">
        <v>63</v>
      </c>
      <c r="B64" s="29" t="s">
        <v>23</v>
      </c>
      <c r="C64" s="29" t="s">
        <v>654</v>
      </c>
      <c r="D64" s="29">
        <v>50126032</v>
      </c>
      <c r="E64" s="91">
        <v>100</v>
      </c>
      <c r="F64" s="7">
        <v>145</v>
      </c>
      <c r="G64" s="7">
        <v>104</v>
      </c>
      <c r="H64" s="53" t="s">
        <v>64</v>
      </c>
      <c r="I64" s="53" t="s">
        <v>93</v>
      </c>
      <c r="J64" s="7" t="s">
        <v>130</v>
      </c>
      <c r="K64" s="11">
        <v>0.67569444444444449</v>
      </c>
      <c r="L64" s="11">
        <v>0.77222222222222225</v>
      </c>
      <c r="M64" s="7" t="s">
        <v>109</v>
      </c>
      <c r="N64" s="29" t="s">
        <v>109</v>
      </c>
      <c r="O64" s="29" t="s">
        <v>61</v>
      </c>
      <c r="P64" s="7" t="s">
        <v>131</v>
      </c>
      <c r="Q64" s="7" t="s">
        <v>93</v>
      </c>
      <c r="R64" s="7" t="s">
        <v>62</v>
      </c>
      <c r="S64" s="7" t="s">
        <v>109</v>
      </c>
      <c r="T64" s="29" t="s">
        <v>480</v>
      </c>
      <c r="U64" s="111">
        <f t="shared" si="1"/>
        <v>1.04</v>
      </c>
      <c r="V64" s="7" t="s">
        <v>1945</v>
      </c>
    </row>
    <row r="65" spans="1:22" x14ac:dyDescent="0.3">
      <c r="A65" s="7">
        <v>64</v>
      </c>
      <c r="B65" s="29" t="s">
        <v>23</v>
      </c>
      <c r="C65" s="29" t="s">
        <v>657</v>
      </c>
      <c r="D65" s="29">
        <v>50126030</v>
      </c>
      <c r="E65" s="91">
        <v>150</v>
      </c>
      <c r="F65" s="7">
        <v>123</v>
      </c>
      <c r="G65" s="7">
        <v>45</v>
      </c>
      <c r="H65" s="7" t="s">
        <v>2140</v>
      </c>
      <c r="I65" s="7" t="s">
        <v>87</v>
      </c>
      <c r="J65" s="7" t="s">
        <v>130</v>
      </c>
      <c r="K65" s="11">
        <v>4.0972222222222222E-2</v>
      </c>
      <c r="L65" s="11">
        <v>6.6666666666666666E-2</v>
      </c>
      <c r="M65" s="7" t="s">
        <v>109</v>
      </c>
      <c r="N65" s="29" t="s">
        <v>109</v>
      </c>
      <c r="O65" s="29" t="s">
        <v>61</v>
      </c>
      <c r="P65" s="7" t="s">
        <v>131</v>
      </c>
      <c r="Q65" s="7" t="s">
        <v>87</v>
      </c>
      <c r="R65" s="7" t="s">
        <v>62</v>
      </c>
      <c r="S65" s="7" t="s">
        <v>109</v>
      </c>
      <c r="T65" s="29" t="s">
        <v>480</v>
      </c>
      <c r="U65" s="111">
        <f t="shared" si="1"/>
        <v>0.3</v>
      </c>
      <c r="V65" s="7" t="s">
        <v>2146</v>
      </c>
    </row>
    <row r="66" spans="1:22" x14ac:dyDescent="0.3">
      <c r="A66" s="7">
        <v>65</v>
      </c>
      <c r="B66" s="29" t="s">
        <v>23</v>
      </c>
      <c r="C66" s="29" t="s">
        <v>481</v>
      </c>
      <c r="D66" s="29">
        <v>50126009</v>
      </c>
      <c r="E66" s="91">
        <v>20</v>
      </c>
      <c r="F66" s="7">
        <v>8</v>
      </c>
      <c r="G66" s="7">
        <v>5</v>
      </c>
      <c r="H66" s="53" t="s">
        <v>69</v>
      </c>
      <c r="I66" s="53" t="s">
        <v>154</v>
      </c>
      <c r="J66" s="7" t="s">
        <v>130</v>
      </c>
      <c r="K66" s="11">
        <v>0.65833333333333333</v>
      </c>
      <c r="L66" s="11">
        <v>0.67500000000000004</v>
      </c>
      <c r="M66" s="7" t="s">
        <v>109</v>
      </c>
      <c r="N66" s="29" t="s">
        <v>109</v>
      </c>
      <c r="O66" s="29" t="s">
        <v>61</v>
      </c>
      <c r="P66" s="7" t="s">
        <v>131</v>
      </c>
      <c r="Q66" s="7" t="s">
        <v>154</v>
      </c>
      <c r="R66" s="7" t="s">
        <v>62</v>
      </c>
      <c r="S66" s="7" t="s">
        <v>109</v>
      </c>
      <c r="T66" s="29" t="s">
        <v>480</v>
      </c>
      <c r="U66" s="111">
        <f t="shared" ref="U66:U74" si="2">G66/E66</f>
        <v>0.25</v>
      </c>
      <c r="V66" s="7" t="s">
        <v>152</v>
      </c>
    </row>
    <row r="67" spans="1:22" x14ac:dyDescent="0.3">
      <c r="A67" s="7">
        <v>66</v>
      </c>
      <c r="B67" s="29" t="s">
        <v>23</v>
      </c>
      <c r="C67" s="29" t="s">
        <v>483</v>
      </c>
      <c r="D67" s="29">
        <v>50126011</v>
      </c>
      <c r="E67" s="91">
        <v>30</v>
      </c>
      <c r="F67" s="7">
        <v>83</v>
      </c>
      <c r="G67" s="7">
        <v>17</v>
      </c>
      <c r="H67" s="53" t="s">
        <v>64</v>
      </c>
      <c r="I67" s="53" t="s">
        <v>86</v>
      </c>
      <c r="J67" s="7" t="s">
        <v>130</v>
      </c>
      <c r="K67" s="11">
        <v>0.94791666666666663</v>
      </c>
      <c r="L67" s="11">
        <v>0.9604166666666667</v>
      </c>
      <c r="M67" s="7" t="s">
        <v>109</v>
      </c>
      <c r="N67" s="29" t="s">
        <v>109</v>
      </c>
      <c r="O67" s="29" t="s">
        <v>61</v>
      </c>
      <c r="P67" s="7" t="s">
        <v>131</v>
      </c>
      <c r="Q67" s="7" t="s">
        <v>86</v>
      </c>
      <c r="R67" s="7" t="s">
        <v>62</v>
      </c>
      <c r="S67" s="7" t="s">
        <v>109</v>
      </c>
      <c r="T67" s="29" t="s">
        <v>480</v>
      </c>
      <c r="U67" s="111">
        <f t="shared" si="2"/>
        <v>0.56666666666666665</v>
      </c>
      <c r="V67" s="7" t="s">
        <v>152</v>
      </c>
    </row>
    <row r="68" spans="1:22" x14ac:dyDescent="0.3">
      <c r="A68" s="7">
        <v>67</v>
      </c>
      <c r="B68" s="29" t="s">
        <v>23</v>
      </c>
      <c r="C68" s="29" t="s">
        <v>484</v>
      </c>
      <c r="D68" s="29">
        <v>50126012</v>
      </c>
      <c r="E68" s="91">
        <v>30</v>
      </c>
      <c r="F68" s="7">
        <v>55</v>
      </c>
      <c r="G68" s="7">
        <v>25</v>
      </c>
      <c r="H68" s="53" t="s">
        <v>67</v>
      </c>
      <c r="I68" s="53" t="s">
        <v>95</v>
      </c>
      <c r="J68" s="7" t="s">
        <v>130</v>
      </c>
      <c r="K68" s="11">
        <v>0.71250000000000002</v>
      </c>
      <c r="L68" s="11">
        <v>0.77638888888888891</v>
      </c>
      <c r="M68" s="7" t="s">
        <v>109</v>
      </c>
      <c r="N68" s="29" t="s">
        <v>109</v>
      </c>
      <c r="O68" s="29" t="s">
        <v>61</v>
      </c>
      <c r="P68" s="7" t="s">
        <v>131</v>
      </c>
      <c r="Q68" s="7" t="s">
        <v>95</v>
      </c>
      <c r="R68" s="7" t="s">
        <v>62</v>
      </c>
      <c r="S68" s="7" t="s">
        <v>109</v>
      </c>
      <c r="T68" s="29" t="s">
        <v>480</v>
      </c>
      <c r="U68" s="111">
        <f t="shared" si="2"/>
        <v>0.83333333333333337</v>
      </c>
      <c r="V68" s="7" t="s">
        <v>1945</v>
      </c>
    </row>
    <row r="69" spans="1:22" ht="15" thickBot="1" x14ac:dyDescent="0.35">
      <c r="A69" s="7">
        <v>68</v>
      </c>
      <c r="B69" s="38" t="s">
        <v>23</v>
      </c>
      <c r="C69" s="38" t="s">
        <v>1368</v>
      </c>
      <c r="D69" s="38">
        <v>50126340</v>
      </c>
      <c r="E69" s="91">
        <v>50</v>
      </c>
      <c r="F69" s="7">
        <v>65</v>
      </c>
      <c r="G69" s="7">
        <v>49</v>
      </c>
      <c r="H69" s="53" t="s">
        <v>209</v>
      </c>
      <c r="I69" s="7" t="s">
        <v>109</v>
      </c>
      <c r="J69" s="7" t="s">
        <v>130</v>
      </c>
      <c r="K69" s="11">
        <v>0.95694444444444449</v>
      </c>
      <c r="L69" s="7" t="s">
        <v>109</v>
      </c>
      <c r="M69" s="7" t="s">
        <v>109</v>
      </c>
      <c r="N69" s="43" t="s">
        <v>110</v>
      </c>
      <c r="O69" s="38" t="s">
        <v>61</v>
      </c>
      <c r="P69" s="7" t="s">
        <v>131</v>
      </c>
      <c r="Q69" s="7" t="s">
        <v>209</v>
      </c>
      <c r="R69" s="7" t="s">
        <v>62</v>
      </c>
      <c r="S69" s="7" t="s">
        <v>109</v>
      </c>
      <c r="T69" s="114" t="s">
        <v>1365</v>
      </c>
      <c r="U69" s="108">
        <f t="shared" si="2"/>
        <v>0.98</v>
      </c>
      <c r="V69" s="7" t="s">
        <v>1945</v>
      </c>
    </row>
    <row r="70" spans="1:22" x14ac:dyDescent="0.3">
      <c r="A70" s="69">
        <v>69</v>
      </c>
      <c r="B70" s="102" t="s">
        <v>23</v>
      </c>
      <c r="C70" s="102" t="s">
        <v>1370</v>
      </c>
      <c r="D70" s="102">
        <v>50126342</v>
      </c>
      <c r="E70" s="95">
        <v>50</v>
      </c>
      <c r="F70" s="69">
        <v>70</v>
      </c>
      <c r="G70" s="69">
        <v>17</v>
      </c>
      <c r="H70" s="96" t="s">
        <v>91</v>
      </c>
      <c r="I70" s="69" t="s">
        <v>109</v>
      </c>
      <c r="J70" s="69" t="s">
        <v>130</v>
      </c>
      <c r="K70" s="100">
        <v>2.5000000000000001E-2</v>
      </c>
      <c r="L70" s="69" t="s">
        <v>109</v>
      </c>
      <c r="M70" s="69" t="s">
        <v>109</v>
      </c>
      <c r="N70" s="116" t="s">
        <v>110</v>
      </c>
      <c r="O70" s="102" t="s">
        <v>61</v>
      </c>
      <c r="P70" s="69" t="s">
        <v>131</v>
      </c>
      <c r="Q70" s="69" t="s">
        <v>91</v>
      </c>
      <c r="R70" s="69" t="s">
        <v>62</v>
      </c>
      <c r="S70" s="69" t="s">
        <v>109</v>
      </c>
      <c r="T70" s="117" t="s">
        <v>1365</v>
      </c>
      <c r="U70" s="119">
        <f t="shared" si="2"/>
        <v>0.34</v>
      </c>
      <c r="V70" s="7" t="s">
        <v>2146</v>
      </c>
    </row>
    <row r="71" spans="1:22" x14ac:dyDescent="0.3">
      <c r="A71" s="7">
        <v>70</v>
      </c>
      <c r="B71" s="38" t="s">
        <v>23</v>
      </c>
      <c r="C71" s="38" t="s">
        <v>1366</v>
      </c>
      <c r="D71" s="38">
        <v>50126343</v>
      </c>
      <c r="E71" s="91">
        <v>200</v>
      </c>
      <c r="F71" s="7">
        <v>258</v>
      </c>
      <c r="G71" s="7">
        <v>110</v>
      </c>
      <c r="H71" s="53" t="s">
        <v>2142</v>
      </c>
      <c r="I71" s="7" t="s">
        <v>109</v>
      </c>
      <c r="J71" s="7" t="s">
        <v>130</v>
      </c>
      <c r="K71" s="11">
        <v>0.93472222222222223</v>
      </c>
      <c r="L71" s="7" t="s">
        <v>109</v>
      </c>
      <c r="M71" s="7" t="s">
        <v>109</v>
      </c>
      <c r="N71" s="43" t="s">
        <v>110</v>
      </c>
      <c r="O71" s="38" t="s">
        <v>61</v>
      </c>
      <c r="P71" s="7" t="s">
        <v>131</v>
      </c>
      <c r="Q71" s="7" t="s">
        <v>93</v>
      </c>
      <c r="R71" s="7" t="s">
        <v>62</v>
      </c>
      <c r="S71" s="7" t="s">
        <v>109</v>
      </c>
      <c r="T71" s="38" t="s">
        <v>1365</v>
      </c>
      <c r="U71" s="108">
        <f t="shared" si="2"/>
        <v>0.55000000000000004</v>
      </c>
      <c r="V71" s="7" t="s">
        <v>2146</v>
      </c>
    </row>
    <row r="72" spans="1:22" x14ac:dyDescent="0.3">
      <c r="A72" s="7">
        <v>71</v>
      </c>
      <c r="B72" s="38" t="s">
        <v>23</v>
      </c>
      <c r="C72" s="115" t="s">
        <v>1565</v>
      </c>
      <c r="D72" s="38">
        <v>50126356</v>
      </c>
      <c r="E72" s="38">
        <v>33</v>
      </c>
      <c r="F72" s="7" t="s">
        <v>109</v>
      </c>
      <c r="G72" s="7" t="s">
        <v>109</v>
      </c>
      <c r="H72" s="7" t="s">
        <v>109</v>
      </c>
      <c r="I72" s="7" t="s">
        <v>109</v>
      </c>
      <c r="J72" s="18" t="s">
        <v>85</v>
      </c>
      <c r="K72" s="7" t="s">
        <v>109</v>
      </c>
      <c r="L72" s="7" t="s">
        <v>109</v>
      </c>
      <c r="M72" s="7" t="s">
        <v>109</v>
      </c>
      <c r="N72" s="38" t="s">
        <v>2143</v>
      </c>
      <c r="O72" s="38" t="s">
        <v>61</v>
      </c>
      <c r="P72" s="7" t="s">
        <v>109</v>
      </c>
      <c r="Q72" s="7" t="s">
        <v>109</v>
      </c>
      <c r="R72" s="7" t="s">
        <v>109</v>
      </c>
      <c r="S72" s="7" t="s">
        <v>109</v>
      </c>
      <c r="T72" s="38" t="s">
        <v>1365</v>
      </c>
      <c r="U72" s="108" t="e">
        <f t="shared" si="2"/>
        <v>#VALUE!</v>
      </c>
      <c r="V72" s="7" t="s">
        <v>109</v>
      </c>
    </row>
    <row r="73" spans="1:22" x14ac:dyDescent="0.3">
      <c r="A73" s="7">
        <v>72</v>
      </c>
      <c r="B73" s="38" t="s">
        <v>23</v>
      </c>
      <c r="C73" s="115" t="s">
        <v>1569</v>
      </c>
      <c r="D73" s="38">
        <v>50126355</v>
      </c>
      <c r="E73" s="38">
        <v>92</v>
      </c>
      <c r="F73" s="7" t="s">
        <v>109</v>
      </c>
      <c r="G73" s="7" t="s">
        <v>109</v>
      </c>
      <c r="H73" s="7" t="s">
        <v>109</v>
      </c>
      <c r="I73" s="7" t="s">
        <v>109</v>
      </c>
      <c r="J73" s="18" t="s">
        <v>85</v>
      </c>
      <c r="K73" s="7" t="s">
        <v>109</v>
      </c>
      <c r="L73" s="7" t="s">
        <v>109</v>
      </c>
      <c r="M73" s="7" t="s">
        <v>109</v>
      </c>
      <c r="N73" s="38" t="s">
        <v>2144</v>
      </c>
      <c r="O73" s="38" t="s">
        <v>61</v>
      </c>
      <c r="P73" s="7" t="s">
        <v>109</v>
      </c>
      <c r="Q73" s="7" t="s">
        <v>109</v>
      </c>
      <c r="R73" s="7" t="s">
        <v>109</v>
      </c>
      <c r="S73" s="7" t="s">
        <v>109</v>
      </c>
      <c r="T73" s="38" t="s">
        <v>1365</v>
      </c>
      <c r="U73" s="108" t="e">
        <f t="shared" si="2"/>
        <v>#VALUE!</v>
      </c>
      <c r="V73" s="7" t="s">
        <v>109</v>
      </c>
    </row>
    <row r="74" spans="1:22" x14ac:dyDescent="0.3">
      <c r="A74" s="7">
        <v>73</v>
      </c>
      <c r="B74" s="38" t="s">
        <v>23</v>
      </c>
      <c r="C74" s="115" t="s">
        <v>1699</v>
      </c>
      <c r="D74" s="38">
        <v>50126361</v>
      </c>
      <c r="E74" s="38">
        <v>100</v>
      </c>
      <c r="F74" s="7" t="s">
        <v>109</v>
      </c>
      <c r="G74" s="7" t="s">
        <v>109</v>
      </c>
      <c r="H74" s="7" t="s">
        <v>109</v>
      </c>
      <c r="I74" s="7" t="s">
        <v>109</v>
      </c>
      <c r="J74" s="18" t="s">
        <v>85</v>
      </c>
      <c r="K74" s="7" t="s">
        <v>109</v>
      </c>
      <c r="L74" s="7" t="s">
        <v>109</v>
      </c>
      <c r="M74" s="7" t="s">
        <v>109</v>
      </c>
      <c r="N74" s="38" t="s">
        <v>2145</v>
      </c>
      <c r="O74" s="38" t="s">
        <v>61</v>
      </c>
      <c r="P74" s="7" t="s">
        <v>109</v>
      </c>
      <c r="Q74" s="7" t="s">
        <v>109</v>
      </c>
      <c r="R74" s="7" t="s">
        <v>109</v>
      </c>
      <c r="S74" s="7" t="s">
        <v>109</v>
      </c>
      <c r="T74" s="38" t="s">
        <v>1365</v>
      </c>
      <c r="U74" s="108" t="e">
        <f t="shared" si="2"/>
        <v>#VALUE!</v>
      </c>
      <c r="V74" s="7" t="s">
        <v>109</v>
      </c>
    </row>
  </sheetData>
  <conditionalFormatting sqref="D1">
    <cfRule type="duplicateValues" dxfId="79" priority="2"/>
  </conditionalFormatting>
  <conditionalFormatting sqref="D1:D71 D75:D1048576">
    <cfRule type="duplicateValues" dxfId="78" priority="1"/>
  </conditionalFormatting>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8CCDE-9DAB-4488-A541-22536853EBBC}">
  <sheetPr codeName="Sheet30"/>
  <dimension ref="A1:V49"/>
  <sheetViews>
    <sheetView topLeftCell="L1" workbookViewId="0">
      <pane ySplit="1" topLeftCell="A2" activePane="bottomLeft" state="frozen"/>
      <selection pane="bottomLeft" activeCell="U1" sqref="U1"/>
    </sheetView>
  </sheetViews>
  <sheetFormatPr defaultRowHeight="14.4" x14ac:dyDescent="0.3"/>
  <cols>
    <col min="1" max="1" width="5.6640625" bestFit="1" customWidth="1"/>
    <col min="2" max="2" width="10.44140625" bestFit="1" customWidth="1"/>
    <col min="3" max="3" width="82.109375" bestFit="1" customWidth="1"/>
    <col min="4" max="4" width="10.44140625" bestFit="1" customWidth="1"/>
    <col min="5" max="5" width="13.88671875" bestFit="1" customWidth="1"/>
    <col min="6" max="6" width="15.109375" bestFit="1" customWidth="1"/>
    <col min="7" max="7" width="8.5546875" bestFit="1" customWidth="1"/>
    <col min="8" max="8" width="69.77734375" bestFit="1" customWidth="1"/>
    <col min="9" max="9" width="40.33203125" bestFit="1" customWidth="1"/>
    <col min="10" max="10" width="8.88671875" bestFit="1" customWidth="1"/>
    <col min="11" max="12" width="15.88671875" bestFit="1" customWidth="1"/>
    <col min="13" max="13" width="3.88671875" bestFit="1" customWidth="1"/>
    <col min="14" max="14" width="36.21875" bestFit="1" customWidth="1"/>
    <col min="15" max="15" width="8.44140625" bestFit="1" customWidth="1"/>
    <col min="16" max="16" width="14.33203125" bestFit="1" customWidth="1"/>
    <col min="17" max="17" width="11.77734375" customWidth="1"/>
    <col min="18" max="18" width="14.33203125" bestFit="1" customWidth="1"/>
    <col min="19" max="19" width="15.88671875" bestFit="1" customWidth="1"/>
    <col min="20" max="20" width="14.5546875" bestFit="1" customWidth="1"/>
    <col min="21" max="21" width="37.44140625" bestFit="1" customWidth="1"/>
    <col min="22" max="22" width="24.6640625" bestFit="1" customWidth="1"/>
  </cols>
  <sheetData>
    <row r="1" spans="1:22" x14ac:dyDescent="0.3">
      <c r="A1" s="1" t="s">
        <v>1632</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row>
    <row r="2" spans="1:22" x14ac:dyDescent="0.3">
      <c r="A2" s="29">
        <v>41</v>
      </c>
      <c r="B2" s="29" t="s">
        <v>23</v>
      </c>
      <c r="C2" s="29" t="s">
        <v>590</v>
      </c>
      <c r="D2" s="29">
        <v>50126065</v>
      </c>
      <c r="E2" s="29">
        <v>50</v>
      </c>
      <c r="F2" s="7">
        <v>5</v>
      </c>
      <c r="G2" s="7">
        <v>1</v>
      </c>
      <c r="H2" s="53" t="s">
        <v>196</v>
      </c>
      <c r="I2" s="7" t="s">
        <v>109</v>
      </c>
      <c r="J2" s="7" t="s">
        <v>130</v>
      </c>
      <c r="K2" s="46">
        <v>0.94444444444444442</v>
      </c>
      <c r="L2" s="7" t="s">
        <v>109</v>
      </c>
      <c r="M2" s="7" t="s">
        <v>109</v>
      </c>
      <c r="N2" s="29" t="s">
        <v>109</v>
      </c>
      <c r="O2" s="29" t="s">
        <v>61</v>
      </c>
      <c r="P2" s="7" t="s">
        <v>131</v>
      </c>
      <c r="Q2" s="7" t="s">
        <v>196</v>
      </c>
      <c r="R2" s="7" t="s">
        <v>62</v>
      </c>
      <c r="S2" s="7" t="s">
        <v>109</v>
      </c>
      <c r="T2" s="29" t="s">
        <v>610</v>
      </c>
      <c r="U2" s="111">
        <f t="shared" ref="U2:U49" si="0">G2/E2</f>
        <v>0.02</v>
      </c>
      <c r="V2" s="7" t="s">
        <v>889</v>
      </c>
    </row>
    <row r="3" spans="1:22" x14ac:dyDescent="0.3">
      <c r="A3" s="29">
        <v>40</v>
      </c>
      <c r="B3" s="29" t="s">
        <v>23</v>
      </c>
      <c r="C3" s="29" t="s">
        <v>589</v>
      </c>
      <c r="D3" s="29">
        <v>50126062</v>
      </c>
      <c r="E3" s="29">
        <v>100</v>
      </c>
      <c r="F3" s="7">
        <v>26</v>
      </c>
      <c r="G3" s="7">
        <v>6</v>
      </c>
      <c r="H3" s="53" t="s">
        <v>69</v>
      </c>
      <c r="I3" s="7" t="s">
        <v>109</v>
      </c>
      <c r="J3" s="7" t="s">
        <v>130</v>
      </c>
      <c r="K3" s="7" t="s">
        <v>109</v>
      </c>
      <c r="L3" s="11">
        <v>0.80486111111111114</v>
      </c>
      <c r="M3" s="7" t="s">
        <v>109</v>
      </c>
      <c r="N3" s="29" t="s">
        <v>109</v>
      </c>
      <c r="O3" s="29" t="s">
        <v>61</v>
      </c>
      <c r="P3" s="7" t="s">
        <v>131</v>
      </c>
      <c r="Q3" s="7" t="s">
        <v>69</v>
      </c>
      <c r="R3" s="7" t="s">
        <v>62</v>
      </c>
      <c r="S3" s="7" t="s">
        <v>109</v>
      </c>
      <c r="T3" s="29" t="s">
        <v>610</v>
      </c>
      <c r="U3" s="111">
        <f t="shared" si="0"/>
        <v>0.06</v>
      </c>
      <c r="V3" s="7" t="s">
        <v>889</v>
      </c>
    </row>
    <row r="4" spans="1:22" x14ac:dyDescent="0.3">
      <c r="A4" s="29">
        <v>13</v>
      </c>
      <c r="B4" s="29" t="s">
        <v>23</v>
      </c>
      <c r="C4" s="29" t="s">
        <v>1569</v>
      </c>
      <c r="D4" s="29">
        <v>50126355</v>
      </c>
      <c r="E4" s="29">
        <v>92</v>
      </c>
      <c r="F4" s="7">
        <v>35</v>
      </c>
      <c r="G4" s="7">
        <v>6</v>
      </c>
      <c r="H4" s="53" t="s">
        <v>64</v>
      </c>
      <c r="I4" s="7" t="s">
        <v>109</v>
      </c>
      <c r="J4" s="7" t="s">
        <v>130</v>
      </c>
      <c r="K4" s="46">
        <v>0.94513888888888886</v>
      </c>
      <c r="L4" s="7" t="s">
        <v>109</v>
      </c>
      <c r="M4" s="7" t="s">
        <v>109</v>
      </c>
      <c r="N4" s="32" t="s">
        <v>2144</v>
      </c>
      <c r="O4" s="38" t="s">
        <v>61</v>
      </c>
      <c r="P4" s="7" t="s">
        <v>131</v>
      </c>
      <c r="Q4" s="7" t="s">
        <v>364</v>
      </c>
      <c r="R4" s="7" t="s">
        <v>62</v>
      </c>
      <c r="S4" s="7" t="s">
        <v>109</v>
      </c>
      <c r="T4" s="29" t="s">
        <v>1568</v>
      </c>
      <c r="U4" s="111">
        <f t="shared" si="0"/>
        <v>6.5217391304347824E-2</v>
      </c>
      <c r="V4" s="7" t="s">
        <v>889</v>
      </c>
    </row>
    <row r="5" spans="1:22" x14ac:dyDescent="0.3">
      <c r="A5" s="29">
        <v>14</v>
      </c>
      <c r="B5" s="29" t="s">
        <v>23</v>
      </c>
      <c r="C5" s="29" t="s">
        <v>1699</v>
      </c>
      <c r="D5" s="29">
        <v>50126361</v>
      </c>
      <c r="E5" s="29">
        <v>100</v>
      </c>
      <c r="F5" s="7">
        <v>68</v>
      </c>
      <c r="G5" s="7">
        <v>8</v>
      </c>
      <c r="H5" s="53" t="s">
        <v>214</v>
      </c>
      <c r="I5" s="7" t="s">
        <v>109</v>
      </c>
      <c r="J5" s="7" t="s">
        <v>130</v>
      </c>
      <c r="K5" s="7" t="s">
        <v>109</v>
      </c>
      <c r="L5" s="11">
        <v>0.80208333333333337</v>
      </c>
      <c r="M5" s="7" t="s">
        <v>109</v>
      </c>
      <c r="N5" s="32" t="s">
        <v>2145</v>
      </c>
      <c r="O5" s="38" t="s">
        <v>61</v>
      </c>
      <c r="P5" s="7" t="s">
        <v>131</v>
      </c>
      <c r="Q5" s="7" t="s">
        <v>214</v>
      </c>
      <c r="R5" s="7" t="s">
        <v>62</v>
      </c>
      <c r="S5" s="7" t="s">
        <v>109</v>
      </c>
      <c r="T5" s="29" t="s">
        <v>1568</v>
      </c>
      <c r="U5" s="111">
        <f t="shared" si="0"/>
        <v>0.08</v>
      </c>
      <c r="V5" s="7" t="s">
        <v>889</v>
      </c>
    </row>
    <row r="6" spans="1:22" x14ac:dyDescent="0.3">
      <c r="A6" s="29">
        <v>39</v>
      </c>
      <c r="B6" s="29" t="s">
        <v>23</v>
      </c>
      <c r="C6" s="29" t="s">
        <v>588</v>
      </c>
      <c r="D6" s="29">
        <v>50126064</v>
      </c>
      <c r="E6" s="29">
        <v>125</v>
      </c>
      <c r="F6" s="7">
        <v>154</v>
      </c>
      <c r="G6" s="7">
        <v>18</v>
      </c>
      <c r="H6" s="28" t="s">
        <v>1007</v>
      </c>
      <c r="I6" s="7" t="s">
        <v>109</v>
      </c>
      <c r="J6" s="7" t="s">
        <v>130</v>
      </c>
      <c r="K6" s="7" t="s">
        <v>109</v>
      </c>
      <c r="L6" s="11">
        <v>0.83333333333333337</v>
      </c>
      <c r="M6" s="7" t="s">
        <v>109</v>
      </c>
      <c r="N6" s="29" t="s">
        <v>109</v>
      </c>
      <c r="O6" s="29" t="s">
        <v>61</v>
      </c>
      <c r="P6" s="7" t="s">
        <v>131</v>
      </c>
      <c r="Q6" s="7" t="s">
        <v>71</v>
      </c>
      <c r="R6" s="7" t="s">
        <v>62</v>
      </c>
      <c r="S6" s="7" t="s">
        <v>109</v>
      </c>
      <c r="T6" s="29" t="s">
        <v>610</v>
      </c>
      <c r="U6" s="111">
        <f t="shared" si="0"/>
        <v>0.14399999999999999</v>
      </c>
      <c r="V6" s="7" t="s">
        <v>889</v>
      </c>
    </row>
    <row r="7" spans="1:22" x14ac:dyDescent="0.3">
      <c r="A7" s="29">
        <v>26</v>
      </c>
      <c r="B7" s="29" t="s">
        <v>23</v>
      </c>
      <c r="C7" s="29" t="s">
        <v>1368</v>
      </c>
      <c r="D7" s="29">
        <v>50126340</v>
      </c>
      <c r="E7" s="29">
        <v>100</v>
      </c>
      <c r="F7" s="7">
        <v>99</v>
      </c>
      <c r="G7" s="7">
        <v>15</v>
      </c>
      <c r="H7" s="53" t="s">
        <v>153</v>
      </c>
      <c r="I7" s="7" t="s">
        <v>109</v>
      </c>
      <c r="J7" s="7" t="s">
        <v>130</v>
      </c>
      <c r="K7" s="7" t="s">
        <v>109</v>
      </c>
      <c r="L7" s="11">
        <v>0.72499999999999998</v>
      </c>
      <c r="M7" s="7" t="s">
        <v>109</v>
      </c>
      <c r="N7" s="32" t="s">
        <v>110</v>
      </c>
      <c r="O7" s="29" t="s">
        <v>61</v>
      </c>
      <c r="P7" s="7" t="s">
        <v>131</v>
      </c>
      <c r="Q7" s="7" t="s">
        <v>153</v>
      </c>
      <c r="R7" s="7" t="s">
        <v>62</v>
      </c>
      <c r="S7" s="7" t="s">
        <v>109</v>
      </c>
      <c r="T7" s="29" t="s">
        <v>1365</v>
      </c>
      <c r="U7" s="111">
        <f t="shared" si="0"/>
        <v>0.15</v>
      </c>
      <c r="V7" s="7" t="s">
        <v>889</v>
      </c>
    </row>
    <row r="8" spans="1:22" x14ac:dyDescent="0.3">
      <c r="A8" s="29">
        <v>18</v>
      </c>
      <c r="B8" s="29" t="s">
        <v>23</v>
      </c>
      <c r="C8" s="29" t="s">
        <v>2138</v>
      </c>
      <c r="D8" s="29">
        <v>50226060</v>
      </c>
      <c r="E8" s="29">
        <v>300</v>
      </c>
      <c r="F8" s="7">
        <v>203</v>
      </c>
      <c r="G8" s="7">
        <v>47</v>
      </c>
      <c r="H8" s="52" t="s">
        <v>2153</v>
      </c>
      <c r="I8" s="7" t="s">
        <v>109</v>
      </c>
      <c r="J8" s="7" t="s">
        <v>130</v>
      </c>
      <c r="K8" s="7" t="s">
        <v>109</v>
      </c>
      <c r="L8" s="11">
        <v>0.88611111111111107</v>
      </c>
      <c r="M8" s="7" t="s">
        <v>109</v>
      </c>
      <c r="N8" s="29" t="s">
        <v>109</v>
      </c>
      <c r="O8" s="38" t="s">
        <v>61</v>
      </c>
      <c r="P8" s="7" t="s">
        <v>131</v>
      </c>
      <c r="Q8" s="7" t="s">
        <v>214</v>
      </c>
      <c r="R8" s="7" t="s">
        <v>62</v>
      </c>
      <c r="S8" s="7" t="s">
        <v>109</v>
      </c>
      <c r="T8" s="29" t="s">
        <v>121</v>
      </c>
      <c r="U8" s="111">
        <f t="shared" si="0"/>
        <v>0.15666666666666668</v>
      </c>
      <c r="V8" s="7" t="s">
        <v>889</v>
      </c>
    </row>
    <row r="9" spans="1:22" x14ac:dyDescent="0.3">
      <c r="A9" s="29">
        <v>12</v>
      </c>
      <c r="B9" s="29" t="s">
        <v>23</v>
      </c>
      <c r="C9" s="29" t="s">
        <v>1565</v>
      </c>
      <c r="D9" s="29">
        <v>50126356</v>
      </c>
      <c r="E9" s="29">
        <v>33</v>
      </c>
      <c r="F9" s="7">
        <v>16</v>
      </c>
      <c r="G9" s="7">
        <v>6</v>
      </c>
      <c r="H9" s="53" t="s">
        <v>82</v>
      </c>
      <c r="I9" s="7" t="s">
        <v>109</v>
      </c>
      <c r="J9" s="7" t="s">
        <v>130</v>
      </c>
      <c r="K9" s="7" t="s">
        <v>109</v>
      </c>
      <c r="L9" s="11">
        <v>0.78680555555555554</v>
      </c>
      <c r="M9" s="7" t="s">
        <v>109</v>
      </c>
      <c r="N9" s="32" t="s">
        <v>2143</v>
      </c>
      <c r="O9" s="38" t="s">
        <v>61</v>
      </c>
      <c r="P9" s="7" t="s">
        <v>131</v>
      </c>
      <c r="Q9" s="7" t="s">
        <v>82</v>
      </c>
      <c r="R9" s="7" t="s">
        <v>62</v>
      </c>
      <c r="S9" s="7" t="s">
        <v>109</v>
      </c>
      <c r="T9" s="29" t="s">
        <v>1568</v>
      </c>
      <c r="U9" s="111">
        <f t="shared" si="0"/>
        <v>0.18181818181818182</v>
      </c>
      <c r="V9" s="7" t="s">
        <v>889</v>
      </c>
    </row>
    <row r="10" spans="1:22" x14ac:dyDescent="0.3">
      <c r="A10" s="29">
        <v>8</v>
      </c>
      <c r="B10" s="29" t="s">
        <v>23</v>
      </c>
      <c r="C10" s="29" t="s">
        <v>1062</v>
      </c>
      <c r="D10" s="29">
        <v>50126304</v>
      </c>
      <c r="E10" s="29">
        <v>60</v>
      </c>
      <c r="F10" s="7">
        <v>120</v>
      </c>
      <c r="G10" s="7">
        <v>11</v>
      </c>
      <c r="H10" s="53" t="s">
        <v>71</v>
      </c>
      <c r="I10" s="7" t="s">
        <v>109</v>
      </c>
      <c r="J10" s="7" t="s">
        <v>130</v>
      </c>
      <c r="K10" s="7" t="s">
        <v>109</v>
      </c>
      <c r="L10" s="11">
        <v>0.79722222222222228</v>
      </c>
      <c r="M10" s="7" t="s">
        <v>109</v>
      </c>
      <c r="N10" s="38" t="s">
        <v>109</v>
      </c>
      <c r="O10" s="38" t="s">
        <v>61</v>
      </c>
      <c r="P10" s="7" t="s">
        <v>131</v>
      </c>
      <c r="Q10" s="7" t="s">
        <v>71</v>
      </c>
      <c r="R10" s="7" t="s">
        <v>62</v>
      </c>
      <c r="S10" s="7" t="s">
        <v>109</v>
      </c>
      <c r="T10" s="29" t="s">
        <v>1063</v>
      </c>
      <c r="U10" s="111">
        <f t="shared" si="0"/>
        <v>0.18333333333333332</v>
      </c>
      <c r="V10" s="89" t="s">
        <v>1940</v>
      </c>
    </row>
    <row r="11" spans="1:22" x14ac:dyDescent="0.3">
      <c r="A11" s="29">
        <v>19</v>
      </c>
      <c r="B11" s="29" t="s">
        <v>23</v>
      </c>
      <c r="C11" s="29" t="s">
        <v>2139</v>
      </c>
      <c r="D11" s="29">
        <v>50226059</v>
      </c>
      <c r="E11" s="29">
        <v>200</v>
      </c>
      <c r="F11" s="7">
        <v>192</v>
      </c>
      <c r="G11" s="7">
        <v>63</v>
      </c>
      <c r="H11" s="28" t="s">
        <v>99</v>
      </c>
      <c r="I11" s="7" t="s">
        <v>109</v>
      </c>
      <c r="J11" s="7" t="s">
        <v>130</v>
      </c>
      <c r="K11" s="7" t="s">
        <v>109</v>
      </c>
      <c r="L11" s="11">
        <v>0.74583333333333335</v>
      </c>
      <c r="M11" s="7" t="s">
        <v>109</v>
      </c>
      <c r="N11" s="29" t="s">
        <v>109</v>
      </c>
      <c r="O11" s="38" t="s">
        <v>61</v>
      </c>
      <c r="P11" s="7" t="s">
        <v>131</v>
      </c>
      <c r="Q11" s="7" t="s">
        <v>91</v>
      </c>
      <c r="R11" s="7" t="s">
        <v>62</v>
      </c>
      <c r="S11" s="7" t="s">
        <v>109</v>
      </c>
      <c r="T11" s="29" t="s">
        <v>121</v>
      </c>
      <c r="U11" s="111">
        <f t="shared" si="0"/>
        <v>0.315</v>
      </c>
      <c r="V11" s="7" t="s">
        <v>889</v>
      </c>
    </row>
    <row r="12" spans="1:22" x14ac:dyDescent="0.3">
      <c r="A12" s="29">
        <v>29</v>
      </c>
      <c r="B12" s="29" t="s">
        <v>23</v>
      </c>
      <c r="C12" s="29" t="s">
        <v>1366</v>
      </c>
      <c r="D12" s="29">
        <v>50126343</v>
      </c>
      <c r="E12" s="29">
        <v>400</v>
      </c>
      <c r="F12" s="7">
        <v>579</v>
      </c>
      <c r="G12" s="7">
        <v>131</v>
      </c>
      <c r="H12" s="52" t="s">
        <v>2157</v>
      </c>
      <c r="I12" s="7" t="s">
        <v>109</v>
      </c>
      <c r="J12" s="7" t="s">
        <v>130</v>
      </c>
      <c r="K12" s="46">
        <v>0.92013888888888884</v>
      </c>
      <c r="L12" s="7" t="s">
        <v>109</v>
      </c>
      <c r="M12" s="7" t="s">
        <v>109</v>
      </c>
      <c r="N12" s="32" t="s">
        <v>110</v>
      </c>
      <c r="O12" s="29" t="s">
        <v>61</v>
      </c>
      <c r="P12" s="7" t="s">
        <v>131</v>
      </c>
      <c r="Q12" s="7" t="s">
        <v>84</v>
      </c>
      <c r="R12" s="7" t="s">
        <v>62</v>
      </c>
      <c r="S12" s="7" t="s">
        <v>109</v>
      </c>
      <c r="T12" s="29" t="s">
        <v>1365</v>
      </c>
      <c r="U12" s="111">
        <f t="shared" si="0"/>
        <v>0.32750000000000001</v>
      </c>
      <c r="V12" s="122" t="s">
        <v>1946</v>
      </c>
    </row>
    <row r="13" spans="1:22" x14ac:dyDescent="0.3">
      <c r="A13" s="29">
        <v>43</v>
      </c>
      <c r="B13" s="29" t="s">
        <v>26</v>
      </c>
      <c r="C13" s="29" t="s">
        <v>1778</v>
      </c>
      <c r="D13" s="29">
        <v>40226001</v>
      </c>
      <c r="E13" s="29">
        <v>278</v>
      </c>
      <c r="F13" s="7">
        <v>402</v>
      </c>
      <c r="G13" s="7">
        <v>96</v>
      </c>
      <c r="H13" s="52" t="s">
        <v>2161</v>
      </c>
      <c r="I13" s="7" t="s">
        <v>2162</v>
      </c>
      <c r="J13" s="7" t="s">
        <v>130</v>
      </c>
      <c r="K13" s="11">
        <v>0.73055555555555551</v>
      </c>
      <c r="L13" s="46">
        <v>0.93333333333333335</v>
      </c>
      <c r="M13" s="7" t="s">
        <v>109</v>
      </c>
      <c r="N13" s="32" t="s">
        <v>2098</v>
      </c>
      <c r="O13" s="29" t="s">
        <v>61</v>
      </c>
      <c r="P13" s="7" t="s">
        <v>131</v>
      </c>
      <c r="Q13" s="7" t="s">
        <v>888</v>
      </c>
      <c r="R13" s="7" t="s">
        <v>62</v>
      </c>
      <c r="S13" s="7" t="s">
        <v>109</v>
      </c>
      <c r="T13" s="29" t="s">
        <v>121</v>
      </c>
      <c r="U13" s="111">
        <f t="shared" si="0"/>
        <v>0.34532374100719426</v>
      </c>
      <c r="V13" s="7" t="s">
        <v>889</v>
      </c>
    </row>
    <row r="14" spans="1:22" x14ac:dyDescent="0.3">
      <c r="A14" s="29">
        <v>30</v>
      </c>
      <c r="B14" s="29" t="s">
        <v>23</v>
      </c>
      <c r="C14" s="29" t="s">
        <v>2121</v>
      </c>
      <c r="D14" s="29">
        <v>50226043</v>
      </c>
      <c r="E14" s="29">
        <v>75</v>
      </c>
      <c r="F14" s="7">
        <v>102</v>
      </c>
      <c r="G14" s="7">
        <v>29</v>
      </c>
      <c r="H14" s="53" t="s">
        <v>95</v>
      </c>
      <c r="I14" s="7" t="s">
        <v>109</v>
      </c>
      <c r="J14" s="7" t="s">
        <v>130</v>
      </c>
      <c r="K14" s="7" t="s">
        <v>109</v>
      </c>
      <c r="L14" s="11">
        <v>0.81736111111111109</v>
      </c>
      <c r="M14" s="7" t="s">
        <v>109</v>
      </c>
      <c r="N14" s="29" t="s">
        <v>109</v>
      </c>
      <c r="O14" s="29" t="s">
        <v>61</v>
      </c>
      <c r="P14" s="7" t="s">
        <v>131</v>
      </c>
      <c r="Q14" s="7" t="s">
        <v>95</v>
      </c>
      <c r="R14" s="7" t="s">
        <v>62</v>
      </c>
      <c r="S14" s="7" t="s">
        <v>109</v>
      </c>
      <c r="T14" s="29" t="s">
        <v>464</v>
      </c>
      <c r="U14" s="111">
        <f t="shared" si="0"/>
        <v>0.38666666666666666</v>
      </c>
      <c r="V14" s="7" t="s">
        <v>889</v>
      </c>
    </row>
    <row r="15" spans="1:22" x14ac:dyDescent="0.3">
      <c r="A15" s="29">
        <v>16</v>
      </c>
      <c r="B15" s="29" t="s">
        <v>23</v>
      </c>
      <c r="C15" s="29" t="s">
        <v>2136</v>
      </c>
      <c r="D15" s="29">
        <v>50226062</v>
      </c>
      <c r="E15" s="29">
        <v>44</v>
      </c>
      <c r="F15" s="7">
        <v>44</v>
      </c>
      <c r="G15" s="7">
        <v>18</v>
      </c>
      <c r="H15" s="53" t="s">
        <v>200</v>
      </c>
      <c r="I15" s="7" t="s">
        <v>109</v>
      </c>
      <c r="J15" s="7" t="s">
        <v>130</v>
      </c>
      <c r="K15" s="46">
        <v>0.92986111111111114</v>
      </c>
      <c r="L15" s="7" t="s">
        <v>109</v>
      </c>
      <c r="M15" s="7" t="s">
        <v>109</v>
      </c>
      <c r="N15" s="29" t="s">
        <v>109</v>
      </c>
      <c r="O15" s="38" t="s">
        <v>61</v>
      </c>
      <c r="P15" s="7" t="s">
        <v>131</v>
      </c>
      <c r="Q15" s="7" t="s">
        <v>200</v>
      </c>
      <c r="R15" s="7" t="s">
        <v>62</v>
      </c>
      <c r="S15" s="7" t="s">
        <v>109</v>
      </c>
      <c r="T15" s="29" t="s">
        <v>121</v>
      </c>
      <c r="U15" s="111">
        <f t="shared" si="0"/>
        <v>0.40909090909090912</v>
      </c>
      <c r="V15" s="7" t="s">
        <v>889</v>
      </c>
    </row>
    <row r="16" spans="1:22" x14ac:dyDescent="0.3">
      <c r="A16" s="29">
        <v>4</v>
      </c>
      <c r="B16" s="29" t="s">
        <v>23</v>
      </c>
      <c r="C16" s="29" t="s">
        <v>1972</v>
      </c>
      <c r="D16" s="29">
        <v>50226033</v>
      </c>
      <c r="E16" s="29">
        <v>100</v>
      </c>
      <c r="F16" s="7">
        <v>101</v>
      </c>
      <c r="G16" s="7">
        <v>41</v>
      </c>
      <c r="H16" s="53" t="s">
        <v>71</v>
      </c>
      <c r="I16" s="7" t="s">
        <v>109</v>
      </c>
      <c r="J16" s="7" t="s">
        <v>130</v>
      </c>
      <c r="K16" s="7" t="s">
        <v>109</v>
      </c>
      <c r="L16" s="11">
        <v>0.70763888888888893</v>
      </c>
      <c r="M16" s="7" t="s">
        <v>109</v>
      </c>
      <c r="N16" s="32" t="s">
        <v>110</v>
      </c>
      <c r="O16" s="29" t="s">
        <v>61</v>
      </c>
      <c r="P16" s="7" t="s">
        <v>131</v>
      </c>
      <c r="Q16" s="7" t="s">
        <v>71</v>
      </c>
      <c r="R16" s="7" t="s">
        <v>62</v>
      </c>
      <c r="S16" s="7" t="s">
        <v>109</v>
      </c>
      <c r="T16" s="29" t="s">
        <v>424</v>
      </c>
      <c r="U16" s="111">
        <f t="shared" si="0"/>
        <v>0.41</v>
      </c>
      <c r="V16" s="7" t="s">
        <v>889</v>
      </c>
    </row>
    <row r="17" spans="1:22" x14ac:dyDescent="0.3">
      <c r="A17" s="29">
        <v>36</v>
      </c>
      <c r="B17" s="29" t="s">
        <v>23</v>
      </c>
      <c r="C17" s="29" t="s">
        <v>2022</v>
      </c>
      <c r="D17" s="29">
        <v>50226042</v>
      </c>
      <c r="E17" s="29">
        <v>30</v>
      </c>
      <c r="F17" s="7">
        <v>34</v>
      </c>
      <c r="G17" s="7">
        <v>17</v>
      </c>
      <c r="H17" s="53" t="s">
        <v>65</v>
      </c>
      <c r="I17" s="7" t="s">
        <v>109</v>
      </c>
      <c r="J17" s="7" t="s">
        <v>130</v>
      </c>
      <c r="K17" s="7" t="s">
        <v>109</v>
      </c>
      <c r="L17" s="11">
        <v>0.79583333333333328</v>
      </c>
      <c r="M17" s="7" t="s">
        <v>109</v>
      </c>
      <c r="N17" s="29" t="s">
        <v>109</v>
      </c>
      <c r="O17" s="29" t="s">
        <v>61</v>
      </c>
      <c r="P17" s="7" t="s">
        <v>131</v>
      </c>
      <c r="Q17" s="7" t="s">
        <v>65</v>
      </c>
      <c r="R17" s="7" t="s">
        <v>62</v>
      </c>
      <c r="S17" s="7" t="s">
        <v>109</v>
      </c>
      <c r="T17" s="29" t="s">
        <v>464</v>
      </c>
      <c r="U17" s="111">
        <f t="shared" si="0"/>
        <v>0.56666666666666665</v>
      </c>
      <c r="V17" s="7" t="s">
        <v>889</v>
      </c>
    </row>
    <row r="18" spans="1:22" x14ac:dyDescent="0.3">
      <c r="A18" s="29">
        <v>42</v>
      </c>
      <c r="B18" s="29" t="s">
        <v>24</v>
      </c>
      <c r="C18" s="29" t="s">
        <v>1900</v>
      </c>
      <c r="D18" s="29">
        <v>60226009</v>
      </c>
      <c r="E18" s="29">
        <v>51</v>
      </c>
      <c r="F18" s="7">
        <v>100</v>
      </c>
      <c r="G18" s="7">
        <v>32</v>
      </c>
      <c r="H18" s="53" t="s">
        <v>67</v>
      </c>
      <c r="I18" s="7" t="s">
        <v>95</v>
      </c>
      <c r="J18" s="7" t="s">
        <v>130</v>
      </c>
      <c r="K18" s="11">
        <v>0.80972222222222223</v>
      </c>
      <c r="L18" s="11">
        <v>0.82499999999999996</v>
      </c>
      <c r="M18" s="7" t="s">
        <v>109</v>
      </c>
      <c r="N18" s="32" t="s">
        <v>2098</v>
      </c>
      <c r="O18" s="29" t="s">
        <v>61</v>
      </c>
      <c r="P18" s="7" t="s">
        <v>131</v>
      </c>
      <c r="Q18" s="7" t="s">
        <v>95</v>
      </c>
      <c r="R18" s="7" t="s">
        <v>63</v>
      </c>
      <c r="S18" s="7" t="s">
        <v>109</v>
      </c>
      <c r="T18" s="29" t="s">
        <v>2042</v>
      </c>
      <c r="U18" s="111">
        <f t="shared" si="0"/>
        <v>0.62745098039215685</v>
      </c>
      <c r="V18" s="7" t="s">
        <v>1940</v>
      </c>
    </row>
    <row r="19" spans="1:22" x14ac:dyDescent="0.3">
      <c r="A19" s="29">
        <v>35</v>
      </c>
      <c r="B19" s="29" t="s">
        <v>23</v>
      </c>
      <c r="C19" s="29" t="s">
        <v>2159</v>
      </c>
      <c r="D19" s="29">
        <v>50226068</v>
      </c>
      <c r="E19" s="29">
        <v>50</v>
      </c>
      <c r="F19" s="7">
        <v>68</v>
      </c>
      <c r="G19" s="7">
        <v>32</v>
      </c>
      <c r="H19" s="53" t="s">
        <v>84</v>
      </c>
      <c r="I19" s="7" t="s">
        <v>109</v>
      </c>
      <c r="J19" s="7" t="s">
        <v>130</v>
      </c>
      <c r="K19" s="7" t="s">
        <v>109</v>
      </c>
      <c r="L19" s="11">
        <v>0.77013888888888893</v>
      </c>
      <c r="M19" s="7" t="s">
        <v>109</v>
      </c>
      <c r="N19" s="29" t="s">
        <v>109</v>
      </c>
      <c r="O19" s="29" t="s">
        <v>61</v>
      </c>
      <c r="P19" s="7" t="s">
        <v>131</v>
      </c>
      <c r="Q19" s="7" t="s">
        <v>84</v>
      </c>
      <c r="R19" s="7" t="s">
        <v>62</v>
      </c>
      <c r="S19" s="7" t="s">
        <v>109</v>
      </c>
      <c r="T19" s="29" t="s">
        <v>2160</v>
      </c>
      <c r="U19" s="111">
        <f t="shared" si="0"/>
        <v>0.64</v>
      </c>
      <c r="V19" s="7" t="s">
        <v>1946</v>
      </c>
    </row>
    <row r="20" spans="1:22" x14ac:dyDescent="0.3">
      <c r="A20" s="29">
        <v>24</v>
      </c>
      <c r="B20" s="29" t="s">
        <v>23</v>
      </c>
      <c r="C20" s="29" t="s">
        <v>1371</v>
      </c>
      <c r="D20" s="29">
        <v>50126338</v>
      </c>
      <c r="E20" s="29">
        <v>250</v>
      </c>
      <c r="F20" s="7">
        <v>483</v>
      </c>
      <c r="G20" s="7">
        <v>170</v>
      </c>
      <c r="H20" s="52" t="s">
        <v>2154</v>
      </c>
      <c r="I20" s="7" t="s">
        <v>109</v>
      </c>
      <c r="J20" s="7" t="s">
        <v>130</v>
      </c>
      <c r="K20" s="7" t="s">
        <v>109</v>
      </c>
      <c r="L20" s="11">
        <v>0.8520833333333333</v>
      </c>
      <c r="M20" s="7" t="s">
        <v>109</v>
      </c>
      <c r="N20" s="32" t="s">
        <v>110</v>
      </c>
      <c r="O20" s="29" t="s">
        <v>61</v>
      </c>
      <c r="P20" s="7" t="s">
        <v>131</v>
      </c>
      <c r="Q20" s="7" t="s">
        <v>86</v>
      </c>
      <c r="R20" s="7" t="s">
        <v>62</v>
      </c>
      <c r="S20" s="7" t="s">
        <v>109</v>
      </c>
      <c r="T20" s="29" t="s">
        <v>1365</v>
      </c>
      <c r="U20" s="111">
        <f t="shared" si="0"/>
        <v>0.68</v>
      </c>
      <c r="V20" s="7" t="s">
        <v>1940</v>
      </c>
    </row>
    <row r="21" spans="1:22" x14ac:dyDescent="0.3">
      <c r="A21" s="29">
        <v>10</v>
      </c>
      <c r="B21" s="29" t="s">
        <v>23</v>
      </c>
      <c r="C21" s="29" t="s">
        <v>1065</v>
      </c>
      <c r="D21" s="29">
        <v>50126305</v>
      </c>
      <c r="E21" s="29">
        <v>60</v>
      </c>
      <c r="F21" s="7">
        <v>127</v>
      </c>
      <c r="G21" s="7">
        <v>41</v>
      </c>
      <c r="H21" s="53" t="s">
        <v>70</v>
      </c>
      <c r="I21" s="7" t="s">
        <v>109</v>
      </c>
      <c r="J21" s="7" t="s">
        <v>130</v>
      </c>
      <c r="K21" s="7" t="s">
        <v>109</v>
      </c>
      <c r="L21" s="11">
        <v>0.83472222222222225</v>
      </c>
      <c r="M21" s="7" t="s">
        <v>109</v>
      </c>
      <c r="N21" s="38" t="s">
        <v>109</v>
      </c>
      <c r="O21" s="38" t="s">
        <v>61</v>
      </c>
      <c r="P21" s="7" t="s">
        <v>131</v>
      </c>
      <c r="Q21" s="7" t="s">
        <v>70</v>
      </c>
      <c r="R21" s="7" t="s">
        <v>62</v>
      </c>
      <c r="S21" s="7" t="s">
        <v>109</v>
      </c>
      <c r="T21" s="29" t="s">
        <v>1063</v>
      </c>
      <c r="U21" s="111">
        <f t="shared" si="0"/>
        <v>0.68333333333333335</v>
      </c>
      <c r="V21" s="7" t="s">
        <v>1940</v>
      </c>
    </row>
    <row r="22" spans="1:22" x14ac:dyDescent="0.3">
      <c r="A22" s="29">
        <v>37</v>
      </c>
      <c r="B22" s="29" t="s">
        <v>23</v>
      </c>
      <c r="C22" s="29" t="s">
        <v>2023</v>
      </c>
      <c r="D22" s="29">
        <v>50226041</v>
      </c>
      <c r="E22" s="29">
        <v>50</v>
      </c>
      <c r="F22" s="7">
        <v>70</v>
      </c>
      <c r="G22" s="7">
        <v>37</v>
      </c>
      <c r="H22" s="53" t="s">
        <v>69</v>
      </c>
      <c r="I22" s="7" t="s">
        <v>109</v>
      </c>
      <c r="J22" s="7" t="s">
        <v>130</v>
      </c>
      <c r="K22" s="7" t="s">
        <v>109</v>
      </c>
      <c r="L22" s="11">
        <v>0.6958333333333333</v>
      </c>
      <c r="M22" s="7" t="s">
        <v>109</v>
      </c>
      <c r="N22" s="29" t="s">
        <v>109</v>
      </c>
      <c r="O22" s="29" t="s">
        <v>61</v>
      </c>
      <c r="P22" s="7" t="s">
        <v>131</v>
      </c>
      <c r="Q22" s="7" t="s">
        <v>69</v>
      </c>
      <c r="R22" s="7" t="s">
        <v>62</v>
      </c>
      <c r="S22" s="7" t="s">
        <v>109</v>
      </c>
      <c r="T22" s="29" t="s">
        <v>464</v>
      </c>
      <c r="U22" s="111">
        <f t="shared" si="0"/>
        <v>0.74</v>
      </c>
      <c r="V22" s="7" t="s">
        <v>1946</v>
      </c>
    </row>
    <row r="23" spans="1:22" x14ac:dyDescent="0.3">
      <c r="A23" s="29">
        <v>9</v>
      </c>
      <c r="B23" s="29" t="s">
        <v>23</v>
      </c>
      <c r="C23" s="29" t="s">
        <v>1064</v>
      </c>
      <c r="D23" s="29">
        <v>50126306</v>
      </c>
      <c r="E23" s="29">
        <v>60</v>
      </c>
      <c r="F23" s="7">
        <v>133</v>
      </c>
      <c r="G23" s="7">
        <v>46</v>
      </c>
      <c r="H23" s="53" t="s">
        <v>274</v>
      </c>
      <c r="I23" s="7" t="s">
        <v>109</v>
      </c>
      <c r="J23" s="7" t="s">
        <v>130</v>
      </c>
      <c r="K23" s="7" t="s">
        <v>109</v>
      </c>
      <c r="L23" s="11">
        <v>0.79652777777777772</v>
      </c>
      <c r="M23" s="7" t="s">
        <v>109</v>
      </c>
      <c r="N23" s="38" t="s">
        <v>109</v>
      </c>
      <c r="O23" s="38" t="s">
        <v>61</v>
      </c>
      <c r="P23" s="7" t="s">
        <v>131</v>
      </c>
      <c r="Q23" s="7" t="s">
        <v>274</v>
      </c>
      <c r="R23" s="7" t="s">
        <v>62</v>
      </c>
      <c r="S23" s="7" t="s">
        <v>109</v>
      </c>
      <c r="T23" s="29" t="s">
        <v>1063</v>
      </c>
      <c r="U23" s="111">
        <f t="shared" si="0"/>
        <v>0.76666666666666672</v>
      </c>
      <c r="V23" s="7" t="s">
        <v>1940</v>
      </c>
    </row>
    <row r="24" spans="1:22" x14ac:dyDescent="0.3">
      <c r="A24" s="29">
        <v>27</v>
      </c>
      <c r="B24" s="29" t="s">
        <v>23</v>
      </c>
      <c r="C24" s="29" t="s">
        <v>1364</v>
      </c>
      <c r="D24" s="29">
        <v>50126341</v>
      </c>
      <c r="E24" s="29">
        <v>300</v>
      </c>
      <c r="F24" s="7">
        <v>523</v>
      </c>
      <c r="G24" s="7">
        <v>233</v>
      </c>
      <c r="H24" s="52" t="s">
        <v>2156</v>
      </c>
      <c r="I24" s="7" t="s">
        <v>109</v>
      </c>
      <c r="J24" s="7" t="s">
        <v>130</v>
      </c>
      <c r="K24" s="7" t="s">
        <v>109</v>
      </c>
      <c r="L24" s="11">
        <v>0.86736111111111114</v>
      </c>
      <c r="M24" s="7" t="s">
        <v>109</v>
      </c>
      <c r="N24" s="32" t="s">
        <v>110</v>
      </c>
      <c r="O24" s="29" t="s">
        <v>61</v>
      </c>
      <c r="P24" s="7" t="s">
        <v>131</v>
      </c>
      <c r="Q24" s="7" t="s">
        <v>214</v>
      </c>
      <c r="R24" s="7" t="s">
        <v>62</v>
      </c>
      <c r="S24" s="7" t="s">
        <v>109</v>
      </c>
      <c r="T24" s="29" t="s">
        <v>1365</v>
      </c>
      <c r="U24" s="111">
        <f t="shared" si="0"/>
        <v>0.77666666666666662</v>
      </c>
      <c r="V24" s="7" t="s">
        <v>1946</v>
      </c>
    </row>
    <row r="25" spans="1:22" x14ac:dyDescent="0.3">
      <c r="A25" s="29">
        <v>25</v>
      </c>
      <c r="B25" s="29" t="s">
        <v>23</v>
      </c>
      <c r="C25" s="29" t="s">
        <v>1369</v>
      </c>
      <c r="D25" s="29">
        <v>50126339</v>
      </c>
      <c r="E25" s="29">
        <v>300</v>
      </c>
      <c r="F25" s="7">
        <v>446</v>
      </c>
      <c r="G25" s="7">
        <v>240</v>
      </c>
      <c r="H25" s="52" t="s">
        <v>2155</v>
      </c>
      <c r="I25" s="7" t="s">
        <v>109</v>
      </c>
      <c r="J25" s="7" t="s">
        <v>130</v>
      </c>
      <c r="K25" s="46">
        <v>0.9194444444444444</v>
      </c>
      <c r="L25" s="7" t="s">
        <v>109</v>
      </c>
      <c r="M25" s="7" t="s">
        <v>109</v>
      </c>
      <c r="N25" s="32" t="s">
        <v>110</v>
      </c>
      <c r="O25" s="29" t="s">
        <v>61</v>
      </c>
      <c r="P25" s="7" t="s">
        <v>131</v>
      </c>
      <c r="Q25" s="7" t="s">
        <v>154</v>
      </c>
      <c r="R25" s="7" t="s">
        <v>62</v>
      </c>
      <c r="S25" s="7" t="s">
        <v>109</v>
      </c>
      <c r="T25" s="29" t="s">
        <v>1365</v>
      </c>
      <c r="U25" s="111">
        <f t="shared" si="0"/>
        <v>0.8</v>
      </c>
      <c r="V25" s="7" t="s">
        <v>1946</v>
      </c>
    </row>
    <row r="26" spans="1:22" x14ac:dyDescent="0.3">
      <c r="A26" s="29">
        <v>28</v>
      </c>
      <c r="B26" s="29" t="s">
        <v>23</v>
      </c>
      <c r="C26" s="29" t="s">
        <v>1370</v>
      </c>
      <c r="D26" s="29">
        <v>50126342</v>
      </c>
      <c r="E26" s="29">
        <v>200</v>
      </c>
      <c r="F26" s="7">
        <v>317</v>
      </c>
      <c r="G26" s="7">
        <v>161</v>
      </c>
      <c r="H26" s="28" t="s">
        <v>103</v>
      </c>
      <c r="I26" s="7" t="s">
        <v>109</v>
      </c>
      <c r="J26" s="7" t="s">
        <v>130</v>
      </c>
      <c r="K26" s="46">
        <v>0.91597222222222219</v>
      </c>
      <c r="L26" s="7" t="s">
        <v>109</v>
      </c>
      <c r="M26" s="7" t="s">
        <v>109</v>
      </c>
      <c r="N26" s="32" t="s">
        <v>110</v>
      </c>
      <c r="O26" s="29" t="s">
        <v>61</v>
      </c>
      <c r="P26" s="7" t="s">
        <v>131</v>
      </c>
      <c r="Q26" s="7" t="s">
        <v>94</v>
      </c>
      <c r="R26" s="7" t="s">
        <v>62</v>
      </c>
      <c r="S26" s="7" t="s">
        <v>109</v>
      </c>
      <c r="T26" s="29" t="s">
        <v>1365</v>
      </c>
      <c r="U26" s="111">
        <f t="shared" si="0"/>
        <v>0.80500000000000005</v>
      </c>
      <c r="V26" s="7" t="s">
        <v>1946</v>
      </c>
    </row>
    <row r="27" spans="1:22" x14ac:dyDescent="0.3">
      <c r="A27" s="29">
        <v>5</v>
      </c>
      <c r="B27" s="29" t="s">
        <v>23</v>
      </c>
      <c r="C27" s="29" t="s">
        <v>848</v>
      </c>
      <c r="D27" s="29">
        <v>50126212</v>
      </c>
      <c r="E27" s="29">
        <v>180</v>
      </c>
      <c r="F27" s="7">
        <v>219</v>
      </c>
      <c r="G27" s="7">
        <v>166</v>
      </c>
      <c r="H27" s="28" t="s">
        <v>2148</v>
      </c>
      <c r="I27" s="7" t="s">
        <v>109</v>
      </c>
      <c r="J27" s="7" t="s">
        <v>130</v>
      </c>
      <c r="K27" s="7" t="s">
        <v>109</v>
      </c>
      <c r="L27" s="11">
        <v>0.79861111111111116</v>
      </c>
      <c r="M27" s="7" t="s">
        <v>109</v>
      </c>
      <c r="N27" s="32" t="s">
        <v>110</v>
      </c>
      <c r="O27" s="29" t="s">
        <v>61</v>
      </c>
      <c r="P27" s="7" t="s">
        <v>131</v>
      </c>
      <c r="Q27" s="7" t="s">
        <v>86</v>
      </c>
      <c r="R27" s="7" t="s">
        <v>62</v>
      </c>
      <c r="S27" s="7" t="s">
        <v>109</v>
      </c>
      <c r="T27" s="29" t="s">
        <v>424</v>
      </c>
      <c r="U27" s="111">
        <f t="shared" si="0"/>
        <v>0.92222222222222228</v>
      </c>
      <c r="V27" s="89" t="s">
        <v>1941</v>
      </c>
    </row>
    <row r="28" spans="1:22" x14ac:dyDescent="0.3">
      <c r="A28" s="29">
        <v>31</v>
      </c>
      <c r="B28" s="29" t="s">
        <v>23</v>
      </c>
      <c r="C28" s="29" t="s">
        <v>2115</v>
      </c>
      <c r="D28" s="29">
        <v>50226055</v>
      </c>
      <c r="E28" s="29">
        <v>100</v>
      </c>
      <c r="F28" s="7">
        <v>135</v>
      </c>
      <c r="G28" s="7">
        <v>96</v>
      </c>
      <c r="H28" s="53" t="s">
        <v>67</v>
      </c>
      <c r="I28" s="7" t="s">
        <v>109</v>
      </c>
      <c r="J28" s="7" t="s">
        <v>130</v>
      </c>
      <c r="K28" s="7" t="s">
        <v>109</v>
      </c>
      <c r="L28" s="11">
        <v>0.85347222222222219</v>
      </c>
      <c r="M28" s="7" t="s">
        <v>109</v>
      </c>
      <c r="N28" s="29" t="s">
        <v>109</v>
      </c>
      <c r="O28" s="29" t="s">
        <v>61</v>
      </c>
      <c r="P28" s="7" t="s">
        <v>131</v>
      </c>
      <c r="Q28" s="7" t="s">
        <v>67</v>
      </c>
      <c r="R28" s="7" t="s">
        <v>62</v>
      </c>
      <c r="S28" s="7" t="s">
        <v>109</v>
      </c>
      <c r="T28" s="29" t="s">
        <v>289</v>
      </c>
      <c r="U28" s="111">
        <f t="shared" si="0"/>
        <v>0.96</v>
      </c>
      <c r="V28" s="89" t="s">
        <v>1941</v>
      </c>
    </row>
    <row r="29" spans="1:22" x14ac:dyDescent="0.3">
      <c r="A29" s="29">
        <v>6</v>
      </c>
      <c r="B29" s="29" t="s">
        <v>23</v>
      </c>
      <c r="C29" s="29" t="s">
        <v>2149</v>
      </c>
      <c r="D29" s="29">
        <v>50226066</v>
      </c>
      <c r="E29" s="38">
        <v>100</v>
      </c>
      <c r="F29" s="7">
        <v>128</v>
      </c>
      <c r="G29" s="7">
        <v>97</v>
      </c>
      <c r="H29" s="53" t="s">
        <v>70</v>
      </c>
      <c r="I29" s="7" t="s">
        <v>109</v>
      </c>
      <c r="J29" s="7" t="s">
        <v>130</v>
      </c>
      <c r="K29" s="7" t="s">
        <v>109</v>
      </c>
      <c r="L29" s="11">
        <v>0.7055555555555556</v>
      </c>
      <c r="M29" s="7" t="s">
        <v>109</v>
      </c>
      <c r="N29" s="38" t="s">
        <v>109</v>
      </c>
      <c r="O29" s="29" t="s">
        <v>61</v>
      </c>
      <c r="P29" s="7" t="s">
        <v>131</v>
      </c>
      <c r="Q29" s="7" t="s">
        <v>70</v>
      </c>
      <c r="R29" s="7" t="s">
        <v>62</v>
      </c>
      <c r="S29" s="7" t="s">
        <v>109</v>
      </c>
      <c r="T29" s="29" t="s">
        <v>116</v>
      </c>
      <c r="U29" s="111">
        <f t="shared" si="0"/>
        <v>0.97</v>
      </c>
      <c r="V29" s="89" t="s">
        <v>1941</v>
      </c>
    </row>
    <row r="30" spans="1:22" x14ac:dyDescent="0.3">
      <c r="A30" s="29">
        <v>7</v>
      </c>
      <c r="B30" s="29" t="s">
        <v>23</v>
      </c>
      <c r="C30" s="29" t="s">
        <v>2150</v>
      </c>
      <c r="D30" s="29">
        <v>50226067</v>
      </c>
      <c r="E30" s="38">
        <v>250</v>
      </c>
      <c r="F30" s="7">
        <v>324</v>
      </c>
      <c r="G30" s="7">
        <v>245</v>
      </c>
      <c r="H30" s="52" t="s">
        <v>1673</v>
      </c>
      <c r="I30" s="7" t="s">
        <v>109</v>
      </c>
      <c r="J30" s="7" t="s">
        <v>130</v>
      </c>
      <c r="K30" s="7" t="s">
        <v>109</v>
      </c>
      <c r="L30" s="11">
        <v>0.74375000000000002</v>
      </c>
      <c r="M30" s="7" t="s">
        <v>109</v>
      </c>
      <c r="N30" s="38" t="s">
        <v>109</v>
      </c>
      <c r="O30" s="29" t="s">
        <v>61</v>
      </c>
      <c r="P30" s="7" t="s">
        <v>131</v>
      </c>
      <c r="Q30" s="7" t="s">
        <v>71</v>
      </c>
      <c r="R30" s="7" t="s">
        <v>62</v>
      </c>
      <c r="S30" s="7" t="s">
        <v>109</v>
      </c>
      <c r="T30" s="29" t="s">
        <v>116</v>
      </c>
      <c r="U30" s="111">
        <f t="shared" si="0"/>
        <v>0.98</v>
      </c>
      <c r="V30" s="89" t="s">
        <v>1941</v>
      </c>
    </row>
    <row r="31" spans="1:22" x14ac:dyDescent="0.3">
      <c r="A31" s="29">
        <v>33</v>
      </c>
      <c r="B31" s="29" t="s">
        <v>23</v>
      </c>
      <c r="C31" s="29" t="s">
        <v>2117</v>
      </c>
      <c r="D31" s="29">
        <v>50226054</v>
      </c>
      <c r="E31" s="29">
        <v>200</v>
      </c>
      <c r="F31" s="7">
        <v>355</v>
      </c>
      <c r="G31" s="7">
        <v>198</v>
      </c>
      <c r="H31" s="28" t="s">
        <v>97</v>
      </c>
      <c r="I31" s="7" t="s">
        <v>109</v>
      </c>
      <c r="J31" s="7" t="s">
        <v>130</v>
      </c>
      <c r="K31" s="7" t="s">
        <v>109</v>
      </c>
      <c r="L31" s="11">
        <v>0.75416666666666665</v>
      </c>
      <c r="M31" s="7" t="s">
        <v>109</v>
      </c>
      <c r="N31" s="29" t="s">
        <v>109</v>
      </c>
      <c r="O31" s="29" t="s">
        <v>61</v>
      </c>
      <c r="P31" s="7" t="s">
        <v>131</v>
      </c>
      <c r="Q31" s="7" t="s">
        <v>89</v>
      </c>
      <c r="R31" s="7" t="s">
        <v>62</v>
      </c>
      <c r="S31" s="7" t="s">
        <v>109</v>
      </c>
      <c r="T31" s="29" t="s">
        <v>289</v>
      </c>
      <c r="U31" s="111">
        <f t="shared" si="0"/>
        <v>0.99</v>
      </c>
      <c r="V31" s="89" t="s">
        <v>1941</v>
      </c>
    </row>
    <row r="32" spans="1:22" x14ac:dyDescent="0.3">
      <c r="A32" s="29">
        <v>1</v>
      </c>
      <c r="B32" s="29" t="s">
        <v>23</v>
      </c>
      <c r="C32" s="29" t="s">
        <v>1716</v>
      </c>
      <c r="D32" s="29">
        <v>50126402</v>
      </c>
      <c r="E32" s="29">
        <v>60</v>
      </c>
      <c r="F32" s="7">
        <v>70</v>
      </c>
      <c r="G32" s="7">
        <v>60</v>
      </c>
      <c r="H32" s="53" t="s">
        <v>214</v>
      </c>
      <c r="I32" s="7" t="s">
        <v>109</v>
      </c>
      <c r="J32" s="7" t="s">
        <v>130</v>
      </c>
      <c r="K32" s="7" t="s">
        <v>109</v>
      </c>
      <c r="L32" s="11">
        <v>0.74652777777777779</v>
      </c>
      <c r="M32" s="7" t="s">
        <v>109</v>
      </c>
      <c r="N32" s="32" t="s">
        <v>110</v>
      </c>
      <c r="O32" s="29" t="s">
        <v>61</v>
      </c>
      <c r="P32" s="7" t="s">
        <v>131</v>
      </c>
      <c r="Q32" s="7" t="s">
        <v>214</v>
      </c>
      <c r="R32" s="7" t="s">
        <v>62</v>
      </c>
      <c r="S32" s="7" t="s">
        <v>109</v>
      </c>
      <c r="T32" s="29" t="s">
        <v>424</v>
      </c>
      <c r="U32" s="111">
        <f t="shared" si="0"/>
        <v>1</v>
      </c>
      <c r="V32" s="89" t="s">
        <v>1941</v>
      </c>
    </row>
    <row r="33" spans="1:22" x14ac:dyDescent="0.3">
      <c r="A33" s="29">
        <v>38</v>
      </c>
      <c r="B33" s="29" t="s">
        <v>23</v>
      </c>
      <c r="C33" s="29" t="s">
        <v>686</v>
      </c>
      <c r="D33" s="29">
        <v>50126137</v>
      </c>
      <c r="E33" s="29">
        <v>10</v>
      </c>
      <c r="F33" s="7">
        <v>10</v>
      </c>
      <c r="G33" s="7">
        <v>10</v>
      </c>
      <c r="H33" s="53" t="s">
        <v>64</v>
      </c>
      <c r="I33" s="7" t="s">
        <v>109</v>
      </c>
      <c r="J33" s="7" t="s">
        <v>130</v>
      </c>
      <c r="K33" s="7" t="s">
        <v>109</v>
      </c>
      <c r="L33" s="11">
        <v>0.85555555555555551</v>
      </c>
      <c r="M33" s="7" t="s">
        <v>109</v>
      </c>
      <c r="N33" s="32" t="s">
        <v>2013</v>
      </c>
      <c r="O33" s="29" t="s">
        <v>145</v>
      </c>
      <c r="P33" s="7" t="s">
        <v>131</v>
      </c>
      <c r="Q33" s="7" t="s">
        <v>364</v>
      </c>
      <c r="R33" s="7" t="s">
        <v>62</v>
      </c>
      <c r="S33" s="7" t="s">
        <v>109</v>
      </c>
      <c r="T33" s="29" t="s">
        <v>688</v>
      </c>
      <c r="U33" s="111">
        <f t="shared" si="0"/>
        <v>1</v>
      </c>
      <c r="V33" s="89" t="s">
        <v>1941</v>
      </c>
    </row>
    <row r="34" spans="1:22" x14ac:dyDescent="0.3">
      <c r="A34" s="29">
        <v>3</v>
      </c>
      <c r="B34" s="29" t="s">
        <v>23</v>
      </c>
      <c r="C34" s="29" t="s">
        <v>1919</v>
      </c>
      <c r="D34" s="29">
        <v>50226021</v>
      </c>
      <c r="E34" s="29">
        <v>800</v>
      </c>
      <c r="F34" s="7">
        <v>911</v>
      </c>
      <c r="G34" s="7">
        <v>805</v>
      </c>
      <c r="H34" s="52" t="s">
        <v>2147</v>
      </c>
      <c r="I34" s="7" t="s">
        <v>109</v>
      </c>
      <c r="J34" s="7" t="s">
        <v>130</v>
      </c>
      <c r="K34" s="7" t="s">
        <v>109</v>
      </c>
      <c r="L34" s="11">
        <v>0.81319444444444444</v>
      </c>
      <c r="M34" s="7" t="s">
        <v>109</v>
      </c>
      <c r="N34" s="32" t="s">
        <v>110</v>
      </c>
      <c r="O34" s="29" t="s">
        <v>61</v>
      </c>
      <c r="P34" s="7" t="s">
        <v>131</v>
      </c>
      <c r="Q34" s="7" t="s">
        <v>84</v>
      </c>
      <c r="R34" s="7" t="s">
        <v>62</v>
      </c>
      <c r="S34" s="7" t="s">
        <v>109</v>
      </c>
      <c r="T34" s="29" t="s">
        <v>424</v>
      </c>
      <c r="U34" s="111">
        <f t="shared" si="0"/>
        <v>1.0062500000000001</v>
      </c>
      <c r="V34" s="89" t="s">
        <v>1941</v>
      </c>
    </row>
    <row r="35" spans="1:22" x14ac:dyDescent="0.3">
      <c r="A35" s="29">
        <v>32</v>
      </c>
      <c r="B35" s="29" t="s">
        <v>23</v>
      </c>
      <c r="C35" s="29" t="s">
        <v>2075</v>
      </c>
      <c r="D35" s="29">
        <v>50226051</v>
      </c>
      <c r="E35" s="29">
        <v>100</v>
      </c>
      <c r="F35" s="7">
        <v>122</v>
      </c>
      <c r="G35" s="7">
        <v>101</v>
      </c>
      <c r="H35" s="53" t="s">
        <v>88</v>
      </c>
      <c r="I35" s="7" t="s">
        <v>109</v>
      </c>
      <c r="J35" s="7" t="s">
        <v>130</v>
      </c>
      <c r="K35" s="7" t="s">
        <v>109</v>
      </c>
      <c r="L35" s="11">
        <v>0.72430555555555554</v>
      </c>
      <c r="M35" s="7" t="s">
        <v>109</v>
      </c>
      <c r="N35" s="29" t="s">
        <v>109</v>
      </c>
      <c r="O35" s="29" t="s">
        <v>61</v>
      </c>
      <c r="P35" s="7" t="s">
        <v>131</v>
      </c>
      <c r="Q35" s="7" t="s">
        <v>88</v>
      </c>
      <c r="R35" s="7" t="s">
        <v>62</v>
      </c>
      <c r="S35" s="7" t="s">
        <v>109</v>
      </c>
      <c r="T35" s="29" t="s">
        <v>289</v>
      </c>
      <c r="U35" s="111">
        <f t="shared" si="0"/>
        <v>1.01</v>
      </c>
      <c r="V35" s="89" t="s">
        <v>1941</v>
      </c>
    </row>
    <row r="36" spans="1:22" x14ac:dyDescent="0.3">
      <c r="A36" s="29">
        <v>34</v>
      </c>
      <c r="B36" s="29" t="s">
        <v>23</v>
      </c>
      <c r="C36" s="29" t="s">
        <v>2119</v>
      </c>
      <c r="D36" s="29">
        <v>50226057</v>
      </c>
      <c r="E36" s="29">
        <v>200</v>
      </c>
      <c r="F36" s="7">
        <v>351</v>
      </c>
      <c r="G36" s="7">
        <v>206</v>
      </c>
      <c r="H36" s="28" t="s">
        <v>2158</v>
      </c>
      <c r="I36" s="7" t="s">
        <v>109</v>
      </c>
      <c r="J36" s="7" t="s">
        <v>130</v>
      </c>
      <c r="K36" s="46">
        <v>0.90972222222222221</v>
      </c>
      <c r="L36" s="7" t="s">
        <v>109</v>
      </c>
      <c r="M36" s="7" t="s">
        <v>109</v>
      </c>
      <c r="N36" s="29" t="s">
        <v>109</v>
      </c>
      <c r="O36" s="29" t="s">
        <v>61</v>
      </c>
      <c r="P36" s="7" t="s">
        <v>131</v>
      </c>
      <c r="Q36" s="7" t="s">
        <v>200</v>
      </c>
      <c r="R36" s="7" t="s">
        <v>62</v>
      </c>
      <c r="S36" s="7" t="s">
        <v>109</v>
      </c>
      <c r="T36" s="29" t="s">
        <v>289</v>
      </c>
      <c r="U36" s="111">
        <f t="shared" si="0"/>
        <v>1.03</v>
      </c>
      <c r="V36" s="89" t="s">
        <v>1941</v>
      </c>
    </row>
    <row r="37" spans="1:22" x14ac:dyDescent="0.3">
      <c r="A37" s="29">
        <v>11</v>
      </c>
      <c r="B37" s="29" t="s">
        <v>23</v>
      </c>
      <c r="C37" s="29" t="s">
        <v>2151</v>
      </c>
      <c r="D37" s="29">
        <v>50226069</v>
      </c>
      <c r="E37" s="29">
        <v>100</v>
      </c>
      <c r="F37" s="7">
        <v>156</v>
      </c>
      <c r="G37" s="7">
        <v>104</v>
      </c>
      <c r="H37" s="53" t="s">
        <v>274</v>
      </c>
      <c r="I37" s="7" t="s">
        <v>109</v>
      </c>
      <c r="J37" s="7" t="s">
        <v>130</v>
      </c>
      <c r="K37" s="7" t="s">
        <v>109</v>
      </c>
      <c r="L37" s="11">
        <v>0.89513888888888893</v>
      </c>
      <c r="M37" s="7" t="s">
        <v>109</v>
      </c>
      <c r="N37" s="38" t="s">
        <v>109</v>
      </c>
      <c r="O37" s="38" t="s">
        <v>61</v>
      </c>
      <c r="P37" s="7" t="s">
        <v>131</v>
      </c>
      <c r="Q37" s="7" t="s">
        <v>274</v>
      </c>
      <c r="R37" s="7" t="s">
        <v>62</v>
      </c>
      <c r="S37" s="7" t="s">
        <v>109</v>
      </c>
      <c r="T37" s="29" t="s">
        <v>270</v>
      </c>
      <c r="U37" s="111">
        <f t="shared" si="0"/>
        <v>1.04</v>
      </c>
      <c r="V37" s="89" t="s">
        <v>1941</v>
      </c>
    </row>
    <row r="38" spans="1:22" x14ac:dyDescent="0.3">
      <c r="A38" s="29">
        <v>2</v>
      </c>
      <c r="B38" s="29" t="s">
        <v>23</v>
      </c>
      <c r="C38" s="29" t="s">
        <v>1915</v>
      </c>
      <c r="D38" s="29">
        <v>50226019</v>
      </c>
      <c r="E38" s="29">
        <v>150</v>
      </c>
      <c r="F38" s="7">
        <v>188</v>
      </c>
      <c r="G38" s="7">
        <v>161</v>
      </c>
      <c r="H38" s="28" t="s">
        <v>1057</v>
      </c>
      <c r="I38" s="7" t="s">
        <v>109</v>
      </c>
      <c r="J38" s="7" t="s">
        <v>130</v>
      </c>
      <c r="K38" s="7" t="s">
        <v>109</v>
      </c>
      <c r="L38" s="11">
        <v>0.80555555555555558</v>
      </c>
      <c r="M38" s="7" t="s">
        <v>109</v>
      </c>
      <c r="N38" s="32" t="s">
        <v>110</v>
      </c>
      <c r="O38" s="29" t="s">
        <v>61</v>
      </c>
      <c r="P38" s="7" t="s">
        <v>131</v>
      </c>
      <c r="Q38" s="7" t="s">
        <v>196</v>
      </c>
      <c r="R38" s="7" t="s">
        <v>62</v>
      </c>
      <c r="S38" s="7" t="s">
        <v>109</v>
      </c>
      <c r="T38" s="29" t="s">
        <v>424</v>
      </c>
      <c r="U38" s="111">
        <f t="shared" si="0"/>
        <v>1.0733333333333333</v>
      </c>
      <c r="V38" s="89" t="s">
        <v>1941</v>
      </c>
    </row>
    <row r="39" spans="1:22" x14ac:dyDescent="0.3">
      <c r="A39" s="29">
        <v>48</v>
      </c>
      <c r="B39" s="29" t="s">
        <v>143</v>
      </c>
      <c r="C39" s="29" t="s">
        <v>2170</v>
      </c>
      <c r="D39" s="29">
        <v>11125080</v>
      </c>
      <c r="E39" s="29">
        <v>20</v>
      </c>
      <c r="F39" s="7">
        <v>19</v>
      </c>
      <c r="G39" s="7">
        <v>7</v>
      </c>
      <c r="H39" s="28" t="s">
        <v>65</v>
      </c>
      <c r="I39" s="7" t="s">
        <v>209</v>
      </c>
      <c r="J39" s="7" t="s">
        <v>130</v>
      </c>
      <c r="K39" s="11">
        <v>0.89513888888888893</v>
      </c>
      <c r="L39" s="11">
        <v>0.97499999999999998</v>
      </c>
      <c r="M39" s="7" t="s">
        <v>109</v>
      </c>
      <c r="N39" s="29" t="s">
        <v>109</v>
      </c>
      <c r="O39" s="29" t="s">
        <v>145</v>
      </c>
      <c r="P39" s="7" t="s">
        <v>131</v>
      </c>
      <c r="Q39" s="7" t="s">
        <v>209</v>
      </c>
      <c r="R39" s="7" t="s">
        <v>62</v>
      </c>
      <c r="S39" s="7" t="s">
        <v>109</v>
      </c>
      <c r="T39" s="29" t="s">
        <v>349</v>
      </c>
      <c r="U39" s="111">
        <f t="shared" si="0"/>
        <v>0.35</v>
      </c>
      <c r="V39" s="121" t="s">
        <v>109</v>
      </c>
    </row>
    <row r="40" spans="1:22" x14ac:dyDescent="0.3">
      <c r="A40" s="29">
        <v>22</v>
      </c>
      <c r="B40" s="29" t="s">
        <v>143</v>
      </c>
      <c r="C40" s="29" t="s">
        <v>1599</v>
      </c>
      <c r="D40" s="29">
        <v>10126043</v>
      </c>
      <c r="E40" s="29">
        <v>50</v>
      </c>
      <c r="F40" s="7">
        <v>102</v>
      </c>
      <c r="G40" s="7">
        <v>40</v>
      </c>
      <c r="H40" s="53" t="s">
        <v>222</v>
      </c>
      <c r="I40" s="7" t="s">
        <v>88</v>
      </c>
      <c r="J40" s="7" t="s">
        <v>130</v>
      </c>
      <c r="K40" s="11">
        <v>0.97430555555555554</v>
      </c>
      <c r="L40" s="11">
        <v>0.98472222222222228</v>
      </c>
      <c r="M40" s="7" t="s">
        <v>109</v>
      </c>
      <c r="N40" s="38" t="s">
        <v>109</v>
      </c>
      <c r="O40" s="38" t="s">
        <v>61</v>
      </c>
      <c r="P40" s="7" t="s">
        <v>131</v>
      </c>
      <c r="Q40" s="7" t="s">
        <v>88</v>
      </c>
      <c r="R40" s="7" t="s">
        <v>62</v>
      </c>
      <c r="S40" s="7" t="s">
        <v>109</v>
      </c>
      <c r="T40" s="29" t="s">
        <v>480</v>
      </c>
      <c r="U40" s="111">
        <f t="shared" si="0"/>
        <v>0.8</v>
      </c>
      <c r="V40" s="7" t="s">
        <v>1940</v>
      </c>
    </row>
    <row r="41" spans="1:22" x14ac:dyDescent="0.3">
      <c r="A41" s="29">
        <v>20</v>
      </c>
      <c r="B41" s="29" t="s">
        <v>143</v>
      </c>
      <c r="C41" s="29" t="s">
        <v>1667</v>
      </c>
      <c r="D41" s="29">
        <v>10126048</v>
      </c>
      <c r="E41" s="29" t="s">
        <v>60</v>
      </c>
      <c r="F41" s="7" t="s">
        <v>109</v>
      </c>
      <c r="G41" s="7" t="s">
        <v>109</v>
      </c>
      <c r="H41" s="7" t="s">
        <v>192</v>
      </c>
      <c r="I41" s="7" t="s">
        <v>109</v>
      </c>
      <c r="J41" s="7" t="s">
        <v>284</v>
      </c>
      <c r="K41" s="7" t="s">
        <v>109</v>
      </c>
      <c r="L41" s="7" t="s">
        <v>109</v>
      </c>
      <c r="M41" s="7" t="s">
        <v>109</v>
      </c>
      <c r="N41" s="38" t="s">
        <v>109</v>
      </c>
      <c r="O41" s="38" t="s">
        <v>61</v>
      </c>
      <c r="P41" s="7" t="s">
        <v>109</v>
      </c>
      <c r="Q41" s="7" t="s">
        <v>109</v>
      </c>
      <c r="R41" s="7" t="s">
        <v>62</v>
      </c>
      <c r="S41" s="7" t="s">
        <v>109</v>
      </c>
      <c r="T41" s="29" t="s">
        <v>402</v>
      </c>
      <c r="U41" s="111" t="e">
        <f t="shared" si="0"/>
        <v>#VALUE!</v>
      </c>
      <c r="V41" s="7" t="s">
        <v>109</v>
      </c>
    </row>
    <row r="42" spans="1:22" x14ac:dyDescent="0.3">
      <c r="A42" s="29">
        <v>23</v>
      </c>
      <c r="B42" s="29" t="s">
        <v>143</v>
      </c>
      <c r="C42" s="29" t="s">
        <v>1384</v>
      </c>
      <c r="D42" s="29">
        <v>10226010</v>
      </c>
      <c r="E42" s="29">
        <v>75</v>
      </c>
      <c r="F42" s="7" t="s">
        <v>109</v>
      </c>
      <c r="G42" s="7" t="s">
        <v>109</v>
      </c>
      <c r="H42" s="53" t="s">
        <v>153</v>
      </c>
      <c r="I42" s="7" t="s">
        <v>154</v>
      </c>
      <c r="J42" s="7" t="s">
        <v>284</v>
      </c>
      <c r="K42" s="11">
        <v>0.78541666666666665</v>
      </c>
      <c r="L42" s="7" t="s">
        <v>109</v>
      </c>
      <c r="M42" s="7" t="s">
        <v>109</v>
      </c>
      <c r="N42" s="38" t="s">
        <v>109</v>
      </c>
      <c r="O42" s="38" t="s">
        <v>61</v>
      </c>
      <c r="P42" s="7" t="s">
        <v>109</v>
      </c>
      <c r="Q42" s="7" t="s">
        <v>109</v>
      </c>
      <c r="R42" s="7" t="s">
        <v>62</v>
      </c>
      <c r="S42" s="7" t="s">
        <v>109</v>
      </c>
      <c r="T42" s="29" t="s">
        <v>182</v>
      </c>
      <c r="U42" s="111" t="e">
        <f t="shared" si="0"/>
        <v>#VALUE!</v>
      </c>
      <c r="V42" s="7" t="s">
        <v>109</v>
      </c>
    </row>
    <row r="43" spans="1:22" x14ac:dyDescent="0.3">
      <c r="A43" s="29">
        <v>21</v>
      </c>
      <c r="B43" s="29" t="s">
        <v>143</v>
      </c>
      <c r="C43" s="29" t="s">
        <v>1598</v>
      </c>
      <c r="D43" s="29">
        <v>10126044</v>
      </c>
      <c r="E43" s="29">
        <v>120</v>
      </c>
      <c r="F43" s="7">
        <v>275</v>
      </c>
      <c r="G43" s="7">
        <v>97</v>
      </c>
      <c r="H43" s="28" t="s">
        <v>262</v>
      </c>
      <c r="I43" s="7" t="s">
        <v>192</v>
      </c>
      <c r="J43" s="7" t="s">
        <v>130</v>
      </c>
      <c r="K43" s="11">
        <v>0.88472222222222219</v>
      </c>
      <c r="L43" s="11">
        <v>0.96805555555555556</v>
      </c>
      <c r="M43" s="7" t="s">
        <v>109</v>
      </c>
      <c r="N43" s="38" t="s">
        <v>109</v>
      </c>
      <c r="O43" s="38" t="s">
        <v>61</v>
      </c>
      <c r="P43" s="7" t="s">
        <v>131</v>
      </c>
      <c r="Q43" s="7" t="s">
        <v>209</v>
      </c>
      <c r="R43" s="7" t="s">
        <v>62</v>
      </c>
      <c r="S43" s="7" t="s">
        <v>109</v>
      </c>
      <c r="T43" s="29" t="s">
        <v>480</v>
      </c>
      <c r="U43" s="111">
        <f t="shared" si="0"/>
        <v>0.80833333333333335</v>
      </c>
      <c r="V43" s="89" t="s">
        <v>1941</v>
      </c>
    </row>
    <row r="44" spans="1:22" x14ac:dyDescent="0.3">
      <c r="A44" s="29">
        <v>47</v>
      </c>
      <c r="B44" s="29" t="s">
        <v>411</v>
      </c>
      <c r="C44" s="29" t="s">
        <v>1559</v>
      </c>
      <c r="D44" s="29">
        <v>30126013</v>
      </c>
      <c r="E44" s="29">
        <v>150</v>
      </c>
      <c r="F44" s="7">
        <v>200</v>
      </c>
      <c r="G44" s="7">
        <v>45</v>
      </c>
      <c r="H44" s="28" t="s">
        <v>1132</v>
      </c>
      <c r="I44" s="7" t="s">
        <v>1518</v>
      </c>
      <c r="J44" s="7" t="s">
        <v>130</v>
      </c>
      <c r="K44" s="11">
        <v>0.84930555555555554</v>
      </c>
      <c r="L44" s="11">
        <v>0.96805555555555556</v>
      </c>
      <c r="M44" s="7" t="s">
        <v>109</v>
      </c>
      <c r="N44" s="29" t="s">
        <v>109</v>
      </c>
      <c r="O44" s="29" t="s">
        <v>61</v>
      </c>
      <c r="P44" s="7" t="s">
        <v>131</v>
      </c>
      <c r="Q44" s="7" t="s">
        <v>89</v>
      </c>
      <c r="R44" s="7" t="s">
        <v>62</v>
      </c>
      <c r="S44" s="7" t="s">
        <v>109</v>
      </c>
      <c r="T44" s="29" t="s">
        <v>1562</v>
      </c>
      <c r="U44" s="111">
        <f t="shared" si="0"/>
        <v>0.3</v>
      </c>
      <c r="V44" s="89" t="s">
        <v>1941</v>
      </c>
    </row>
    <row r="45" spans="1:22" x14ac:dyDescent="0.3">
      <c r="A45" s="29">
        <v>44</v>
      </c>
      <c r="B45" s="29" t="s">
        <v>411</v>
      </c>
      <c r="C45" s="29" t="s">
        <v>1357</v>
      </c>
      <c r="D45" s="29">
        <v>30126010</v>
      </c>
      <c r="E45" s="29">
        <v>200</v>
      </c>
      <c r="F45" s="7" t="s">
        <v>109</v>
      </c>
      <c r="G45" s="7" t="s">
        <v>109</v>
      </c>
      <c r="H45" s="28" t="s">
        <v>2163</v>
      </c>
      <c r="I45" s="7" t="s">
        <v>2164</v>
      </c>
      <c r="J45" s="7" t="s">
        <v>284</v>
      </c>
      <c r="K45" s="7" t="s">
        <v>109</v>
      </c>
      <c r="L45" s="7" t="s">
        <v>109</v>
      </c>
      <c r="M45" s="7" t="s">
        <v>109</v>
      </c>
      <c r="N45" s="32" t="s">
        <v>2165</v>
      </c>
      <c r="O45" s="29" t="s">
        <v>61</v>
      </c>
      <c r="P45" s="7" t="s">
        <v>109</v>
      </c>
      <c r="Q45" s="7" t="s">
        <v>109</v>
      </c>
      <c r="R45" s="7" t="s">
        <v>62</v>
      </c>
      <c r="S45" s="7" t="s">
        <v>109</v>
      </c>
      <c r="T45" s="29" t="s">
        <v>1359</v>
      </c>
      <c r="U45" s="111" t="e">
        <f t="shared" si="0"/>
        <v>#VALUE!</v>
      </c>
      <c r="V45" s="121" t="s">
        <v>109</v>
      </c>
    </row>
    <row r="46" spans="1:22" x14ac:dyDescent="0.3">
      <c r="A46" s="29">
        <v>45</v>
      </c>
      <c r="B46" s="29" t="s">
        <v>411</v>
      </c>
      <c r="C46" s="29" t="s">
        <v>1360</v>
      </c>
      <c r="D46" s="29">
        <v>30126011</v>
      </c>
      <c r="E46" s="29">
        <v>200</v>
      </c>
      <c r="F46" s="7" t="s">
        <v>109</v>
      </c>
      <c r="G46" s="7" t="s">
        <v>109</v>
      </c>
      <c r="H46" s="52" t="s">
        <v>2166</v>
      </c>
      <c r="I46" s="7" t="s">
        <v>2167</v>
      </c>
      <c r="J46" s="7" t="s">
        <v>284</v>
      </c>
      <c r="K46" s="7" t="s">
        <v>109</v>
      </c>
      <c r="L46" s="7" t="s">
        <v>109</v>
      </c>
      <c r="M46" s="7" t="s">
        <v>109</v>
      </c>
      <c r="N46" s="32" t="s">
        <v>2165</v>
      </c>
      <c r="O46" s="29" t="s">
        <v>61</v>
      </c>
      <c r="P46" s="7" t="s">
        <v>109</v>
      </c>
      <c r="Q46" s="7" t="s">
        <v>109</v>
      </c>
      <c r="R46" s="7" t="s">
        <v>62</v>
      </c>
      <c r="S46" s="7" t="s">
        <v>109</v>
      </c>
      <c r="T46" s="29" t="s">
        <v>1359</v>
      </c>
      <c r="U46" s="111" t="e">
        <f t="shared" si="0"/>
        <v>#VALUE!</v>
      </c>
      <c r="V46" s="7" t="s">
        <v>109</v>
      </c>
    </row>
    <row r="47" spans="1:22" x14ac:dyDescent="0.3">
      <c r="A47" s="29">
        <v>17</v>
      </c>
      <c r="B47" s="29" t="s">
        <v>23</v>
      </c>
      <c r="C47" s="29" t="s">
        <v>2137</v>
      </c>
      <c r="D47" s="29">
        <v>50226061</v>
      </c>
      <c r="E47" s="29">
        <v>172</v>
      </c>
      <c r="F47" s="7">
        <v>172</v>
      </c>
      <c r="G47" s="7">
        <v>73</v>
      </c>
      <c r="H47" s="28" t="s">
        <v>103</v>
      </c>
      <c r="I47" s="7" t="s">
        <v>109</v>
      </c>
      <c r="J47" s="7" t="s">
        <v>130</v>
      </c>
      <c r="K47" s="7" t="s">
        <v>109</v>
      </c>
      <c r="L47" s="11">
        <v>2.0833333333333333E-3</v>
      </c>
      <c r="M47" s="7" t="s">
        <v>109</v>
      </c>
      <c r="N47" s="29" t="s">
        <v>109</v>
      </c>
      <c r="O47" s="38" t="s">
        <v>61</v>
      </c>
      <c r="P47" s="7" t="s">
        <v>131</v>
      </c>
      <c r="Q47" s="7" t="s">
        <v>94</v>
      </c>
      <c r="R47" s="7" t="s">
        <v>62</v>
      </c>
      <c r="S47" s="7" t="s">
        <v>109</v>
      </c>
      <c r="T47" s="29" t="s">
        <v>121</v>
      </c>
      <c r="U47" s="111">
        <f t="shared" si="0"/>
        <v>0.42441860465116277</v>
      </c>
      <c r="V47" s="7" t="s">
        <v>889</v>
      </c>
    </row>
    <row r="48" spans="1:22" x14ac:dyDescent="0.3">
      <c r="A48" s="29">
        <v>46</v>
      </c>
      <c r="B48" s="29" t="s">
        <v>411</v>
      </c>
      <c r="C48" s="29" t="s">
        <v>1361</v>
      </c>
      <c r="D48" s="29">
        <v>30126012</v>
      </c>
      <c r="E48" s="29">
        <v>223</v>
      </c>
      <c r="F48" s="7">
        <v>542</v>
      </c>
      <c r="G48" s="7">
        <v>158</v>
      </c>
      <c r="H48" s="28" t="s">
        <v>2168</v>
      </c>
      <c r="I48" s="7" t="s">
        <v>2169</v>
      </c>
      <c r="J48" s="7" t="s">
        <v>130</v>
      </c>
      <c r="K48" s="11">
        <v>0.96180555555555558</v>
      </c>
      <c r="L48" s="11">
        <v>0.98541666666666672</v>
      </c>
      <c r="M48" s="7" t="s">
        <v>109</v>
      </c>
      <c r="N48" s="32" t="s">
        <v>2165</v>
      </c>
      <c r="O48" s="29" t="s">
        <v>61</v>
      </c>
      <c r="P48" s="7" t="s">
        <v>131</v>
      </c>
      <c r="Q48" s="7" t="s">
        <v>90</v>
      </c>
      <c r="R48" s="7" t="s">
        <v>62</v>
      </c>
      <c r="S48" s="7" t="s">
        <v>109</v>
      </c>
      <c r="T48" s="29" t="s">
        <v>1359</v>
      </c>
      <c r="U48" s="111">
        <f t="shared" si="0"/>
        <v>0.70852017937219736</v>
      </c>
      <c r="V48" s="7" t="s">
        <v>1940</v>
      </c>
    </row>
    <row r="49" spans="1:22" x14ac:dyDescent="0.3">
      <c r="A49" s="29">
        <v>15</v>
      </c>
      <c r="B49" s="29" t="s">
        <v>23</v>
      </c>
      <c r="C49" s="38" t="s">
        <v>2130</v>
      </c>
      <c r="D49" s="38">
        <v>50226058</v>
      </c>
      <c r="E49" s="29">
        <v>300</v>
      </c>
      <c r="F49" s="7">
        <v>331</v>
      </c>
      <c r="G49" s="7">
        <v>236</v>
      </c>
      <c r="H49" s="52" t="s">
        <v>2152</v>
      </c>
      <c r="I49" s="7" t="s">
        <v>109</v>
      </c>
      <c r="J49" s="7" t="s">
        <v>130</v>
      </c>
      <c r="K49" s="7" t="s">
        <v>109</v>
      </c>
      <c r="L49" s="11">
        <v>2.1527777777777778E-2</v>
      </c>
      <c r="M49" s="7" t="s">
        <v>109</v>
      </c>
      <c r="N49" s="29" t="s">
        <v>109</v>
      </c>
      <c r="O49" s="38" t="s">
        <v>61</v>
      </c>
      <c r="P49" s="7" t="s">
        <v>131</v>
      </c>
      <c r="Q49" s="7" t="s">
        <v>84</v>
      </c>
      <c r="R49" s="7" t="s">
        <v>62</v>
      </c>
      <c r="S49" s="7" t="s">
        <v>109</v>
      </c>
      <c r="T49" s="38" t="s">
        <v>117</v>
      </c>
      <c r="U49" s="111">
        <f t="shared" si="0"/>
        <v>0.78666666666666663</v>
      </c>
      <c r="V49" s="7" t="s">
        <v>109</v>
      </c>
    </row>
  </sheetData>
  <conditionalFormatting sqref="D1">
    <cfRule type="duplicateValues" dxfId="77" priority="1"/>
    <cfRule type="duplicateValues" dxfId="76" priority="2"/>
  </conditionalFormatting>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6DB77-CEDE-47D1-B125-94652DCCF279}">
  <sheetPr codeName="Sheet31"/>
  <dimension ref="A1:V63"/>
  <sheetViews>
    <sheetView topLeftCell="F1" workbookViewId="0">
      <pane ySplit="1" topLeftCell="A2" activePane="bottomLeft" state="frozen"/>
      <selection activeCell="D1" sqref="D1"/>
      <selection pane="bottomLeft" activeCell="V13" sqref="V13"/>
    </sheetView>
  </sheetViews>
  <sheetFormatPr defaultColWidth="11.88671875" defaultRowHeight="14.4" x14ac:dyDescent="0.3"/>
  <cols>
    <col min="1" max="16384" width="11.88671875" style="31"/>
  </cols>
  <sheetData>
    <row r="1" spans="1:22"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row>
    <row r="2" spans="1:22" x14ac:dyDescent="0.3">
      <c r="A2" s="7">
        <v>1</v>
      </c>
      <c r="B2" s="6" t="s">
        <v>25</v>
      </c>
      <c r="C2" s="6" t="s">
        <v>1537</v>
      </c>
      <c r="D2" s="6">
        <v>40126033</v>
      </c>
      <c r="E2" s="6">
        <v>156</v>
      </c>
      <c r="F2" s="7">
        <v>236</v>
      </c>
      <c r="G2" s="7">
        <v>93</v>
      </c>
      <c r="H2" s="7" t="s">
        <v>103</v>
      </c>
      <c r="I2" s="7" t="s">
        <v>297</v>
      </c>
      <c r="J2" s="7" t="s">
        <v>130</v>
      </c>
      <c r="K2" s="7" t="s">
        <v>109</v>
      </c>
      <c r="L2" s="7" t="s">
        <v>2216</v>
      </c>
      <c r="M2" s="7" t="s">
        <v>109</v>
      </c>
      <c r="N2" s="6" t="s">
        <v>109</v>
      </c>
      <c r="O2" s="6" t="s">
        <v>61</v>
      </c>
      <c r="P2" s="7" t="s">
        <v>131</v>
      </c>
      <c r="Q2" s="7" t="s">
        <v>2205</v>
      </c>
      <c r="R2" s="7" t="s">
        <v>109</v>
      </c>
      <c r="S2" s="7" t="s">
        <v>109</v>
      </c>
      <c r="T2" s="6" t="s">
        <v>1539</v>
      </c>
      <c r="U2" s="125">
        <f>G2/E2</f>
        <v>0.59615384615384615</v>
      </c>
      <c r="V2" s="7" t="s">
        <v>2141</v>
      </c>
    </row>
    <row r="3" spans="1:22" x14ac:dyDescent="0.3">
      <c r="A3" s="7">
        <v>2</v>
      </c>
      <c r="B3" s="6" t="s">
        <v>25</v>
      </c>
      <c r="C3" s="6" t="s">
        <v>1085</v>
      </c>
      <c r="D3" s="6">
        <v>40126019</v>
      </c>
      <c r="E3" s="6">
        <v>72</v>
      </c>
      <c r="F3" s="7">
        <v>105</v>
      </c>
      <c r="G3" s="7">
        <v>40</v>
      </c>
      <c r="H3" s="7" t="s">
        <v>67</v>
      </c>
      <c r="I3" s="7" t="s">
        <v>89</v>
      </c>
      <c r="J3" s="7" t="s">
        <v>130</v>
      </c>
      <c r="K3" s="11">
        <v>0.82638888888888884</v>
      </c>
      <c r="L3" s="7" t="s">
        <v>2207</v>
      </c>
      <c r="M3" s="7" t="s">
        <v>109</v>
      </c>
      <c r="N3" s="6" t="s">
        <v>109</v>
      </c>
      <c r="O3" s="6" t="s">
        <v>61</v>
      </c>
      <c r="P3" s="7" t="s">
        <v>131</v>
      </c>
      <c r="Q3" s="7" t="s">
        <v>89</v>
      </c>
      <c r="R3" s="7" t="s">
        <v>109</v>
      </c>
      <c r="S3" s="7" t="s">
        <v>109</v>
      </c>
      <c r="T3" s="6" t="s">
        <v>762</v>
      </c>
      <c r="U3" s="125">
        <v>0.55555555555555558</v>
      </c>
      <c r="V3" s="7" t="s">
        <v>2141</v>
      </c>
    </row>
    <row r="4" spans="1:22" s="124" customFormat="1" x14ac:dyDescent="0.3">
      <c r="A4" s="7">
        <v>3</v>
      </c>
      <c r="B4" s="6" t="s">
        <v>25</v>
      </c>
      <c r="C4" s="6" t="s">
        <v>760</v>
      </c>
      <c r="D4" s="6">
        <v>40126016</v>
      </c>
      <c r="E4" s="6">
        <v>144</v>
      </c>
      <c r="F4" s="7">
        <v>275</v>
      </c>
      <c r="G4" s="7">
        <v>120</v>
      </c>
      <c r="H4" s="7" t="s">
        <v>2171</v>
      </c>
      <c r="I4" s="7" t="s">
        <v>230</v>
      </c>
      <c r="J4" s="7" t="s">
        <v>130</v>
      </c>
      <c r="K4" s="11">
        <v>0.7104166666666667</v>
      </c>
      <c r="L4" s="11">
        <v>0.87013888888888891</v>
      </c>
      <c r="M4" s="7" t="s">
        <v>109</v>
      </c>
      <c r="N4" s="6" t="s">
        <v>109</v>
      </c>
      <c r="O4" s="6" t="s">
        <v>61</v>
      </c>
      <c r="P4" s="7" t="s">
        <v>131</v>
      </c>
      <c r="Q4" s="7" t="s">
        <v>154</v>
      </c>
      <c r="R4" s="7" t="s">
        <v>109</v>
      </c>
      <c r="S4" s="7" t="s">
        <v>109</v>
      </c>
      <c r="T4" s="6" t="s">
        <v>762</v>
      </c>
      <c r="U4" s="125">
        <v>0.83333333333333337</v>
      </c>
      <c r="V4" s="7" t="s">
        <v>2141</v>
      </c>
    </row>
    <row r="5" spans="1:22" x14ac:dyDescent="0.3">
      <c r="A5" s="7">
        <v>4</v>
      </c>
      <c r="B5" s="6" t="s">
        <v>25</v>
      </c>
      <c r="C5" s="6" t="s">
        <v>1435</v>
      </c>
      <c r="D5" s="6">
        <v>40126030</v>
      </c>
      <c r="E5" s="6">
        <v>140</v>
      </c>
      <c r="F5" s="7">
        <v>20</v>
      </c>
      <c r="G5" s="7">
        <v>4</v>
      </c>
      <c r="H5" s="7" t="s">
        <v>200</v>
      </c>
      <c r="I5" s="7" t="s">
        <v>99</v>
      </c>
      <c r="J5" s="7" t="s">
        <v>130</v>
      </c>
      <c r="K5" s="11">
        <v>0.71527777777777779</v>
      </c>
      <c r="L5" s="11">
        <v>0.78888888888888886</v>
      </c>
      <c r="M5" s="7" t="s">
        <v>109</v>
      </c>
      <c r="N5" s="6" t="s">
        <v>110</v>
      </c>
      <c r="O5" s="6" t="s">
        <v>61</v>
      </c>
      <c r="P5" s="7" t="s">
        <v>131</v>
      </c>
      <c r="Q5" s="7" t="s">
        <v>91</v>
      </c>
      <c r="R5" s="7" t="s">
        <v>109</v>
      </c>
      <c r="S5" s="7" t="s">
        <v>109</v>
      </c>
      <c r="T5" s="6" t="s">
        <v>1437</v>
      </c>
      <c r="U5" s="125">
        <v>2.8571428571428571E-2</v>
      </c>
      <c r="V5" s="7" t="s">
        <v>889</v>
      </c>
    </row>
    <row r="6" spans="1:22" x14ac:dyDescent="0.3">
      <c r="A6" s="7">
        <v>5</v>
      </c>
      <c r="B6" s="6" t="s">
        <v>25</v>
      </c>
      <c r="C6" s="6" t="s">
        <v>1974</v>
      </c>
      <c r="D6" s="6">
        <v>40226002</v>
      </c>
      <c r="E6" s="6">
        <v>140</v>
      </c>
      <c r="F6" s="7">
        <v>200</v>
      </c>
      <c r="G6" s="7">
        <v>87</v>
      </c>
      <c r="H6" s="7" t="s">
        <v>302</v>
      </c>
      <c r="I6" s="7" t="s">
        <v>2172</v>
      </c>
      <c r="J6" s="7" t="s">
        <v>130</v>
      </c>
      <c r="K6" s="11">
        <v>0.93125000000000002</v>
      </c>
      <c r="L6" s="11">
        <v>0.96111111111111114</v>
      </c>
      <c r="M6" s="7" t="s">
        <v>109</v>
      </c>
      <c r="N6" s="6" t="s">
        <v>109</v>
      </c>
      <c r="O6" s="6" t="s">
        <v>61</v>
      </c>
      <c r="P6" s="7" t="s">
        <v>131</v>
      </c>
      <c r="Q6" s="7" t="s">
        <v>93</v>
      </c>
      <c r="R6" s="7" t="s">
        <v>109</v>
      </c>
      <c r="S6" s="7" t="s">
        <v>109</v>
      </c>
      <c r="T6" s="6" t="s">
        <v>2173</v>
      </c>
      <c r="U6" s="125">
        <v>0.62142857142857144</v>
      </c>
      <c r="V6" s="7" t="s">
        <v>2141</v>
      </c>
    </row>
    <row r="7" spans="1:22" x14ac:dyDescent="0.3">
      <c r="A7" s="7">
        <v>6</v>
      </c>
      <c r="B7" s="6" t="s">
        <v>25</v>
      </c>
      <c r="C7" s="6" t="s">
        <v>1676</v>
      </c>
      <c r="D7" s="6">
        <v>40126029</v>
      </c>
      <c r="E7" s="6">
        <v>80</v>
      </c>
      <c r="F7" s="7">
        <v>11</v>
      </c>
      <c r="G7" s="7">
        <v>0</v>
      </c>
      <c r="H7" s="7" t="s">
        <v>214</v>
      </c>
      <c r="I7" s="7" t="s">
        <v>209</v>
      </c>
      <c r="J7" s="7" t="s">
        <v>130</v>
      </c>
      <c r="K7" s="11">
        <v>0.98472222222222228</v>
      </c>
      <c r="L7" s="7" t="s">
        <v>1150</v>
      </c>
      <c r="M7" s="7" t="s">
        <v>109</v>
      </c>
      <c r="N7" s="6" t="s">
        <v>109</v>
      </c>
      <c r="O7" s="6" t="s">
        <v>61</v>
      </c>
      <c r="P7" s="7" t="s">
        <v>131</v>
      </c>
      <c r="Q7" s="7" t="s">
        <v>209</v>
      </c>
      <c r="R7" s="7" t="s">
        <v>109</v>
      </c>
      <c r="S7" s="7" t="s">
        <v>109</v>
      </c>
      <c r="T7" s="6" t="s">
        <v>1677</v>
      </c>
      <c r="U7" s="125">
        <v>0</v>
      </c>
      <c r="V7" s="7" t="s">
        <v>889</v>
      </c>
    </row>
    <row r="8" spans="1:22" x14ac:dyDescent="0.3">
      <c r="A8" s="7">
        <v>7</v>
      </c>
      <c r="B8" s="6" t="s">
        <v>24</v>
      </c>
      <c r="C8" s="6" t="s">
        <v>28</v>
      </c>
      <c r="D8" s="6">
        <v>61225007</v>
      </c>
      <c r="E8" s="6">
        <v>25</v>
      </c>
      <c r="F8" s="7">
        <v>38</v>
      </c>
      <c r="G8" s="7">
        <v>16</v>
      </c>
      <c r="H8" s="7" t="s">
        <v>70</v>
      </c>
      <c r="I8" s="7" t="s">
        <v>90</v>
      </c>
      <c r="J8" s="7" t="s">
        <v>130</v>
      </c>
      <c r="K8" s="11">
        <v>0.95138888888888884</v>
      </c>
      <c r="L8" s="7" t="s">
        <v>1148</v>
      </c>
      <c r="M8" s="7" t="s">
        <v>109</v>
      </c>
      <c r="N8" s="6" t="s">
        <v>109</v>
      </c>
      <c r="O8" s="6" t="s">
        <v>61</v>
      </c>
      <c r="P8" s="7" t="s">
        <v>131</v>
      </c>
      <c r="Q8" s="7" t="s">
        <v>90</v>
      </c>
      <c r="R8" s="7" t="s">
        <v>109</v>
      </c>
      <c r="S8" s="7" t="s">
        <v>109</v>
      </c>
      <c r="T8" s="6" t="s">
        <v>113</v>
      </c>
      <c r="U8" s="125">
        <v>0.64</v>
      </c>
      <c r="V8" s="7" t="s">
        <v>889</v>
      </c>
    </row>
    <row r="9" spans="1:22" x14ac:dyDescent="0.3">
      <c r="A9" s="7">
        <v>8</v>
      </c>
      <c r="B9" s="6" t="s">
        <v>24</v>
      </c>
      <c r="C9" s="6" t="s">
        <v>1832</v>
      </c>
      <c r="D9" s="6">
        <v>60226011</v>
      </c>
      <c r="E9" s="6">
        <v>151</v>
      </c>
      <c r="F9" s="7">
        <v>267</v>
      </c>
      <c r="G9" s="7">
        <v>88</v>
      </c>
      <c r="H9" s="7" t="s">
        <v>384</v>
      </c>
      <c r="I9" s="7" t="s">
        <v>1520</v>
      </c>
      <c r="J9" s="7" t="s">
        <v>130</v>
      </c>
      <c r="K9" s="7" t="s">
        <v>109</v>
      </c>
      <c r="L9" s="11">
        <v>0.92569444444444449</v>
      </c>
      <c r="M9" s="7" t="s">
        <v>109</v>
      </c>
      <c r="N9" s="6" t="s">
        <v>2096</v>
      </c>
      <c r="O9" s="6" t="s">
        <v>61</v>
      </c>
      <c r="P9" s="7" t="s">
        <v>131</v>
      </c>
      <c r="Q9" s="7" t="s">
        <v>93</v>
      </c>
      <c r="R9" s="7" t="s">
        <v>109</v>
      </c>
      <c r="S9" s="7" t="s">
        <v>109</v>
      </c>
      <c r="T9" s="6" t="s">
        <v>117</v>
      </c>
      <c r="U9" s="125">
        <v>0.58278145695364236</v>
      </c>
      <c r="V9" s="7" t="s">
        <v>2141</v>
      </c>
    </row>
    <row r="10" spans="1:22" x14ac:dyDescent="0.3">
      <c r="A10" s="7">
        <v>9</v>
      </c>
      <c r="B10" s="6" t="s">
        <v>24</v>
      </c>
      <c r="C10" s="6" t="s">
        <v>1834</v>
      </c>
      <c r="D10" s="6">
        <v>60226012</v>
      </c>
      <c r="E10" s="6">
        <v>153</v>
      </c>
      <c r="F10" s="7">
        <v>227</v>
      </c>
      <c r="G10" s="7">
        <v>166</v>
      </c>
      <c r="H10" s="7" t="s">
        <v>102</v>
      </c>
      <c r="I10" s="7" t="s">
        <v>97</v>
      </c>
      <c r="J10" s="7" t="s">
        <v>130</v>
      </c>
      <c r="K10" s="7" t="s">
        <v>2174</v>
      </c>
      <c r="L10" s="7" t="s">
        <v>109</v>
      </c>
      <c r="M10" s="7" t="s">
        <v>109</v>
      </c>
      <c r="N10" s="6" t="s">
        <v>2096</v>
      </c>
      <c r="O10" s="6" t="s">
        <v>61</v>
      </c>
      <c r="P10" s="7" t="s">
        <v>131</v>
      </c>
      <c r="Q10" s="7" t="s">
        <v>95</v>
      </c>
      <c r="R10" s="7" t="s">
        <v>109</v>
      </c>
      <c r="S10" s="7" t="s">
        <v>109</v>
      </c>
      <c r="T10" s="6" t="s">
        <v>117</v>
      </c>
      <c r="U10" s="125">
        <v>1.0849673202614378</v>
      </c>
      <c r="V10" s="7" t="s">
        <v>1945</v>
      </c>
    </row>
    <row r="11" spans="1:22" x14ac:dyDescent="0.3">
      <c r="A11" s="7">
        <v>10</v>
      </c>
      <c r="B11" s="6" t="s">
        <v>24</v>
      </c>
      <c r="C11" s="6" t="s">
        <v>49</v>
      </c>
      <c r="D11" s="6">
        <v>61225008</v>
      </c>
      <c r="E11" s="6">
        <v>192</v>
      </c>
      <c r="F11" s="7">
        <v>312</v>
      </c>
      <c r="G11" s="7">
        <v>105</v>
      </c>
      <c r="H11" s="7" t="s">
        <v>750</v>
      </c>
      <c r="I11" s="7" t="s">
        <v>99</v>
      </c>
      <c r="J11" s="7" t="s">
        <v>130</v>
      </c>
      <c r="K11" s="7" t="s">
        <v>109</v>
      </c>
      <c r="L11" s="11">
        <v>3.472222222222222E-3</v>
      </c>
      <c r="M11" s="7" t="s">
        <v>109</v>
      </c>
      <c r="N11" s="6" t="s">
        <v>109</v>
      </c>
      <c r="O11" s="6" t="s">
        <v>61</v>
      </c>
      <c r="P11" s="7" t="s">
        <v>131</v>
      </c>
      <c r="Q11" s="7" t="s">
        <v>91</v>
      </c>
      <c r="R11" s="7" t="s">
        <v>109</v>
      </c>
      <c r="S11" s="7" t="s">
        <v>109</v>
      </c>
      <c r="T11" s="6" t="s">
        <v>120</v>
      </c>
      <c r="U11" s="125">
        <v>0.546875</v>
      </c>
      <c r="V11" s="7" t="s">
        <v>2141</v>
      </c>
    </row>
    <row r="12" spans="1:22" x14ac:dyDescent="0.3">
      <c r="A12" s="7">
        <v>11</v>
      </c>
      <c r="B12" s="6" t="s">
        <v>24</v>
      </c>
      <c r="C12" s="6" t="s">
        <v>2028</v>
      </c>
      <c r="D12" s="6">
        <v>60226017</v>
      </c>
      <c r="E12" s="6">
        <v>61</v>
      </c>
      <c r="F12" s="7">
        <v>116</v>
      </c>
      <c r="G12" s="7">
        <v>49</v>
      </c>
      <c r="H12" s="7" t="s">
        <v>153</v>
      </c>
      <c r="I12" s="7" t="s">
        <v>93</v>
      </c>
      <c r="J12" s="7" t="s">
        <v>130</v>
      </c>
      <c r="K12" s="11">
        <v>0.80277777777777781</v>
      </c>
      <c r="L12" s="11">
        <v>0.91805555555555551</v>
      </c>
      <c r="M12" s="7" t="s">
        <v>109</v>
      </c>
      <c r="N12" s="6" t="s">
        <v>109</v>
      </c>
      <c r="O12" s="6" t="s">
        <v>61</v>
      </c>
      <c r="P12" s="7" t="s">
        <v>131</v>
      </c>
      <c r="Q12" s="7" t="s">
        <v>93</v>
      </c>
      <c r="R12" s="7" t="s">
        <v>109</v>
      </c>
      <c r="S12" s="7" t="s">
        <v>109</v>
      </c>
      <c r="T12" s="6" t="s">
        <v>1562</v>
      </c>
      <c r="U12" s="125">
        <v>0.80327868852459017</v>
      </c>
      <c r="V12" s="7" t="s">
        <v>2141</v>
      </c>
    </row>
    <row r="13" spans="1:22" x14ac:dyDescent="0.3">
      <c r="A13" s="7">
        <v>12</v>
      </c>
      <c r="B13" s="6" t="s">
        <v>24</v>
      </c>
      <c r="C13" s="6" t="s">
        <v>2030</v>
      </c>
      <c r="D13" s="6">
        <v>60226018</v>
      </c>
      <c r="E13" s="6">
        <v>60</v>
      </c>
      <c r="F13" s="7">
        <v>100</v>
      </c>
      <c r="G13" s="7">
        <v>27</v>
      </c>
      <c r="H13" s="7" t="s">
        <v>184</v>
      </c>
      <c r="I13" s="7" t="s">
        <v>154</v>
      </c>
      <c r="J13" s="7" t="s">
        <v>130</v>
      </c>
      <c r="K13" s="11">
        <v>0.90972222222222221</v>
      </c>
      <c r="L13" s="11">
        <v>0.93958333333333333</v>
      </c>
      <c r="M13" s="7" t="s">
        <v>109</v>
      </c>
      <c r="N13" s="6" t="s">
        <v>109</v>
      </c>
      <c r="O13" s="6" t="s">
        <v>61</v>
      </c>
      <c r="P13" s="7" t="s">
        <v>131</v>
      </c>
      <c r="Q13" s="7" t="s">
        <v>154</v>
      </c>
      <c r="R13" s="7" t="s">
        <v>109</v>
      </c>
      <c r="S13" s="7" t="s">
        <v>109</v>
      </c>
      <c r="T13" s="6" t="s">
        <v>1562</v>
      </c>
      <c r="U13" s="125">
        <v>0.45</v>
      </c>
      <c r="V13" s="7" t="s">
        <v>1946</v>
      </c>
    </row>
    <row r="14" spans="1:22" x14ac:dyDescent="0.3">
      <c r="A14" s="7">
        <v>13</v>
      </c>
      <c r="B14" s="6" t="s">
        <v>24</v>
      </c>
      <c r="C14" s="6" t="s">
        <v>2029</v>
      </c>
      <c r="D14" s="6">
        <v>60226016</v>
      </c>
      <c r="E14" s="6">
        <v>71</v>
      </c>
      <c r="F14" s="7">
        <v>45</v>
      </c>
      <c r="G14" s="7">
        <v>44</v>
      </c>
      <c r="H14" s="7" t="s">
        <v>84</v>
      </c>
      <c r="I14" s="7" t="s">
        <v>89</v>
      </c>
      <c r="J14" s="7" t="s">
        <v>130</v>
      </c>
      <c r="K14" s="7" t="s">
        <v>2215</v>
      </c>
      <c r="L14" s="11">
        <v>2.9166666666666667E-2</v>
      </c>
      <c r="M14" s="7" t="s">
        <v>109</v>
      </c>
      <c r="N14" s="6" t="s">
        <v>109</v>
      </c>
      <c r="O14" s="6" t="s">
        <v>61</v>
      </c>
      <c r="P14" s="7" t="s">
        <v>131</v>
      </c>
      <c r="Q14" s="7" t="s">
        <v>89</v>
      </c>
      <c r="R14" s="7" t="s">
        <v>109</v>
      </c>
      <c r="S14" s="7" t="s">
        <v>109</v>
      </c>
      <c r="T14" s="6" t="s">
        <v>1562</v>
      </c>
      <c r="U14" s="125">
        <f>G14/E14</f>
        <v>0.61971830985915488</v>
      </c>
      <c r="V14" s="7" t="s">
        <v>2141</v>
      </c>
    </row>
    <row r="15" spans="1:22" x14ac:dyDescent="0.3">
      <c r="A15" s="7">
        <v>14</v>
      </c>
      <c r="B15" s="6" t="s">
        <v>26</v>
      </c>
      <c r="C15" s="6" t="s">
        <v>2048</v>
      </c>
      <c r="D15" s="6">
        <v>40226003</v>
      </c>
      <c r="E15" s="6">
        <v>454</v>
      </c>
      <c r="F15" s="7">
        <v>266</v>
      </c>
      <c r="G15" s="7">
        <v>25</v>
      </c>
      <c r="H15" s="7" t="s">
        <v>2175</v>
      </c>
      <c r="I15" s="7" t="s">
        <v>2176</v>
      </c>
      <c r="J15" s="7" t="s">
        <v>130</v>
      </c>
      <c r="K15" s="7" t="s">
        <v>2208</v>
      </c>
      <c r="L15" s="11">
        <v>0.94236111111111109</v>
      </c>
      <c r="M15" s="7" t="s">
        <v>109</v>
      </c>
      <c r="N15" s="6" t="s">
        <v>165</v>
      </c>
      <c r="O15" s="6" t="s">
        <v>61</v>
      </c>
      <c r="P15" s="7" t="s">
        <v>131</v>
      </c>
      <c r="Q15" s="7" t="s">
        <v>87</v>
      </c>
      <c r="R15" s="7" t="s">
        <v>109</v>
      </c>
      <c r="S15" s="7" t="s">
        <v>109</v>
      </c>
      <c r="T15" s="6" t="s">
        <v>121</v>
      </c>
      <c r="U15" s="125">
        <v>5.5066079295154183E-2</v>
      </c>
      <c r="V15" s="7" t="s">
        <v>889</v>
      </c>
    </row>
    <row r="16" spans="1:22" s="124" customFormat="1" x14ac:dyDescent="0.3">
      <c r="A16" s="7">
        <v>15</v>
      </c>
      <c r="B16" s="6" t="s">
        <v>163</v>
      </c>
      <c r="C16" s="6" t="s">
        <v>164</v>
      </c>
      <c r="D16" s="6">
        <v>40126008</v>
      </c>
      <c r="E16" s="6">
        <v>36</v>
      </c>
      <c r="F16" s="7">
        <v>26</v>
      </c>
      <c r="G16" s="7">
        <v>7</v>
      </c>
      <c r="H16" s="7" t="s">
        <v>68</v>
      </c>
      <c r="I16" s="7" t="s">
        <v>94</v>
      </c>
      <c r="J16" s="7" t="s">
        <v>130</v>
      </c>
      <c r="K16" s="11">
        <v>0.75208333333333333</v>
      </c>
      <c r="L16" s="11">
        <v>0.80138888888888893</v>
      </c>
      <c r="M16" s="7" t="s">
        <v>109</v>
      </c>
      <c r="N16" s="6" t="s">
        <v>165</v>
      </c>
      <c r="O16" s="6" t="s">
        <v>61</v>
      </c>
      <c r="P16" s="7" t="s">
        <v>131</v>
      </c>
      <c r="Q16" s="7" t="s">
        <v>2205</v>
      </c>
      <c r="R16" s="7" t="s">
        <v>109</v>
      </c>
      <c r="S16" s="7" t="s">
        <v>109</v>
      </c>
      <c r="T16" s="6" t="s">
        <v>166</v>
      </c>
      <c r="U16" s="125">
        <v>0.19444444444444445</v>
      </c>
      <c r="V16" s="7" t="s">
        <v>889</v>
      </c>
    </row>
    <row r="17" spans="1:22" x14ac:dyDescent="0.3">
      <c r="A17" s="7">
        <v>16</v>
      </c>
      <c r="B17" s="6" t="s">
        <v>23</v>
      </c>
      <c r="C17" s="6" t="s">
        <v>1913</v>
      </c>
      <c r="D17" s="6">
        <v>50226029</v>
      </c>
      <c r="E17" s="10">
        <v>400</v>
      </c>
      <c r="F17" s="7">
        <v>619</v>
      </c>
      <c r="G17" s="7">
        <v>261</v>
      </c>
      <c r="H17" s="7" t="s">
        <v>2203</v>
      </c>
      <c r="I17" s="7" t="s">
        <v>109</v>
      </c>
      <c r="J17" s="7" t="s">
        <v>130</v>
      </c>
      <c r="K17" s="7" t="s">
        <v>109</v>
      </c>
      <c r="L17" s="11">
        <v>0.94722222222222219</v>
      </c>
      <c r="M17" s="7" t="s">
        <v>109</v>
      </c>
      <c r="N17" s="6" t="s">
        <v>2177</v>
      </c>
      <c r="O17" s="6" t="s">
        <v>61</v>
      </c>
      <c r="P17" s="7" t="s">
        <v>131</v>
      </c>
      <c r="Q17" s="7" t="s">
        <v>70</v>
      </c>
      <c r="R17" s="7" t="s">
        <v>109</v>
      </c>
      <c r="S17" s="7" t="s">
        <v>109</v>
      </c>
      <c r="T17" s="6" t="s">
        <v>424</v>
      </c>
      <c r="U17" s="125">
        <v>0.65249999999999997</v>
      </c>
      <c r="V17" s="7" t="s">
        <v>2141</v>
      </c>
    </row>
    <row r="18" spans="1:22" x14ac:dyDescent="0.3">
      <c r="A18" s="7">
        <v>17</v>
      </c>
      <c r="B18" s="6" t="s">
        <v>23</v>
      </c>
      <c r="C18" s="6" t="s">
        <v>2178</v>
      </c>
      <c r="D18" s="6">
        <v>50226073</v>
      </c>
      <c r="E18" s="6">
        <v>300</v>
      </c>
      <c r="F18" s="7">
        <v>343</v>
      </c>
      <c r="G18" s="7">
        <v>320</v>
      </c>
      <c r="H18" s="7" t="s">
        <v>2179</v>
      </c>
      <c r="I18" s="7" t="s">
        <v>109</v>
      </c>
      <c r="J18" s="7" t="s">
        <v>130</v>
      </c>
      <c r="K18" s="7" t="s">
        <v>2180</v>
      </c>
      <c r="L18" s="7" t="s">
        <v>109</v>
      </c>
      <c r="M18" s="7" t="s">
        <v>109</v>
      </c>
      <c r="N18" s="6" t="s">
        <v>2181</v>
      </c>
      <c r="O18" s="6" t="s">
        <v>61</v>
      </c>
      <c r="P18" s="7" t="s">
        <v>131</v>
      </c>
      <c r="Q18" s="7" t="s">
        <v>66</v>
      </c>
      <c r="R18" s="7" t="s">
        <v>109</v>
      </c>
      <c r="S18" s="7" t="s">
        <v>109</v>
      </c>
      <c r="T18" s="6" t="s">
        <v>424</v>
      </c>
      <c r="U18" s="125">
        <v>1.0666666666666667</v>
      </c>
      <c r="V18" s="7" t="s">
        <v>1945</v>
      </c>
    </row>
    <row r="19" spans="1:22" x14ac:dyDescent="0.3">
      <c r="A19" s="7">
        <v>18</v>
      </c>
      <c r="B19" s="6" t="s">
        <v>23</v>
      </c>
      <c r="C19" s="6" t="s">
        <v>1918</v>
      </c>
      <c r="D19" s="6">
        <v>50226022</v>
      </c>
      <c r="E19" s="6">
        <v>250</v>
      </c>
      <c r="F19" s="7">
        <v>140</v>
      </c>
      <c r="G19" s="7">
        <v>46</v>
      </c>
      <c r="H19" s="7" t="s">
        <v>388</v>
      </c>
      <c r="I19" s="7" t="s">
        <v>109</v>
      </c>
      <c r="J19" s="7" t="s">
        <v>130</v>
      </c>
      <c r="K19" s="11">
        <v>0.97569444444444442</v>
      </c>
      <c r="L19" s="7" t="s">
        <v>109</v>
      </c>
      <c r="M19" s="7" t="s">
        <v>109</v>
      </c>
      <c r="N19" s="6" t="s">
        <v>110</v>
      </c>
      <c r="O19" s="6" t="s">
        <v>61</v>
      </c>
      <c r="P19" s="7" t="s">
        <v>131</v>
      </c>
      <c r="Q19" s="7" t="s">
        <v>69</v>
      </c>
      <c r="R19" s="7" t="s">
        <v>109</v>
      </c>
      <c r="S19" s="7" t="s">
        <v>109</v>
      </c>
      <c r="T19" s="6" t="s">
        <v>424</v>
      </c>
      <c r="U19" s="125">
        <v>0.184</v>
      </c>
      <c r="V19" s="7" t="s">
        <v>889</v>
      </c>
    </row>
    <row r="20" spans="1:22" x14ac:dyDescent="0.3">
      <c r="A20" s="7">
        <v>19</v>
      </c>
      <c r="B20" s="6" t="s">
        <v>23</v>
      </c>
      <c r="C20" s="6" t="s">
        <v>1919</v>
      </c>
      <c r="D20" s="6">
        <v>50226021</v>
      </c>
      <c r="E20" s="10">
        <v>650</v>
      </c>
      <c r="F20" s="7">
        <v>703</v>
      </c>
      <c r="G20" s="7">
        <v>580</v>
      </c>
      <c r="H20" s="7" t="s">
        <v>1154</v>
      </c>
      <c r="I20" s="7" t="s">
        <v>109</v>
      </c>
      <c r="J20" s="7" t="s">
        <v>130</v>
      </c>
      <c r="K20" s="11">
        <v>0.9</v>
      </c>
      <c r="L20" s="7" t="s">
        <v>109</v>
      </c>
      <c r="M20" s="7" t="s">
        <v>109</v>
      </c>
      <c r="N20" s="6" t="s">
        <v>110</v>
      </c>
      <c r="O20" s="6" t="s">
        <v>61</v>
      </c>
      <c r="P20" s="7" t="s">
        <v>131</v>
      </c>
      <c r="Q20" s="7" t="s">
        <v>154</v>
      </c>
      <c r="R20" s="7" t="s">
        <v>109</v>
      </c>
      <c r="S20" s="7" t="s">
        <v>109</v>
      </c>
      <c r="T20" s="6" t="s">
        <v>424</v>
      </c>
      <c r="U20" s="125">
        <v>0.89230769230769236</v>
      </c>
      <c r="V20" s="7" t="s">
        <v>1945</v>
      </c>
    </row>
    <row r="21" spans="1:22" x14ac:dyDescent="0.3">
      <c r="A21" s="7">
        <v>20</v>
      </c>
      <c r="B21" s="6" t="s">
        <v>23</v>
      </c>
      <c r="C21" s="6" t="s">
        <v>428</v>
      </c>
      <c r="D21" s="6">
        <v>50126024</v>
      </c>
      <c r="E21" s="6">
        <v>250</v>
      </c>
      <c r="F21" s="7">
        <v>415</v>
      </c>
      <c r="G21" s="7">
        <v>199</v>
      </c>
      <c r="H21" s="7" t="s">
        <v>2182</v>
      </c>
      <c r="I21" s="7" t="s">
        <v>109</v>
      </c>
      <c r="J21" s="7" t="s">
        <v>130</v>
      </c>
      <c r="K21" s="11">
        <v>0.74236111111111114</v>
      </c>
      <c r="L21" s="7" t="s">
        <v>109</v>
      </c>
      <c r="M21" s="7" t="s">
        <v>109</v>
      </c>
      <c r="N21" s="6" t="s">
        <v>110</v>
      </c>
      <c r="O21" s="6" t="s">
        <v>61</v>
      </c>
      <c r="P21" s="7" t="s">
        <v>131</v>
      </c>
      <c r="Q21" s="7" t="s">
        <v>84</v>
      </c>
      <c r="R21" s="7" t="s">
        <v>109</v>
      </c>
      <c r="S21" s="7" t="s">
        <v>109</v>
      </c>
      <c r="T21" s="6" t="s">
        <v>424</v>
      </c>
      <c r="U21" s="125">
        <v>0.79600000000000004</v>
      </c>
      <c r="V21" s="7" t="s">
        <v>2141</v>
      </c>
    </row>
    <row r="22" spans="1:22" x14ac:dyDescent="0.3">
      <c r="A22" s="7">
        <v>21</v>
      </c>
      <c r="B22" s="6" t="s">
        <v>23</v>
      </c>
      <c r="C22" s="6" t="s">
        <v>1664</v>
      </c>
      <c r="D22" s="6">
        <v>50126367</v>
      </c>
      <c r="E22" s="10">
        <v>650</v>
      </c>
      <c r="F22" s="7">
        <v>865</v>
      </c>
      <c r="G22" s="7">
        <v>617</v>
      </c>
      <c r="H22" s="7" t="s">
        <v>1154</v>
      </c>
      <c r="I22" s="7" t="s">
        <v>109</v>
      </c>
      <c r="J22" s="7" t="s">
        <v>130</v>
      </c>
      <c r="K22" s="11">
        <v>0.90694444444444444</v>
      </c>
      <c r="L22" s="7" t="s">
        <v>109</v>
      </c>
      <c r="M22" s="7" t="s">
        <v>109</v>
      </c>
      <c r="N22" s="6" t="s">
        <v>110</v>
      </c>
      <c r="O22" s="6" t="s">
        <v>61</v>
      </c>
      <c r="P22" s="7" t="s">
        <v>131</v>
      </c>
      <c r="Q22" s="7" t="s">
        <v>94</v>
      </c>
      <c r="R22" s="7" t="s">
        <v>109</v>
      </c>
      <c r="S22" s="7" t="s">
        <v>109</v>
      </c>
      <c r="T22" s="6" t="s">
        <v>424</v>
      </c>
      <c r="U22" s="125">
        <v>0.94923076923076921</v>
      </c>
      <c r="V22" s="7" t="s">
        <v>1945</v>
      </c>
    </row>
    <row r="23" spans="1:22" x14ac:dyDescent="0.3">
      <c r="A23" s="7">
        <v>22</v>
      </c>
      <c r="B23" s="6" t="s">
        <v>23</v>
      </c>
      <c r="C23" s="6" t="s">
        <v>940</v>
      </c>
      <c r="D23" s="6">
        <v>50126249</v>
      </c>
      <c r="E23" s="10">
        <v>400</v>
      </c>
      <c r="F23" s="7">
        <v>771</v>
      </c>
      <c r="G23" s="7">
        <v>536</v>
      </c>
      <c r="H23" s="7" t="s">
        <v>2183</v>
      </c>
      <c r="I23" s="7" t="s">
        <v>109</v>
      </c>
      <c r="J23" s="7" t="s">
        <v>130</v>
      </c>
      <c r="K23" s="11">
        <v>0.96319444444444446</v>
      </c>
      <c r="L23" s="7" t="s">
        <v>109</v>
      </c>
      <c r="M23" s="7" t="s">
        <v>109</v>
      </c>
      <c r="N23" s="6" t="s">
        <v>110</v>
      </c>
      <c r="O23" s="6" t="s">
        <v>61</v>
      </c>
      <c r="P23" s="7" t="s">
        <v>131</v>
      </c>
      <c r="Q23" s="7" t="s">
        <v>196</v>
      </c>
      <c r="R23" s="7" t="s">
        <v>109</v>
      </c>
      <c r="S23" s="7" t="s">
        <v>109</v>
      </c>
      <c r="T23" s="6" t="s">
        <v>424</v>
      </c>
      <c r="U23" s="125">
        <v>1.34</v>
      </c>
      <c r="V23" s="7" t="s">
        <v>1945</v>
      </c>
    </row>
    <row r="24" spans="1:22" x14ac:dyDescent="0.3">
      <c r="A24" s="7">
        <v>23</v>
      </c>
      <c r="B24" s="6" t="s">
        <v>143</v>
      </c>
      <c r="C24" s="6" t="s">
        <v>2184</v>
      </c>
      <c r="D24" s="6">
        <v>10226011</v>
      </c>
      <c r="E24" s="6">
        <v>30</v>
      </c>
      <c r="F24" s="7">
        <v>51</v>
      </c>
      <c r="G24" s="7">
        <v>11</v>
      </c>
      <c r="H24" s="7" t="s">
        <v>153</v>
      </c>
      <c r="I24" s="7" t="s">
        <v>154</v>
      </c>
      <c r="J24" s="7" t="s">
        <v>130</v>
      </c>
      <c r="K24" s="11">
        <v>0.8618055555555556</v>
      </c>
      <c r="L24" s="7" t="s">
        <v>2214</v>
      </c>
      <c r="M24" s="7" t="s">
        <v>109</v>
      </c>
      <c r="N24" s="123" t="s">
        <v>109</v>
      </c>
      <c r="O24" s="123" t="s">
        <v>61</v>
      </c>
      <c r="P24" s="7" t="s">
        <v>131</v>
      </c>
      <c r="Q24" s="7" t="s">
        <v>154</v>
      </c>
      <c r="R24" s="7" t="s">
        <v>109</v>
      </c>
      <c r="S24" s="7" t="s">
        <v>109</v>
      </c>
      <c r="T24" s="6" t="s">
        <v>182</v>
      </c>
      <c r="U24" s="125">
        <v>0.4</v>
      </c>
      <c r="V24" s="7" t="s">
        <v>889</v>
      </c>
    </row>
    <row r="25" spans="1:22" x14ac:dyDescent="0.3">
      <c r="A25" s="7">
        <v>24</v>
      </c>
      <c r="B25" s="6" t="s">
        <v>143</v>
      </c>
      <c r="C25" s="6" t="s">
        <v>2185</v>
      </c>
      <c r="D25" s="6">
        <v>10226012</v>
      </c>
      <c r="E25" s="6">
        <v>40</v>
      </c>
      <c r="F25" s="7">
        <v>60</v>
      </c>
      <c r="G25" s="7">
        <v>6</v>
      </c>
      <c r="H25" s="7" t="s">
        <v>184</v>
      </c>
      <c r="I25" s="7" t="s">
        <v>90</v>
      </c>
      <c r="J25" s="7" t="s">
        <v>130</v>
      </c>
      <c r="K25" s="7" t="s">
        <v>2213</v>
      </c>
      <c r="L25" s="11">
        <v>2.7777777777777776E-2</v>
      </c>
      <c r="M25" s="7" t="s">
        <v>109</v>
      </c>
      <c r="N25" s="123" t="s">
        <v>109</v>
      </c>
      <c r="O25" s="123" t="s">
        <v>61</v>
      </c>
      <c r="P25" s="7" t="s">
        <v>131</v>
      </c>
      <c r="Q25" s="7" t="s">
        <v>90</v>
      </c>
      <c r="R25" s="7" t="s">
        <v>109</v>
      </c>
      <c r="S25" s="7" t="s">
        <v>109</v>
      </c>
      <c r="T25" s="6" t="s">
        <v>1596</v>
      </c>
      <c r="U25" s="125">
        <f>G25/E25</f>
        <v>0.15</v>
      </c>
      <c r="V25" s="7" t="s">
        <v>2141</v>
      </c>
    </row>
    <row r="26" spans="1:22" x14ac:dyDescent="0.3">
      <c r="A26" s="7">
        <v>25</v>
      </c>
      <c r="B26" s="6" t="s">
        <v>143</v>
      </c>
      <c r="C26" s="6" t="s">
        <v>2186</v>
      </c>
      <c r="D26" s="6">
        <v>10226013</v>
      </c>
      <c r="E26" s="6">
        <v>40</v>
      </c>
      <c r="F26" s="7">
        <v>56</v>
      </c>
      <c r="G26" s="7">
        <v>30</v>
      </c>
      <c r="H26" s="7" t="s">
        <v>67</v>
      </c>
      <c r="I26" s="7" t="s">
        <v>95</v>
      </c>
      <c r="J26" s="7" t="s">
        <v>130</v>
      </c>
      <c r="K26" s="11">
        <v>0.75972222222222219</v>
      </c>
      <c r="L26" s="11">
        <v>0.77986111111111112</v>
      </c>
      <c r="M26" s="7" t="s">
        <v>109</v>
      </c>
      <c r="N26" s="123" t="s">
        <v>109</v>
      </c>
      <c r="O26" s="123" t="s">
        <v>61</v>
      </c>
      <c r="P26" s="7" t="s">
        <v>131</v>
      </c>
      <c r="Q26" s="7" t="s">
        <v>95</v>
      </c>
      <c r="R26" s="7" t="s">
        <v>109</v>
      </c>
      <c r="S26" s="7" t="s">
        <v>109</v>
      </c>
      <c r="T26" s="6" t="s">
        <v>1596</v>
      </c>
      <c r="U26" s="125">
        <v>0.75</v>
      </c>
      <c r="V26" s="7" t="s">
        <v>889</v>
      </c>
    </row>
    <row r="27" spans="1:22" x14ac:dyDescent="0.3">
      <c r="A27" s="7">
        <v>26</v>
      </c>
      <c r="B27" s="6" t="s">
        <v>23</v>
      </c>
      <c r="C27" s="6" t="s">
        <v>659</v>
      </c>
      <c r="D27" s="6">
        <v>50126153</v>
      </c>
      <c r="E27" s="123">
        <v>75</v>
      </c>
      <c r="F27" s="7">
        <v>97</v>
      </c>
      <c r="G27" s="7">
        <v>76</v>
      </c>
      <c r="H27" s="7" t="s">
        <v>67</v>
      </c>
      <c r="I27" s="7" t="s">
        <v>109</v>
      </c>
      <c r="J27" s="7" t="s">
        <v>130</v>
      </c>
      <c r="K27" s="11">
        <v>0.70486111111111116</v>
      </c>
      <c r="L27" s="7" t="s">
        <v>109</v>
      </c>
      <c r="M27" s="7" t="s">
        <v>109</v>
      </c>
      <c r="N27" s="123" t="s">
        <v>2187</v>
      </c>
      <c r="O27" s="6" t="s">
        <v>61</v>
      </c>
      <c r="P27" s="7" t="s">
        <v>131</v>
      </c>
      <c r="Q27" s="7" t="s">
        <v>67</v>
      </c>
      <c r="R27" s="7" t="s">
        <v>109</v>
      </c>
      <c r="S27" s="7" t="s">
        <v>109</v>
      </c>
      <c r="T27" s="6" t="s">
        <v>661</v>
      </c>
      <c r="U27" s="125">
        <v>1.0133333333333334</v>
      </c>
      <c r="V27" s="7" t="s">
        <v>1945</v>
      </c>
    </row>
    <row r="28" spans="1:22" x14ac:dyDescent="0.3">
      <c r="A28" s="7">
        <v>27</v>
      </c>
      <c r="B28" s="6" t="s">
        <v>23</v>
      </c>
      <c r="C28" s="6" t="s">
        <v>662</v>
      </c>
      <c r="D28" s="6">
        <v>50126152</v>
      </c>
      <c r="E28" s="123">
        <v>70</v>
      </c>
      <c r="F28" s="7">
        <v>140</v>
      </c>
      <c r="G28" s="7">
        <v>73</v>
      </c>
      <c r="H28" s="7" t="s">
        <v>69</v>
      </c>
      <c r="I28" s="7" t="s">
        <v>109</v>
      </c>
      <c r="J28" s="7" t="s">
        <v>130</v>
      </c>
      <c r="K28" s="11">
        <v>0.70833333333333337</v>
      </c>
      <c r="L28" s="7" t="s">
        <v>109</v>
      </c>
      <c r="M28" s="7" t="s">
        <v>109</v>
      </c>
      <c r="N28" s="123" t="s">
        <v>2187</v>
      </c>
      <c r="O28" s="6" t="s">
        <v>61</v>
      </c>
      <c r="P28" s="7" t="s">
        <v>131</v>
      </c>
      <c r="Q28" s="7" t="s">
        <v>69</v>
      </c>
      <c r="R28" s="7" t="s">
        <v>109</v>
      </c>
      <c r="S28" s="7" t="s">
        <v>109</v>
      </c>
      <c r="T28" s="6" t="s">
        <v>661</v>
      </c>
      <c r="U28" s="125">
        <v>1.0428571428571429</v>
      </c>
      <c r="V28" s="7" t="s">
        <v>1945</v>
      </c>
    </row>
    <row r="29" spans="1:22" x14ac:dyDescent="0.3">
      <c r="A29" s="7">
        <v>28</v>
      </c>
      <c r="B29" s="6" t="s">
        <v>23</v>
      </c>
      <c r="C29" s="6" t="s">
        <v>664</v>
      </c>
      <c r="D29" s="6">
        <v>50126150</v>
      </c>
      <c r="E29" s="123">
        <v>30</v>
      </c>
      <c r="F29" s="7">
        <v>62</v>
      </c>
      <c r="G29" s="7">
        <v>36</v>
      </c>
      <c r="H29" s="7" t="s">
        <v>200</v>
      </c>
      <c r="I29" s="7" t="s">
        <v>109</v>
      </c>
      <c r="J29" s="7" t="s">
        <v>130</v>
      </c>
      <c r="K29" s="11">
        <v>0.81597222222222221</v>
      </c>
      <c r="L29" s="7" t="s">
        <v>109</v>
      </c>
      <c r="M29" s="7" t="s">
        <v>109</v>
      </c>
      <c r="N29" s="123" t="s">
        <v>2187</v>
      </c>
      <c r="O29" s="6" t="s">
        <v>61</v>
      </c>
      <c r="P29" s="7" t="s">
        <v>131</v>
      </c>
      <c r="Q29" s="7" t="s">
        <v>200</v>
      </c>
      <c r="R29" s="7" t="s">
        <v>109</v>
      </c>
      <c r="S29" s="7" t="s">
        <v>109</v>
      </c>
      <c r="T29" s="6" t="s">
        <v>661</v>
      </c>
      <c r="U29" s="125">
        <v>1.2</v>
      </c>
      <c r="V29" s="7" t="s">
        <v>1945</v>
      </c>
    </row>
    <row r="30" spans="1:22" x14ac:dyDescent="0.3">
      <c r="A30" s="7">
        <v>29</v>
      </c>
      <c r="B30" s="6" t="s">
        <v>23</v>
      </c>
      <c r="C30" s="6" t="s">
        <v>1337</v>
      </c>
      <c r="D30" s="6">
        <v>50126336</v>
      </c>
      <c r="E30" s="123">
        <v>75</v>
      </c>
      <c r="F30" s="7">
        <v>151</v>
      </c>
      <c r="G30" s="7">
        <v>75</v>
      </c>
      <c r="H30" s="7" t="s">
        <v>196</v>
      </c>
      <c r="I30" s="7" t="s">
        <v>109</v>
      </c>
      <c r="J30" s="7" t="s">
        <v>130</v>
      </c>
      <c r="K30" s="11">
        <v>0.71944444444444444</v>
      </c>
      <c r="L30" s="7" t="s">
        <v>109</v>
      </c>
      <c r="M30" s="7" t="s">
        <v>109</v>
      </c>
      <c r="N30" s="123" t="s">
        <v>109</v>
      </c>
      <c r="O30" s="6" t="s">
        <v>61</v>
      </c>
      <c r="P30" s="7" t="s">
        <v>131</v>
      </c>
      <c r="Q30" s="7" t="s">
        <v>196</v>
      </c>
      <c r="R30" s="7" t="s">
        <v>109</v>
      </c>
      <c r="S30" s="7" t="s">
        <v>109</v>
      </c>
      <c r="T30" s="6" t="s">
        <v>1338</v>
      </c>
      <c r="U30" s="125">
        <v>1</v>
      </c>
      <c r="V30" s="7" t="s">
        <v>1945</v>
      </c>
    </row>
    <row r="31" spans="1:22" x14ac:dyDescent="0.3">
      <c r="A31" s="7">
        <v>30</v>
      </c>
      <c r="B31" s="6" t="s">
        <v>23</v>
      </c>
      <c r="C31" s="6" t="s">
        <v>1565</v>
      </c>
      <c r="D31" s="6">
        <v>50126356</v>
      </c>
      <c r="E31" s="6">
        <v>20</v>
      </c>
      <c r="F31" s="7">
        <v>26</v>
      </c>
      <c r="G31" s="7">
        <v>1</v>
      </c>
      <c r="H31" s="7" t="s">
        <v>184</v>
      </c>
      <c r="I31" s="7" t="s">
        <v>109</v>
      </c>
      <c r="J31" s="7" t="s">
        <v>130</v>
      </c>
      <c r="K31" s="11">
        <v>0.75555555555555554</v>
      </c>
      <c r="L31" s="7" t="s">
        <v>109</v>
      </c>
      <c r="M31" s="7" t="s">
        <v>109</v>
      </c>
      <c r="N31" s="6" t="s">
        <v>2188</v>
      </c>
      <c r="O31" s="123" t="s">
        <v>61</v>
      </c>
      <c r="P31" s="7" t="s">
        <v>131</v>
      </c>
      <c r="Q31" s="7" t="s">
        <v>184</v>
      </c>
      <c r="R31" s="7" t="s">
        <v>109</v>
      </c>
      <c r="S31" s="7" t="s">
        <v>109</v>
      </c>
      <c r="T31" s="6" t="s">
        <v>1568</v>
      </c>
      <c r="U31" s="125">
        <v>0.05</v>
      </c>
      <c r="V31" s="7" t="s">
        <v>889</v>
      </c>
    </row>
    <row r="32" spans="1:22" x14ac:dyDescent="0.3">
      <c r="A32" s="7">
        <v>31</v>
      </c>
      <c r="B32" s="6" t="s">
        <v>23</v>
      </c>
      <c r="C32" s="6" t="s">
        <v>1691</v>
      </c>
      <c r="D32" s="6">
        <v>50126364</v>
      </c>
      <c r="E32" s="6">
        <v>50</v>
      </c>
      <c r="F32" s="7">
        <v>69</v>
      </c>
      <c r="G32" s="7">
        <v>50</v>
      </c>
      <c r="H32" s="7" t="s">
        <v>214</v>
      </c>
      <c r="I32" s="7" t="s">
        <v>109</v>
      </c>
      <c r="J32" s="7" t="s">
        <v>130</v>
      </c>
      <c r="K32" s="11">
        <v>0.88958333333333328</v>
      </c>
      <c r="L32" s="7" t="s">
        <v>109</v>
      </c>
      <c r="M32" s="7" t="s">
        <v>109</v>
      </c>
      <c r="N32" s="6" t="s">
        <v>2189</v>
      </c>
      <c r="O32" s="123" t="s">
        <v>61</v>
      </c>
      <c r="P32" s="7" t="s">
        <v>131</v>
      </c>
      <c r="Q32" s="7" t="s">
        <v>214</v>
      </c>
      <c r="R32" s="7" t="s">
        <v>109</v>
      </c>
      <c r="S32" s="7" t="s">
        <v>109</v>
      </c>
      <c r="T32" s="6" t="s">
        <v>1568</v>
      </c>
      <c r="U32" s="125">
        <v>1</v>
      </c>
      <c r="V32" s="7" t="s">
        <v>1945</v>
      </c>
    </row>
    <row r="33" spans="1:22" x14ac:dyDescent="0.3">
      <c r="A33" s="7">
        <v>32</v>
      </c>
      <c r="B33" s="6" t="s">
        <v>23</v>
      </c>
      <c r="C33" s="6" t="s">
        <v>1693</v>
      </c>
      <c r="D33" s="6">
        <v>50126363</v>
      </c>
      <c r="E33" s="6">
        <v>100</v>
      </c>
      <c r="F33" s="7">
        <v>115</v>
      </c>
      <c r="G33" s="7">
        <v>89</v>
      </c>
      <c r="H33" s="7" t="s">
        <v>65</v>
      </c>
      <c r="I33" s="7" t="s">
        <v>109</v>
      </c>
      <c r="J33" s="7" t="s">
        <v>130</v>
      </c>
      <c r="K33" s="7" t="s">
        <v>2210</v>
      </c>
      <c r="L33" s="7" t="s">
        <v>109</v>
      </c>
      <c r="M33" s="7" t="s">
        <v>109</v>
      </c>
      <c r="N33" s="6" t="s">
        <v>2190</v>
      </c>
      <c r="O33" s="123" t="s">
        <v>61</v>
      </c>
      <c r="P33" s="7" t="s">
        <v>131</v>
      </c>
      <c r="Q33" s="7" t="s">
        <v>65</v>
      </c>
      <c r="R33" s="7" t="s">
        <v>109</v>
      </c>
      <c r="S33" s="7" t="s">
        <v>109</v>
      </c>
      <c r="T33" s="6" t="s">
        <v>1568</v>
      </c>
      <c r="U33" s="125">
        <v>0.89</v>
      </c>
      <c r="V33" s="7" t="s">
        <v>1945</v>
      </c>
    </row>
    <row r="34" spans="1:22" x14ac:dyDescent="0.3">
      <c r="A34" s="7">
        <v>33</v>
      </c>
      <c r="B34" s="6" t="s">
        <v>23</v>
      </c>
      <c r="C34" s="6" t="s">
        <v>1841</v>
      </c>
      <c r="D34" s="6">
        <v>50226011</v>
      </c>
      <c r="E34" s="6">
        <v>300</v>
      </c>
      <c r="F34" s="7">
        <v>308</v>
      </c>
      <c r="G34" s="7">
        <v>41</v>
      </c>
      <c r="H34" s="7" t="s">
        <v>2191</v>
      </c>
      <c r="I34" s="7" t="s">
        <v>109</v>
      </c>
      <c r="J34" s="7" t="s">
        <v>130</v>
      </c>
      <c r="K34" s="7" t="s">
        <v>109</v>
      </c>
      <c r="L34" s="11">
        <v>0.9458333333333333</v>
      </c>
      <c r="M34" s="7" t="s">
        <v>109</v>
      </c>
      <c r="N34" s="6" t="s">
        <v>109</v>
      </c>
      <c r="O34" s="123" t="s">
        <v>61</v>
      </c>
      <c r="P34" s="7" t="s">
        <v>131</v>
      </c>
      <c r="Q34" s="7" t="s">
        <v>222</v>
      </c>
      <c r="R34" s="7" t="s">
        <v>109</v>
      </c>
      <c r="S34" s="7" t="s">
        <v>109</v>
      </c>
      <c r="T34" s="6" t="s">
        <v>1433</v>
      </c>
      <c r="U34" s="125">
        <v>0.13666666666666666</v>
      </c>
      <c r="V34" s="7" t="s">
        <v>889</v>
      </c>
    </row>
    <row r="35" spans="1:22" x14ac:dyDescent="0.3">
      <c r="A35" s="7">
        <v>34</v>
      </c>
      <c r="B35" s="6" t="s">
        <v>23</v>
      </c>
      <c r="C35" s="6" t="s">
        <v>1842</v>
      </c>
      <c r="D35" s="6">
        <v>50226012</v>
      </c>
      <c r="E35" s="6">
        <v>44</v>
      </c>
      <c r="F35" s="7">
        <v>90</v>
      </c>
      <c r="G35" s="7">
        <v>20</v>
      </c>
      <c r="H35" s="7" t="s">
        <v>66</v>
      </c>
      <c r="I35" s="7" t="s">
        <v>109</v>
      </c>
      <c r="J35" s="7" t="s">
        <v>130</v>
      </c>
      <c r="K35" s="11">
        <v>0.88958333333333328</v>
      </c>
      <c r="L35" s="7" t="s">
        <v>109</v>
      </c>
      <c r="M35" s="7" t="s">
        <v>109</v>
      </c>
      <c r="N35" s="6" t="s">
        <v>109</v>
      </c>
      <c r="O35" s="123" t="s">
        <v>61</v>
      </c>
      <c r="P35" s="7" t="s">
        <v>131</v>
      </c>
      <c r="Q35" s="7" t="s">
        <v>66</v>
      </c>
      <c r="R35" s="7" t="s">
        <v>109</v>
      </c>
      <c r="S35" s="7" t="s">
        <v>109</v>
      </c>
      <c r="T35" s="6" t="s">
        <v>1433</v>
      </c>
      <c r="U35" s="125">
        <v>0.45454545454545453</v>
      </c>
      <c r="V35" s="7" t="s">
        <v>2141</v>
      </c>
    </row>
    <row r="36" spans="1:22" x14ac:dyDescent="0.3">
      <c r="A36" s="7">
        <v>35</v>
      </c>
      <c r="B36" s="6" t="s">
        <v>23</v>
      </c>
      <c r="C36" s="6" t="s">
        <v>1843</v>
      </c>
      <c r="D36" s="6">
        <v>50226013</v>
      </c>
      <c r="E36" s="6">
        <v>172</v>
      </c>
      <c r="F36" s="7">
        <v>117</v>
      </c>
      <c r="G36" s="7">
        <v>20</v>
      </c>
      <c r="H36" s="7" t="s">
        <v>294</v>
      </c>
      <c r="I36" s="7" t="s">
        <v>109</v>
      </c>
      <c r="J36" s="7" t="s">
        <v>130</v>
      </c>
      <c r="K36" s="11">
        <v>0.71666666666666667</v>
      </c>
      <c r="L36" s="7" t="s">
        <v>109</v>
      </c>
      <c r="M36" s="7" t="s">
        <v>109</v>
      </c>
      <c r="N36" s="6" t="s">
        <v>109</v>
      </c>
      <c r="O36" s="123" t="s">
        <v>61</v>
      </c>
      <c r="P36" s="7" t="s">
        <v>131</v>
      </c>
      <c r="Q36" s="7" t="s">
        <v>209</v>
      </c>
      <c r="R36" s="7" t="s">
        <v>109</v>
      </c>
      <c r="S36" s="7" t="s">
        <v>109</v>
      </c>
      <c r="T36" s="6" t="s">
        <v>1433</v>
      </c>
      <c r="U36" s="125">
        <v>0.11627906976744186</v>
      </c>
      <c r="V36" s="7" t="s">
        <v>889</v>
      </c>
    </row>
    <row r="37" spans="1:22" x14ac:dyDescent="0.3">
      <c r="A37" s="7">
        <v>36</v>
      </c>
      <c r="B37" s="6" t="s">
        <v>23</v>
      </c>
      <c r="C37" s="6" t="s">
        <v>1844</v>
      </c>
      <c r="D37" s="6">
        <v>50226014</v>
      </c>
      <c r="E37" s="6">
        <v>300</v>
      </c>
      <c r="F37" s="7">
        <v>376</v>
      </c>
      <c r="G37" s="7">
        <v>233</v>
      </c>
      <c r="H37" s="7" t="s">
        <v>2204</v>
      </c>
      <c r="I37" s="7" t="s">
        <v>109</v>
      </c>
      <c r="J37" s="7" t="s">
        <v>130</v>
      </c>
      <c r="K37" s="11">
        <v>0.85763888888888884</v>
      </c>
      <c r="L37" s="7" t="s">
        <v>109</v>
      </c>
      <c r="M37" s="7" t="s">
        <v>109</v>
      </c>
      <c r="N37" s="6" t="s">
        <v>109</v>
      </c>
      <c r="O37" s="123" t="s">
        <v>61</v>
      </c>
      <c r="P37" s="7" t="s">
        <v>131</v>
      </c>
      <c r="Q37" s="7" t="s">
        <v>70</v>
      </c>
      <c r="R37" s="7" t="s">
        <v>109</v>
      </c>
      <c r="S37" s="7" t="s">
        <v>109</v>
      </c>
      <c r="T37" s="6" t="s">
        <v>1433</v>
      </c>
      <c r="U37" s="125">
        <v>0.77666666666666662</v>
      </c>
      <c r="V37" s="7" t="s">
        <v>889</v>
      </c>
    </row>
    <row r="38" spans="1:22" x14ac:dyDescent="0.3">
      <c r="A38" s="7">
        <v>37</v>
      </c>
      <c r="B38" s="6" t="s">
        <v>135</v>
      </c>
      <c r="C38" s="6" t="s">
        <v>2192</v>
      </c>
      <c r="D38" s="6">
        <v>20226001</v>
      </c>
      <c r="E38" s="6">
        <v>75</v>
      </c>
      <c r="F38" s="7">
        <v>87</v>
      </c>
      <c r="G38" s="7">
        <v>62</v>
      </c>
      <c r="H38" s="7" t="s">
        <v>66</v>
      </c>
      <c r="I38" s="7" t="s">
        <v>88</v>
      </c>
      <c r="J38" s="7" t="s">
        <v>130</v>
      </c>
      <c r="K38" s="11">
        <v>0.93263888888888891</v>
      </c>
      <c r="L38" s="11">
        <v>0.95763888888888893</v>
      </c>
      <c r="M38" s="7" t="s">
        <v>109</v>
      </c>
      <c r="N38" s="6" t="s">
        <v>109</v>
      </c>
      <c r="O38" s="6" t="s">
        <v>61</v>
      </c>
      <c r="P38" s="7" t="s">
        <v>131</v>
      </c>
      <c r="Q38" s="7" t="s">
        <v>88</v>
      </c>
      <c r="R38" s="7" t="s">
        <v>109</v>
      </c>
      <c r="S38" s="7" t="s">
        <v>109</v>
      </c>
      <c r="T38" s="6" t="s">
        <v>2193</v>
      </c>
      <c r="U38" s="125">
        <v>0.82666666666666666</v>
      </c>
      <c r="V38" s="7" t="s">
        <v>889</v>
      </c>
    </row>
    <row r="39" spans="1:22" x14ac:dyDescent="0.3">
      <c r="A39" s="7">
        <v>38</v>
      </c>
      <c r="B39" s="6" t="s">
        <v>135</v>
      </c>
      <c r="C39" s="6" t="s">
        <v>2194</v>
      </c>
      <c r="D39" s="6">
        <v>20226002</v>
      </c>
      <c r="E39" s="6">
        <v>50</v>
      </c>
      <c r="F39" s="7">
        <v>117</v>
      </c>
      <c r="G39" s="7">
        <v>23</v>
      </c>
      <c r="H39" s="7" t="s">
        <v>65</v>
      </c>
      <c r="I39" s="7" t="s">
        <v>209</v>
      </c>
      <c r="J39" s="7" t="s">
        <v>130</v>
      </c>
      <c r="K39" s="11">
        <v>0.95763888888888893</v>
      </c>
      <c r="L39" s="11">
        <v>0.96875</v>
      </c>
      <c r="M39" s="7" t="s">
        <v>109</v>
      </c>
      <c r="N39" s="6" t="s">
        <v>109</v>
      </c>
      <c r="O39" s="6" t="s">
        <v>61</v>
      </c>
      <c r="P39" s="7" t="s">
        <v>131</v>
      </c>
      <c r="Q39" s="7" t="s">
        <v>209</v>
      </c>
      <c r="R39" s="7" t="s">
        <v>109</v>
      </c>
      <c r="S39" s="7" t="s">
        <v>109</v>
      </c>
      <c r="T39" s="6" t="s">
        <v>2193</v>
      </c>
      <c r="U39" s="125">
        <v>0.46</v>
      </c>
      <c r="V39" s="7" t="s">
        <v>2141</v>
      </c>
    </row>
    <row r="40" spans="1:22" x14ac:dyDescent="0.3">
      <c r="A40" s="7">
        <v>39</v>
      </c>
      <c r="B40" s="6" t="s">
        <v>135</v>
      </c>
      <c r="C40" s="6" t="s">
        <v>2195</v>
      </c>
      <c r="D40" s="6">
        <v>20226003</v>
      </c>
      <c r="E40" s="6">
        <v>65</v>
      </c>
      <c r="F40" s="7">
        <v>65</v>
      </c>
      <c r="G40" s="7">
        <v>19</v>
      </c>
      <c r="H40" s="7" t="s">
        <v>200</v>
      </c>
      <c r="I40" s="7" t="s">
        <v>91</v>
      </c>
      <c r="J40" s="7" t="s">
        <v>130</v>
      </c>
      <c r="K40" s="11">
        <v>0.78194444444444444</v>
      </c>
      <c r="L40" s="7" t="s">
        <v>109</v>
      </c>
      <c r="M40" s="7" t="s">
        <v>109</v>
      </c>
      <c r="N40" s="6" t="s">
        <v>109</v>
      </c>
      <c r="O40" s="6" t="s">
        <v>61</v>
      </c>
      <c r="P40" s="7" t="s">
        <v>131</v>
      </c>
      <c r="Q40" s="7" t="s">
        <v>91</v>
      </c>
      <c r="R40" s="7" t="s">
        <v>109</v>
      </c>
      <c r="S40" s="7" t="s">
        <v>109</v>
      </c>
      <c r="T40" s="6" t="s">
        <v>2193</v>
      </c>
      <c r="U40" s="125">
        <v>0.29230769230769232</v>
      </c>
      <c r="V40" s="7" t="s">
        <v>889</v>
      </c>
    </row>
    <row r="41" spans="1:22" x14ac:dyDescent="0.3">
      <c r="A41" s="7">
        <v>40</v>
      </c>
      <c r="B41" s="6" t="s">
        <v>411</v>
      </c>
      <c r="C41" s="6" t="s">
        <v>1559</v>
      </c>
      <c r="D41" s="6">
        <v>30126013</v>
      </c>
      <c r="E41" s="6">
        <v>107</v>
      </c>
      <c r="F41" s="7">
        <v>47</v>
      </c>
      <c r="G41" s="7">
        <v>42</v>
      </c>
      <c r="H41" s="7" t="s">
        <v>82</v>
      </c>
      <c r="I41" s="7" t="s">
        <v>95</v>
      </c>
      <c r="J41" s="7" t="s">
        <v>130</v>
      </c>
      <c r="K41" s="7" t="s">
        <v>2209</v>
      </c>
      <c r="L41" s="7" t="s">
        <v>2211</v>
      </c>
      <c r="M41" s="7" t="s">
        <v>109</v>
      </c>
      <c r="N41" s="6" t="s">
        <v>109</v>
      </c>
      <c r="O41" s="6" t="s">
        <v>61</v>
      </c>
      <c r="P41" s="7" t="s">
        <v>131</v>
      </c>
      <c r="Q41" s="7" t="s">
        <v>95</v>
      </c>
      <c r="R41" s="7" t="s">
        <v>109</v>
      </c>
      <c r="S41" s="7" t="s">
        <v>109</v>
      </c>
      <c r="T41" s="6" t="s">
        <v>1562</v>
      </c>
      <c r="U41" s="125">
        <v>0.3925233644859813</v>
      </c>
      <c r="V41" s="7" t="s">
        <v>889</v>
      </c>
    </row>
    <row r="42" spans="1:22" x14ac:dyDescent="0.3">
      <c r="A42" s="7">
        <v>41</v>
      </c>
      <c r="B42" s="6" t="s">
        <v>23</v>
      </c>
      <c r="C42" s="6" t="s">
        <v>1366</v>
      </c>
      <c r="D42" s="6">
        <v>50126343</v>
      </c>
      <c r="E42" s="6">
        <v>300</v>
      </c>
      <c r="F42" s="7">
        <v>324</v>
      </c>
      <c r="G42" s="7">
        <v>34</v>
      </c>
      <c r="H42" s="7" t="s">
        <v>2196</v>
      </c>
      <c r="I42" s="7" t="s">
        <v>109</v>
      </c>
      <c r="J42" s="7" t="s">
        <v>130</v>
      </c>
      <c r="K42" s="11">
        <v>0.81736111111111109</v>
      </c>
      <c r="L42" s="7" t="s">
        <v>109</v>
      </c>
      <c r="M42" s="7" t="s">
        <v>109</v>
      </c>
      <c r="N42" s="6" t="s">
        <v>2197</v>
      </c>
      <c r="O42" s="6" t="s">
        <v>61</v>
      </c>
      <c r="P42" s="7" t="s">
        <v>131</v>
      </c>
      <c r="Q42" s="7" t="s">
        <v>84</v>
      </c>
      <c r="R42" s="7" t="s">
        <v>109</v>
      </c>
      <c r="S42" s="7" t="s">
        <v>109</v>
      </c>
      <c r="T42" s="6" t="s">
        <v>1365</v>
      </c>
      <c r="U42" s="125">
        <v>0.11333333333333333</v>
      </c>
      <c r="V42" s="7" t="s">
        <v>889</v>
      </c>
    </row>
    <row r="43" spans="1:22" x14ac:dyDescent="0.3">
      <c r="A43" s="7">
        <v>42</v>
      </c>
      <c r="B43" s="6" t="s">
        <v>23</v>
      </c>
      <c r="C43" s="6" t="s">
        <v>1369</v>
      </c>
      <c r="D43" s="6">
        <v>50126339</v>
      </c>
      <c r="E43" s="6">
        <v>200</v>
      </c>
      <c r="F43" s="7">
        <v>239</v>
      </c>
      <c r="G43" s="7">
        <v>70</v>
      </c>
      <c r="H43" s="7" t="s">
        <v>384</v>
      </c>
      <c r="I43" s="7" t="s">
        <v>109</v>
      </c>
      <c r="J43" s="7" t="s">
        <v>130</v>
      </c>
      <c r="K43" s="11">
        <v>0.74513888888888891</v>
      </c>
      <c r="L43" s="7" t="s">
        <v>109</v>
      </c>
      <c r="M43" s="7" t="s">
        <v>109</v>
      </c>
      <c r="N43" s="6" t="s">
        <v>2197</v>
      </c>
      <c r="O43" s="6" t="s">
        <v>61</v>
      </c>
      <c r="P43" s="7" t="s">
        <v>131</v>
      </c>
      <c r="Q43" s="7" t="s">
        <v>93</v>
      </c>
      <c r="R43" s="7" t="s">
        <v>109</v>
      </c>
      <c r="S43" s="7" t="s">
        <v>109</v>
      </c>
      <c r="T43" s="6" t="s">
        <v>1365</v>
      </c>
      <c r="U43" s="125">
        <v>0.35</v>
      </c>
      <c r="V43" s="7" t="s">
        <v>889</v>
      </c>
    </row>
    <row r="44" spans="1:22" x14ac:dyDescent="0.3">
      <c r="A44" s="7">
        <v>43</v>
      </c>
      <c r="B44" s="6" t="s">
        <v>23</v>
      </c>
      <c r="C44" s="6" t="s">
        <v>1364</v>
      </c>
      <c r="D44" s="6">
        <v>50126341</v>
      </c>
      <c r="E44" s="6">
        <v>300</v>
      </c>
      <c r="F44" s="7">
        <v>265</v>
      </c>
      <c r="G44" s="7">
        <v>75</v>
      </c>
      <c r="H44" s="7" t="s">
        <v>2198</v>
      </c>
      <c r="I44" s="7" t="s">
        <v>109</v>
      </c>
      <c r="J44" s="7" t="s">
        <v>130</v>
      </c>
      <c r="K44" s="11">
        <v>0.98124999999999996</v>
      </c>
      <c r="L44" s="7" t="s">
        <v>109</v>
      </c>
      <c r="M44" s="7" t="s">
        <v>109</v>
      </c>
      <c r="N44" s="6" t="s">
        <v>110</v>
      </c>
      <c r="O44" s="6" t="s">
        <v>61</v>
      </c>
      <c r="P44" s="7" t="s">
        <v>131</v>
      </c>
      <c r="Q44" s="7" t="s">
        <v>153</v>
      </c>
      <c r="R44" s="7" t="s">
        <v>109</v>
      </c>
      <c r="S44" s="7" t="s">
        <v>109</v>
      </c>
      <c r="T44" s="6" t="s">
        <v>1365</v>
      </c>
      <c r="U44" s="125">
        <v>0.25</v>
      </c>
      <c r="V44" s="7" t="s">
        <v>889</v>
      </c>
    </row>
    <row r="45" spans="1:22" x14ac:dyDescent="0.3">
      <c r="A45" s="7">
        <v>44</v>
      </c>
      <c r="B45" s="6" t="s">
        <v>23</v>
      </c>
      <c r="C45" s="6" t="s">
        <v>1371</v>
      </c>
      <c r="D45" s="6">
        <v>50126338</v>
      </c>
      <c r="E45" s="6">
        <v>200</v>
      </c>
      <c r="F45" s="7">
        <v>248</v>
      </c>
      <c r="G45" s="7">
        <v>45</v>
      </c>
      <c r="H45" s="7" t="s">
        <v>103</v>
      </c>
      <c r="I45" s="7" t="s">
        <v>109</v>
      </c>
      <c r="J45" s="7" t="s">
        <v>130</v>
      </c>
      <c r="K45" s="7" t="s">
        <v>109</v>
      </c>
      <c r="L45" s="11">
        <v>2.013888888888889E-2</v>
      </c>
      <c r="M45" s="7" t="s">
        <v>109</v>
      </c>
      <c r="N45" s="6" t="s">
        <v>2197</v>
      </c>
      <c r="O45" s="6" t="s">
        <v>61</v>
      </c>
      <c r="P45" s="7" t="s">
        <v>131</v>
      </c>
      <c r="Q45" s="7" t="s">
        <v>94</v>
      </c>
      <c r="R45" s="7" t="s">
        <v>109</v>
      </c>
      <c r="S45" s="7" t="s">
        <v>109</v>
      </c>
      <c r="T45" s="6" t="s">
        <v>1365</v>
      </c>
      <c r="U45" s="125">
        <f>G45/E45</f>
        <v>0.22500000000000001</v>
      </c>
      <c r="V45" s="7" t="s">
        <v>889</v>
      </c>
    </row>
    <row r="46" spans="1:22" x14ac:dyDescent="0.3">
      <c r="A46" s="7">
        <v>45</v>
      </c>
      <c r="B46" s="6" t="s">
        <v>23</v>
      </c>
      <c r="C46" s="6" t="s">
        <v>1368</v>
      </c>
      <c r="D46" s="6">
        <v>50126340</v>
      </c>
      <c r="E46" s="6">
        <v>30</v>
      </c>
      <c r="F46" s="7">
        <v>32</v>
      </c>
      <c r="G46" s="7">
        <v>8</v>
      </c>
      <c r="H46" s="7" t="s">
        <v>69</v>
      </c>
      <c r="I46" s="7" t="s">
        <v>109</v>
      </c>
      <c r="J46" s="7" t="s">
        <v>130</v>
      </c>
      <c r="K46" s="11">
        <v>0.65486111111111112</v>
      </c>
      <c r="L46" s="7" t="s">
        <v>109</v>
      </c>
      <c r="M46" s="7" t="s">
        <v>109</v>
      </c>
      <c r="N46" s="6" t="s">
        <v>2197</v>
      </c>
      <c r="O46" s="6" t="s">
        <v>61</v>
      </c>
      <c r="P46" s="7" t="s">
        <v>131</v>
      </c>
      <c r="Q46" s="7" t="s">
        <v>69</v>
      </c>
      <c r="R46" s="7" t="s">
        <v>109</v>
      </c>
      <c r="S46" s="7" t="s">
        <v>109</v>
      </c>
      <c r="T46" s="6" t="s">
        <v>1365</v>
      </c>
      <c r="U46" s="125">
        <v>0.26666666666666666</v>
      </c>
      <c r="V46" s="7" t="s">
        <v>889</v>
      </c>
    </row>
    <row r="47" spans="1:22" x14ac:dyDescent="0.3">
      <c r="A47" s="7">
        <v>46</v>
      </c>
      <c r="B47" s="6" t="s">
        <v>23</v>
      </c>
      <c r="C47" s="6" t="s">
        <v>1370</v>
      </c>
      <c r="D47" s="6">
        <v>50126342</v>
      </c>
      <c r="E47" s="6">
        <v>150</v>
      </c>
      <c r="F47" s="7">
        <v>276</v>
      </c>
      <c r="G47" s="7">
        <v>52</v>
      </c>
      <c r="H47" s="7" t="s">
        <v>1971</v>
      </c>
      <c r="I47" s="7" t="s">
        <v>109</v>
      </c>
      <c r="J47" s="7" t="s">
        <v>130</v>
      </c>
      <c r="K47" s="11">
        <v>0.80625000000000002</v>
      </c>
      <c r="L47" s="7" t="s">
        <v>109</v>
      </c>
      <c r="M47" s="7" t="s">
        <v>109</v>
      </c>
      <c r="N47" s="6" t="s">
        <v>2197</v>
      </c>
      <c r="O47" s="6" t="s">
        <v>61</v>
      </c>
      <c r="P47" s="7" t="s">
        <v>131</v>
      </c>
      <c r="Q47" s="7" t="s">
        <v>2206</v>
      </c>
      <c r="R47" s="7" t="s">
        <v>109</v>
      </c>
      <c r="S47" s="7" t="s">
        <v>109</v>
      </c>
      <c r="T47" s="6" t="s">
        <v>1365</v>
      </c>
      <c r="U47" s="125">
        <v>0.34666666666666668</v>
      </c>
      <c r="V47" s="7" t="s">
        <v>2141</v>
      </c>
    </row>
    <row r="48" spans="1:22" x14ac:dyDescent="0.3">
      <c r="A48" s="7">
        <v>47</v>
      </c>
      <c r="B48" s="6" t="s">
        <v>23</v>
      </c>
      <c r="C48" s="6" t="s">
        <v>2075</v>
      </c>
      <c r="D48" s="6">
        <v>50226051</v>
      </c>
      <c r="E48" s="6">
        <v>200</v>
      </c>
      <c r="F48" s="7">
        <v>256</v>
      </c>
      <c r="G48" s="7">
        <v>187</v>
      </c>
      <c r="H48" s="7" t="s">
        <v>1971</v>
      </c>
      <c r="I48" s="7" t="s">
        <v>109</v>
      </c>
      <c r="J48" s="7" t="s">
        <v>85</v>
      </c>
      <c r="K48" s="11">
        <v>0.73263888888888884</v>
      </c>
      <c r="L48" s="7" t="s">
        <v>109</v>
      </c>
      <c r="M48" s="7" t="s">
        <v>109</v>
      </c>
      <c r="N48" s="6" t="s">
        <v>109</v>
      </c>
      <c r="O48" s="6" t="s">
        <v>61</v>
      </c>
      <c r="P48" s="7" t="s">
        <v>131</v>
      </c>
      <c r="Q48" s="7" t="s">
        <v>153</v>
      </c>
      <c r="R48" s="7" t="s">
        <v>109</v>
      </c>
      <c r="S48" s="7" t="s">
        <v>109</v>
      </c>
      <c r="T48" s="6" t="s">
        <v>289</v>
      </c>
      <c r="U48" s="125">
        <v>0.93500000000000005</v>
      </c>
      <c r="V48" s="7" t="s">
        <v>1945</v>
      </c>
    </row>
    <row r="49" spans="1:22" x14ac:dyDescent="0.3">
      <c r="A49" s="7">
        <v>48</v>
      </c>
      <c r="B49" s="6" t="s">
        <v>23</v>
      </c>
      <c r="C49" s="6" t="s">
        <v>2126</v>
      </c>
      <c r="D49" s="6">
        <v>50226064</v>
      </c>
      <c r="E49" s="6">
        <v>50</v>
      </c>
      <c r="F49" s="7">
        <v>19</v>
      </c>
      <c r="G49" s="7">
        <v>11</v>
      </c>
      <c r="H49" s="7" t="s">
        <v>222</v>
      </c>
      <c r="I49" s="7" t="s">
        <v>109</v>
      </c>
      <c r="J49" s="7" t="s">
        <v>130</v>
      </c>
      <c r="K49" s="11">
        <v>0.79791666666666672</v>
      </c>
      <c r="L49" s="7" t="s">
        <v>109</v>
      </c>
      <c r="M49" s="7" t="s">
        <v>109</v>
      </c>
      <c r="N49" s="6" t="s">
        <v>109</v>
      </c>
      <c r="O49" s="6" t="s">
        <v>61</v>
      </c>
      <c r="P49" s="7" t="s">
        <v>131</v>
      </c>
      <c r="Q49" s="7" t="s">
        <v>222</v>
      </c>
      <c r="R49" s="7" t="s">
        <v>109</v>
      </c>
      <c r="S49" s="7" t="s">
        <v>109</v>
      </c>
      <c r="T49" s="6" t="s">
        <v>610</v>
      </c>
      <c r="U49" s="125">
        <v>0.22</v>
      </c>
      <c r="V49" s="7" t="s">
        <v>889</v>
      </c>
    </row>
    <row r="50" spans="1:22" s="124" customFormat="1" x14ac:dyDescent="0.3">
      <c r="A50" s="18">
        <v>49</v>
      </c>
      <c r="B50" s="19" t="s">
        <v>23</v>
      </c>
      <c r="C50" s="19" t="s">
        <v>2115</v>
      </c>
      <c r="D50" s="19">
        <v>50226055</v>
      </c>
      <c r="E50" s="19">
        <v>200</v>
      </c>
      <c r="F50" s="18" t="s">
        <v>109</v>
      </c>
      <c r="G50" s="18" t="s">
        <v>109</v>
      </c>
      <c r="H50" s="18" t="s">
        <v>186</v>
      </c>
      <c r="I50" s="18" t="s">
        <v>109</v>
      </c>
      <c r="J50" s="18" t="s">
        <v>85</v>
      </c>
      <c r="K50" s="18" t="s">
        <v>109</v>
      </c>
      <c r="L50" s="18" t="s">
        <v>109</v>
      </c>
      <c r="M50" s="18" t="s">
        <v>109</v>
      </c>
      <c r="N50" s="19" t="s">
        <v>109</v>
      </c>
      <c r="O50" s="19" t="s">
        <v>61</v>
      </c>
      <c r="P50" s="18" t="s">
        <v>109</v>
      </c>
      <c r="Q50" s="18" t="s">
        <v>109</v>
      </c>
      <c r="R50" s="18" t="s">
        <v>109</v>
      </c>
      <c r="S50" s="18" t="s">
        <v>109</v>
      </c>
      <c r="T50" s="19" t="s">
        <v>289</v>
      </c>
      <c r="U50" s="126" t="e">
        <f>G50/E50</f>
        <v>#VALUE!</v>
      </c>
      <c r="V50" s="18" t="s">
        <v>109</v>
      </c>
    </row>
    <row r="51" spans="1:22" x14ac:dyDescent="0.3">
      <c r="A51" s="7">
        <v>50</v>
      </c>
      <c r="B51" s="6" t="s">
        <v>23</v>
      </c>
      <c r="C51" s="6" t="s">
        <v>2117</v>
      </c>
      <c r="D51" s="6">
        <v>50226054</v>
      </c>
      <c r="E51" s="6">
        <v>300</v>
      </c>
      <c r="F51" s="7">
        <v>88</v>
      </c>
      <c r="G51" s="7">
        <v>73</v>
      </c>
      <c r="H51" s="7" t="s">
        <v>1358</v>
      </c>
      <c r="I51" s="7" t="s">
        <v>109</v>
      </c>
      <c r="J51" s="7" t="s">
        <v>85</v>
      </c>
      <c r="K51" s="11">
        <v>0.7729166666666667</v>
      </c>
      <c r="L51" s="7" t="s">
        <v>109</v>
      </c>
      <c r="M51" s="7" t="s">
        <v>109</v>
      </c>
      <c r="N51" s="6" t="s">
        <v>109</v>
      </c>
      <c r="O51" s="6" t="s">
        <v>61</v>
      </c>
      <c r="P51" s="7" t="s">
        <v>131</v>
      </c>
      <c r="Q51" s="7" t="s">
        <v>66</v>
      </c>
      <c r="R51" s="7" t="s">
        <v>109</v>
      </c>
      <c r="S51" s="7" t="s">
        <v>109</v>
      </c>
      <c r="T51" s="6" t="s">
        <v>289</v>
      </c>
      <c r="U51" s="125">
        <v>0.24333333333333335</v>
      </c>
      <c r="V51" s="7" t="s">
        <v>889</v>
      </c>
    </row>
    <row r="52" spans="1:22" s="124" customFormat="1" x14ac:dyDescent="0.3">
      <c r="A52" s="18">
        <v>51</v>
      </c>
      <c r="B52" s="19" t="s">
        <v>23</v>
      </c>
      <c r="C52" s="19" t="s">
        <v>2199</v>
      </c>
      <c r="D52" s="19">
        <v>50226057</v>
      </c>
      <c r="E52" s="19">
        <v>200</v>
      </c>
      <c r="F52" s="18" t="s">
        <v>109</v>
      </c>
      <c r="G52" s="18" t="s">
        <v>109</v>
      </c>
      <c r="H52" s="18" t="s">
        <v>2200</v>
      </c>
      <c r="I52" s="18" t="s">
        <v>109</v>
      </c>
      <c r="J52" s="18" t="s">
        <v>85</v>
      </c>
      <c r="K52" s="18" t="s">
        <v>109</v>
      </c>
      <c r="L52" s="18" t="s">
        <v>109</v>
      </c>
      <c r="M52" s="18" t="s">
        <v>109</v>
      </c>
      <c r="N52" s="19" t="s">
        <v>109</v>
      </c>
      <c r="O52" s="19" t="s">
        <v>61</v>
      </c>
      <c r="P52" s="18" t="s">
        <v>109</v>
      </c>
      <c r="Q52" s="18" t="s">
        <v>109</v>
      </c>
      <c r="R52" s="18" t="s">
        <v>109</v>
      </c>
      <c r="S52" s="18" t="s">
        <v>109</v>
      </c>
      <c r="T52" s="19" t="s">
        <v>289</v>
      </c>
      <c r="U52" s="126" t="e">
        <f t="shared" ref="U52:U53" si="0">G52/E52</f>
        <v>#VALUE!</v>
      </c>
      <c r="V52" s="18" t="s">
        <v>109</v>
      </c>
    </row>
    <row r="53" spans="1:22" x14ac:dyDescent="0.3">
      <c r="A53" s="7">
        <v>52</v>
      </c>
      <c r="B53" s="6" t="s">
        <v>23</v>
      </c>
      <c r="C53" s="6" t="s">
        <v>1375</v>
      </c>
      <c r="D53" s="6">
        <v>50126345</v>
      </c>
      <c r="E53" s="6">
        <v>150</v>
      </c>
      <c r="F53" s="7" t="s">
        <v>109</v>
      </c>
      <c r="G53" s="7" t="s">
        <v>109</v>
      </c>
      <c r="H53" s="7" t="s">
        <v>294</v>
      </c>
      <c r="I53" s="7" t="s">
        <v>109</v>
      </c>
      <c r="J53" s="18" t="s">
        <v>85</v>
      </c>
      <c r="K53" s="7" t="s">
        <v>109</v>
      </c>
      <c r="L53" s="7" t="s">
        <v>109</v>
      </c>
      <c r="M53" s="7" t="s">
        <v>109</v>
      </c>
      <c r="N53" s="6" t="s">
        <v>109</v>
      </c>
      <c r="O53" s="6" t="s">
        <v>61</v>
      </c>
      <c r="P53" s="7" t="s">
        <v>109</v>
      </c>
      <c r="Q53" s="7" t="s">
        <v>109</v>
      </c>
      <c r="R53" s="7" t="s">
        <v>109</v>
      </c>
      <c r="S53" s="7" t="s">
        <v>109</v>
      </c>
      <c r="T53" s="6" t="s">
        <v>1377</v>
      </c>
      <c r="U53" s="125" t="e">
        <f t="shared" si="0"/>
        <v>#VALUE!</v>
      </c>
      <c r="V53" s="7" t="s">
        <v>109</v>
      </c>
    </row>
    <row r="54" spans="1:22" x14ac:dyDescent="0.3">
      <c r="A54" s="7">
        <v>53</v>
      </c>
      <c r="B54" s="6" t="s">
        <v>23</v>
      </c>
      <c r="C54" s="6" t="s">
        <v>1952</v>
      </c>
      <c r="D54" s="6">
        <v>50226035</v>
      </c>
      <c r="E54" s="6">
        <v>100</v>
      </c>
      <c r="F54" s="7">
        <v>161</v>
      </c>
      <c r="G54" s="7">
        <v>70</v>
      </c>
      <c r="H54" s="7" t="s">
        <v>222</v>
      </c>
      <c r="I54" s="7" t="s">
        <v>109</v>
      </c>
      <c r="J54" s="7" t="s">
        <v>130</v>
      </c>
      <c r="K54" s="11">
        <v>0.77777777777777779</v>
      </c>
      <c r="L54" s="7" t="s">
        <v>109</v>
      </c>
      <c r="M54" s="7" t="s">
        <v>109</v>
      </c>
      <c r="N54" s="6" t="s">
        <v>109</v>
      </c>
      <c r="O54" s="6" t="s">
        <v>61</v>
      </c>
      <c r="P54" s="7" t="s">
        <v>131</v>
      </c>
      <c r="Q54" s="7" t="s">
        <v>222</v>
      </c>
      <c r="R54" s="7" t="s">
        <v>109</v>
      </c>
      <c r="S54" s="7" t="s">
        <v>109</v>
      </c>
      <c r="T54" s="6" t="s">
        <v>351</v>
      </c>
      <c r="U54" s="125">
        <v>0.7</v>
      </c>
      <c r="V54" s="7" t="s">
        <v>2141</v>
      </c>
    </row>
    <row r="55" spans="1:22" x14ac:dyDescent="0.3">
      <c r="A55" s="7">
        <v>54</v>
      </c>
      <c r="B55" s="6" t="s">
        <v>23</v>
      </c>
      <c r="C55" s="6" t="s">
        <v>1962</v>
      </c>
      <c r="D55" s="6">
        <v>50226036</v>
      </c>
      <c r="E55" s="6">
        <v>50</v>
      </c>
      <c r="F55" s="7">
        <v>71</v>
      </c>
      <c r="G55" s="7">
        <v>57</v>
      </c>
      <c r="H55" s="7" t="s">
        <v>82</v>
      </c>
      <c r="I55" s="7" t="s">
        <v>109</v>
      </c>
      <c r="J55" s="7" t="s">
        <v>130</v>
      </c>
      <c r="K55" s="11">
        <v>0.72430555555555554</v>
      </c>
      <c r="L55" s="7" t="s">
        <v>109</v>
      </c>
      <c r="M55" s="7" t="s">
        <v>109</v>
      </c>
      <c r="N55" s="6" t="s">
        <v>109</v>
      </c>
      <c r="O55" s="6" t="s">
        <v>61</v>
      </c>
      <c r="P55" s="7" t="s">
        <v>131</v>
      </c>
      <c r="Q55" s="7" t="s">
        <v>82</v>
      </c>
      <c r="R55" s="7" t="s">
        <v>109</v>
      </c>
      <c r="S55" s="7" t="s">
        <v>109</v>
      </c>
      <c r="T55" s="6" t="s">
        <v>351</v>
      </c>
      <c r="U55" s="125">
        <v>1.1399999999999999</v>
      </c>
      <c r="V55" s="7" t="s">
        <v>1945</v>
      </c>
    </row>
    <row r="56" spans="1:22" x14ac:dyDescent="0.3">
      <c r="A56" s="7">
        <v>55</v>
      </c>
      <c r="B56" s="6" t="s">
        <v>23</v>
      </c>
      <c r="C56" s="6" t="s">
        <v>977</v>
      </c>
      <c r="D56" s="6">
        <v>50126274</v>
      </c>
      <c r="E56" s="6">
        <v>40</v>
      </c>
      <c r="F56" s="7">
        <v>60</v>
      </c>
      <c r="G56" s="7">
        <v>45</v>
      </c>
      <c r="H56" s="7" t="s">
        <v>196</v>
      </c>
      <c r="I56" s="7" t="s">
        <v>109</v>
      </c>
      <c r="J56" s="7" t="s">
        <v>130</v>
      </c>
      <c r="K56" s="11">
        <v>0.77708333333333335</v>
      </c>
      <c r="L56" s="7" t="s">
        <v>109</v>
      </c>
      <c r="M56" s="7" t="s">
        <v>109</v>
      </c>
      <c r="N56" s="6" t="s">
        <v>109</v>
      </c>
      <c r="O56" s="6" t="s">
        <v>61</v>
      </c>
      <c r="P56" s="7" t="s">
        <v>131</v>
      </c>
      <c r="Q56" s="7" t="s">
        <v>196</v>
      </c>
      <c r="R56" s="7" t="s">
        <v>109</v>
      </c>
      <c r="S56" s="7" t="s">
        <v>109</v>
      </c>
      <c r="T56" s="6" t="s">
        <v>334</v>
      </c>
      <c r="U56" s="125">
        <v>1.125</v>
      </c>
      <c r="V56" s="7" t="s">
        <v>1945</v>
      </c>
    </row>
    <row r="57" spans="1:22" x14ac:dyDescent="0.3">
      <c r="A57" s="7">
        <v>56</v>
      </c>
      <c r="B57" s="6" t="s">
        <v>23</v>
      </c>
      <c r="C57" s="6" t="s">
        <v>980</v>
      </c>
      <c r="D57" s="6">
        <v>50126278</v>
      </c>
      <c r="E57" s="6">
        <v>150</v>
      </c>
      <c r="F57" s="7">
        <v>217</v>
      </c>
      <c r="G57" s="7">
        <v>147</v>
      </c>
      <c r="H57" s="7" t="s">
        <v>750</v>
      </c>
      <c r="I57" s="7" t="s">
        <v>109</v>
      </c>
      <c r="J57" s="7" t="s">
        <v>130</v>
      </c>
      <c r="K57" s="11">
        <v>0.86944444444444446</v>
      </c>
      <c r="L57" s="7" t="s">
        <v>109</v>
      </c>
      <c r="M57" s="7" t="s">
        <v>109</v>
      </c>
      <c r="N57" s="6" t="s">
        <v>109</v>
      </c>
      <c r="O57" s="6" t="s">
        <v>61</v>
      </c>
      <c r="P57" s="7" t="s">
        <v>131</v>
      </c>
      <c r="Q57" s="7" t="s">
        <v>87</v>
      </c>
      <c r="R57" s="7" t="s">
        <v>109</v>
      </c>
      <c r="S57" s="7" t="s">
        <v>109</v>
      </c>
      <c r="T57" s="6" t="s">
        <v>334</v>
      </c>
      <c r="U57" s="125">
        <v>0.98</v>
      </c>
      <c r="V57" s="7" t="s">
        <v>1945</v>
      </c>
    </row>
    <row r="58" spans="1:22" x14ac:dyDescent="0.3">
      <c r="A58" s="7">
        <v>57</v>
      </c>
      <c r="B58" s="6" t="s">
        <v>23</v>
      </c>
      <c r="C58" s="6" t="s">
        <v>981</v>
      </c>
      <c r="D58" s="6">
        <v>50126275</v>
      </c>
      <c r="E58" s="6">
        <v>125</v>
      </c>
      <c r="F58" s="7">
        <v>245</v>
      </c>
      <c r="G58" s="7">
        <v>32</v>
      </c>
      <c r="H58" s="7" t="s">
        <v>186</v>
      </c>
      <c r="I58" s="7" t="s">
        <v>109</v>
      </c>
      <c r="J58" s="7" t="s">
        <v>130</v>
      </c>
      <c r="K58" s="11">
        <v>0.88958333333333328</v>
      </c>
      <c r="L58" s="7" t="s">
        <v>109</v>
      </c>
      <c r="M58" s="7" t="s">
        <v>109</v>
      </c>
      <c r="N58" s="6" t="s">
        <v>109</v>
      </c>
      <c r="O58" s="6" t="s">
        <v>61</v>
      </c>
      <c r="P58" s="7" t="s">
        <v>109</v>
      </c>
      <c r="Q58" s="7" t="s">
        <v>109</v>
      </c>
      <c r="R58" s="7" t="s">
        <v>109</v>
      </c>
      <c r="S58" s="7" t="s">
        <v>109</v>
      </c>
      <c r="T58" s="6" t="s">
        <v>334</v>
      </c>
      <c r="U58" s="125">
        <v>0.25600000000000001</v>
      </c>
      <c r="V58" s="7" t="s">
        <v>2141</v>
      </c>
    </row>
    <row r="59" spans="1:22" x14ac:dyDescent="0.3">
      <c r="A59" s="7">
        <v>58</v>
      </c>
      <c r="B59" s="6" t="s">
        <v>23</v>
      </c>
      <c r="C59" s="6" t="s">
        <v>1906</v>
      </c>
      <c r="D59" s="6">
        <v>50226027</v>
      </c>
      <c r="E59" s="6">
        <v>125</v>
      </c>
      <c r="F59" s="7">
        <v>225</v>
      </c>
      <c r="G59" s="7">
        <v>37</v>
      </c>
      <c r="H59" s="7" t="s">
        <v>262</v>
      </c>
      <c r="I59" s="7" t="s">
        <v>294</v>
      </c>
      <c r="J59" s="7" t="s">
        <v>130</v>
      </c>
      <c r="K59" s="11">
        <v>0.79583333333333328</v>
      </c>
      <c r="L59" s="11">
        <v>1.7361111111111112E-2</v>
      </c>
      <c r="M59" s="7" t="s">
        <v>109</v>
      </c>
      <c r="N59" s="6" t="s">
        <v>109</v>
      </c>
      <c r="O59" s="6" t="s">
        <v>61</v>
      </c>
      <c r="P59" s="7" t="s">
        <v>131</v>
      </c>
      <c r="Q59" s="7" t="s">
        <v>209</v>
      </c>
      <c r="R59" s="7" t="s">
        <v>109</v>
      </c>
      <c r="S59" s="7" t="s">
        <v>109</v>
      </c>
      <c r="T59" s="6" t="s">
        <v>480</v>
      </c>
      <c r="U59" s="125">
        <f t="shared" ref="U59:U60" si="1">G59/E59</f>
        <v>0.29599999999999999</v>
      </c>
      <c r="V59" s="7" t="s">
        <v>2141</v>
      </c>
    </row>
    <row r="60" spans="1:22" x14ac:dyDescent="0.3">
      <c r="A60" s="7">
        <v>59</v>
      </c>
      <c r="B60" s="6" t="s">
        <v>23</v>
      </c>
      <c r="C60" s="6" t="s">
        <v>1909</v>
      </c>
      <c r="D60" s="6">
        <v>50226025</v>
      </c>
      <c r="E60" s="10">
        <v>300</v>
      </c>
      <c r="F60" s="7">
        <v>548</v>
      </c>
      <c r="G60" s="7">
        <v>165</v>
      </c>
      <c r="H60" s="7" t="s">
        <v>2201</v>
      </c>
      <c r="I60" s="7" t="s">
        <v>2202</v>
      </c>
      <c r="J60" s="7" t="s">
        <v>130</v>
      </c>
      <c r="K60" s="11">
        <v>0.76249999999999996</v>
      </c>
      <c r="L60" s="7" t="s">
        <v>2217</v>
      </c>
      <c r="M60" s="7" t="s">
        <v>109</v>
      </c>
      <c r="N60" s="6" t="s">
        <v>109</v>
      </c>
      <c r="O60" s="6" t="s">
        <v>61</v>
      </c>
      <c r="P60" s="7" t="s">
        <v>131</v>
      </c>
      <c r="Q60" s="7" t="s">
        <v>90</v>
      </c>
      <c r="R60" s="7" t="s">
        <v>109</v>
      </c>
      <c r="S60" s="7" t="s">
        <v>109</v>
      </c>
      <c r="T60" s="6" t="s">
        <v>480</v>
      </c>
      <c r="U60" s="125">
        <f t="shared" si="1"/>
        <v>0.55000000000000004</v>
      </c>
      <c r="V60" s="7" t="s">
        <v>2141</v>
      </c>
    </row>
    <row r="61" spans="1:22" x14ac:dyDescent="0.3">
      <c r="A61" s="7">
        <v>60</v>
      </c>
      <c r="B61" s="6" t="s">
        <v>23</v>
      </c>
      <c r="C61" s="6" t="s">
        <v>207</v>
      </c>
      <c r="D61" s="6">
        <v>50925079</v>
      </c>
      <c r="E61" s="6">
        <v>10</v>
      </c>
      <c r="F61" s="7">
        <v>21</v>
      </c>
      <c r="G61" s="7">
        <v>14</v>
      </c>
      <c r="H61" s="7" t="s">
        <v>82</v>
      </c>
      <c r="I61" s="7" t="s">
        <v>109</v>
      </c>
      <c r="J61" s="7" t="s">
        <v>130</v>
      </c>
      <c r="K61" s="11">
        <v>0.67083333333333328</v>
      </c>
      <c r="L61" s="7" t="s">
        <v>109</v>
      </c>
      <c r="M61" s="7" t="s">
        <v>109</v>
      </c>
      <c r="N61" s="6" t="s">
        <v>109</v>
      </c>
      <c r="O61" s="6" t="s">
        <v>61</v>
      </c>
      <c r="P61" s="7" t="s">
        <v>131</v>
      </c>
      <c r="Q61" s="7" t="s">
        <v>82</v>
      </c>
      <c r="R61" s="7" t="s">
        <v>109</v>
      </c>
      <c r="S61" s="7" t="s">
        <v>109</v>
      </c>
      <c r="T61" s="6" t="s">
        <v>197</v>
      </c>
      <c r="U61" s="125">
        <v>1.4</v>
      </c>
      <c r="V61" s="7" t="s">
        <v>1945</v>
      </c>
    </row>
    <row r="62" spans="1:22" x14ac:dyDescent="0.3">
      <c r="A62" s="7">
        <v>61</v>
      </c>
      <c r="B62" s="6" t="s">
        <v>23</v>
      </c>
      <c r="C62" s="6" t="s">
        <v>215</v>
      </c>
      <c r="D62" s="6">
        <v>50925077</v>
      </c>
      <c r="E62" s="6">
        <v>60</v>
      </c>
      <c r="F62" s="7" t="s">
        <v>109</v>
      </c>
      <c r="G62" s="7" t="s">
        <v>109</v>
      </c>
      <c r="H62" s="7" t="s">
        <v>70</v>
      </c>
      <c r="I62" s="7" t="s">
        <v>109</v>
      </c>
      <c r="J62" s="7" t="s">
        <v>109</v>
      </c>
      <c r="K62" s="7" t="s">
        <v>109</v>
      </c>
      <c r="L62" s="7" t="s">
        <v>109</v>
      </c>
      <c r="M62" s="7" t="s">
        <v>109</v>
      </c>
      <c r="N62" s="6" t="s">
        <v>109</v>
      </c>
      <c r="O62" s="6" t="s">
        <v>61</v>
      </c>
      <c r="P62" s="7" t="s">
        <v>109</v>
      </c>
      <c r="Q62" s="7" t="s">
        <v>109</v>
      </c>
      <c r="R62" s="7" t="s">
        <v>109</v>
      </c>
      <c r="S62" s="7" t="s">
        <v>109</v>
      </c>
      <c r="T62" s="6" t="s">
        <v>197</v>
      </c>
      <c r="U62" s="125" t="e">
        <f t="shared" ref="U62:U63" si="2">G62/E62</f>
        <v>#VALUE!</v>
      </c>
      <c r="V62" s="7" t="s">
        <v>109</v>
      </c>
    </row>
    <row r="63" spans="1:22" x14ac:dyDescent="0.3">
      <c r="A63" s="7">
        <v>62</v>
      </c>
      <c r="B63" s="6" t="s">
        <v>143</v>
      </c>
      <c r="C63" s="6" t="s">
        <v>2212</v>
      </c>
      <c r="D63" s="6">
        <v>11125079</v>
      </c>
      <c r="E63" s="6">
        <v>30</v>
      </c>
      <c r="F63" s="7">
        <v>28</v>
      </c>
      <c r="G63" s="7">
        <v>20</v>
      </c>
      <c r="H63" s="7" t="s">
        <v>87</v>
      </c>
      <c r="I63" s="7" t="s">
        <v>109</v>
      </c>
      <c r="J63" s="7" t="s">
        <v>130</v>
      </c>
      <c r="K63" s="7" t="s">
        <v>109</v>
      </c>
      <c r="L63" s="11">
        <v>2.9166666666666667E-2</v>
      </c>
      <c r="M63" s="7" t="s">
        <v>109</v>
      </c>
      <c r="N63" s="7" t="s">
        <v>109</v>
      </c>
      <c r="O63" s="7" t="s">
        <v>606</v>
      </c>
      <c r="P63" s="7" t="s">
        <v>131</v>
      </c>
      <c r="Q63" s="7" t="s">
        <v>87</v>
      </c>
      <c r="R63" s="7" t="s">
        <v>109</v>
      </c>
      <c r="S63" s="7" t="s">
        <v>109</v>
      </c>
      <c r="T63" s="7" t="s">
        <v>109</v>
      </c>
      <c r="U63" s="125">
        <f t="shared" si="2"/>
        <v>0.66666666666666663</v>
      </c>
      <c r="V63" s="7" t="s">
        <v>889</v>
      </c>
    </row>
  </sheetData>
  <conditionalFormatting sqref="D1">
    <cfRule type="duplicateValues" dxfId="75" priority="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D1C37-CD3C-4935-8BE3-B207B16F27DD}">
  <sheetPr codeName="Sheet32"/>
  <dimension ref="A1:V82"/>
  <sheetViews>
    <sheetView workbookViewId="0"/>
  </sheetViews>
  <sheetFormatPr defaultRowHeight="14.4" x14ac:dyDescent="0.3"/>
  <cols>
    <col min="1" max="1" width="7.5546875" bestFit="1" customWidth="1"/>
    <col min="2" max="2" width="13.109375" bestFit="1" customWidth="1"/>
    <col min="3" max="3" width="111.21875" bestFit="1" customWidth="1"/>
    <col min="4" max="4" width="14.88671875" bestFit="1" customWidth="1"/>
    <col min="5" max="5" width="18.33203125" bestFit="1" customWidth="1"/>
    <col min="6" max="6" width="19.5546875" bestFit="1" customWidth="1"/>
    <col min="7" max="7" width="13" bestFit="1" customWidth="1"/>
    <col min="8" max="8" width="52.88671875" bestFit="1" customWidth="1"/>
    <col min="9" max="9" width="38.6640625" bestFit="1" customWidth="1"/>
    <col min="10" max="10" width="10.6640625" bestFit="1" customWidth="1"/>
    <col min="11" max="12" width="20.6640625" bestFit="1" customWidth="1"/>
    <col min="13" max="13" width="8.33203125" bestFit="1" customWidth="1"/>
    <col min="14" max="14" width="42.88671875" bestFit="1" customWidth="1"/>
    <col min="15" max="15" width="11.21875" bestFit="1" customWidth="1"/>
    <col min="16" max="16" width="18.77734375" bestFit="1" customWidth="1"/>
    <col min="17" max="17" width="16.21875" bestFit="1" customWidth="1"/>
    <col min="18" max="18" width="18.77734375" bestFit="1" customWidth="1"/>
    <col min="19" max="19" width="16.33203125" bestFit="1" customWidth="1"/>
    <col min="20" max="20" width="16.77734375" bestFit="1" customWidth="1"/>
    <col min="21" max="21" width="41.88671875" bestFit="1" customWidth="1"/>
    <col min="22" max="22" width="19.5546875" bestFit="1" customWidth="1"/>
  </cols>
  <sheetData>
    <row r="1" spans="1:22" x14ac:dyDescent="0.3">
      <c r="A1" s="1" t="s">
        <v>0</v>
      </c>
      <c r="B1" s="1" t="s">
        <v>1</v>
      </c>
      <c r="C1" s="1" t="s">
        <v>2</v>
      </c>
      <c r="D1" s="1" t="s">
        <v>3</v>
      </c>
      <c r="E1" s="1" t="s">
        <v>4</v>
      </c>
      <c r="F1" s="1" t="s">
        <v>5</v>
      </c>
      <c r="G1" s="1" t="s">
        <v>6</v>
      </c>
      <c r="H1" s="1" t="s">
        <v>7</v>
      </c>
      <c r="I1" s="1" t="s">
        <v>8</v>
      </c>
      <c r="J1" s="1" t="s">
        <v>9</v>
      </c>
      <c r="K1" s="2" t="s">
        <v>2218</v>
      </c>
      <c r="L1" s="2" t="s">
        <v>2219</v>
      </c>
      <c r="M1" s="3" t="s">
        <v>12</v>
      </c>
      <c r="N1" s="4" t="s">
        <v>13</v>
      </c>
      <c r="O1" s="1" t="s">
        <v>14</v>
      </c>
      <c r="P1" s="1" t="s">
        <v>15</v>
      </c>
      <c r="Q1" s="1" t="s">
        <v>16</v>
      </c>
      <c r="R1" s="1" t="s">
        <v>17</v>
      </c>
      <c r="S1" s="127" t="s">
        <v>2220</v>
      </c>
      <c r="T1" s="1" t="s">
        <v>19</v>
      </c>
      <c r="U1" s="1" t="s">
        <v>20</v>
      </c>
      <c r="V1" s="1" t="s">
        <v>21</v>
      </c>
    </row>
    <row r="2" spans="1:22" x14ac:dyDescent="0.3">
      <c r="A2" s="7">
        <v>1</v>
      </c>
      <c r="B2" s="6" t="s">
        <v>26</v>
      </c>
      <c r="C2" s="6" t="s">
        <v>1388</v>
      </c>
      <c r="D2" s="6">
        <v>40126024</v>
      </c>
      <c r="E2" s="6">
        <v>334</v>
      </c>
      <c r="F2" s="7">
        <v>585</v>
      </c>
      <c r="G2" s="7">
        <v>224</v>
      </c>
      <c r="H2" s="6" t="s">
        <v>2221</v>
      </c>
      <c r="I2" s="6" t="s">
        <v>2222</v>
      </c>
      <c r="J2" s="6" t="s">
        <v>130</v>
      </c>
      <c r="K2" s="11">
        <v>0.75138888888888888</v>
      </c>
      <c r="L2" s="11">
        <v>0.81736111111111109</v>
      </c>
      <c r="M2" s="7" t="s">
        <v>109</v>
      </c>
      <c r="N2" s="6" t="s">
        <v>2223</v>
      </c>
      <c r="O2" s="6" t="s">
        <v>61</v>
      </c>
      <c r="P2" s="7" t="s">
        <v>131</v>
      </c>
      <c r="Q2" s="7" t="s">
        <v>94</v>
      </c>
      <c r="R2" s="6" t="s">
        <v>62</v>
      </c>
      <c r="S2" s="7" t="s">
        <v>123</v>
      </c>
      <c r="T2" s="6" t="s">
        <v>121</v>
      </c>
      <c r="U2" s="125">
        <f>G2/E2</f>
        <v>0.6706586826347305</v>
      </c>
      <c r="V2" s="7" t="s">
        <v>2141</v>
      </c>
    </row>
    <row r="3" spans="1:22" x14ac:dyDescent="0.3">
      <c r="A3" s="7">
        <v>2</v>
      </c>
      <c r="B3" s="6" t="s">
        <v>26</v>
      </c>
      <c r="C3" s="6" t="s">
        <v>1389</v>
      </c>
      <c r="D3" s="6">
        <v>40126028</v>
      </c>
      <c r="E3" s="6">
        <v>422</v>
      </c>
      <c r="F3" s="7">
        <v>704</v>
      </c>
      <c r="G3" s="7">
        <v>354</v>
      </c>
      <c r="H3" s="6" t="s">
        <v>2224</v>
      </c>
      <c r="I3" s="6" t="s">
        <v>2225</v>
      </c>
      <c r="J3" s="6" t="s">
        <v>130</v>
      </c>
      <c r="K3" s="11">
        <v>0.81111111111111112</v>
      </c>
      <c r="L3" s="11">
        <v>0.96875</v>
      </c>
      <c r="M3" s="7" t="s">
        <v>109</v>
      </c>
      <c r="N3" s="6" t="s">
        <v>2223</v>
      </c>
      <c r="O3" s="6" t="s">
        <v>61</v>
      </c>
      <c r="P3" s="7" t="s">
        <v>131</v>
      </c>
      <c r="Q3" s="7" t="s">
        <v>94</v>
      </c>
      <c r="R3" s="6" t="s">
        <v>62</v>
      </c>
      <c r="S3" s="7" t="s">
        <v>123</v>
      </c>
      <c r="T3" s="6" t="s">
        <v>121</v>
      </c>
      <c r="U3" s="125">
        <f t="shared" ref="U3:U66" si="0">G3/E3</f>
        <v>0.83886255924170616</v>
      </c>
      <c r="V3" s="7" t="s">
        <v>2141</v>
      </c>
    </row>
    <row r="4" spans="1:22" x14ac:dyDescent="0.3">
      <c r="A4" s="7">
        <v>3</v>
      </c>
      <c r="B4" s="6" t="s">
        <v>26</v>
      </c>
      <c r="C4" s="6" t="s">
        <v>1778</v>
      </c>
      <c r="D4" s="6">
        <v>40226001</v>
      </c>
      <c r="E4" s="6">
        <v>355</v>
      </c>
      <c r="F4" s="7">
        <v>460</v>
      </c>
      <c r="G4" s="7">
        <v>43</v>
      </c>
      <c r="H4" s="10" t="s">
        <v>2226</v>
      </c>
      <c r="I4" s="10" t="s">
        <v>1682</v>
      </c>
      <c r="J4" s="6" t="s">
        <v>130</v>
      </c>
      <c r="K4" s="11">
        <v>0.75277777777777777</v>
      </c>
      <c r="L4" s="11">
        <v>0.77986111111111112</v>
      </c>
      <c r="M4" s="7" t="s">
        <v>109</v>
      </c>
      <c r="N4" s="6" t="s">
        <v>2223</v>
      </c>
      <c r="O4" s="6" t="s">
        <v>61</v>
      </c>
      <c r="P4" s="7" t="s">
        <v>131</v>
      </c>
      <c r="Q4" s="7" t="s">
        <v>154</v>
      </c>
      <c r="R4" s="6" t="s">
        <v>62</v>
      </c>
      <c r="S4" s="7" t="s">
        <v>123</v>
      </c>
      <c r="T4" s="6" t="s">
        <v>121</v>
      </c>
      <c r="U4" s="125">
        <f t="shared" si="0"/>
        <v>0.12112676056338029</v>
      </c>
      <c r="V4" s="7" t="s">
        <v>2146</v>
      </c>
    </row>
    <row r="5" spans="1:22" x14ac:dyDescent="0.3">
      <c r="A5" s="7">
        <v>4</v>
      </c>
      <c r="B5" s="6" t="s">
        <v>26</v>
      </c>
      <c r="C5" s="6" t="s">
        <v>1391</v>
      </c>
      <c r="D5" s="6">
        <v>40126023</v>
      </c>
      <c r="E5" s="6">
        <v>199</v>
      </c>
      <c r="F5" s="7">
        <v>263</v>
      </c>
      <c r="G5" s="7">
        <v>44</v>
      </c>
      <c r="H5" s="10" t="s">
        <v>2227</v>
      </c>
      <c r="I5" s="6" t="s">
        <v>1446</v>
      </c>
      <c r="J5" s="6" t="s">
        <v>130</v>
      </c>
      <c r="K5" s="11">
        <v>0.8666666666666667</v>
      </c>
      <c r="L5" s="11">
        <v>0.91666666666666663</v>
      </c>
      <c r="M5" s="7" t="s">
        <v>109</v>
      </c>
      <c r="N5" s="6" t="s">
        <v>2223</v>
      </c>
      <c r="O5" s="6" t="s">
        <v>61</v>
      </c>
      <c r="P5" s="7" t="s">
        <v>131</v>
      </c>
      <c r="Q5" s="7" t="s">
        <v>86</v>
      </c>
      <c r="R5" s="6" t="s">
        <v>62</v>
      </c>
      <c r="S5" s="7" t="s">
        <v>123</v>
      </c>
      <c r="T5" s="6" t="s">
        <v>121</v>
      </c>
      <c r="U5" s="125">
        <f t="shared" si="0"/>
        <v>0.22110552763819097</v>
      </c>
      <c r="V5" s="7" t="s">
        <v>2146</v>
      </c>
    </row>
    <row r="6" spans="1:22" x14ac:dyDescent="0.3">
      <c r="A6" s="7">
        <v>5</v>
      </c>
      <c r="B6" s="6" t="s">
        <v>23</v>
      </c>
      <c r="C6" s="6" t="s">
        <v>2178</v>
      </c>
      <c r="D6" s="6">
        <v>50226073</v>
      </c>
      <c r="E6" s="6">
        <v>700</v>
      </c>
      <c r="F6" s="7">
        <v>597</v>
      </c>
      <c r="G6" s="7">
        <v>501</v>
      </c>
      <c r="H6" s="6" t="s">
        <v>2228</v>
      </c>
      <c r="I6" s="6" t="s">
        <v>109</v>
      </c>
      <c r="J6" s="6" t="s">
        <v>130</v>
      </c>
      <c r="K6" s="11" t="s">
        <v>109</v>
      </c>
      <c r="L6" s="11">
        <v>0.71597222222222223</v>
      </c>
      <c r="M6" s="7" t="s">
        <v>109</v>
      </c>
      <c r="N6" s="10" t="s">
        <v>110</v>
      </c>
      <c r="O6" s="6" t="s">
        <v>61</v>
      </c>
      <c r="P6" s="7" t="s">
        <v>131</v>
      </c>
      <c r="Q6" s="7" t="s">
        <v>64</v>
      </c>
      <c r="R6" s="6" t="s">
        <v>62</v>
      </c>
      <c r="S6" s="7" t="s">
        <v>512</v>
      </c>
      <c r="T6" s="6" t="s">
        <v>424</v>
      </c>
      <c r="U6" s="125">
        <f t="shared" si="0"/>
        <v>0.71571428571428575</v>
      </c>
      <c r="V6" s="7" t="s">
        <v>1945</v>
      </c>
    </row>
    <row r="7" spans="1:22" x14ac:dyDescent="0.3">
      <c r="A7" s="7">
        <v>6</v>
      </c>
      <c r="B7" s="6" t="s">
        <v>23</v>
      </c>
      <c r="C7" s="6" t="s">
        <v>1664</v>
      </c>
      <c r="D7" s="6">
        <v>50126367</v>
      </c>
      <c r="E7" s="6">
        <v>550</v>
      </c>
      <c r="F7" s="7">
        <v>896</v>
      </c>
      <c r="G7" s="7">
        <v>560</v>
      </c>
      <c r="H7" s="6" t="s">
        <v>2229</v>
      </c>
      <c r="I7" s="6" t="s">
        <v>109</v>
      </c>
      <c r="J7" s="6" t="s">
        <v>130</v>
      </c>
      <c r="K7" s="11" t="s">
        <v>109</v>
      </c>
      <c r="L7" s="11">
        <v>0.78888888888888886</v>
      </c>
      <c r="M7" s="7" t="s">
        <v>109</v>
      </c>
      <c r="N7" s="10" t="s">
        <v>110</v>
      </c>
      <c r="O7" s="6" t="s">
        <v>61</v>
      </c>
      <c r="P7" s="7" t="s">
        <v>131</v>
      </c>
      <c r="Q7" s="7" t="s">
        <v>91</v>
      </c>
      <c r="R7" s="6" t="s">
        <v>62</v>
      </c>
      <c r="S7" s="7" t="s">
        <v>512</v>
      </c>
      <c r="T7" s="6" t="s">
        <v>424</v>
      </c>
      <c r="U7" s="125">
        <f t="shared" si="0"/>
        <v>1.0181818181818181</v>
      </c>
      <c r="V7" s="7" t="s">
        <v>1945</v>
      </c>
    </row>
    <row r="8" spans="1:22" x14ac:dyDescent="0.3">
      <c r="A8" s="7">
        <v>7</v>
      </c>
      <c r="B8" s="6" t="s">
        <v>23</v>
      </c>
      <c r="C8" s="6" t="s">
        <v>1913</v>
      </c>
      <c r="D8" s="6">
        <v>50226029</v>
      </c>
      <c r="E8" s="6">
        <v>480</v>
      </c>
      <c r="F8" s="7">
        <v>903</v>
      </c>
      <c r="G8" s="7">
        <v>492</v>
      </c>
      <c r="H8" s="6" t="s">
        <v>2230</v>
      </c>
      <c r="I8" s="6" t="s">
        <v>109</v>
      </c>
      <c r="J8" s="6" t="s">
        <v>130</v>
      </c>
      <c r="K8" s="11" t="s">
        <v>109</v>
      </c>
      <c r="L8" s="11">
        <v>0.91319444444444442</v>
      </c>
      <c r="M8" s="7" t="s">
        <v>109</v>
      </c>
      <c r="N8" s="10" t="s">
        <v>2231</v>
      </c>
      <c r="O8" s="6" t="s">
        <v>61</v>
      </c>
      <c r="P8" s="7" t="s">
        <v>131</v>
      </c>
      <c r="Q8" s="7" t="s">
        <v>154</v>
      </c>
      <c r="R8" s="6" t="s">
        <v>62</v>
      </c>
      <c r="S8" s="7" t="s">
        <v>512</v>
      </c>
      <c r="T8" s="6" t="s">
        <v>424</v>
      </c>
      <c r="U8" s="125">
        <f t="shared" si="0"/>
        <v>1.0249999999999999</v>
      </c>
      <c r="V8" s="7" t="s">
        <v>1945</v>
      </c>
    </row>
    <row r="9" spans="1:22" x14ac:dyDescent="0.3">
      <c r="A9" s="7">
        <v>8</v>
      </c>
      <c r="B9" s="6" t="s">
        <v>23</v>
      </c>
      <c r="C9" s="6" t="s">
        <v>1919</v>
      </c>
      <c r="D9" s="6">
        <v>50226021</v>
      </c>
      <c r="E9" s="6">
        <v>800</v>
      </c>
      <c r="F9" s="7" t="s">
        <v>109</v>
      </c>
      <c r="G9" s="7" t="s">
        <v>109</v>
      </c>
      <c r="H9" s="6" t="s">
        <v>2232</v>
      </c>
      <c r="I9" s="6" t="s">
        <v>109</v>
      </c>
      <c r="J9" s="6" t="s">
        <v>109</v>
      </c>
      <c r="K9" s="11" t="s">
        <v>109</v>
      </c>
      <c r="L9" s="11" t="s">
        <v>109</v>
      </c>
      <c r="M9" s="7" t="s">
        <v>109</v>
      </c>
      <c r="N9" s="6" t="s">
        <v>109</v>
      </c>
      <c r="O9" s="6" t="s">
        <v>61</v>
      </c>
      <c r="P9" s="7" t="s">
        <v>109</v>
      </c>
      <c r="Q9" s="7" t="s">
        <v>109</v>
      </c>
      <c r="R9" s="6" t="s">
        <v>62</v>
      </c>
      <c r="S9" s="7" t="s">
        <v>512</v>
      </c>
      <c r="T9" s="6" t="s">
        <v>424</v>
      </c>
      <c r="U9" s="125" t="e">
        <f t="shared" si="0"/>
        <v>#VALUE!</v>
      </c>
      <c r="V9" s="7" t="s">
        <v>109</v>
      </c>
    </row>
    <row r="10" spans="1:22" x14ac:dyDescent="0.3">
      <c r="A10" s="7">
        <v>9</v>
      </c>
      <c r="B10" s="6" t="s">
        <v>23</v>
      </c>
      <c r="C10" s="6" t="s">
        <v>940</v>
      </c>
      <c r="D10" s="6">
        <v>50126249</v>
      </c>
      <c r="E10" s="6">
        <v>400</v>
      </c>
      <c r="F10" s="7">
        <v>579</v>
      </c>
      <c r="G10" s="7">
        <v>379</v>
      </c>
      <c r="H10" s="6" t="s">
        <v>2233</v>
      </c>
      <c r="I10" s="6" t="s">
        <v>109</v>
      </c>
      <c r="J10" s="6" t="s">
        <v>130</v>
      </c>
      <c r="K10" s="11" t="s">
        <v>109</v>
      </c>
      <c r="L10" s="11">
        <v>1.6666666666666666E-2</v>
      </c>
      <c r="M10" s="7" t="s">
        <v>109</v>
      </c>
      <c r="N10" s="6" t="s">
        <v>109</v>
      </c>
      <c r="O10" s="6" t="s">
        <v>61</v>
      </c>
      <c r="P10" s="7" t="s">
        <v>131</v>
      </c>
      <c r="Q10" s="7" t="s">
        <v>94</v>
      </c>
      <c r="R10" s="6" t="s">
        <v>62</v>
      </c>
      <c r="S10" s="7" t="s">
        <v>512</v>
      </c>
      <c r="T10" s="6" t="s">
        <v>424</v>
      </c>
      <c r="U10" s="125">
        <f t="shared" si="0"/>
        <v>0.94750000000000001</v>
      </c>
      <c r="V10" s="7" t="s">
        <v>1945</v>
      </c>
    </row>
    <row r="11" spans="1:22" x14ac:dyDescent="0.3">
      <c r="A11" s="7">
        <v>10</v>
      </c>
      <c r="B11" s="6" t="s">
        <v>23</v>
      </c>
      <c r="C11" s="6" t="s">
        <v>1062</v>
      </c>
      <c r="D11" s="6">
        <v>50126304</v>
      </c>
      <c r="E11" s="6">
        <v>80</v>
      </c>
      <c r="F11" s="7">
        <v>152</v>
      </c>
      <c r="G11" s="7">
        <v>13</v>
      </c>
      <c r="H11" s="6" t="s">
        <v>64</v>
      </c>
      <c r="I11" s="6" t="s">
        <v>109</v>
      </c>
      <c r="J11" s="6" t="s">
        <v>130</v>
      </c>
      <c r="K11" s="11" t="s">
        <v>109</v>
      </c>
      <c r="L11" s="11">
        <v>0.82013888888888886</v>
      </c>
      <c r="M11" s="7" t="s">
        <v>109</v>
      </c>
      <c r="N11" s="6" t="s">
        <v>109</v>
      </c>
      <c r="O11" s="6" t="s">
        <v>61</v>
      </c>
      <c r="P11" s="7" t="s">
        <v>131</v>
      </c>
      <c r="Q11" s="7" t="s">
        <v>64</v>
      </c>
      <c r="R11" s="6" t="s">
        <v>62</v>
      </c>
      <c r="S11" s="7" t="s">
        <v>1266</v>
      </c>
      <c r="T11" s="6" t="s">
        <v>1063</v>
      </c>
      <c r="U11" s="125">
        <f t="shared" si="0"/>
        <v>0.16250000000000001</v>
      </c>
      <c r="V11" s="7" t="s">
        <v>2141</v>
      </c>
    </row>
    <row r="12" spans="1:22" x14ac:dyDescent="0.3">
      <c r="A12" s="7">
        <v>11</v>
      </c>
      <c r="B12" s="6" t="s">
        <v>23</v>
      </c>
      <c r="C12" s="6" t="s">
        <v>1064</v>
      </c>
      <c r="D12" s="6">
        <v>50126306</v>
      </c>
      <c r="E12" s="6">
        <v>80</v>
      </c>
      <c r="F12" s="7">
        <v>165</v>
      </c>
      <c r="G12" s="7">
        <v>42</v>
      </c>
      <c r="H12" s="6" t="s">
        <v>69</v>
      </c>
      <c r="I12" s="6" t="s">
        <v>109</v>
      </c>
      <c r="J12" s="6" t="s">
        <v>130</v>
      </c>
      <c r="K12" s="11" t="s">
        <v>109</v>
      </c>
      <c r="L12" s="11">
        <v>0.78263888888888888</v>
      </c>
      <c r="M12" s="7" t="s">
        <v>109</v>
      </c>
      <c r="N12" s="6" t="s">
        <v>109</v>
      </c>
      <c r="O12" s="6" t="s">
        <v>61</v>
      </c>
      <c r="P12" s="7" t="s">
        <v>131</v>
      </c>
      <c r="Q12" s="7" t="s">
        <v>69</v>
      </c>
      <c r="R12" s="6" t="s">
        <v>62</v>
      </c>
      <c r="S12" s="7" t="s">
        <v>1266</v>
      </c>
      <c r="T12" s="6" t="s">
        <v>1063</v>
      </c>
      <c r="U12" s="125">
        <f t="shared" si="0"/>
        <v>0.52500000000000002</v>
      </c>
      <c r="V12" s="7" t="s">
        <v>2141</v>
      </c>
    </row>
    <row r="13" spans="1:22" x14ac:dyDescent="0.3">
      <c r="A13" s="7">
        <v>12</v>
      </c>
      <c r="B13" s="6" t="s">
        <v>23</v>
      </c>
      <c r="C13" s="6" t="s">
        <v>1065</v>
      </c>
      <c r="D13" s="6">
        <v>50126305</v>
      </c>
      <c r="E13" s="6">
        <v>80</v>
      </c>
      <c r="F13" s="7">
        <v>99</v>
      </c>
      <c r="G13" s="7">
        <v>26</v>
      </c>
      <c r="H13" s="6" t="s">
        <v>84</v>
      </c>
      <c r="I13" s="6" t="s">
        <v>109</v>
      </c>
      <c r="J13" s="6" t="s">
        <v>130</v>
      </c>
      <c r="K13" s="11" t="s">
        <v>109</v>
      </c>
      <c r="L13" s="11">
        <v>4.0972222222222222E-2</v>
      </c>
      <c r="M13" s="7" t="s">
        <v>109</v>
      </c>
      <c r="N13" s="6" t="s">
        <v>109</v>
      </c>
      <c r="O13" s="6" t="s">
        <v>61</v>
      </c>
      <c r="P13" s="7" t="s">
        <v>131</v>
      </c>
      <c r="Q13" s="7" t="s">
        <v>84</v>
      </c>
      <c r="R13" s="6" t="s">
        <v>62</v>
      </c>
      <c r="S13" s="7" t="s">
        <v>1266</v>
      </c>
      <c r="T13" s="6" t="s">
        <v>1063</v>
      </c>
      <c r="U13" s="125">
        <f t="shared" si="0"/>
        <v>0.32500000000000001</v>
      </c>
      <c r="V13" s="7" t="s">
        <v>2146</v>
      </c>
    </row>
    <row r="14" spans="1:22" x14ac:dyDescent="0.3">
      <c r="A14" s="7">
        <v>13</v>
      </c>
      <c r="B14" s="6" t="s">
        <v>23</v>
      </c>
      <c r="C14" s="6" t="s">
        <v>1095</v>
      </c>
      <c r="D14" s="6">
        <v>50126318</v>
      </c>
      <c r="E14" s="6">
        <v>60</v>
      </c>
      <c r="F14" s="7">
        <v>122</v>
      </c>
      <c r="G14" s="7">
        <v>40</v>
      </c>
      <c r="H14" s="6" t="s">
        <v>83</v>
      </c>
      <c r="I14" s="6" t="s">
        <v>109</v>
      </c>
      <c r="J14" s="6" t="s">
        <v>130</v>
      </c>
      <c r="K14" s="11" t="s">
        <v>109</v>
      </c>
      <c r="L14" s="11">
        <v>0.71666666666666667</v>
      </c>
      <c r="M14" s="7" t="s">
        <v>109</v>
      </c>
      <c r="N14" s="6" t="s">
        <v>109</v>
      </c>
      <c r="O14" s="6" t="s">
        <v>61</v>
      </c>
      <c r="P14" s="7" t="s">
        <v>131</v>
      </c>
      <c r="Q14" s="7" t="s">
        <v>83</v>
      </c>
      <c r="R14" s="6" t="s">
        <v>62</v>
      </c>
      <c r="S14" s="7" t="s">
        <v>1266</v>
      </c>
      <c r="T14" s="6" t="s">
        <v>1096</v>
      </c>
      <c r="U14" s="125">
        <f t="shared" si="0"/>
        <v>0.66666666666666663</v>
      </c>
      <c r="V14" s="7" t="s">
        <v>2141</v>
      </c>
    </row>
    <row r="15" spans="1:22" x14ac:dyDescent="0.3">
      <c r="A15" s="7">
        <v>14</v>
      </c>
      <c r="B15" s="6" t="s">
        <v>23</v>
      </c>
      <c r="C15" s="6" t="s">
        <v>138</v>
      </c>
      <c r="D15" s="6">
        <v>51225034</v>
      </c>
      <c r="E15" s="6">
        <v>30</v>
      </c>
      <c r="F15" s="7">
        <v>64</v>
      </c>
      <c r="G15" s="7">
        <v>25</v>
      </c>
      <c r="H15" s="6" t="s">
        <v>274</v>
      </c>
      <c r="I15" s="6" t="s">
        <v>109</v>
      </c>
      <c r="J15" s="6" t="s">
        <v>130</v>
      </c>
      <c r="K15" s="11" t="s">
        <v>109</v>
      </c>
      <c r="L15" s="11">
        <v>2.1527777777777778E-2</v>
      </c>
      <c r="M15" s="7" t="s">
        <v>109</v>
      </c>
      <c r="N15" s="6" t="s">
        <v>109</v>
      </c>
      <c r="O15" s="6" t="s">
        <v>61</v>
      </c>
      <c r="P15" s="7" t="s">
        <v>131</v>
      </c>
      <c r="Q15" s="7" t="s">
        <v>274</v>
      </c>
      <c r="R15" s="6" t="s">
        <v>62</v>
      </c>
      <c r="S15" s="7" t="s">
        <v>1266</v>
      </c>
      <c r="T15" s="6" t="s">
        <v>142</v>
      </c>
      <c r="U15" s="125">
        <f t="shared" si="0"/>
        <v>0.83333333333333337</v>
      </c>
      <c r="V15" s="7" t="s">
        <v>2141</v>
      </c>
    </row>
    <row r="16" spans="1:22" x14ac:dyDescent="0.3">
      <c r="A16" s="7">
        <v>15</v>
      </c>
      <c r="B16" s="6" t="s">
        <v>23</v>
      </c>
      <c r="C16" s="6" t="s">
        <v>140</v>
      </c>
      <c r="D16" s="6">
        <v>51225035</v>
      </c>
      <c r="E16" s="6">
        <v>40</v>
      </c>
      <c r="F16" s="7">
        <v>123</v>
      </c>
      <c r="G16" s="7">
        <v>10</v>
      </c>
      <c r="H16" s="6" t="s">
        <v>200</v>
      </c>
      <c r="I16" s="6" t="s">
        <v>86</v>
      </c>
      <c r="J16" s="6" t="s">
        <v>130</v>
      </c>
      <c r="K16" s="11">
        <v>0.9770833333333333</v>
      </c>
      <c r="L16" s="11">
        <v>1.3888888888888889E-3</v>
      </c>
      <c r="M16" s="7" t="s">
        <v>109</v>
      </c>
      <c r="N16" s="6" t="s">
        <v>109</v>
      </c>
      <c r="O16" s="6" t="s">
        <v>61</v>
      </c>
      <c r="P16" s="7" t="s">
        <v>131</v>
      </c>
      <c r="Q16" s="7" t="s">
        <v>86</v>
      </c>
      <c r="R16" s="6" t="s">
        <v>62</v>
      </c>
      <c r="S16" s="7" t="s">
        <v>1266</v>
      </c>
      <c r="T16" s="6" t="s">
        <v>142</v>
      </c>
      <c r="U16" s="125">
        <f t="shared" si="0"/>
        <v>0.25</v>
      </c>
      <c r="V16" s="7" t="s">
        <v>291</v>
      </c>
    </row>
    <row r="17" spans="1:22" x14ac:dyDescent="0.3">
      <c r="A17" s="7">
        <v>16</v>
      </c>
      <c r="B17" s="6" t="s">
        <v>23</v>
      </c>
      <c r="C17" s="6" t="s">
        <v>479</v>
      </c>
      <c r="D17" s="6">
        <v>50126013</v>
      </c>
      <c r="E17" s="6">
        <v>70</v>
      </c>
      <c r="F17" s="7">
        <v>114</v>
      </c>
      <c r="G17" s="7">
        <v>61</v>
      </c>
      <c r="H17" s="6" t="s">
        <v>82</v>
      </c>
      <c r="I17" s="6" t="s">
        <v>95</v>
      </c>
      <c r="J17" s="15" t="s">
        <v>130</v>
      </c>
      <c r="K17" s="15">
        <v>0.95486111111111116</v>
      </c>
      <c r="L17" s="11">
        <v>0.95902777777777781</v>
      </c>
      <c r="M17" s="7" t="s">
        <v>109</v>
      </c>
      <c r="N17" s="6" t="s">
        <v>109</v>
      </c>
      <c r="O17" s="6" t="s">
        <v>61</v>
      </c>
      <c r="P17" s="7" t="s">
        <v>131</v>
      </c>
      <c r="Q17" s="7" t="s">
        <v>95</v>
      </c>
      <c r="R17" s="6" t="s">
        <v>62</v>
      </c>
      <c r="S17" s="7" t="s">
        <v>1266</v>
      </c>
      <c r="T17" s="6" t="s">
        <v>480</v>
      </c>
      <c r="U17" s="125">
        <f t="shared" si="0"/>
        <v>0.87142857142857144</v>
      </c>
      <c r="V17" s="7" t="s">
        <v>1945</v>
      </c>
    </row>
    <row r="18" spans="1:22" x14ac:dyDescent="0.3">
      <c r="A18" s="7">
        <v>17</v>
      </c>
      <c r="B18" s="6" t="s">
        <v>23</v>
      </c>
      <c r="C18" s="6" t="s">
        <v>280</v>
      </c>
      <c r="D18" s="6">
        <v>51125192</v>
      </c>
      <c r="E18" s="6">
        <v>40</v>
      </c>
      <c r="F18" s="7">
        <v>82</v>
      </c>
      <c r="G18" s="7">
        <v>12</v>
      </c>
      <c r="H18" s="6" t="s">
        <v>91</v>
      </c>
      <c r="I18" s="6" t="s">
        <v>109</v>
      </c>
      <c r="J18" s="6" t="s">
        <v>130</v>
      </c>
      <c r="K18" s="11" t="s">
        <v>109</v>
      </c>
      <c r="L18" s="11">
        <v>6.9444444444444447E-4</v>
      </c>
      <c r="M18" s="7" t="s">
        <v>109</v>
      </c>
      <c r="N18" s="6" t="s">
        <v>109</v>
      </c>
      <c r="O18" s="6" t="s">
        <v>61</v>
      </c>
      <c r="P18" s="7" t="s">
        <v>131</v>
      </c>
      <c r="Q18" s="7" t="s">
        <v>91</v>
      </c>
      <c r="R18" s="6" t="s">
        <v>62</v>
      </c>
      <c r="S18" s="7" t="s">
        <v>1266</v>
      </c>
      <c r="T18" s="6" t="s">
        <v>278</v>
      </c>
      <c r="U18" s="125">
        <f t="shared" si="0"/>
        <v>0.3</v>
      </c>
      <c r="V18" s="7" t="s">
        <v>2141</v>
      </c>
    </row>
    <row r="19" spans="1:22" x14ac:dyDescent="0.3">
      <c r="A19" s="7">
        <v>18</v>
      </c>
      <c r="B19" s="6" t="s">
        <v>23</v>
      </c>
      <c r="C19" s="6" t="s">
        <v>1735</v>
      </c>
      <c r="D19" s="6">
        <v>50126404</v>
      </c>
      <c r="E19" s="6">
        <v>60</v>
      </c>
      <c r="F19" s="7">
        <v>23</v>
      </c>
      <c r="G19" s="7">
        <v>3</v>
      </c>
      <c r="H19" s="6" t="s">
        <v>66</v>
      </c>
      <c r="I19" s="6" t="s">
        <v>109</v>
      </c>
      <c r="J19" s="6" t="s">
        <v>130</v>
      </c>
      <c r="K19" s="11" t="s">
        <v>109</v>
      </c>
      <c r="L19" s="11">
        <v>4.1666666666666666E-3</v>
      </c>
      <c r="M19" s="7" t="s">
        <v>109</v>
      </c>
      <c r="N19" s="6" t="s">
        <v>109</v>
      </c>
      <c r="O19" s="6" t="s">
        <v>61</v>
      </c>
      <c r="P19" s="7" t="s">
        <v>131</v>
      </c>
      <c r="Q19" s="7" t="s">
        <v>66</v>
      </c>
      <c r="R19" s="6" t="s">
        <v>62</v>
      </c>
      <c r="S19" s="7" t="s">
        <v>1266</v>
      </c>
      <c r="T19" s="6" t="s">
        <v>278</v>
      </c>
      <c r="U19" s="125">
        <f t="shared" si="0"/>
        <v>0.05</v>
      </c>
      <c r="V19" s="7" t="s">
        <v>291</v>
      </c>
    </row>
    <row r="20" spans="1:22" x14ac:dyDescent="0.3">
      <c r="A20" s="7">
        <v>19</v>
      </c>
      <c r="B20" s="6" t="s">
        <v>23</v>
      </c>
      <c r="C20" s="6" t="s">
        <v>1839</v>
      </c>
      <c r="D20" s="6">
        <v>50226015</v>
      </c>
      <c r="E20" s="6">
        <v>50</v>
      </c>
      <c r="F20" s="7">
        <v>106</v>
      </c>
      <c r="G20" s="7">
        <v>29</v>
      </c>
      <c r="H20" s="6" t="s">
        <v>209</v>
      </c>
      <c r="I20" s="6" t="s">
        <v>109</v>
      </c>
      <c r="J20" s="6" t="s">
        <v>130</v>
      </c>
      <c r="K20" s="11" t="s">
        <v>109</v>
      </c>
      <c r="L20" s="11">
        <v>0.7631944444444444</v>
      </c>
      <c r="M20" s="7" t="s">
        <v>109</v>
      </c>
      <c r="N20" s="6" t="s">
        <v>109</v>
      </c>
      <c r="O20" s="6" t="s">
        <v>61</v>
      </c>
      <c r="P20" s="7" t="s">
        <v>131</v>
      </c>
      <c r="Q20" s="7" t="s">
        <v>209</v>
      </c>
      <c r="R20" s="6" t="s">
        <v>62</v>
      </c>
      <c r="S20" s="7" t="s">
        <v>1266</v>
      </c>
      <c r="T20" s="6" t="s">
        <v>278</v>
      </c>
      <c r="U20" s="125">
        <f t="shared" si="0"/>
        <v>0.57999999999999996</v>
      </c>
      <c r="V20" s="7" t="s">
        <v>2141</v>
      </c>
    </row>
    <row r="21" spans="1:22" x14ac:dyDescent="0.3">
      <c r="A21" s="7">
        <v>20</v>
      </c>
      <c r="B21" s="6" t="s">
        <v>23</v>
      </c>
      <c r="C21" s="6" t="s">
        <v>2151</v>
      </c>
      <c r="D21" s="6">
        <v>50226069</v>
      </c>
      <c r="E21" s="6">
        <v>60</v>
      </c>
      <c r="F21" s="7">
        <v>92</v>
      </c>
      <c r="G21" s="7">
        <v>65</v>
      </c>
      <c r="H21" s="10" t="s">
        <v>64</v>
      </c>
      <c r="I21" s="6" t="s">
        <v>109</v>
      </c>
      <c r="J21" s="6" t="s">
        <v>130</v>
      </c>
      <c r="K21" s="11" t="s">
        <v>109</v>
      </c>
      <c r="L21" s="11">
        <v>0.90277777777777779</v>
      </c>
      <c r="M21" s="7" t="s">
        <v>109</v>
      </c>
      <c r="N21" s="6" t="s">
        <v>109</v>
      </c>
      <c r="O21" s="6" t="s">
        <v>61</v>
      </c>
      <c r="P21" s="7" t="s">
        <v>131</v>
      </c>
      <c r="Q21" s="7" t="s">
        <v>64</v>
      </c>
      <c r="R21" s="6" t="s">
        <v>62</v>
      </c>
      <c r="S21" s="7" t="s">
        <v>1266</v>
      </c>
      <c r="T21" s="6" t="s">
        <v>270</v>
      </c>
      <c r="U21" s="125">
        <f t="shared" si="0"/>
        <v>1.0833333333333333</v>
      </c>
      <c r="V21" s="7" t="s">
        <v>1945</v>
      </c>
    </row>
    <row r="22" spans="1:22" x14ac:dyDescent="0.3">
      <c r="A22" s="7">
        <v>21</v>
      </c>
      <c r="B22" s="6" t="s">
        <v>23</v>
      </c>
      <c r="C22" s="6" t="s">
        <v>2234</v>
      </c>
      <c r="D22" s="6">
        <v>50226075</v>
      </c>
      <c r="E22" s="6">
        <v>50</v>
      </c>
      <c r="F22" s="7">
        <v>74</v>
      </c>
      <c r="G22" s="7">
        <v>56</v>
      </c>
      <c r="H22" s="6" t="s">
        <v>93</v>
      </c>
      <c r="I22" s="6" t="s">
        <v>109</v>
      </c>
      <c r="J22" s="6" t="s">
        <v>130</v>
      </c>
      <c r="K22" s="11" t="s">
        <v>109</v>
      </c>
      <c r="L22" s="11">
        <v>0.72083333333333333</v>
      </c>
      <c r="M22" s="7" t="s">
        <v>109</v>
      </c>
      <c r="N22" s="6" t="s">
        <v>109</v>
      </c>
      <c r="O22" s="6" t="s">
        <v>61</v>
      </c>
      <c r="P22" s="7" t="s">
        <v>131</v>
      </c>
      <c r="Q22" s="7" t="s">
        <v>93</v>
      </c>
      <c r="R22" s="6" t="s">
        <v>62</v>
      </c>
      <c r="S22" s="7" t="s">
        <v>1266</v>
      </c>
      <c r="T22" s="6" t="s">
        <v>278</v>
      </c>
      <c r="U22" s="125">
        <f t="shared" si="0"/>
        <v>1.1200000000000001</v>
      </c>
      <c r="V22" s="7" t="s">
        <v>1945</v>
      </c>
    </row>
    <row r="23" spans="1:22" x14ac:dyDescent="0.3">
      <c r="A23" s="7">
        <v>22</v>
      </c>
      <c r="B23" s="6" t="s">
        <v>23</v>
      </c>
      <c r="C23" s="6" t="s">
        <v>2235</v>
      </c>
      <c r="D23" s="6">
        <v>50226076</v>
      </c>
      <c r="E23" s="6">
        <v>50</v>
      </c>
      <c r="F23" s="7">
        <v>73</v>
      </c>
      <c r="G23" s="7">
        <v>59</v>
      </c>
      <c r="H23" s="6" t="s">
        <v>154</v>
      </c>
      <c r="I23" s="6" t="s">
        <v>109</v>
      </c>
      <c r="J23" s="6" t="s">
        <v>130</v>
      </c>
      <c r="K23" s="11" t="s">
        <v>109</v>
      </c>
      <c r="L23" s="11">
        <v>0.72638888888888886</v>
      </c>
      <c r="M23" s="7" t="s">
        <v>109</v>
      </c>
      <c r="N23" s="6" t="s">
        <v>109</v>
      </c>
      <c r="O23" s="6" t="s">
        <v>61</v>
      </c>
      <c r="P23" s="7" t="s">
        <v>131</v>
      </c>
      <c r="Q23" s="7" t="s">
        <v>154</v>
      </c>
      <c r="R23" s="6" t="s">
        <v>62</v>
      </c>
      <c r="S23" s="7" t="s">
        <v>1266</v>
      </c>
      <c r="T23" s="6" t="s">
        <v>278</v>
      </c>
      <c r="U23" s="125">
        <f t="shared" si="0"/>
        <v>1.18</v>
      </c>
      <c r="V23" s="7" t="s">
        <v>1945</v>
      </c>
    </row>
    <row r="24" spans="1:22" x14ac:dyDescent="0.3">
      <c r="A24" s="7">
        <v>23</v>
      </c>
      <c r="B24" s="6" t="s">
        <v>23</v>
      </c>
      <c r="C24" s="6" t="s">
        <v>1287</v>
      </c>
      <c r="D24" s="6">
        <v>50126331</v>
      </c>
      <c r="E24" s="6">
        <v>30</v>
      </c>
      <c r="F24" s="7">
        <v>47</v>
      </c>
      <c r="G24" s="7">
        <v>37</v>
      </c>
      <c r="H24" s="6" t="s">
        <v>82</v>
      </c>
      <c r="I24" s="6" t="s">
        <v>109</v>
      </c>
      <c r="J24" s="6" t="s">
        <v>130</v>
      </c>
      <c r="K24" s="11" t="s">
        <v>109</v>
      </c>
      <c r="L24" s="11">
        <v>0.78472222222222221</v>
      </c>
      <c r="M24" s="7" t="s">
        <v>109</v>
      </c>
      <c r="N24" s="6" t="s">
        <v>109</v>
      </c>
      <c r="O24" s="6" t="s">
        <v>61</v>
      </c>
      <c r="P24" s="7" t="s">
        <v>131</v>
      </c>
      <c r="Q24" s="7" t="s">
        <v>82</v>
      </c>
      <c r="R24" s="6" t="s">
        <v>62</v>
      </c>
      <c r="S24" s="7" t="s">
        <v>876</v>
      </c>
      <c r="T24" s="6" t="s">
        <v>266</v>
      </c>
      <c r="U24" s="125">
        <f t="shared" si="0"/>
        <v>1.2333333333333334</v>
      </c>
      <c r="V24" s="7" t="s">
        <v>1945</v>
      </c>
    </row>
    <row r="25" spans="1:22" x14ac:dyDescent="0.3">
      <c r="A25" s="7">
        <v>24</v>
      </c>
      <c r="B25" s="6" t="s">
        <v>23</v>
      </c>
      <c r="C25" s="6" t="s">
        <v>1286</v>
      </c>
      <c r="D25" s="6">
        <v>50126332</v>
      </c>
      <c r="E25" s="6">
        <v>50</v>
      </c>
      <c r="F25" s="7">
        <v>74</v>
      </c>
      <c r="G25" s="7">
        <v>49</v>
      </c>
      <c r="H25" s="6" t="s">
        <v>184</v>
      </c>
      <c r="I25" s="6" t="s">
        <v>109</v>
      </c>
      <c r="J25" s="6" t="s">
        <v>130</v>
      </c>
      <c r="K25" s="11" t="s">
        <v>109</v>
      </c>
      <c r="L25" s="11">
        <v>1.3888888888888888E-2</v>
      </c>
      <c r="M25" s="7" t="s">
        <v>109</v>
      </c>
      <c r="N25" s="6" t="s">
        <v>109</v>
      </c>
      <c r="O25" s="6" t="s">
        <v>61</v>
      </c>
      <c r="P25" s="7" t="s">
        <v>131</v>
      </c>
      <c r="Q25" s="7" t="s">
        <v>184</v>
      </c>
      <c r="R25" s="6" t="s">
        <v>62</v>
      </c>
      <c r="S25" s="7" t="s">
        <v>876</v>
      </c>
      <c r="T25" s="6" t="s">
        <v>266</v>
      </c>
      <c r="U25" s="125">
        <f t="shared" si="0"/>
        <v>0.98</v>
      </c>
      <c r="V25" s="7" t="s">
        <v>1945</v>
      </c>
    </row>
    <row r="26" spans="1:22" x14ac:dyDescent="0.3">
      <c r="A26" s="7">
        <v>25</v>
      </c>
      <c r="B26" s="6" t="s">
        <v>23</v>
      </c>
      <c r="C26" s="6" t="s">
        <v>2149</v>
      </c>
      <c r="D26" s="6">
        <v>50226066</v>
      </c>
      <c r="E26" s="6">
        <v>50</v>
      </c>
      <c r="F26" s="7">
        <v>65</v>
      </c>
      <c r="G26" s="7">
        <v>25</v>
      </c>
      <c r="H26" s="6" t="s">
        <v>65</v>
      </c>
      <c r="I26" s="6" t="s">
        <v>109</v>
      </c>
      <c r="J26" s="6" t="s">
        <v>130</v>
      </c>
      <c r="K26" s="11" t="s">
        <v>109</v>
      </c>
      <c r="L26" s="11">
        <v>0.81944444444444442</v>
      </c>
      <c r="M26" s="7" t="s">
        <v>109</v>
      </c>
      <c r="N26" s="6" t="s">
        <v>109</v>
      </c>
      <c r="O26" s="6" t="s">
        <v>61</v>
      </c>
      <c r="P26" s="7" t="s">
        <v>131</v>
      </c>
      <c r="Q26" s="7" t="s">
        <v>65</v>
      </c>
      <c r="R26" s="6" t="s">
        <v>62</v>
      </c>
      <c r="S26" s="7" t="s">
        <v>876</v>
      </c>
      <c r="T26" s="6" t="s">
        <v>116</v>
      </c>
      <c r="U26" s="125">
        <f t="shared" si="0"/>
        <v>0.5</v>
      </c>
      <c r="V26" s="7" t="s">
        <v>291</v>
      </c>
    </row>
    <row r="27" spans="1:22" x14ac:dyDescent="0.3">
      <c r="A27" s="7">
        <v>26</v>
      </c>
      <c r="B27" s="6" t="s">
        <v>23</v>
      </c>
      <c r="C27" s="6" t="s">
        <v>2150</v>
      </c>
      <c r="D27" s="6">
        <v>50226067</v>
      </c>
      <c r="E27" s="6">
        <v>150</v>
      </c>
      <c r="F27" s="7">
        <v>287</v>
      </c>
      <c r="G27" s="7">
        <v>127</v>
      </c>
      <c r="H27" s="6" t="s">
        <v>2236</v>
      </c>
      <c r="I27" s="6" t="s">
        <v>109</v>
      </c>
      <c r="J27" s="6" t="s">
        <v>130</v>
      </c>
      <c r="K27" s="11" t="s">
        <v>109</v>
      </c>
      <c r="L27" s="11">
        <v>2.2916666666666665E-2</v>
      </c>
      <c r="M27" s="7" t="s">
        <v>109</v>
      </c>
      <c r="N27" s="6" t="s">
        <v>109</v>
      </c>
      <c r="O27" s="6" t="s">
        <v>61</v>
      </c>
      <c r="P27" s="7" t="s">
        <v>131</v>
      </c>
      <c r="Q27" s="7" t="s">
        <v>84</v>
      </c>
      <c r="R27" s="6" t="s">
        <v>62</v>
      </c>
      <c r="S27" s="7" t="s">
        <v>876</v>
      </c>
      <c r="T27" s="6" t="s">
        <v>116</v>
      </c>
      <c r="U27" s="125">
        <f t="shared" si="0"/>
        <v>0.84666666666666668</v>
      </c>
      <c r="V27" s="7" t="s">
        <v>2146</v>
      </c>
    </row>
    <row r="28" spans="1:22" x14ac:dyDescent="0.3">
      <c r="A28" s="7">
        <v>27</v>
      </c>
      <c r="B28" s="6" t="s">
        <v>23</v>
      </c>
      <c r="C28" s="6" t="s">
        <v>852</v>
      </c>
      <c r="D28" s="6">
        <v>50126207</v>
      </c>
      <c r="E28" s="6">
        <v>50</v>
      </c>
      <c r="F28" s="7" t="s">
        <v>109</v>
      </c>
      <c r="G28" s="7" t="s">
        <v>109</v>
      </c>
      <c r="H28" s="6" t="s">
        <v>84</v>
      </c>
      <c r="I28" s="6" t="s">
        <v>109</v>
      </c>
      <c r="J28" s="6" t="s">
        <v>109</v>
      </c>
      <c r="K28" s="11" t="s">
        <v>109</v>
      </c>
      <c r="L28" s="11" t="s">
        <v>109</v>
      </c>
      <c r="M28" s="7" t="s">
        <v>109</v>
      </c>
      <c r="N28" s="6" t="s">
        <v>109</v>
      </c>
      <c r="O28" s="6" t="s">
        <v>61</v>
      </c>
      <c r="P28" s="7" t="s">
        <v>109</v>
      </c>
      <c r="Q28" s="7" t="s">
        <v>109</v>
      </c>
      <c r="R28" s="6" t="s">
        <v>62</v>
      </c>
      <c r="S28" s="7" t="s">
        <v>876</v>
      </c>
      <c r="T28" s="6" t="s">
        <v>853</v>
      </c>
      <c r="U28" s="125" t="e">
        <f t="shared" si="0"/>
        <v>#VALUE!</v>
      </c>
      <c r="V28" s="7" t="s">
        <v>109</v>
      </c>
    </row>
    <row r="29" spans="1:22" x14ac:dyDescent="0.3">
      <c r="A29" s="7">
        <v>28</v>
      </c>
      <c r="B29" s="6" t="s">
        <v>23</v>
      </c>
      <c r="C29" s="6" t="s">
        <v>1858</v>
      </c>
      <c r="D29" s="6">
        <v>50226006</v>
      </c>
      <c r="E29" s="6">
        <v>50</v>
      </c>
      <c r="F29" s="7">
        <v>183</v>
      </c>
      <c r="G29" s="7">
        <v>8</v>
      </c>
      <c r="H29" s="10" t="s">
        <v>214</v>
      </c>
      <c r="I29" s="6" t="s">
        <v>109</v>
      </c>
      <c r="J29" s="6" t="s">
        <v>130</v>
      </c>
      <c r="K29" s="11" t="s">
        <v>109</v>
      </c>
      <c r="L29" s="11">
        <v>0.91736111111111107</v>
      </c>
      <c r="M29" s="7" t="s">
        <v>109</v>
      </c>
      <c r="N29" s="6" t="s">
        <v>109</v>
      </c>
      <c r="O29" s="6" t="s">
        <v>61</v>
      </c>
      <c r="P29" s="7" t="s">
        <v>131</v>
      </c>
      <c r="Q29" s="7" t="s">
        <v>214</v>
      </c>
      <c r="R29" s="6" t="s">
        <v>62</v>
      </c>
      <c r="S29" s="7" t="s">
        <v>876</v>
      </c>
      <c r="T29" s="6" t="s">
        <v>1859</v>
      </c>
      <c r="U29" s="125">
        <f t="shared" si="0"/>
        <v>0.16</v>
      </c>
      <c r="V29" s="7" t="s">
        <v>2141</v>
      </c>
    </row>
    <row r="30" spans="1:22" x14ac:dyDescent="0.3">
      <c r="A30" s="7">
        <v>29</v>
      </c>
      <c r="B30" s="6" t="s">
        <v>23</v>
      </c>
      <c r="C30" s="6" t="s">
        <v>647</v>
      </c>
      <c r="D30" s="6">
        <v>50126033</v>
      </c>
      <c r="E30" s="6">
        <v>30</v>
      </c>
      <c r="F30" s="7">
        <v>65</v>
      </c>
      <c r="G30" s="7">
        <v>34</v>
      </c>
      <c r="H30" s="6" t="s">
        <v>200</v>
      </c>
      <c r="I30" s="6" t="s">
        <v>91</v>
      </c>
      <c r="J30" s="6" t="s">
        <v>130</v>
      </c>
      <c r="K30" s="11">
        <v>0.66736111111111107</v>
      </c>
      <c r="L30" s="11">
        <v>0.71875</v>
      </c>
      <c r="M30" s="7" t="s">
        <v>109</v>
      </c>
      <c r="N30" s="6" t="s">
        <v>109</v>
      </c>
      <c r="O30" s="6" t="s">
        <v>61</v>
      </c>
      <c r="P30" s="7" t="s">
        <v>131</v>
      </c>
      <c r="Q30" s="7" t="s">
        <v>91</v>
      </c>
      <c r="R30" s="6" t="s">
        <v>62</v>
      </c>
      <c r="S30" s="7" t="s">
        <v>876</v>
      </c>
      <c r="T30" s="6" t="s">
        <v>480</v>
      </c>
      <c r="U30" s="125">
        <f t="shared" si="0"/>
        <v>1.1333333333333333</v>
      </c>
      <c r="V30" s="7" t="s">
        <v>1945</v>
      </c>
    </row>
    <row r="31" spans="1:22" x14ac:dyDescent="0.3">
      <c r="A31" s="7">
        <v>30</v>
      </c>
      <c r="B31" s="6" t="s">
        <v>23</v>
      </c>
      <c r="C31" s="6" t="s">
        <v>648</v>
      </c>
      <c r="D31" s="6">
        <v>50126036</v>
      </c>
      <c r="E31" s="6">
        <v>40</v>
      </c>
      <c r="F31" s="7">
        <v>92</v>
      </c>
      <c r="G31" s="7">
        <v>43</v>
      </c>
      <c r="H31" s="6" t="s">
        <v>87</v>
      </c>
      <c r="I31" s="6" t="s">
        <v>109</v>
      </c>
      <c r="J31" s="6" t="s">
        <v>130</v>
      </c>
      <c r="K31" s="11" t="s">
        <v>109</v>
      </c>
      <c r="L31" s="11">
        <v>0.72430555555555554</v>
      </c>
      <c r="M31" s="7" t="s">
        <v>109</v>
      </c>
      <c r="N31" s="6" t="s">
        <v>109</v>
      </c>
      <c r="O31" s="6" t="s">
        <v>61</v>
      </c>
      <c r="P31" s="7" t="s">
        <v>131</v>
      </c>
      <c r="Q31" s="7" t="s">
        <v>87</v>
      </c>
      <c r="R31" s="6" t="s">
        <v>62</v>
      </c>
      <c r="S31" s="7" t="s">
        <v>876</v>
      </c>
      <c r="T31" s="6" t="s">
        <v>480</v>
      </c>
      <c r="U31" s="125">
        <f t="shared" si="0"/>
        <v>1.075</v>
      </c>
      <c r="V31" s="7" t="s">
        <v>1945</v>
      </c>
    </row>
    <row r="32" spans="1:22" x14ac:dyDescent="0.3">
      <c r="A32" s="7">
        <v>31</v>
      </c>
      <c r="B32" s="6" t="s">
        <v>23</v>
      </c>
      <c r="C32" s="6" t="s">
        <v>650</v>
      </c>
      <c r="D32" s="6">
        <v>50126035</v>
      </c>
      <c r="E32" s="6">
        <v>50</v>
      </c>
      <c r="F32" s="7">
        <v>73</v>
      </c>
      <c r="G32" s="7">
        <v>59</v>
      </c>
      <c r="H32" s="6" t="s">
        <v>274</v>
      </c>
      <c r="I32" s="6" t="s">
        <v>87</v>
      </c>
      <c r="J32" s="6" t="s">
        <v>130</v>
      </c>
      <c r="K32" s="11">
        <v>0.93958333333333333</v>
      </c>
      <c r="L32" s="11">
        <v>8.3333333333333332E-3</v>
      </c>
      <c r="M32" s="7" t="s">
        <v>109</v>
      </c>
      <c r="N32" s="6" t="s">
        <v>109</v>
      </c>
      <c r="O32" s="6" t="s">
        <v>61</v>
      </c>
      <c r="P32" s="7" t="s">
        <v>131</v>
      </c>
      <c r="Q32" s="7" t="s">
        <v>87</v>
      </c>
      <c r="R32" s="6" t="s">
        <v>62</v>
      </c>
      <c r="S32" s="7" t="s">
        <v>876</v>
      </c>
      <c r="T32" s="6" t="s">
        <v>480</v>
      </c>
      <c r="U32" s="125">
        <f t="shared" si="0"/>
        <v>1.18</v>
      </c>
      <c r="V32" s="7" t="s">
        <v>1945</v>
      </c>
    </row>
    <row r="33" spans="1:22" x14ac:dyDescent="0.3">
      <c r="A33" s="7">
        <v>32</v>
      </c>
      <c r="B33" s="6" t="s">
        <v>23</v>
      </c>
      <c r="C33" s="6" t="s">
        <v>651</v>
      </c>
      <c r="D33" s="6">
        <v>50126034</v>
      </c>
      <c r="E33" s="6">
        <v>75</v>
      </c>
      <c r="F33" s="7">
        <v>150</v>
      </c>
      <c r="G33" s="7">
        <v>17</v>
      </c>
      <c r="H33" s="6" t="s">
        <v>184</v>
      </c>
      <c r="I33" s="6" t="s">
        <v>90</v>
      </c>
      <c r="J33" s="6" t="s">
        <v>130</v>
      </c>
      <c r="K33" s="11">
        <v>0.99444444444444446</v>
      </c>
      <c r="L33" s="11">
        <v>3.1944444444444442E-2</v>
      </c>
      <c r="M33" s="7" t="s">
        <v>109</v>
      </c>
      <c r="N33" s="6" t="s">
        <v>109</v>
      </c>
      <c r="O33" s="6" t="s">
        <v>61</v>
      </c>
      <c r="P33" s="7" t="s">
        <v>131</v>
      </c>
      <c r="Q33" s="7" t="s">
        <v>90</v>
      </c>
      <c r="R33" s="6" t="s">
        <v>62</v>
      </c>
      <c r="S33" s="7" t="s">
        <v>876</v>
      </c>
      <c r="T33" s="6" t="s">
        <v>480</v>
      </c>
      <c r="U33" s="125">
        <f t="shared" si="0"/>
        <v>0.22666666666666666</v>
      </c>
      <c r="V33" s="7" t="s">
        <v>2141</v>
      </c>
    </row>
    <row r="34" spans="1:22" x14ac:dyDescent="0.3">
      <c r="A34" s="7">
        <v>33</v>
      </c>
      <c r="B34" s="6" t="s">
        <v>23</v>
      </c>
      <c r="C34" s="6" t="s">
        <v>654</v>
      </c>
      <c r="D34" s="6">
        <v>50126032</v>
      </c>
      <c r="E34" s="6">
        <v>50</v>
      </c>
      <c r="F34" s="7">
        <v>88</v>
      </c>
      <c r="G34" s="7">
        <v>46</v>
      </c>
      <c r="H34" s="6" t="s">
        <v>71</v>
      </c>
      <c r="I34" s="6" t="s">
        <v>86</v>
      </c>
      <c r="J34" s="6" t="s">
        <v>130</v>
      </c>
      <c r="K34" s="11">
        <v>0.82499999999999996</v>
      </c>
      <c r="L34" s="11">
        <v>0.89097222222222228</v>
      </c>
      <c r="M34" s="7" t="s">
        <v>109</v>
      </c>
      <c r="N34" s="6" t="s">
        <v>109</v>
      </c>
      <c r="O34" s="6" t="s">
        <v>61</v>
      </c>
      <c r="P34" s="7" t="s">
        <v>131</v>
      </c>
      <c r="Q34" s="7" t="s">
        <v>86</v>
      </c>
      <c r="R34" s="6" t="s">
        <v>62</v>
      </c>
      <c r="S34" s="7" t="s">
        <v>876</v>
      </c>
      <c r="T34" s="6" t="s">
        <v>480</v>
      </c>
      <c r="U34" s="125">
        <f t="shared" si="0"/>
        <v>0.92</v>
      </c>
      <c r="V34" s="7" t="s">
        <v>1945</v>
      </c>
    </row>
    <row r="35" spans="1:22" x14ac:dyDescent="0.3">
      <c r="A35" s="7">
        <v>34</v>
      </c>
      <c r="B35" s="6" t="s">
        <v>23</v>
      </c>
      <c r="C35" s="6" t="s">
        <v>656</v>
      </c>
      <c r="D35" s="6">
        <v>50126031</v>
      </c>
      <c r="E35" s="6">
        <v>100</v>
      </c>
      <c r="F35" s="7">
        <v>151</v>
      </c>
      <c r="G35" s="7">
        <v>104</v>
      </c>
      <c r="H35" s="10" t="s">
        <v>200</v>
      </c>
      <c r="I35" s="6" t="s">
        <v>90</v>
      </c>
      <c r="J35" s="6" t="s">
        <v>130</v>
      </c>
      <c r="K35" s="11">
        <v>0.81944444444444442</v>
      </c>
      <c r="L35" s="11">
        <v>0.90972222222222221</v>
      </c>
      <c r="M35" s="7" t="s">
        <v>109</v>
      </c>
      <c r="N35" s="6" t="s">
        <v>109</v>
      </c>
      <c r="O35" s="6" t="s">
        <v>61</v>
      </c>
      <c r="P35" s="7" t="s">
        <v>131</v>
      </c>
      <c r="Q35" s="7" t="s">
        <v>90</v>
      </c>
      <c r="R35" s="6" t="s">
        <v>62</v>
      </c>
      <c r="S35" s="7" t="s">
        <v>876</v>
      </c>
      <c r="T35" s="6" t="s">
        <v>480</v>
      </c>
      <c r="U35" s="125">
        <f t="shared" si="0"/>
        <v>1.04</v>
      </c>
      <c r="V35" s="7" t="s">
        <v>1945</v>
      </c>
    </row>
    <row r="36" spans="1:22" x14ac:dyDescent="0.3">
      <c r="A36" s="7">
        <v>35</v>
      </c>
      <c r="B36" s="6" t="s">
        <v>23</v>
      </c>
      <c r="C36" s="6" t="s">
        <v>657</v>
      </c>
      <c r="D36" s="6">
        <v>50126030</v>
      </c>
      <c r="E36" s="6">
        <v>150</v>
      </c>
      <c r="F36" s="7">
        <v>186</v>
      </c>
      <c r="G36" s="7">
        <v>4</v>
      </c>
      <c r="H36" s="10" t="s">
        <v>2237</v>
      </c>
      <c r="I36" s="6" t="s">
        <v>1446</v>
      </c>
      <c r="J36" s="6" t="s">
        <v>130</v>
      </c>
      <c r="K36" s="11">
        <v>1.0416666666666666E-2</v>
      </c>
      <c r="L36" s="11">
        <v>3.6111111111111108E-2</v>
      </c>
      <c r="M36" s="7" t="s">
        <v>109</v>
      </c>
      <c r="N36" s="6" t="s">
        <v>109</v>
      </c>
      <c r="O36" s="6" t="s">
        <v>61</v>
      </c>
      <c r="P36" s="7" t="s">
        <v>131</v>
      </c>
      <c r="Q36" s="7" t="s">
        <v>86</v>
      </c>
      <c r="R36" s="6" t="s">
        <v>62</v>
      </c>
      <c r="S36" s="7" t="s">
        <v>876</v>
      </c>
      <c r="T36" s="6" t="s">
        <v>480</v>
      </c>
      <c r="U36" s="125">
        <f t="shared" si="0"/>
        <v>2.6666666666666668E-2</v>
      </c>
      <c r="V36" s="7" t="s">
        <v>2146</v>
      </c>
    </row>
    <row r="37" spans="1:22" x14ac:dyDescent="0.3">
      <c r="A37" s="14">
        <v>36</v>
      </c>
      <c r="B37" s="8" t="s">
        <v>23</v>
      </c>
      <c r="C37" s="8" t="s">
        <v>2068</v>
      </c>
      <c r="D37" s="8">
        <v>50226010</v>
      </c>
      <c r="E37" s="8">
        <v>40</v>
      </c>
      <c r="F37" s="14" t="s">
        <v>109</v>
      </c>
      <c r="G37" s="14" t="s">
        <v>109</v>
      </c>
      <c r="H37" s="8" t="s">
        <v>71</v>
      </c>
      <c r="I37" s="8" t="s">
        <v>95</v>
      </c>
      <c r="J37" s="8" t="s">
        <v>85</v>
      </c>
      <c r="K37" s="128" t="s">
        <v>109</v>
      </c>
      <c r="L37" s="128" t="s">
        <v>109</v>
      </c>
      <c r="M37" s="14" t="s">
        <v>109</v>
      </c>
      <c r="N37" s="8" t="s">
        <v>2238</v>
      </c>
      <c r="O37" s="8" t="s">
        <v>61</v>
      </c>
      <c r="P37" s="14" t="s">
        <v>109</v>
      </c>
      <c r="Q37" s="14" t="s">
        <v>109</v>
      </c>
      <c r="R37" s="8" t="s">
        <v>62</v>
      </c>
      <c r="S37" s="14" t="s">
        <v>876</v>
      </c>
      <c r="T37" s="8" t="s">
        <v>1862</v>
      </c>
      <c r="U37" s="129" t="e">
        <f t="shared" si="0"/>
        <v>#VALUE!</v>
      </c>
      <c r="V37" s="14" t="s">
        <v>2279</v>
      </c>
    </row>
    <row r="38" spans="1:22" x14ac:dyDescent="0.3">
      <c r="A38" s="7">
        <v>37</v>
      </c>
      <c r="B38" s="6" t="s">
        <v>23</v>
      </c>
      <c r="C38" s="6" t="s">
        <v>1860</v>
      </c>
      <c r="D38" s="6">
        <v>50226008</v>
      </c>
      <c r="E38" s="6">
        <v>50</v>
      </c>
      <c r="F38" s="7">
        <v>23</v>
      </c>
      <c r="G38" s="7">
        <v>9</v>
      </c>
      <c r="H38" s="6" t="s">
        <v>91</v>
      </c>
      <c r="I38" s="6" t="s">
        <v>109</v>
      </c>
      <c r="J38" s="6" t="s">
        <v>130</v>
      </c>
      <c r="K38" s="11" t="s">
        <v>109</v>
      </c>
      <c r="L38" s="11">
        <v>3.4027777777777775E-2</v>
      </c>
      <c r="M38" s="7" t="s">
        <v>109</v>
      </c>
      <c r="N38" s="6" t="s">
        <v>2238</v>
      </c>
      <c r="O38" s="6" t="s">
        <v>61</v>
      </c>
      <c r="P38" s="7" t="s">
        <v>131</v>
      </c>
      <c r="Q38" s="7" t="s">
        <v>91</v>
      </c>
      <c r="R38" s="6" t="s">
        <v>62</v>
      </c>
      <c r="S38" s="7" t="s">
        <v>876</v>
      </c>
      <c r="T38" s="6" t="s">
        <v>1862</v>
      </c>
      <c r="U38" s="125">
        <f t="shared" si="0"/>
        <v>0.18</v>
      </c>
      <c r="V38" s="7" t="s">
        <v>291</v>
      </c>
    </row>
    <row r="39" spans="1:22" x14ac:dyDescent="0.3">
      <c r="A39" s="7">
        <v>38</v>
      </c>
      <c r="B39" s="6" t="s">
        <v>23</v>
      </c>
      <c r="C39" s="6" t="s">
        <v>1865</v>
      </c>
      <c r="D39" s="6">
        <v>50226016</v>
      </c>
      <c r="E39" s="6">
        <v>20</v>
      </c>
      <c r="F39" s="7">
        <v>34</v>
      </c>
      <c r="G39" s="7">
        <v>11</v>
      </c>
      <c r="H39" s="6" t="s">
        <v>64</v>
      </c>
      <c r="I39" s="6" t="s">
        <v>109</v>
      </c>
      <c r="J39" s="6" t="s">
        <v>130</v>
      </c>
      <c r="K39" s="11" t="s">
        <v>109</v>
      </c>
      <c r="L39" s="11">
        <v>0.93055555555555558</v>
      </c>
      <c r="M39" s="7" t="s">
        <v>109</v>
      </c>
      <c r="N39" s="6" t="s">
        <v>109</v>
      </c>
      <c r="O39" s="6" t="s">
        <v>61</v>
      </c>
      <c r="P39" s="7" t="s">
        <v>131</v>
      </c>
      <c r="Q39" s="7" t="s">
        <v>64</v>
      </c>
      <c r="R39" s="6" t="s">
        <v>62</v>
      </c>
      <c r="S39" s="7" t="s">
        <v>876</v>
      </c>
      <c r="T39" s="6" t="s">
        <v>1341</v>
      </c>
      <c r="U39" s="125">
        <f t="shared" si="0"/>
        <v>0.55000000000000004</v>
      </c>
      <c r="V39" s="7" t="s">
        <v>291</v>
      </c>
    </row>
    <row r="40" spans="1:22" x14ac:dyDescent="0.3">
      <c r="A40" s="7">
        <v>39</v>
      </c>
      <c r="B40" s="6" t="s">
        <v>23</v>
      </c>
      <c r="C40" s="6" t="s">
        <v>1841</v>
      </c>
      <c r="D40" s="6">
        <v>50226011</v>
      </c>
      <c r="E40" s="6">
        <v>300</v>
      </c>
      <c r="F40" s="7">
        <v>156</v>
      </c>
      <c r="G40" s="7">
        <v>28</v>
      </c>
      <c r="H40" s="6" t="s">
        <v>2239</v>
      </c>
      <c r="I40" s="6" t="s">
        <v>109</v>
      </c>
      <c r="J40" s="6" t="s">
        <v>130</v>
      </c>
      <c r="K40" s="11" t="s">
        <v>109</v>
      </c>
      <c r="L40" s="11">
        <v>0.74930555555555556</v>
      </c>
      <c r="M40" s="7" t="s">
        <v>109</v>
      </c>
      <c r="N40" s="6" t="s">
        <v>109</v>
      </c>
      <c r="O40" s="6" t="s">
        <v>61</v>
      </c>
      <c r="P40" s="7" t="s">
        <v>131</v>
      </c>
      <c r="Q40" s="7" t="s">
        <v>214</v>
      </c>
      <c r="R40" s="6" t="s">
        <v>62</v>
      </c>
      <c r="S40" s="7" t="s">
        <v>1525</v>
      </c>
      <c r="T40" s="6" t="s">
        <v>1433</v>
      </c>
      <c r="U40" s="125">
        <f t="shared" si="0"/>
        <v>9.3333333333333338E-2</v>
      </c>
      <c r="V40" s="7" t="s">
        <v>291</v>
      </c>
    </row>
    <row r="41" spans="1:22" x14ac:dyDescent="0.3">
      <c r="A41" s="7">
        <v>40</v>
      </c>
      <c r="B41" s="6" t="s">
        <v>23</v>
      </c>
      <c r="C41" s="6" t="s">
        <v>1842</v>
      </c>
      <c r="D41" s="6">
        <v>50226012</v>
      </c>
      <c r="E41" s="6">
        <v>200</v>
      </c>
      <c r="F41" s="7">
        <v>298</v>
      </c>
      <c r="G41" s="7">
        <v>43</v>
      </c>
      <c r="H41" s="6" t="s">
        <v>302</v>
      </c>
      <c r="I41" s="6" t="s">
        <v>109</v>
      </c>
      <c r="J41" s="6" t="s">
        <v>130</v>
      </c>
      <c r="K41" s="11" t="s">
        <v>109</v>
      </c>
      <c r="L41" s="11">
        <v>0.98819444444444449</v>
      </c>
      <c r="M41" s="7" t="s">
        <v>109</v>
      </c>
      <c r="N41" s="6" t="s">
        <v>109</v>
      </c>
      <c r="O41" s="6" t="s">
        <v>61</v>
      </c>
      <c r="P41" s="7" t="s">
        <v>131</v>
      </c>
      <c r="Q41" s="7" t="s">
        <v>69</v>
      </c>
      <c r="R41" s="6" t="s">
        <v>62</v>
      </c>
      <c r="S41" s="7" t="s">
        <v>1525</v>
      </c>
      <c r="T41" s="6" t="s">
        <v>1433</v>
      </c>
      <c r="U41" s="125">
        <f t="shared" si="0"/>
        <v>0.215</v>
      </c>
      <c r="V41" s="7" t="s">
        <v>2146</v>
      </c>
    </row>
    <row r="42" spans="1:22" x14ac:dyDescent="0.3">
      <c r="A42" s="7">
        <v>41</v>
      </c>
      <c r="B42" s="6" t="s">
        <v>23</v>
      </c>
      <c r="C42" s="6" t="s">
        <v>2240</v>
      </c>
      <c r="D42" s="6">
        <v>50226074</v>
      </c>
      <c r="E42" s="6">
        <v>300</v>
      </c>
      <c r="F42" s="7">
        <v>233</v>
      </c>
      <c r="G42" s="7">
        <v>84</v>
      </c>
      <c r="H42" s="6" t="s">
        <v>2241</v>
      </c>
      <c r="I42" s="6" t="s">
        <v>109</v>
      </c>
      <c r="J42" s="6" t="s">
        <v>130</v>
      </c>
      <c r="K42" s="11" t="s">
        <v>109</v>
      </c>
      <c r="L42" s="11">
        <v>0.82152777777777775</v>
      </c>
      <c r="M42" s="7" t="s">
        <v>109</v>
      </c>
      <c r="N42" s="6" t="s">
        <v>109</v>
      </c>
      <c r="O42" s="6" t="s">
        <v>61</v>
      </c>
      <c r="P42" s="7" t="s">
        <v>131</v>
      </c>
      <c r="Q42" s="7" t="s">
        <v>83</v>
      </c>
      <c r="R42" s="6" t="s">
        <v>62</v>
      </c>
      <c r="S42" s="7" t="s">
        <v>1525</v>
      </c>
      <c r="T42" s="6" t="s">
        <v>1568</v>
      </c>
      <c r="U42" s="125">
        <f t="shared" si="0"/>
        <v>0.28000000000000003</v>
      </c>
      <c r="V42" s="7" t="s">
        <v>291</v>
      </c>
    </row>
    <row r="43" spans="1:22" x14ac:dyDescent="0.3">
      <c r="A43" s="7">
        <v>42</v>
      </c>
      <c r="B43" s="6" t="s">
        <v>1550</v>
      </c>
      <c r="C43" s="6" t="s">
        <v>1556</v>
      </c>
      <c r="D43" s="6">
        <v>40126034</v>
      </c>
      <c r="E43" s="6">
        <v>56</v>
      </c>
      <c r="F43" s="7">
        <v>113</v>
      </c>
      <c r="G43" s="7">
        <v>54</v>
      </c>
      <c r="H43" s="6" t="s">
        <v>153</v>
      </c>
      <c r="I43" s="6" t="s">
        <v>91</v>
      </c>
      <c r="J43" s="6" t="s">
        <v>130</v>
      </c>
      <c r="K43" s="11">
        <v>0.80833333333333335</v>
      </c>
      <c r="L43" s="11">
        <v>0.8930555555555556</v>
      </c>
      <c r="M43" s="7" t="s">
        <v>109</v>
      </c>
      <c r="N43" s="10" t="s">
        <v>2242</v>
      </c>
      <c r="O43" s="6" t="s">
        <v>61</v>
      </c>
      <c r="P43" s="7" t="s">
        <v>131</v>
      </c>
      <c r="Q43" s="7" t="s">
        <v>91</v>
      </c>
      <c r="R43" s="6" t="s">
        <v>1640</v>
      </c>
      <c r="S43" s="7" t="s">
        <v>136</v>
      </c>
      <c r="T43" s="6" t="s">
        <v>1554</v>
      </c>
      <c r="U43" s="125">
        <f t="shared" si="0"/>
        <v>0.9642857142857143</v>
      </c>
      <c r="V43" s="7" t="s">
        <v>1945</v>
      </c>
    </row>
    <row r="44" spans="1:22" x14ac:dyDescent="0.3">
      <c r="A44" s="7">
        <v>43</v>
      </c>
      <c r="B44" s="6" t="s">
        <v>170</v>
      </c>
      <c r="C44" s="6" t="s">
        <v>1349</v>
      </c>
      <c r="D44" s="6">
        <v>40126026</v>
      </c>
      <c r="E44" s="6">
        <v>56</v>
      </c>
      <c r="F44" s="7">
        <v>122</v>
      </c>
      <c r="G44" s="7">
        <v>4</v>
      </c>
      <c r="H44" s="6" t="s">
        <v>214</v>
      </c>
      <c r="I44" s="6" t="s">
        <v>154</v>
      </c>
      <c r="J44" s="6" t="s">
        <v>130</v>
      </c>
      <c r="K44" s="11">
        <v>1.2500000000000001E-2</v>
      </c>
      <c r="L44" s="11">
        <v>2.2916666666666665E-2</v>
      </c>
      <c r="M44" s="7" t="s">
        <v>109</v>
      </c>
      <c r="N44" s="10" t="s">
        <v>2243</v>
      </c>
      <c r="O44" s="6" t="s">
        <v>61</v>
      </c>
      <c r="P44" s="7" t="s">
        <v>131</v>
      </c>
      <c r="Q44" s="7" t="s">
        <v>154</v>
      </c>
      <c r="R44" s="6" t="s">
        <v>62</v>
      </c>
      <c r="S44" s="7" t="s">
        <v>136</v>
      </c>
      <c r="T44" s="6" t="s">
        <v>859</v>
      </c>
      <c r="U44" s="125">
        <f t="shared" si="0"/>
        <v>7.1428571428571425E-2</v>
      </c>
      <c r="V44" s="7" t="s">
        <v>2141</v>
      </c>
    </row>
    <row r="45" spans="1:22" x14ac:dyDescent="0.3">
      <c r="A45" s="7">
        <v>44</v>
      </c>
      <c r="B45" s="6" t="s">
        <v>170</v>
      </c>
      <c r="C45" s="6" t="s">
        <v>1350</v>
      </c>
      <c r="D45" s="6">
        <v>40126025</v>
      </c>
      <c r="E45" s="6">
        <v>103</v>
      </c>
      <c r="F45" s="7">
        <v>151</v>
      </c>
      <c r="G45" s="7">
        <v>26</v>
      </c>
      <c r="H45" s="6" t="s">
        <v>184</v>
      </c>
      <c r="I45" s="6" t="s">
        <v>90</v>
      </c>
      <c r="J45" s="6" t="s">
        <v>130</v>
      </c>
      <c r="K45" s="11">
        <v>0.96875</v>
      </c>
      <c r="L45" s="11">
        <v>2.013888888888889E-2</v>
      </c>
      <c r="M45" s="7" t="s">
        <v>109</v>
      </c>
      <c r="N45" s="10" t="s">
        <v>2243</v>
      </c>
      <c r="O45" s="6" t="s">
        <v>61</v>
      </c>
      <c r="P45" s="7" t="s">
        <v>131</v>
      </c>
      <c r="Q45" s="7" t="s">
        <v>90</v>
      </c>
      <c r="R45" s="6" t="s">
        <v>62</v>
      </c>
      <c r="S45" s="7" t="s">
        <v>136</v>
      </c>
      <c r="T45" s="6" t="s">
        <v>859</v>
      </c>
      <c r="U45" s="125">
        <f t="shared" si="0"/>
        <v>0.25242718446601942</v>
      </c>
      <c r="V45" s="7" t="s">
        <v>2146</v>
      </c>
    </row>
    <row r="46" spans="1:22" x14ac:dyDescent="0.3">
      <c r="A46" s="7">
        <v>45</v>
      </c>
      <c r="B46" s="6" t="s">
        <v>411</v>
      </c>
      <c r="C46" s="6" t="s">
        <v>1559</v>
      </c>
      <c r="D46" s="6">
        <v>30126013</v>
      </c>
      <c r="E46" s="6">
        <v>100</v>
      </c>
      <c r="F46" s="7">
        <v>116</v>
      </c>
      <c r="G46" s="7">
        <v>53</v>
      </c>
      <c r="H46" s="6" t="s">
        <v>2244</v>
      </c>
      <c r="I46" s="6" t="s">
        <v>97</v>
      </c>
      <c r="J46" s="6" t="s">
        <v>130</v>
      </c>
      <c r="K46" s="11">
        <v>0.93055555555555558</v>
      </c>
      <c r="L46" s="11">
        <v>0.95</v>
      </c>
      <c r="M46" s="7" t="s">
        <v>109</v>
      </c>
      <c r="N46" s="6" t="s">
        <v>2245</v>
      </c>
      <c r="O46" s="6" t="s">
        <v>61</v>
      </c>
      <c r="P46" s="7" t="s">
        <v>131</v>
      </c>
      <c r="Q46" s="7" t="s">
        <v>95</v>
      </c>
      <c r="R46" s="6" t="s">
        <v>62</v>
      </c>
      <c r="S46" s="7" t="s">
        <v>136</v>
      </c>
      <c r="T46" s="6" t="s">
        <v>1562</v>
      </c>
      <c r="U46" s="125">
        <f t="shared" si="0"/>
        <v>0.53</v>
      </c>
      <c r="V46" s="7" t="s">
        <v>291</v>
      </c>
    </row>
    <row r="47" spans="1:22" x14ac:dyDescent="0.3">
      <c r="A47" s="7">
        <v>46</v>
      </c>
      <c r="B47" s="6" t="s">
        <v>411</v>
      </c>
      <c r="C47" s="6" t="s">
        <v>2246</v>
      </c>
      <c r="D47" s="6">
        <v>30226011</v>
      </c>
      <c r="E47" s="6">
        <v>136</v>
      </c>
      <c r="F47" s="7">
        <v>246</v>
      </c>
      <c r="G47" s="7">
        <v>114</v>
      </c>
      <c r="H47" s="6" t="s">
        <v>1242</v>
      </c>
      <c r="I47" s="6" t="s">
        <v>157</v>
      </c>
      <c r="J47" s="6" t="s">
        <v>130</v>
      </c>
      <c r="K47" s="11">
        <v>0.93402777777777779</v>
      </c>
      <c r="L47" s="11">
        <v>0.97499999999999998</v>
      </c>
      <c r="M47" s="7" t="s">
        <v>109</v>
      </c>
      <c r="N47" s="6" t="s">
        <v>109</v>
      </c>
      <c r="O47" s="6" t="s">
        <v>61</v>
      </c>
      <c r="P47" s="7" t="s">
        <v>131</v>
      </c>
      <c r="Q47" s="7" t="s">
        <v>154</v>
      </c>
      <c r="R47" s="6" t="s">
        <v>63</v>
      </c>
      <c r="S47" s="7" t="s">
        <v>136</v>
      </c>
      <c r="T47" s="6" t="s">
        <v>2247</v>
      </c>
      <c r="U47" s="125">
        <f t="shared" si="0"/>
        <v>0.83823529411764708</v>
      </c>
      <c r="V47" s="7" t="s">
        <v>2146</v>
      </c>
    </row>
    <row r="48" spans="1:22" x14ac:dyDescent="0.3">
      <c r="A48" s="7">
        <v>47</v>
      </c>
      <c r="B48" s="6" t="s">
        <v>143</v>
      </c>
      <c r="C48" s="6" t="s">
        <v>2185</v>
      </c>
      <c r="D48" s="6">
        <v>10226012</v>
      </c>
      <c r="E48" s="6">
        <v>50</v>
      </c>
      <c r="F48" s="7">
        <v>163</v>
      </c>
      <c r="G48" s="7">
        <v>29</v>
      </c>
      <c r="H48" s="6" t="s">
        <v>65</v>
      </c>
      <c r="I48" s="6" t="s">
        <v>209</v>
      </c>
      <c r="J48" s="6" t="s">
        <v>130</v>
      </c>
      <c r="K48" s="11">
        <v>0.79722222222222228</v>
      </c>
      <c r="L48" s="11">
        <v>0.8569444444444444</v>
      </c>
      <c r="M48" s="7" t="s">
        <v>109</v>
      </c>
      <c r="N48" s="10" t="s">
        <v>2248</v>
      </c>
      <c r="O48" s="6" t="s">
        <v>61</v>
      </c>
      <c r="P48" s="7" t="s">
        <v>131</v>
      </c>
      <c r="Q48" s="7" t="s">
        <v>209</v>
      </c>
      <c r="R48" s="6" t="s">
        <v>109</v>
      </c>
      <c r="S48" s="7" t="s">
        <v>2249</v>
      </c>
      <c r="T48" s="6" t="s">
        <v>1596</v>
      </c>
      <c r="U48" s="125">
        <f t="shared" si="0"/>
        <v>0.57999999999999996</v>
      </c>
      <c r="V48" s="7" t="s">
        <v>291</v>
      </c>
    </row>
    <row r="49" spans="1:22" x14ac:dyDescent="0.3">
      <c r="A49" s="7">
        <v>48</v>
      </c>
      <c r="B49" s="6" t="s">
        <v>143</v>
      </c>
      <c r="C49" s="6" t="s">
        <v>2186</v>
      </c>
      <c r="D49" s="6">
        <v>10226013</v>
      </c>
      <c r="E49" s="6">
        <v>40</v>
      </c>
      <c r="F49" s="7">
        <v>52</v>
      </c>
      <c r="G49" s="7">
        <v>42</v>
      </c>
      <c r="H49" s="6" t="s">
        <v>66</v>
      </c>
      <c r="I49" s="6" t="s">
        <v>93</v>
      </c>
      <c r="J49" s="6" t="s">
        <v>130</v>
      </c>
      <c r="K49" s="11">
        <v>0.66041666666666665</v>
      </c>
      <c r="L49" s="11">
        <v>0.68263888888888891</v>
      </c>
      <c r="M49" s="7" t="s">
        <v>109</v>
      </c>
      <c r="N49" s="10" t="s">
        <v>2248</v>
      </c>
      <c r="O49" s="6" t="s">
        <v>61</v>
      </c>
      <c r="P49" s="7" t="s">
        <v>131</v>
      </c>
      <c r="Q49" s="7" t="s">
        <v>93</v>
      </c>
      <c r="R49" s="6" t="s">
        <v>109</v>
      </c>
      <c r="S49" s="7" t="s">
        <v>2249</v>
      </c>
      <c r="T49" s="6" t="s">
        <v>1596</v>
      </c>
      <c r="U49" s="125">
        <f t="shared" si="0"/>
        <v>1.05</v>
      </c>
      <c r="V49" s="7" t="s">
        <v>1945</v>
      </c>
    </row>
    <row r="50" spans="1:22" x14ac:dyDescent="0.3">
      <c r="A50" s="7">
        <v>49</v>
      </c>
      <c r="B50" s="6" t="s">
        <v>143</v>
      </c>
      <c r="C50" s="6" t="s">
        <v>1430</v>
      </c>
      <c r="D50" s="6">
        <v>10126033</v>
      </c>
      <c r="E50" s="6">
        <v>30</v>
      </c>
      <c r="F50" s="7">
        <v>60</v>
      </c>
      <c r="G50" s="7">
        <v>47</v>
      </c>
      <c r="H50" s="10" t="s">
        <v>153</v>
      </c>
      <c r="I50" s="6" t="s">
        <v>94</v>
      </c>
      <c r="J50" s="6" t="s">
        <v>130</v>
      </c>
      <c r="K50" s="11">
        <v>0.76944444444444449</v>
      </c>
      <c r="L50" s="11">
        <v>0.83402777777777781</v>
      </c>
      <c r="M50" s="7" t="s">
        <v>109</v>
      </c>
      <c r="N50" s="10" t="s">
        <v>2248</v>
      </c>
      <c r="O50" s="6" t="s">
        <v>61</v>
      </c>
      <c r="P50" s="7" t="s">
        <v>131</v>
      </c>
      <c r="Q50" s="7" t="s">
        <v>94</v>
      </c>
      <c r="R50" s="6" t="s">
        <v>62</v>
      </c>
      <c r="S50" s="7" t="s">
        <v>2249</v>
      </c>
      <c r="T50" s="6" t="s">
        <v>1433</v>
      </c>
      <c r="U50" s="125">
        <f t="shared" si="0"/>
        <v>1.5666666666666667</v>
      </c>
      <c r="V50" s="7" t="s">
        <v>1945</v>
      </c>
    </row>
    <row r="51" spans="1:22" x14ac:dyDescent="0.3">
      <c r="A51" s="7">
        <v>50</v>
      </c>
      <c r="B51" s="6" t="s">
        <v>143</v>
      </c>
      <c r="C51" s="6" t="s">
        <v>2184</v>
      </c>
      <c r="D51" s="6">
        <v>10226011</v>
      </c>
      <c r="E51" s="6">
        <v>10</v>
      </c>
      <c r="F51" s="7">
        <v>48</v>
      </c>
      <c r="G51" s="7">
        <v>13</v>
      </c>
      <c r="H51" s="6" t="s">
        <v>69</v>
      </c>
      <c r="I51" s="6" t="s">
        <v>90</v>
      </c>
      <c r="J51" s="6" t="s">
        <v>130</v>
      </c>
      <c r="K51" s="11">
        <v>0.94097222222222221</v>
      </c>
      <c r="L51" s="11">
        <v>1.1805555555555555E-2</v>
      </c>
      <c r="M51" s="7" t="s">
        <v>109</v>
      </c>
      <c r="N51" s="6" t="s">
        <v>109</v>
      </c>
      <c r="O51" s="6" t="s">
        <v>61</v>
      </c>
      <c r="P51" s="7" t="s">
        <v>131</v>
      </c>
      <c r="Q51" s="7" t="s">
        <v>90</v>
      </c>
      <c r="R51" s="6" t="s">
        <v>62</v>
      </c>
      <c r="S51" s="7" t="s">
        <v>878</v>
      </c>
      <c r="T51" s="6" t="s">
        <v>182</v>
      </c>
      <c r="U51" s="125">
        <f t="shared" si="0"/>
        <v>1.3</v>
      </c>
      <c r="V51" s="7" t="s">
        <v>1945</v>
      </c>
    </row>
    <row r="52" spans="1:22" x14ac:dyDescent="0.3">
      <c r="A52" s="7">
        <v>51</v>
      </c>
      <c r="B52" s="6" t="s">
        <v>143</v>
      </c>
      <c r="C52" s="6" t="s">
        <v>1514</v>
      </c>
      <c r="D52" s="6">
        <v>10126035</v>
      </c>
      <c r="E52" s="6">
        <v>100</v>
      </c>
      <c r="F52" s="7">
        <v>227</v>
      </c>
      <c r="G52" s="7">
        <v>109</v>
      </c>
      <c r="H52" s="10" t="s">
        <v>172</v>
      </c>
      <c r="I52" s="6" t="s">
        <v>750</v>
      </c>
      <c r="J52" s="6" t="s">
        <v>130</v>
      </c>
      <c r="K52" s="11">
        <v>0.90277777777777779</v>
      </c>
      <c r="L52" s="11">
        <v>0.97638888888888886</v>
      </c>
      <c r="M52" s="7" t="s">
        <v>109</v>
      </c>
      <c r="N52" s="6" t="s">
        <v>109</v>
      </c>
      <c r="O52" s="6" t="s">
        <v>61</v>
      </c>
      <c r="P52" s="7" t="s">
        <v>131</v>
      </c>
      <c r="Q52" s="7" t="s">
        <v>91</v>
      </c>
      <c r="R52" s="6" t="s">
        <v>62</v>
      </c>
      <c r="S52" s="7" t="s">
        <v>878</v>
      </c>
      <c r="T52" s="6" t="s">
        <v>398</v>
      </c>
      <c r="U52" s="125">
        <f t="shared" si="0"/>
        <v>1.0900000000000001</v>
      </c>
      <c r="V52" s="7" t="s">
        <v>1945</v>
      </c>
    </row>
    <row r="53" spans="1:22" x14ac:dyDescent="0.3">
      <c r="A53" s="7">
        <v>52</v>
      </c>
      <c r="B53" s="6" t="s">
        <v>143</v>
      </c>
      <c r="C53" s="6" t="s">
        <v>2250</v>
      </c>
      <c r="D53" s="6">
        <v>10226021</v>
      </c>
      <c r="E53" s="6">
        <v>175</v>
      </c>
      <c r="F53" s="7">
        <v>242</v>
      </c>
      <c r="G53" s="7">
        <v>159</v>
      </c>
      <c r="H53" s="6" t="s">
        <v>2251</v>
      </c>
      <c r="I53" s="6" t="s">
        <v>2252</v>
      </c>
      <c r="J53" s="6" t="s">
        <v>130</v>
      </c>
      <c r="K53" s="11">
        <v>0.9145833333333333</v>
      </c>
      <c r="L53" s="11">
        <v>0.95138888888888884</v>
      </c>
      <c r="M53" s="7" t="s">
        <v>109</v>
      </c>
      <c r="N53" s="6"/>
      <c r="O53" s="6" t="s">
        <v>61</v>
      </c>
      <c r="P53" s="7" t="s">
        <v>131</v>
      </c>
      <c r="Q53" s="7" t="s">
        <v>209</v>
      </c>
      <c r="R53" s="6" t="s">
        <v>62</v>
      </c>
      <c r="S53" s="7" t="s">
        <v>878</v>
      </c>
      <c r="T53" s="6" t="s">
        <v>2253</v>
      </c>
      <c r="U53" s="125">
        <f t="shared" si="0"/>
        <v>0.90857142857142859</v>
      </c>
      <c r="V53" s="7" t="s">
        <v>2146</v>
      </c>
    </row>
    <row r="54" spans="1:22" x14ac:dyDescent="0.3">
      <c r="A54" s="7">
        <v>53</v>
      </c>
      <c r="B54" s="6" t="s">
        <v>143</v>
      </c>
      <c r="C54" s="6" t="s">
        <v>2254</v>
      </c>
      <c r="D54" s="6">
        <v>10226020</v>
      </c>
      <c r="E54" s="6">
        <v>35</v>
      </c>
      <c r="F54" s="7">
        <v>47</v>
      </c>
      <c r="G54" s="7">
        <v>39</v>
      </c>
      <c r="H54" s="6" t="s">
        <v>214</v>
      </c>
      <c r="I54" s="6" t="s">
        <v>209</v>
      </c>
      <c r="J54" s="6" t="s">
        <v>130</v>
      </c>
      <c r="K54" s="11">
        <v>0.74861111111111112</v>
      </c>
      <c r="L54" s="11">
        <v>0.77847222222222223</v>
      </c>
      <c r="M54" s="7" t="s">
        <v>109</v>
      </c>
      <c r="N54" s="6"/>
      <c r="O54" s="6" t="s">
        <v>61</v>
      </c>
      <c r="P54" s="7" t="s">
        <v>131</v>
      </c>
      <c r="Q54" s="7" t="s">
        <v>209</v>
      </c>
      <c r="R54" s="6" t="s">
        <v>62</v>
      </c>
      <c r="S54" s="7" t="s">
        <v>878</v>
      </c>
      <c r="T54" s="6" t="s">
        <v>2253</v>
      </c>
      <c r="U54" s="125">
        <f t="shared" si="0"/>
        <v>1.1142857142857143</v>
      </c>
      <c r="V54" s="7" t="s">
        <v>1945</v>
      </c>
    </row>
    <row r="55" spans="1:22" x14ac:dyDescent="0.3">
      <c r="A55" s="7">
        <v>54</v>
      </c>
      <c r="B55" s="6" t="s">
        <v>143</v>
      </c>
      <c r="C55" s="6" t="s">
        <v>2255</v>
      </c>
      <c r="D55" s="6">
        <v>10226015</v>
      </c>
      <c r="E55" s="6">
        <v>85</v>
      </c>
      <c r="F55" s="7">
        <v>99</v>
      </c>
      <c r="G55" s="7">
        <v>35</v>
      </c>
      <c r="H55" s="6" t="s">
        <v>64</v>
      </c>
      <c r="I55" s="6" t="s">
        <v>89</v>
      </c>
      <c r="J55" s="6" t="s">
        <v>130</v>
      </c>
      <c r="K55" s="11">
        <v>0.96944444444444444</v>
      </c>
      <c r="L55" s="11">
        <v>1.1805555555555555E-2</v>
      </c>
      <c r="M55" s="7" t="s">
        <v>109</v>
      </c>
      <c r="N55" s="6"/>
      <c r="O55" s="6" t="s">
        <v>61</v>
      </c>
      <c r="P55" s="7" t="s">
        <v>131</v>
      </c>
      <c r="Q55" s="7" t="s">
        <v>89</v>
      </c>
      <c r="R55" s="6" t="s">
        <v>62</v>
      </c>
      <c r="S55" s="7" t="s">
        <v>878</v>
      </c>
      <c r="T55" s="6" t="s">
        <v>2253</v>
      </c>
      <c r="U55" s="125">
        <f t="shared" si="0"/>
        <v>0.41176470588235292</v>
      </c>
      <c r="V55" s="7" t="s">
        <v>2146</v>
      </c>
    </row>
    <row r="56" spans="1:22" x14ac:dyDescent="0.3">
      <c r="A56" s="7">
        <v>55</v>
      </c>
      <c r="B56" s="6" t="s">
        <v>143</v>
      </c>
      <c r="C56" s="6" t="s">
        <v>2256</v>
      </c>
      <c r="D56" s="6">
        <v>10226016</v>
      </c>
      <c r="E56" s="6">
        <v>225</v>
      </c>
      <c r="F56" s="7">
        <v>231</v>
      </c>
      <c r="G56" s="7">
        <v>118</v>
      </c>
      <c r="H56" s="10" t="s">
        <v>1837</v>
      </c>
      <c r="I56" s="6" t="s">
        <v>157</v>
      </c>
      <c r="J56" s="6" t="s">
        <v>130</v>
      </c>
      <c r="K56" s="11">
        <v>2.9166666666666667E-2</v>
      </c>
      <c r="L56" s="11">
        <v>4.0972222222222222E-2</v>
      </c>
      <c r="M56" s="7" t="s">
        <v>109</v>
      </c>
      <c r="N56" s="6"/>
      <c r="O56" s="6" t="s">
        <v>61</v>
      </c>
      <c r="P56" s="7" t="s">
        <v>131</v>
      </c>
      <c r="Q56" s="7" t="s">
        <v>93</v>
      </c>
      <c r="R56" s="6" t="s">
        <v>62</v>
      </c>
      <c r="S56" s="7" t="s">
        <v>878</v>
      </c>
      <c r="T56" s="6" t="s">
        <v>2253</v>
      </c>
      <c r="U56" s="125">
        <f t="shared" si="0"/>
        <v>0.52444444444444449</v>
      </c>
      <c r="V56" s="7" t="s">
        <v>2146</v>
      </c>
    </row>
    <row r="57" spans="1:22" x14ac:dyDescent="0.3">
      <c r="A57" s="7">
        <v>56</v>
      </c>
      <c r="B57" s="6" t="s">
        <v>143</v>
      </c>
      <c r="C57" s="6" t="s">
        <v>2257</v>
      </c>
      <c r="D57" s="6">
        <v>10226019</v>
      </c>
      <c r="E57" s="6">
        <v>140</v>
      </c>
      <c r="F57" s="7">
        <v>251</v>
      </c>
      <c r="G57" s="7">
        <v>83</v>
      </c>
      <c r="H57" s="6" t="s">
        <v>1196</v>
      </c>
      <c r="I57" s="6" t="s">
        <v>99</v>
      </c>
      <c r="J57" s="6" t="s">
        <v>130</v>
      </c>
      <c r="K57" s="11">
        <v>2.361111111111111E-2</v>
      </c>
      <c r="L57" s="11">
        <v>4.7222222222222221E-2</v>
      </c>
      <c r="M57" s="7" t="s">
        <v>109</v>
      </c>
      <c r="N57" s="6"/>
      <c r="O57" s="6" t="s">
        <v>61</v>
      </c>
      <c r="P57" s="7" t="s">
        <v>131</v>
      </c>
      <c r="Q57" s="7" t="s">
        <v>91</v>
      </c>
      <c r="R57" s="6" t="s">
        <v>62</v>
      </c>
      <c r="S57" s="7" t="s">
        <v>878</v>
      </c>
      <c r="T57" s="6" t="s">
        <v>2253</v>
      </c>
      <c r="U57" s="125">
        <f t="shared" si="0"/>
        <v>0.59285714285714286</v>
      </c>
      <c r="V57" s="7" t="s">
        <v>2146</v>
      </c>
    </row>
    <row r="58" spans="1:22" x14ac:dyDescent="0.3">
      <c r="A58" s="7">
        <v>57</v>
      </c>
      <c r="B58" s="6" t="s">
        <v>143</v>
      </c>
      <c r="C58" s="6" t="s">
        <v>2258</v>
      </c>
      <c r="D58" s="6">
        <v>10226018</v>
      </c>
      <c r="E58" s="6">
        <v>20</v>
      </c>
      <c r="F58" s="7">
        <v>43</v>
      </c>
      <c r="G58" s="7">
        <v>21</v>
      </c>
      <c r="H58" s="10" t="s">
        <v>64</v>
      </c>
      <c r="I58" s="6" t="s">
        <v>89</v>
      </c>
      <c r="J58" s="6" t="s">
        <v>130</v>
      </c>
      <c r="K58" s="11">
        <v>0.83819444444444446</v>
      </c>
      <c r="L58" s="11">
        <v>0.85069444444444442</v>
      </c>
      <c r="M58" s="7" t="s">
        <v>109</v>
      </c>
      <c r="N58" s="6"/>
      <c r="O58" s="6" t="s">
        <v>61</v>
      </c>
      <c r="P58" s="7" t="s">
        <v>109</v>
      </c>
      <c r="Q58" s="7" t="s">
        <v>109</v>
      </c>
      <c r="R58" s="6" t="s">
        <v>62</v>
      </c>
      <c r="S58" s="7" t="s">
        <v>878</v>
      </c>
      <c r="T58" s="6" t="s">
        <v>2253</v>
      </c>
      <c r="U58" s="125">
        <f t="shared" si="0"/>
        <v>1.05</v>
      </c>
      <c r="V58" s="7" t="s">
        <v>109</v>
      </c>
    </row>
    <row r="59" spans="1:22" x14ac:dyDescent="0.3">
      <c r="A59" s="7">
        <v>58</v>
      </c>
      <c r="B59" s="6" t="s">
        <v>143</v>
      </c>
      <c r="C59" s="6" t="s">
        <v>2259</v>
      </c>
      <c r="D59" s="6">
        <v>10226014</v>
      </c>
      <c r="E59" s="6">
        <v>135</v>
      </c>
      <c r="F59" s="7">
        <v>197</v>
      </c>
      <c r="G59" s="7">
        <v>104</v>
      </c>
      <c r="H59" s="6" t="s">
        <v>1837</v>
      </c>
      <c r="I59" s="6" t="s">
        <v>2260</v>
      </c>
      <c r="J59" s="6" t="s">
        <v>130</v>
      </c>
      <c r="K59" s="11">
        <v>0.89583333333333337</v>
      </c>
      <c r="L59" s="11">
        <v>0.98541666666666672</v>
      </c>
      <c r="M59" s="7" t="s">
        <v>109</v>
      </c>
      <c r="N59" s="6"/>
      <c r="O59" s="6" t="s">
        <v>61</v>
      </c>
      <c r="P59" s="7" t="s">
        <v>131</v>
      </c>
      <c r="Q59" s="7" t="s">
        <v>87</v>
      </c>
      <c r="R59" s="6" t="s">
        <v>62</v>
      </c>
      <c r="S59" s="7" t="s">
        <v>878</v>
      </c>
      <c r="T59" s="6" t="s">
        <v>2253</v>
      </c>
      <c r="U59" s="125">
        <f t="shared" si="0"/>
        <v>0.77037037037037037</v>
      </c>
      <c r="V59" s="7" t="s">
        <v>2146</v>
      </c>
    </row>
    <row r="60" spans="1:22" x14ac:dyDescent="0.3">
      <c r="A60" s="7">
        <v>59</v>
      </c>
      <c r="B60" s="6" t="s">
        <v>143</v>
      </c>
      <c r="C60" s="6" t="s">
        <v>2261</v>
      </c>
      <c r="D60" s="6">
        <v>10226017</v>
      </c>
      <c r="E60" s="6">
        <v>20</v>
      </c>
      <c r="F60" s="7">
        <v>36</v>
      </c>
      <c r="G60" s="7">
        <v>23</v>
      </c>
      <c r="H60" s="6" t="s">
        <v>184</v>
      </c>
      <c r="I60" s="6" t="s">
        <v>94</v>
      </c>
      <c r="J60" s="6" t="s">
        <v>130</v>
      </c>
      <c r="K60" s="11">
        <v>0.96527777777777779</v>
      </c>
      <c r="L60" s="11">
        <v>0.98541666666666672</v>
      </c>
      <c r="M60" s="7" t="s">
        <v>109</v>
      </c>
      <c r="N60" s="6"/>
      <c r="O60" s="6" t="s">
        <v>61</v>
      </c>
      <c r="P60" s="7" t="s">
        <v>131</v>
      </c>
      <c r="Q60" s="7" t="s">
        <v>94</v>
      </c>
      <c r="R60" s="6" t="s">
        <v>62</v>
      </c>
      <c r="S60" s="7" t="s">
        <v>878</v>
      </c>
      <c r="T60" s="6" t="s">
        <v>2253</v>
      </c>
      <c r="U60" s="125">
        <f t="shared" si="0"/>
        <v>1.1499999999999999</v>
      </c>
      <c r="V60" s="7" t="s">
        <v>1945</v>
      </c>
    </row>
    <row r="61" spans="1:22" x14ac:dyDescent="0.3">
      <c r="A61" s="7">
        <v>60</v>
      </c>
      <c r="B61" s="6" t="s">
        <v>143</v>
      </c>
      <c r="C61" s="6" t="s">
        <v>1604</v>
      </c>
      <c r="D61" s="6">
        <v>10126042</v>
      </c>
      <c r="E61" s="6">
        <v>75</v>
      </c>
      <c r="F61" s="7">
        <v>92</v>
      </c>
      <c r="G61" s="7">
        <v>58</v>
      </c>
      <c r="H61" s="6" t="s">
        <v>153</v>
      </c>
      <c r="I61" s="6" t="s">
        <v>154</v>
      </c>
      <c r="J61" s="6" t="s">
        <v>130</v>
      </c>
      <c r="K61" s="11">
        <v>0.72083333333333333</v>
      </c>
      <c r="L61" s="11">
        <v>0.80138888888888893</v>
      </c>
      <c r="M61" s="7" t="s">
        <v>109</v>
      </c>
      <c r="N61" s="6" t="s">
        <v>109</v>
      </c>
      <c r="O61" s="6" t="s">
        <v>61</v>
      </c>
      <c r="P61" s="7" t="s">
        <v>131</v>
      </c>
      <c r="Q61" s="7" t="s">
        <v>154</v>
      </c>
      <c r="R61" s="6" t="s">
        <v>62</v>
      </c>
      <c r="S61" s="7" t="s">
        <v>878</v>
      </c>
      <c r="T61" s="6" t="s">
        <v>398</v>
      </c>
      <c r="U61" s="125">
        <f t="shared" si="0"/>
        <v>0.77333333333333332</v>
      </c>
      <c r="V61" s="7" t="s">
        <v>2146</v>
      </c>
    </row>
    <row r="62" spans="1:22" x14ac:dyDescent="0.3">
      <c r="A62" s="7">
        <v>61</v>
      </c>
      <c r="B62" s="6" t="s">
        <v>23</v>
      </c>
      <c r="C62" s="6" t="s">
        <v>1375</v>
      </c>
      <c r="D62" s="6">
        <v>50126345</v>
      </c>
      <c r="E62" s="6">
        <v>150</v>
      </c>
      <c r="F62" s="7">
        <v>225</v>
      </c>
      <c r="G62" s="7">
        <v>88</v>
      </c>
      <c r="H62" s="6" t="s">
        <v>2262</v>
      </c>
      <c r="I62" s="6" t="s">
        <v>109</v>
      </c>
      <c r="J62" s="6" t="s">
        <v>130</v>
      </c>
      <c r="K62" s="11" t="s">
        <v>109</v>
      </c>
      <c r="L62" s="11">
        <v>2.7083333333333334E-2</v>
      </c>
      <c r="M62" s="7" t="s">
        <v>109</v>
      </c>
      <c r="N62" s="6" t="s">
        <v>109</v>
      </c>
      <c r="O62" s="6" t="s">
        <v>61</v>
      </c>
      <c r="P62" s="7" t="s">
        <v>131</v>
      </c>
      <c r="Q62" s="7" t="s">
        <v>64</v>
      </c>
      <c r="R62" s="6" t="s">
        <v>62</v>
      </c>
      <c r="S62" s="7" t="s">
        <v>1273</v>
      </c>
      <c r="T62" s="6" t="s">
        <v>1377</v>
      </c>
      <c r="U62" s="125">
        <f t="shared" si="0"/>
        <v>0.58666666666666667</v>
      </c>
      <c r="V62" s="7" t="s">
        <v>2146</v>
      </c>
    </row>
    <row r="63" spans="1:22" x14ac:dyDescent="0.3">
      <c r="A63" s="7">
        <v>62</v>
      </c>
      <c r="B63" s="6" t="s">
        <v>23</v>
      </c>
      <c r="C63" s="6" t="s">
        <v>2263</v>
      </c>
      <c r="D63" s="6">
        <v>50226070</v>
      </c>
      <c r="E63" s="6">
        <v>70</v>
      </c>
      <c r="F63" s="7">
        <v>131</v>
      </c>
      <c r="G63" s="7">
        <v>68</v>
      </c>
      <c r="H63" s="6" t="s">
        <v>153</v>
      </c>
      <c r="I63" s="6" t="s">
        <v>94</v>
      </c>
      <c r="J63" s="6" t="s">
        <v>130</v>
      </c>
      <c r="K63" s="11">
        <v>0.66666666666666663</v>
      </c>
      <c r="L63" s="11">
        <v>0.79166666666666663</v>
      </c>
      <c r="M63" s="7" t="s">
        <v>109</v>
      </c>
      <c r="N63" s="6" t="s">
        <v>109</v>
      </c>
      <c r="O63" s="6" t="s">
        <v>61</v>
      </c>
      <c r="P63" s="7" t="s">
        <v>131</v>
      </c>
      <c r="Q63" s="7" t="s">
        <v>94</v>
      </c>
      <c r="R63" s="6" t="s">
        <v>62</v>
      </c>
      <c r="S63" s="7" t="s">
        <v>1273</v>
      </c>
      <c r="T63" s="6" t="s">
        <v>2264</v>
      </c>
      <c r="U63" s="125">
        <f t="shared" si="0"/>
        <v>0.97142857142857142</v>
      </c>
      <c r="V63" s="7" t="s">
        <v>1945</v>
      </c>
    </row>
    <row r="64" spans="1:22" x14ac:dyDescent="0.3">
      <c r="A64" s="7">
        <v>63</v>
      </c>
      <c r="B64" s="6" t="s">
        <v>23</v>
      </c>
      <c r="C64" s="6" t="s">
        <v>2265</v>
      </c>
      <c r="D64" s="6">
        <v>50226072</v>
      </c>
      <c r="E64" s="6">
        <v>100</v>
      </c>
      <c r="F64" s="7">
        <v>55</v>
      </c>
      <c r="G64" s="7">
        <v>36</v>
      </c>
      <c r="H64" s="6" t="s">
        <v>274</v>
      </c>
      <c r="I64" s="6" t="s">
        <v>109</v>
      </c>
      <c r="J64" s="6" t="s">
        <v>130</v>
      </c>
      <c r="K64" s="11" t="s">
        <v>109</v>
      </c>
      <c r="L64" s="11">
        <v>5.2083333333333336E-2</v>
      </c>
      <c r="M64" s="7" t="s">
        <v>109</v>
      </c>
      <c r="N64" s="6" t="s">
        <v>109</v>
      </c>
      <c r="O64" s="6" t="s">
        <v>61</v>
      </c>
      <c r="P64" s="7" t="s">
        <v>131</v>
      </c>
      <c r="Q64" s="7" t="s">
        <v>274</v>
      </c>
      <c r="R64" s="6" t="s">
        <v>62</v>
      </c>
      <c r="S64" s="7" t="s">
        <v>1273</v>
      </c>
      <c r="T64" s="6" t="s">
        <v>2264</v>
      </c>
      <c r="U64" s="125">
        <f t="shared" si="0"/>
        <v>0.36</v>
      </c>
      <c r="V64" s="7" t="s">
        <v>2146</v>
      </c>
    </row>
    <row r="65" spans="1:22" x14ac:dyDescent="0.3">
      <c r="A65" s="7">
        <v>64</v>
      </c>
      <c r="B65" s="6" t="s">
        <v>23</v>
      </c>
      <c r="C65" s="6" t="s">
        <v>2266</v>
      </c>
      <c r="D65" s="6">
        <v>50226071</v>
      </c>
      <c r="E65" s="6">
        <v>150</v>
      </c>
      <c r="F65" s="7">
        <v>203</v>
      </c>
      <c r="G65" s="7">
        <v>141</v>
      </c>
      <c r="H65" s="10" t="s">
        <v>2267</v>
      </c>
      <c r="I65" s="6" t="s">
        <v>109</v>
      </c>
      <c r="J65" s="6" t="s">
        <v>130</v>
      </c>
      <c r="K65" s="11" t="s">
        <v>109</v>
      </c>
      <c r="L65" s="11">
        <v>0.96736111111111112</v>
      </c>
      <c r="M65" s="7" t="s">
        <v>109</v>
      </c>
      <c r="N65" s="6" t="s">
        <v>109</v>
      </c>
      <c r="O65" s="6" t="s">
        <v>61</v>
      </c>
      <c r="P65" s="7" t="s">
        <v>131</v>
      </c>
      <c r="Q65" s="7" t="s">
        <v>84</v>
      </c>
      <c r="R65" s="6" t="s">
        <v>62</v>
      </c>
      <c r="S65" s="7" t="s">
        <v>1273</v>
      </c>
      <c r="T65" s="6" t="s">
        <v>2264</v>
      </c>
      <c r="U65" s="125">
        <f t="shared" si="0"/>
        <v>0.94</v>
      </c>
      <c r="V65" s="7" t="s">
        <v>1945</v>
      </c>
    </row>
    <row r="66" spans="1:22" x14ac:dyDescent="0.3">
      <c r="A66" s="7">
        <v>65</v>
      </c>
      <c r="B66" s="6" t="s">
        <v>23</v>
      </c>
      <c r="C66" s="6" t="s">
        <v>2115</v>
      </c>
      <c r="D66" s="6">
        <v>50226055</v>
      </c>
      <c r="E66" s="6">
        <v>300</v>
      </c>
      <c r="F66" s="7">
        <v>345</v>
      </c>
      <c r="G66" s="7">
        <v>230</v>
      </c>
      <c r="H66" s="6" t="s">
        <v>2268</v>
      </c>
      <c r="I66" s="6" t="s">
        <v>109</v>
      </c>
      <c r="J66" s="6" t="s">
        <v>130</v>
      </c>
      <c r="K66" s="11" t="s">
        <v>109</v>
      </c>
      <c r="L66" s="11">
        <v>4.5138888888888888E-2</v>
      </c>
      <c r="M66" s="7" t="s">
        <v>109</v>
      </c>
      <c r="N66" s="6" t="s">
        <v>109</v>
      </c>
      <c r="O66" s="6" t="s">
        <v>61</v>
      </c>
      <c r="P66" s="7" t="s">
        <v>131</v>
      </c>
      <c r="Q66" s="7" t="s">
        <v>200</v>
      </c>
      <c r="R66" s="6" t="s">
        <v>62</v>
      </c>
      <c r="S66" s="7" t="s">
        <v>1273</v>
      </c>
      <c r="T66" s="6" t="s">
        <v>289</v>
      </c>
      <c r="U66" s="125">
        <f t="shared" si="0"/>
        <v>0.76666666666666672</v>
      </c>
      <c r="V66" s="7" t="s">
        <v>2146</v>
      </c>
    </row>
    <row r="67" spans="1:22" x14ac:dyDescent="0.3">
      <c r="A67" s="7">
        <v>66</v>
      </c>
      <c r="B67" s="6" t="s">
        <v>23</v>
      </c>
      <c r="C67" s="6" t="s">
        <v>2117</v>
      </c>
      <c r="D67" s="6">
        <v>50226054</v>
      </c>
      <c r="E67" s="6">
        <v>300</v>
      </c>
      <c r="F67" s="7">
        <v>394</v>
      </c>
      <c r="G67" s="7">
        <v>290</v>
      </c>
      <c r="H67" s="10" t="s">
        <v>2269</v>
      </c>
      <c r="I67" s="6" t="s">
        <v>109</v>
      </c>
      <c r="J67" s="6" t="s">
        <v>130</v>
      </c>
      <c r="K67" s="11" t="s">
        <v>109</v>
      </c>
      <c r="L67" s="11">
        <v>0.99444444444444446</v>
      </c>
      <c r="M67" s="7" t="s">
        <v>109</v>
      </c>
      <c r="N67" s="6" t="s">
        <v>109</v>
      </c>
      <c r="O67" s="6" t="s">
        <v>61</v>
      </c>
      <c r="P67" s="7" t="s">
        <v>131</v>
      </c>
      <c r="Q67" s="7" t="s">
        <v>71</v>
      </c>
      <c r="R67" s="6" t="s">
        <v>62</v>
      </c>
      <c r="S67" s="7" t="s">
        <v>1273</v>
      </c>
      <c r="T67" s="6" t="s">
        <v>289</v>
      </c>
      <c r="U67" s="125">
        <f t="shared" ref="U67:U82" si="1">G67/E67</f>
        <v>0.96666666666666667</v>
      </c>
      <c r="V67" s="7" t="s">
        <v>1945</v>
      </c>
    </row>
    <row r="68" spans="1:22" x14ac:dyDescent="0.3">
      <c r="A68" s="7">
        <v>67</v>
      </c>
      <c r="B68" s="6" t="s">
        <v>23</v>
      </c>
      <c r="C68" s="6" t="s">
        <v>2199</v>
      </c>
      <c r="D68" s="6">
        <v>50226057</v>
      </c>
      <c r="E68" s="6">
        <v>290</v>
      </c>
      <c r="F68" s="7">
        <v>524</v>
      </c>
      <c r="G68" s="7">
        <v>258</v>
      </c>
      <c r="H68" s="10" t="s">
        <v>2270</v>
      </c>
      <c r="I68" s="6" t="s">
        <v>109</v>
      </c>
      <c r="J68" s="6" t="s">
        <v>130</v>
      </c>
      <c r="K68" s="11" t="s">
        <v>109</v>
      </c>
      <c r="L68" s="11">
        <v>0.86875000000000002</v>
      </c>
      <c r="M68" s="7" t="s">
        <v>109</v>
      </c>
      <c r="N68" s="6" t="s">
        <v>109</v>
      </c>
      <c r="O68" s="6" t="s">
        <v>61</v>
      </c>
      <c r="P68" s="7" t="s">
        <v>131</v>
      </c>
      <c r="Q68" s="7" t="s">
        <v>64</v>
      </c>
      <c r="R68" s="6" t="s">
        <v>62</v>
      </c>
      <c r="S68" s="7" t="s">
        <v>1273</v>
      </c>
      <c r="T68" s="6" t="s">
        <v>289</v>
      </c>
      <c r="U68" s="125">
        <f t="shared" si="1"/>
        <v>0.8896551724137931</v>
      </c>
      <c r="V68" s="7" t="s">
        <v>2146</v>
      </c>
    </row>
    <row r="69" spans="1:22" x14ac:dyDescent="0.3">
      <c r="A69" s="7">
        <v>68</v>
      </c>
      <c r="B69" s="6" t="s">
        <v>23</v>
      </c>
      <c r="C69" s="6" t="s">
        <v>754</v>
      </c>
      <c r="D69" s="6">
        <v>50126148</v>
      </c>
      <c r="E69" s="6">
        <v>100</v>
      </c>
      <c r="F69" s="7">
        <v>39</v>
      </c>
      <c r="G69" s="7">
        <v>20</v>
      </c>
      <c r="H69" s="6" t="s">
        <v>82</v>
      </c>
      <c r="I69" s="6" t="s">
        <v>89</v>
      </c>
      <c r="J69" s="6" t="s">
        <v>130</v>
      </c>
      <c r="K69" s="11">
        <v>0.96875</v>
      </c>
      <c r="L69" s="11">
        <v>0.99375000000000002</v>
      </c>
      <c r="M69" s="7" t="s">
        <v>109</v>
      </c>
      <c r="N69" s="6" t="s">
        <v>109</v>
      </c>
      <c r="O69" s="6" t="s">
        <v>61</v>
      </c>
      <c r="P69" s="7" t="s">
        <v>131</v>
      </c>
      <c r="Q69" s="7" t="s">
        <v>89</v>
      </c>
      <c r="R69" s="6" t="s">
        <v>62</v>
      </c>
      <c r="S69" s="7" t="s">
        <v>1273</v>
      </c>
      <c r="T69" s="6" t="s">
        <v>480</v>
      </c>
      <c r="U69" s="125">
        <f t="shared" si="1"/>
        <v>0.2</v>
      </c>
      <c r="V69" s="7" t="s">
        <v>2277</v>
      </c>
    </row>
    <row r="70" spans="1:22" x14ac:dyDescent="0.3">
      <c r="A70" s="7">
        <v>69</v>
      </c>
      <c r="B70" s="6" t="s">
        <v>23</v>
      </c>
      <c r="C70" s="6" t="s">
        <v>758</v>
      </c>
      <c r="D70" s="6">
        <v>50126142</v>
      </c>
      <c r="E70" s="6">
        <v>150</v>
      </c>
      <c r="F70" s="7">
        <v>213</v>
      </c>
      <c r="G70" s="7">
        <v>68</v>
      </c>
      <c r="H70" s="6" t="s">
        <v>2271</v>
      </c>
      <c r="I70" s="6" t="s">
        <v>1518</v>
      </c>
      <c r="J70" s="6" t="s">
        <v>130</v>
      </c>
      <c r="K70" s="11">
        <v>3.3333333333333333E-2</v>
      </c>
      <c r="L70" s="11">
        <v>4.4444444444444446E-2</v>
      </c>
      <c r="M70" s="7" t="s">
        <v>109</v>
      </c>
      <c r="N70" s="6" t="s">
        <v>109</v>
      </c>
      <c r="O70" s="6" t="s">
        <v>61</v>
      </c>
      <c r="P70" s="7" t="s">
        <v>131</v>
      </c>
      <c r="Q70" s="7" t="s">
        <v>86</v>
      </c>
      <c r="R70" s="6" t="s">
        <v>62</v>
      </c>
      <c r="S70" s="7" t="s">
        <v>1273</v>
      </c>
      <c r="T70" s="6" t="s">
        <v>480</v>
      </c>
      <c r="U70" s="125">
        <f t="shared" si="1"/>
        <v>0.45333333333333331</v>
      </c>
      <c r="V70" s="7" t="s">
        <v>2146</v>
      </c>
    </row>
    <row r="71" spans="1:22" x14ac:dyDescent="0.3">
      <c r="A71" s="7">
        <v>70</v>
      </c>
      <c r="B71" s="6" t="s">
        <v>23</v>
      </c>
      <c r="C71" s="6" t="s">
        <v>759</v>
      </c>
      <c r="D71" s="6">
        <v>50126147</v>
      </c>
      <c r="E71" s="6">
        <v>150</v>
      </c>
      <c r="F71" s="7">
        <v>284</v>
      </c>
      <c r="G71" s="7">
        <v>144</v>
      </c>
      <c r="H71" s="10" t="s">
        <v>2272</v>
      </c>
      <c r="I71" s="6" t="s">
        <v>2273</v>
      </c>
      <c r="J71" s="6" t="s">
        <v>130</v>
      </c>
      <c r="K71" s="11">
        <v>0.95138888888888884</v>
      </c>
      <c r="L71" s="11">
        <v>0.94374999999999998</v>
      </c>
      <c r="M71" s="7" t="s">
        <v>109</v>
      </c>
      <c r="N71" s="6" t="s">
        <v>109</v>
      </c>
      <c r="O71" s="6" t="s">
        <v>61</v>
      </c>
      <c r="P71" s="7" t="s">
        <v>131</v>
      </c>
      <c r="Q71" s="7" t="s">
        <v>90</v>
      </c>
      <c r="R71" s="6" t="s">
        <v>62</v>
      </c>
      <c r="S71" s="7" t="s">
        <v>1273</v>
      </c>
      <c r="T71" s="6" t="s">
        <v>480</v>
      </c>
      <c r="U71" s="125">
        <f t="shared" si="1"/>
        <v>0.96</v>
      </c>
      <c r="V71" s="7" t="s">
        <v>2146</v>
      </c>
    </row>
    <row r="72" spans="1:22" x14ac:dyDescent="0.3">
      <c r="A72" s="7">
        <v>71</v>
      </c>
      <c r="B72" s="6" t="s">
        <v>23</v>
      </c>
      <c r="C72" s="6" t="s">
        <v>1053</v>
      </c>
      <c r="D72" s="6">
        <v>50126314</v>
      </c>
      <c r="E72" s="6">
        <v>100</v>
      </c>
      <c r="F72" s="7">
        <v>165</v>
      </c>
      <c r="G72" s="7">
        <v>73</v>
      </c>
      <c r="H72" s="6" t="s">
        <v>84</v>
      </c>
      <c r="I72" s="6" t="s">
        <v>94</v>
      </c>
      <c r="J72" s="6" t="s">
        <v>130</v>
      </c>
      <c r="K72" s="11">
        <v>0.82291666666666663</v>
      </c>
      <c r="L72" s="11">
        <v>0.85277777777777775</v>
      </c>
      <c r="M72" s="7" t="s">
        <v>109</v>
      </c>
      <c r="N72" s="6" t="s">
        <v>109</v>
      </c>
      <c r="O72" s="6" t="s">
        <v>61</v>
      </c>
      <c r="P72" s="7" t="s">
        <v>131</v>
      </c>
      <c r="Q72" s="7" t="s">
        <v>94</v>
      </c>
      <c r="R72" s="6" t="s">
        <v>62</v>
      </c>
      <c r="S72" s="7" t="s">
        <v>1273</v>
      </c>
      <c r="T72" s="6" t="s">
        <v>480</v>
      </c>
      <c r="U72" s="125">
        <f t="shared" si="1"/>
        <v>0.73</v>
      </c>
      <c r="V72" s="7" t="s">
        <v>2146</v>
      </c>
    </row>
    <row r="73" spans="1:22" x14ac:dyDescent="0.3">
      <c r="A73" s="7">
        <v>72</v>
      </c>
      <c r="B73" s="6" t="s">
        <v>23</v>
      </c>
      <c r="C73" s="6" t="s">
        <v>1054</v>
      </c>
      <c r="D73" s="6">
        <v>50126315</v>
      </c>
      <c r="E73" s="6">
        <v>100</v>
      </c>
      <c r="F73" s="7">
        <v>127</v>
      </c>
      <c r="G73" s="7">
        <v>97</v>
      </c>
      <c r="H73" s="6" t="s">
        <v>69</v>
      </c>
      <c r="I73" s="6" t="s">
        <v>209</v>
      </c>
      <c r="J73" s="6" t="s">
        <v>130</v>
      </c>
      <c r="K73" s="11">
        <v>2.2916666666666665E-2</v>
      </c>
      <c r="L73" s="11">
        <v>3.1944444444444442E-2</v>
      </c>
      <c r="M73" s="7" t="s">
        <v>109</v>
      </c>
      <c r="N73" s="6" t="s">
        <v>109</v>
      </c>
      <c r="O73" s="6" t="s">
        <v>61</v>
      </c>
      <c r="P73" s="7" t="s">
        <v>131</v>
      </c>
      <c r="Q73" s="7" t="s">
        <v>209</v>
      </c>
      <c r="R73" s="6" t="s">
        <v>62</v>
      </c>
      <c r="S73" s="7" t="s">
        <v>1273</v>
      </c>
      <c r="T73" s="6" t="s">
        <v>480</v>
      </c>
      <c r="U73" s="125">
        <f t="shared" si="1"/>
        <v>0.97</v>
      </c>
      <c r="V73" s="7" t="s">
        <v>1945</v>
      </c>
    </row>
    <row r="74" spans="1:22" x14ac:dyDescent="0.3">
      <c r="A74" s="7">
        <v>73</v>
      </c>
      <c r="B74" s="6" t="s">
        <v>23</v>
      </c>
      <c r="C74" s="6" t="s">
        <v>1055</v>
      </c>
      <c r="D74" s="6">
        <v>50126317</v>
      </c>
      <c r="E74" s="6">
        <v>30</v>
      </c>
      <c r="F74" s="7">
        <v>34</v>
      </c>
      <c r="G74" s="7">
        <v>9</v>
      </c>
      <c r="H74" s="6" t="s">
        <v>83</v>
      </c>
      <c r="I74" s="6" t="s">
        <v>209</v>
      </c>
      <c r="J74" s="6" t="s">
        <v>130</v>
      </c>
      <c r="K74" s="11">
        <v>0.65833333333333333</v>
      </c>
      <c r="L74" s="11">
        <v>0.7944444444444444</v>
      </c>
      <c r="M74" s="7" t="s">
        <v>109</v>
      </c>
      <c r="N74" s="6" t="s">
        <v>109</v>
      </c>
      <c r="O74" s="6" t="s">
        <v>61</v>
      </c>
      <c r="P74" s="7" t="s">
        <v>131</v>
      </c>
      <c r="Q74" s="7" t="s">
        <v>209</v>
      </c>
      <c r="R74" s="6" t="s">
        <v>62</v>
      </c>
      <c r="S74" s="7" t="s">
        <v>1273</v>
      </c>
      <c r="T74" s="6" t="s">
        <v>480</v>
      </c>
      <c r="U74" s="125">
        <f t="shared" si="1"/>
        <v>0.3</v>
      </c>
      <c r="V74" s="7" t="s">
        <v>291</v>
      </c>
    </row>
    <row r="75" spans="1:22" x14ac:dyDescent="0.3">
      <c r="A75" s="7">
        <v>74</v>
      </c>
      <c r="B75" s="6" t="s">
        <v>23</v>
      </c>
      <c r="C75" s="6" t="s">
        <v>1911</v>
      </c>
      <c r="D75" s="6">
        <v>50226026</v>
      </c>
      <c r="E75" s="6">
        <v>200</v>
      </c>
      <c r="F75" s="7">
        <v>345</v>
      </c>
      <c r="G75" s="7">
        <v>48</v>
      </c>
      <c r="H75" s="6" t="s">
        <v>1447</v>
      </c>
      <c r="I75" s="6" t="s">
        <v>103</v>
      </c>
      <c r="J75" s="6" t="s">
        <v>130</v>
      </c>
      <c r="K75" s="11">
        <v>0.99513888888888891</v>
      </c>
      <c r="L75" s="11">
        <v>1.2500000000000001E-2</v>
      </c>
      <c r="M75" s="7" t="s">
        <v>109</v>
      </c>
      <c r="N75" s="6" t="s">
        <v>109</v>
      </c>
      <c r="O75" s="6" t="s">
        <v>61</v>
      </c>
      <c r="P75" s="7" t="s">
        <v>131</v>
      </c>
      <c r="Q75" s="7" t="s">
        <v>94</v>
      </c>
      <c r="R75" s="6" t="s">
        <v>62</v>
      </c>
      <c r="S75" s="7" t="s">
        <v>1273</v>
      </c>
      <c r="T75" s="6" t="s">
        <v>480</v>
      </c>
      <c r="U75" s="125">
        <f t="shared" si="1"/>
        <v>0.24</v>
      </c>
      <c r="V75" s="7" t="s">
        <v>2146</v>
      </c>
    </row>
    <row r="76" spans="1:22" x14ac:dyDescent="0.3">
      <c r="A76" s="7">
        <v>75</v>
      </c>
      <c r="B76" s="6" t="s">
        <v>23</v>
      </c>
      <c r="C76" s="6" t="s">
        <v>1056</v>
      </c>
      <c r="D76" s="6">
        <v>50126316</v>
      </c>
      <c r="E76" s="6">
        <v>150</v>
      </c>
      <c r="F76" s="7">
        <v>255</v>
      </c>
      <c r="G76" s="7">
        <v>66</v>
      </c>
      <c r="H76" s="6" t="s">
        <v>1837</v>
      </c>
      <c r="I76" s="6" t="s">
        <v>157</v>
      </c>
      <c r="J76" s="6" t="s">
        <v>130</v>
      </c>
      <c r="K76" s="11">
        <v>0.95277777777777772</v>
      </c>
      <c r="L76" s="11">
        <v>6.9444444444444447E-4</v>
      </c>
      <c r="M76" s="7" t="s">
        <v>109</v>
      </c>
      <c r="N76" s="6" t="s">
        <v>109</v>
      </c>
      <c r="O76" s="6" t="s">
        <v>61</v>
      </c>
      <c r="P76" s="7" t="s">
        <v>131</v>
      </c>
      <c r="Q76" s="7" t="s">
        <v>93</v>
      </c>
      <c r="R76" s="6" t="s">
        <v>62</v>
      </c>
      <c r="S76" s="7" t="s">
        <v>1273</v>
      </c>
      <c r="T76" s="6" t="s">
        <v>480</v>
      </c>
      <c r="U76" s="125">
        <f t="shared" si="1"/>
        <v>0.44</v>
      </c>
      <c r="V76" s="7" t="s">
        <v>2146</v>
      </c>
    </row>
    <row r="77" spans="1:22" x14ac:dyDescent="0.3">
      <c r="A77" s="7">
        <v>76</v>
      </c>
      <c r="B77" s="6" t="s">
        <v>23</v>
      </c>
      <c r="C77" s="6" t="s">
        <v>1909</v>
      </c>
      <c r="D77" s="6">
        <v>50226025</v>
      </c>
      <c r="E77" s="6">
        <v>400</v>
      </c>
      <c r="F77" s="7">
        <v>621</v>
      </c>
      <c r="G77" s="7">
        <v>150</v>
      </c>
      <c r="H77" s="6" t="s">
        <v>2274</v>
      </c>
      <c r="I77" s="6" t="s">
        <v>2275</v>
      </c>
      <c r="J77" s="6" t="s">
        <v>130</v>
      </c>
      <c r="K77" s="11">
        <v>0.93680555555555556</v>
      </c>
      <c r="L77" s="11">
        <v>0.98819444444444449</v>
      </c>
      <c r="M77" s="7" t="s">
        <v>109</v>
      </c>
      <c r="N77" s="6" t="s">
        <v>109</v>
      </c>
      <c r="O77" s="6" t="s">
        <v>61</v>
      </c>
      <c r="P77" s="7" t="s">
        <v>131</v>
      </c>
      <c r="Q77" s="7" t="s">
        <v>93</v>
      </c>
      <c r="R77" s="6" t="s">
        <v>62</v>
      </c>
      <c r="S77" s="7" t="s">
        <v>1273</v>
      </c>
      <c r="T77" s="6" t="s">
        <v>480</v>
      </c>
      <c r="U77" s="125">
        <f t="shared" si="1"/>
        <v>0.375</v>
      </c>
      <c r="V77" s="7" t="s">
        <v>2146</v>
      </c>
    </row>
    <row r="78" spans="1:22" x14ac:dyDescent="0.3">
      <c r="A78" s="7">
        <v>77</v>
      </c>
      <c r="B78" s="6" t="s">
        <v>23</v>
      </c>
      <c r="C78" s="6" t="s">
        <v>686</v>
      </c>
      <c r="D78" s="6">
        <v>50126137</v>
      </c>
      <c r="E78" s="6">
        <v>40</v>
      </c>
      <c r="F78" s="7">
        <v>5</v>
      </c>
      <c r="G78" s="7">
        <v>3</v>
      </c>
      <c r="H78" s="6" t="s">
        <v>83</v>
      </c>
      <c r="I78" s="6" t="s">
        <v>89</v>
      </c>
      <c r="J78" s="6" t="s">
        <v>130</v>
      </c>
      <c r="K78" s="11">
        <v>0.6743055555555556</v>
      </c>
      <c r="L78" s="11">
        <v>0.69374999999999998</v>
      </c>
      <c r="M78" s="7" t="s">
        <v>109</v>
      </c>
      <c r="N78" s="10" t="s">
        <v>2276</v>
      </c>
      <c r="O78" s="6" t="s">
        <v>61</v>
      </c>
      <c r="P78" s="7" t="s">
        <v>131</v>
      </c>
      <c r="Q78" s="7" t="s">
        <v>89</v>
      </c>
      <c r="R78" s="6" t="s">
        <v>62</v>
      </c>
      <c r="S78" s="7" t="s">
        <v>1273</v>
      </c>
      <c r="T78" s="6" t="s">
        <v>688</v>
      </c>
      <c r="U78" s="125">
        <f t="shared" si="1"/>
        <v>7.4999999999999997E-2</v>
      </c>
      <c r="V78" s="7" t="s">
        <v>291</v>
      </c>
    </row>
    <row r="79" spans="1:22" x14ac:dyDescent="0.3">
      <c r="A79" s="28">
        <v>78</v>
      </c>
      <c r="B79" s="28" t="s">
        <v>411</v>
      </c>
      <c r="C79" s="28" t="s">
        <v>412</v>
      </c>
      <c r="D79" s="28">
        <v>30126001</v>
      </c>
      <c r="E79" s="28">
        <v>20</v>
      </c>
      <c r="F79" s="28">
        <v>50</v>
      </c>
      <c r="G79" s="28">
        <v>24</v>
      </c>
      <c r="H79" s="28" t="s">
        <v>95</v>
      </c>
      <c r="I79" s="28" t="s">
        <v>109</v>
      </c>
      <c r="J79" s="28" t="s">
        <v>130</v>
      </c>
      <c r="K79" s="28" t="s">
        <v>109</v>
      </c>
      <c r="L79" s="41">
        <v>0.78125</v>
      </c>
      <c r="M79" s="28" t="s">
        <v>109</v>
      </c>
      <c r="N79" s="28" t="s">
        <v>109</v>
      </c>
      <c r="O79" s="6" t="s">
        <v>61</v>
      </c>
      <c r="P79" s="28" t="s">
        <v>131</v>
      </c>
      <c r="Q79" s="28" t="s">
        <v>95</v>
      </c>
      <c r="R79" s="6" t="s">
        <v>62</v>
      </c>
      <c r="S79" s="28" t="s">
        <v>136</v>
      </c>
      <c r="T79" s="28" t="s">
        <v>413</v>
      </c>
      <c r="U79" s="125">
        <f t="shared" si="1"/>
        <v>1.2</v>
      </c>
      <c r="V79" s="28" t="s">
        <v>1945</v>
      </c>
    </row>
    <row r="80" spans="1:22" x14ac:dyDescent="0.3">
      <c r="A80" s="7">
        <v>79</v>
      </c>
      <c r="B80" s="6" t="s">
        <v>23</v>
      </c>
      <c r="C80" s="6" t="s">
        <v>854</v>
      </c>
      <c r="D80" s="6">
        <v>50126208</v>
      </c>
      <c r="E80" s="6">
        <v>35</v>
      </c>
      <c r="F80" s="7">
        <v>35</v>
      </c>
      <c r="G80" s="7">
        <v>25</v>
      </c>
      <c r="H80" s="6" t="s">
        <v>86</v>
      </c>
      <c r="I80" s="6" t="s">
        <v>109</v>
      </c>
      <c r="J80" s="6" t="s">
        <v>130</v>
      </c>
      <c r="K80" s="11" t="s">
        <v>109</v>
      </c>
      <c r="L80" s="11">
        <v>0.9604166666666667</v>
      </c>
      <c r="M80" s="7" t="s">
        <v>109</v>
      </c>
      <c r="N80" s="6" t="s">
        <v>109</v>
      </c>
      <c r="O80" s="6" t="s">
        <v>145</v>
      </c>
      <c r="P80" s="7" t="s">
        <v>131</v>
      </c>
      <c r="Q80" s="7" t="s">
        <v>86</v>
      </c>
      <c r="R80" s="6" t="s">
        <v>62</v>
      </c>
      <c r="S80" s="7" t="s">
        <v>109</v>
      </c>
      <c r="T80" s="6" t="s">
        <v>853</v>
      </c>
      <c r="U80" s="125">
        <f t="shared" si="1"/>
        <v>0.7142857142857143</v>
      </c>
      <c r="V80" s="7" t="s">
        <v>2278</v>
      </c>
    </row>
    <row r="81" spans="1:22" x14ac:dyDescent="0.3">
      <c r="A81" s="7">
        <v>80</v>
      </c>
      <c r="B81" s="6" t="s">
        <v>23</v>
      </c>
      <c r="C81" s="6" t="s">
        <v>1918</v>
      </c>
      <c r="D81" s="6">
        <v>50226022</v>
      </c>
      <c r="E81" s="6">
        <v>233</v>
      </c>
      <c r="F81" s="7">
        <v>173</v>
      </c>
      <c r="G81" s="7">
        <v>76</v>
      </c>
      <c r="H81" s="6" t="s">
        <v>2280</v>
      </c>
      <c r="I81" s="6" t="s">
        <v>109</v>
      </c>
      <c r="J81" s="6" t="s">
        <v>130</v>
      </c>
      <c r="K81" s="11" t="s">
        <v>109</v>
      </c>
      <c r="L81" s="11">
        <v>2.9166666666666667E-2</v>
      </c>
      <c r="M81" s="7" t="s">
        <v>109</v>
      </c>
      <c r="N81" s="6" t="s">
        <v>109</v>
      </c>
      <c r="O81" s="6" t="s">
        <v>145</v>
      </c>
      <c r="P81" s="7" t="s">
        <v>131</v>
      </c>
      <c r="Q81" s="7" t="s">
        <v>82</v>
      </c>
      <c r="R81" s="6" t="s">
        <v>62</v>
      </c>
      <c r="S81" s="7" t="s">
        <v>109</v>
      </c>
      <c r="T81" s="6" t="s">
        <v>424</v>
      </c>
      <c r="U81" s="125">
        <f t="shared" si="1"/>
        <v>0.3261802575107296</v>
      </c>
      <c r="V81" s="7" t="s">
        <v>2278</v>
      </c>
    </row>
    <row r="82" spans="1:22" x14ac:dyDescent="0.3">
      <c r="A82" s="7">
        <v>81</v>
      </c>
      <c r="B82" s="6" t="s">
        <v>143</v>
      </c>
      <c r="C82" s="6" t="s">
        <v>1668</v>
      </c>
      <c r="D82" s="6">
        <v>10126047</v>
      </c>
      <c r="E82" s="6">
        <v>8</v>
      </c>
      <c r="F82" s="7">
        <v>8</v>
      </c>
      <c r="G82" s="7">
        <v>2</v>
      </c>
      <c r="H82" s="6" t="s">
        <v>82</v>
      </c>
      <c r="I82" s="6" t="s">
        <v>109</v>
      </c>
      <c r="J82" s="6" t="s">
        <v>130</v>
      </c>
      <c r="K82" s="11" t="s">
        <v>109</v>
      </c>
      <c r="L82" s="11">
        <v>6.9444444444444441E-3</v>
      </c>
      <c r="M82" s="7" t="s">
        <v>109</v>
      </c>
      <c r="N82" s="6" t="s">
        <v>109</v>
      </c>
      <c r="O82" s="6" t="s">
        <v>145</v>
      </c>
      <c r="P82" s="7" t="s">
        <v>131</v>
      </c>
      <c r="Q82" s="7" t="s">
        <v>82</v>
      </c>
      <c r="R82" s="6" t="s">
        <v>62</v>
      </c>
      <c r="S82" s="7" t="s">
        <v>149</v>
      </c>
      <c r="T82" s="6" t="s">
        <v>1669</v>
      </c>
      <c r="U82" s="125">
        <f t="shared" si="1"/>
        <v>0.25</v>
      </c>
      <c r="V82" s="7" t="s">
        <v>2278</v>
      </c>
    </row>
  </sheetData>
  <conditionalFormatting sqref="D1">
    <cfRule type="duplicateValues" dxfId="74" priority="1"/>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04AFA-B0C5-4677-A5C3-976CAB9CD98D}">
  <sheetPr codeName="Sheet33"/>
  <dimension ref="A1:V68"/>
  <sheetViews>
    <sheetView workbookViewId="0">
      <pane ySplit="1" topLeftCell="A2" activePane="bottomLeft" state="frozen"/>
      <selection pane="bottomLeft"/>
    </sheetView>
  </sheetViews>
  <sheetFormatPr defaultRowHeight="14.4" x14ac:dyDescent="0.3"/>
  <cols>
    <col min="1" max="1" width="3.109375" bestFit="1" customWidth="1"/>
    <col min="2" max="2" width="10.44140625" bestFit="1" customWidth="1"/>
    <col min="3" max="3" width="76.88671875" bestFit="1" customWidth="1"/>
    <col min="4" max="4" width="10.44140625" bestFit="1" customWidth="1"/>
    <col min="5" max="5" width="13.88671875" bestFit="1" customWidth="1"/>
    <col min="6" max="6" width="15.109375" bestFit="1" customWidth="1"/>
    <col min="7" max="7" width="8.5546875" bestFit="1" customWidth="1"/>
    <col min="8" max="8" width="68.21875" bestFit="1" customWidth="1"/>
    <col min="9" max="9" width="29.33203125" bestFit="1" customWidth="1"/>
    <col min="10" max="10" width="6.21875" bestFit="1" customWidth="1"/>
    <col min="11" max="12" width="16.21875" bestFit="1" customWidth="1"/>
    <col min="13" max="13" width="128.33203125" bestFit="1" customWidth="1"/>
    <col min="14" max="14" width="69.21875" bestFit="1" customWidth="1"/>
    <col min="15" max="15" width="8.109375" bestFit="1" customWidth="1"/>
    <col min="16" max="16" width="14.33203125" bestFit="1" customWidth="1"/>
    <col min="17" max="17" width="11.77734375" bestFit="1" customWidth="1"/>
    <col min="18" max="18" width="14.33203125" bestFit="1" customWidth="1"/>
    <col min="19" max="19" width="12.21875" bestFit="1" customWidth="1"/>
    <col min="20" max="20" width="16.77734375" bestFit="1" customWidth="1"/>
    <col min="21" max="21" width="37.44140625" bestFit="1" customWidth="1"/>
    <col min="22" max="22" width="24.77734375" bestFit="1" customWidth="1"/>
  </cols>
  <sheetData>
    <row r="1" spans="1:22" x14ac:dyDescent="0.3">
      <c r="A1" s="1" t="s">
        <v>0</v>
      </c>
      <c r="B1" s="1" t="s">
        <v>1</v>
      </c>
      <c r="C1" s="1" t="s">
        <v>2</v>
      </c>
      <c r="D1" s="1" t="s">
        <v>3</v>
      </c>
      <c r="E1" s="1" t="s">
        <v>4</v>
      </c>
      <c r="F1" s="1" t="s">
        <v>5</v>
      </c>
      <c r="G1" s="1" t="s">
        <v>6</v>
      </c>
      <c r="H1" s="1" t="s">
        <v>7</v>
      </c>
      <c r="I1" s="1" t="s">
        <v>8</v>
      </c>
      <c r="J1" s="1" t="s">
        <v>9</v>
      </c>
      <c r="K1" s="2" t="s">
        <v>2218</v>
      </c>
      <c r="L1" s="2" t="s">
        <v>2219</v>
      </c>
      <c r="M1" s="3" t="s">
        <v>2281</v>
      </c>
      <c r="N1" s="4" t="s">
        <v>13</v>
      </c>
      <c r="O1" s="1" t="s">
        <v>14</v>
      </c>
      <c r="P1" s="1" t="s">
        <v>15</v>
      </c>
      <c r="Q1" s="1" t="s">
        <v>16</v>
      </c>
      <c r="R1" s="1" t="s">
        <v>17</v>
      </c>
      <c r="S1" s="127" t="s">
        <v>2282</v>
      </c>
      <c r="T1" s="1" t="s">
        <v>19</v>
      </c>
      <c r="U1" s="1" t="s">
        <v>20</v>
      </c>
      <c r="V1" s="1" t="s">
        <v>21</v>
      </c>
    </row>
    <row r="2" spans="1:22" x14ac:dyDescent="0.3">
      <c r="A2" s="7">
        <v>1</v>
      </c>
      <c r="B2" s="6" t="s">
        <v>24</v>
      </c>
      <c r="C2" s="6" t="s">
        <v>1832</v>
      </c>
      <c r="D2" s="6">
        <v>60226011</v>
      </c>
      <c r="E2" s="6">
        <v>121</v>
      </c>
      <c r="F2" s="7">
        <v>203</v>
      </c>
      <c r="G2" s="7">
        <v>125</v>
      </c>
      <c r="H2" s="7" t="s">
        <v>330</v>
      </c>
      <c r="I2" s="7" t="s">
        <v>99</v>
      </c>
      <c r="J2" s="6" t="s">
        <v>130</v>
      </c>
      <c r="K2" s="11">
        <v>0.70208333333333328</v>
      </c>
      <c r="L2" s="11">
        <v>0.87291666666666667</v>
      </c>
      <c r="M2" s="130" t="s">
        <v>2283</v>
      </c>
      <c r="N2" s="10" t="s">
        <v>2096</v>
      </c>
      <c r="O2" s="6" t="s">
        <v>61</v>
      </c>
      <c r="P2" s="7" t="s">
        <v>131</v>
      </c>
      <c r="Q2" s="7" t="s">
        <v>87</v>
      </c>
      <c r="R2" s="6" t="s">
        <v>63</v>
      </c>
      <c r="S2" s="7" t="s">
        <v>123</v>
      </c>
      <c r="T2" s="6" t="s">
        <v>117</v>
      </c>
      <c r="U2" s="125">
        <f>G2/E2</f>
        <v>1.0330578512396693</v>
      </c>
      <c r="V2" s="7" t="s">
        <v>1945</v>
      </c>
    </row>
    <row r="3" spans="1:22" x14ac:dyDescent="0.3">
      <c r="A3" s="7">
        <v>2</v>
      </c>
      <c r="B3" s="6" t="s">
        <v>24</v>
      </c>
      <c r="C3" s="6" t="s">
        <v>1834</v>
      </c>
      <c r="D3" s="6">
        <v>60226012</v>
      </c>
      <c r="E3" s="6">
        <v>125</v>
      </c>
      <c r="F3" s="7">
        <v>225</v>
      </c>
      <c r="G3" s="7">
        <v>128</v>
      </c>
      <c r="H3" s="7" t="s">
        <v>2284</v>
      </c>
      <c r="I3" s="7" t="s">
        <v>173</v>
      </c>
      <c r="J3" s="6" t="s">
        <v>130</v>
      </c>
      <c r="K3" s="11">
        <v>0.85347222222222219</v>
      </c>
      <c r="L3" s="11">
        <v>0.95</v>
      </c>
      <c r="M3" s="130" t="s">
        <v>2283</v>
      </c>
      <c r="N3" s="10" t="s">
        <v>2096</v>
      </c>
      <c r="O3" s="6" t="s">
        <v>61</v>
      </c>
      <c r="P3" s="7" t="s">
        <v>131</v>
      </c>
      <c r="Q3" s="7" t="s">
        <v>91</v>
      </c>
      <c r="R3" s="6" t="s">
        <v>63</v>
      </c>
      <c r="S3" s="7" t="s">
        <v>123</v>
      </c>
      <c r="T3" s="6" t="s">
        <v>117</v>
      </c>
      <c r="U3" s="125">
        <f t="shared" ref="U3:U67" si="0">G3/E3</f>
        <v>1.024</v>
      </c>
      <c r="V3" s="7" t="s">
        <v>1945</v>
      </c>
    </row>
    <row r="4" spans="1:22" x14ac:dyDescent="0.3">
      <c r="A4" s="7">
        <v>3</v>
      </c>
      <c r="B4" s="6" t="s">
        <v>24</v>
      </c>
      <c r="C4" s="6" t="s">
        <v>890</v>
      </c>
      <c r="D4" s="6">
        <v>60126003</v>
      </c>
      <c r="E4" s="6">
        <v>30</v>
      </c>
      <c r="F4" s="7">
        <v>69</v>
      </c>
      <c r="G4" s="7">
        <v>29</v>
      </c>
      <c r="H4" s="7" t="s">
        <v>64</v>
      </c>
      <c r="I4" s="7" t="s">
        <v>86</v>
      </c>
      <c r="J4" s="6" t="s">
        <v>130</v>
      </c>
      <c r="K4" s="11">
        <v>0.95972222222222225</v>
      </c>
      <c r="L4" s="11">
        <v>0.97222222222222221</v>
      </c>
      <c r="M4" s="130" t="s">
        <v>2283</v>
      </c>
      <c r="N4" s="6" t="s">
        <v>109</v>
      </c>
      <c r="O4" s="6" t="s">
        <v>61</v>
      </c>
      <c r="P4" s="7" t="s">
        <v>131</v>
      </c>
      <c r="Q4" s="7" t="s">
        <v>86</v>
      </c>
      <c r="R4" s="6" t="s">
        <v>63</v>
      </c>
      <c r="S4" s="7" t="s">
        <v>123</v>
      </c>
      <c r="T4" s="6" t="s">
        <v>891</v>
      </c>
      <c r="U4" s="125">
        <f t="shared" si="0"/>
        <v>0.96666666666666667</v>
      </c>
      <c r="V4" s="7" t="s">
        <v>1945</v>
      </c>
    </row>
    <row r="5" spans="1:22" x14ac:dyDescent="0.3">
      <c r="A5" s="7">
        <v>4</v>
      </c>
      <c r="B5" s="6" t="s">
        <v>24</v>
      </c>
      <c r="C5" s="6" t="s">
        <v>892</v>
      </c>
      <c r="D5" s="6">
        <v>60126002</v>
      </c>
      <c r="E5" s="6">
        <v>40</v>
      </c>
      <c r="F5" s="7">
        <v>44</v>
      </c>
      <c r="G5" s="7">
        <v>6</v>
      </c>
      <c r="H5" s="7" t="s">
        <v>200</v>
      </c>
      <c r="I5" s="7" t="s">
        <v>89</v>
      </c>
      <c r="J5" s="6" t="s">
        <v>130</v>
      </c>
      <c r="K5" s="11">
        <v>0.84375</v>
      </c>
      <c r="L5" s="11">
        <v>0.8569444444444444</v>
      </c>
      <c r="M5" s="130" t="s">
        <v>2283</v>
      </c>
      <c r="N5" s="6" t="s">
        <v>109</v>
      </c>
      <c r="O5" s="6" t="s">
        <v>61</v>
      </c>
      <c r="P5" s="7" t="s">
        <v>131</v>
      </c>
      <c r="Q5" s="7" t="s">
        <v>89</v>
      </c>
      <c r="R5" s="6" t="s">
        <v>63</v>
      </c>
      <c r="S5" s="7" t="s">
        <v>123</v>
      </c>
      <c r="T5" s="6" t="s">
        <v>891</v>
      </c>
      <c r="U5" s="125">
        <f t="shared" si="0"/>
        <v>0.15</v>
      </c>
      <c r="V5" s="7" t="s">
        <v>291</v>
      </c>
    </row>
    <row r="6" spans="1:22" x14ac:dyDescent="0.3">
      <c r="A6" s="7">
        <v>5</v>
      </c>
      <c r="B6" s="6" t="s">
        <v>24</v>
      </c>
      <c r="C6" s="6" t="s">
        <v>893</v>
      </c>
      <c r="D6" s="6">
        <v>60126004</v>
      </c>
      <c r="E6" s="6">
        <v>44</v>
      </c>
      <c r="F6" s="7">
        <v>81</v>
      </c>
      <c r="G6" s="7">
        <v>16</v>
      </c>
      <c r="H6" s="7" t="s">
        <v>84</v>
      </c>
      <c r="I6" s="7" t="s">
        <v>94</v>
      </c>
      <c r="J6" s="6" t="s">
        <v>130</v>
      </c>
      <c r="K6" s="11">
        <v>0.7416666666666667</v>
      </c>
      <c r="L6" s="11">
        <v>0.77569444444444446</v>
      </c>
      <c r="M6" s="130" t="s">
        <v>2283</v>
      </c>
      <c r="N6" s="6" t="s">
        <v>109</v>
      </c>
      <c r="O6" s="6" t="s">
        <v>61</v>
      </c>
      <c r="P6" s="7" t="s">
        <v>131</v>
      </c>
      <c r="Q6" s="7" t="s">
        <v>94</v>
      </c>
      <c r="R6" s="6" t="s">
        <v>63</v>
      </c>
      <c r="S6" s="7" t="s">
        <v>123</v>
      </c>
      <c r="T6" s="6" t="s">
        <v>891</v>
      </c>
      <c r="U6" s="125">
        <f t="shared" si="0"/>
        <v>0.36363636363636365</v>
      </c>
      <c r="V6" s="7" t="s">
        <v>2141</v>
      </c>
    </row>
    <row r="7" spans="1:22" x14ac:dyDescent="0.3">
      <c r="A7" s="7">
        <v>6</v>
      </c>
      <c r="B7" s="6" t="s">
        <v>24</v>
      </c>
      <c r="C7" s="6" t="s">
        <v>894</v>
      </c>
      <c r="D7" s="6">
        <v>60126005</v>
      </c>
      <c r="E7" s="6">
        <v>40</v>
      </c>
      <c r="F7" s="7">
        <v>69</v>
      </c>
      <c r="G7" s="7">
        <v>23</v>
      </c>
      <c r="H7" s="7" t="s">
        <v>83</v>
      </c>
      <c r="I7" s="7" t="s">
        <v>88</v>
      </c>
      <c r="J7" s="6" t="s">
        <v>130</v>
      </c>
      <c r="K7" s="11">
        <v>0.83263888888888893</v>
      </c>
      <c r="L7" s="11">
        <v>0.9194444444444444</v>
      </c>
      <c r="M7" s="130" t="s">
        <v>2283</v>
      </c>
      <c r="N7" s="6" t="s">
        <v>109</v>
      </c>
      <c r="O7" s="6" t="s">
        <v>61</v>
      </c>
      <c r="P7" s="7" t="s">
        <v>131</v>
      </c>
      <c r="Q7" s="7" t="s">
        <v>88</v>
      </c>
      <c r="R7" s="6" t="s">
        <v>63</v>
      </c>
      <c r="S7" s="7" t="s">
        <v>123</v>
      </c>
      <c r="T7" s="6" t="s">
        <v>891</v>
      </c>
      <c r="U7" s="125">
        <f t="shared" si="0"/>
        <v>0.57499999999999996</v>
      </c>
      <c r="V7" s="7" t="s">
        <v>2319</v>
      </c>
    </row>
    <row r="8" spans="1:22" x14ac:dyDescent="0.3">
      <c r="A8" s="7">
        <v>7</v>
      </c>
      <c r="B8" s="6" t="s">
        <v>24</v>
      </c>
      <c r="C8" s="6" t="s">
        <v>895</v>
      </c>
      <c r="D8" s="6">
        <v>60126006</v>
      </c>
      <c r="E8" s="6">
        <v>48</v>
      </c>
      <c r="F8" s="7">
        <v>83</v>
      </c>
      <c r="G8" s="7">
        <v>50</v>
      </c>
      <c r="H8" s="7" t="s">
        <v>196</v>
      </c>
      <c r="I8" s="7" t="s">
        <v>87</v>
      </c>
      <c r="J8" s="6" t="s">
        <v>130</v>
      </c>
      <c r="K8" s="11">
        <v>0.72499999999999998</v>
      </c>
      <c r="L8" s="11">
        <v>0.89513888888888893</v>
      </c>
      <c r="M8" s="130" t="s">
        <v>2283</v>
      </c>
      <c r="N8" s="6" t="s">
        <v>109</v>
      </c>
      <c r="O8" s="6" t="s">
        <v>61</v>
      </c>
      <c r="P8" s="7" t="s">
        <v>131</v>
      </c>
      <c r="Q8" s="7" t="s">
        <v>87</v>
      </c>
      <c r="R8" s="6" t="s">
        <v>63</v>
      </c>
      <c r="S8" s="7" t="s">
        <v>123</v>
      </c>
      <c r="T8" s="6" t="s">
        <v>891</v>
      </c>
      <c r="U8" s="125">
        <f t="shared" si="0"/>
        <v>1.0416666666666667</v>
      </c>
      <c r="V8" s="7" t="s">
        <v>1945</v>
      </c>
    </row>
    <row r="9" spans="1:22" x14ac:dyDescent="0.3">
      <c r="A9" s="7">
        <v>8</v>
      </c>
      <c r="B9" s="6" t="s">
        <v>24</v>
      </c>
      <c r="C9" s="6" t="s">
        <v>896</v>
      </c>
      <c r="D9" s="6">
        <v>60126008</v>
      </c>
      <c r="E9" s="6">
        <v>30</v>
      </c>
      <c r="F9" s="7">
        <v>50</v>
      </c>
      <c r="G9" s="7">
        <v>36</v>
      </c>
      <c r="H9" s="7" t="s">
        <v>274</v>
      </c>
      <c r="I9" s="7" t="s">
        <v>91</v>
      </c>
      <c r="J9" s="6" t="s">
        <v>130</v>
      </c>
      <c r="K9" s="11">
        <v>0.90763888888888888</v>
      </c>
      <c r="L9" s="11">
        <v>0.97499999999999998</v>
      </c>
      <c r="M9" s="130" t="s">
        <v>2283</v>
      </c>
      <c r="N9" s="6" t="s">
        <v>109</v>
      </c>
      <c r="O9" s="6" t="s">
        <v>61</v>
      </c>
      <c r="P9" s="7" t="s">
        <v>131</v>
      </c>
      <c r="Q9" s="7" t="s">
        <v>91</v>
      </c>
      <c r="R9" s="6" t="s">
        <v>63</v>
      </c>
      <c r="S9" s="7" t="s">
        <v>123</v>
      </c>
      <c r="T9" s="6" t="s">
        <v>891</v>
      </c>
      <c r="U9" s="125">
        <f t="shared" si="0"/>
        <v>1.2</v>
      </c>
      <c r="V9" s="7" t="s">
        <v>1945</v>
      </c>
    </row>
    <row r="10" spans="1:22" x14ac:dyDescent="0.3">
      <c r="A10" s="7">
        <v>9</v>
      </c>
      <c r="B10" s="6" t="s">
        <v>24</v>
      </c>
      <c r="C10" s="6" t="s">
        <v>897</v>
      </c>
      <c r="D10" s="6">
        <v>60126007</v>
      </c>
      <c r="E10" s="6">
        <v>289</v>
      </c>
      <c r="F10" s="7">
        <v>422</v>
      </c>
      <c r="G10" s="7">
        <v>289</v>
      </c>
      <c r="H10" s="7" t="s">
        <v>2285</v>
      </c>
      <c r="I10" s="7" t="s">
        <v>2286</v>
      </c>
      <c r="J10" s="6" t="s">
        <v>130</v>
      </c>
      <c r="K10" s="11">
        <v>0.6958333333333333</v>
      </c>
      <c r="L10" s="11">
        <v>0.7270833333333333</v>
      </c>
      <c r="M10" s="130" t="s">
        <v>2283</v>
      </c>
      <c r="N10" s="10" t="s">
        <v>2098</v>
      </c>
      <c r="O10" s="6" t="s">
        <v>61</v>
      </c>
      <c r="P10" s="7" t="s">
        <v>131</v>
      </c>
      <c r="Q10" s="7" t="s">
        <v>90</v>
      </c>
      <c r="R10" s="6" t="s">
        <v>63</v>
      </c>
      <c r="S10" s="7" t="s">
        <v>123</v>
      </c>
      <c r="T10" s="6" t="s">
        <v>891</v>
      </c>
      <c r="U10" s="125">
        <f t="shared" si="0"/>
        <v>1</v>
      </c>
      <c r="V10" s="7" t="s">
        <v>1945</v>
      </c>
    </row>
    <row r="11" spans="1:22" x14ac:dyDescent="0.3">
      <c r="A11" s="7">
        <v>10</v>
      </c>
      <c r="B11" s="6" t="s">
        <v>24</v>
      </c>
      <c r="C11" s="6" t="s">
        <v>2287</v>
      </c>
      <c r="D11" s="6">
        <v>60226019</v>
      </c>
      <c r="E11" s="6">
        <v>29</v>
      </c>
      <c r="F11" s="7">
        <v>29</v>
      </c>
      <c r="G11" s="7">
        <v>7</v>
      </c>
      <c r="H11" s="7" t="s">
        <v>67</v>
      </c>
      <c r="I11" s="7" t="s">
        <v>95</v>
      </c>
      <c r="J11" s="6" t="s">
        <v>130</v>
      </c>
      <c r="K11" s="11">
        <v>0.87222222222222223</v>
      </c>
      <c r="L11" s="11">
        <v>0.91180555555555554</v>
      </c>
      <c r="M11" s="130" t="s">
        <v>2283</v>
      </c>
      <c r="N11" s="6" t="s">
        <v>109</v>
      </c>
      <c r="O11" s="6" t="s">
        <v>61</v>
      </c>
      <c r="P11" s="7" t="s">
        <v>131</v>
      </c>
      <c r="Q11" s="7" t="s">
        <v>95</v>
      </c>
      <c r="R11" s="6" t="s">
        <v>63</v>
      </c>
      <c r="S11" s="7" t="s">
        <v>123</v>
      </c>
      <c r="T11" s="6" t="s">
        <v>2288</v>
      </c>
      <c r="U11" s="125">
        <f t="shared" si="0"/>
        <v>0.2413793103448276</v>
      </c>
      <c r="V11" s="7" t="s">
        <v>291</v>
      </c>
    </row>
    <row r="12" spans="1:22" x14ac:dyDescent="0.3">
      <c r="A12" s="7">
        <v>11</v>
      </c>
      <c r="B12" s="6" t="s">
        <v>24</v>
      </c>
      <c r="C12" s="6" t="s">
        <v>2289</v>
      </c>
      <c r="D12" s="6">
        <v>60226020</v>
      </c>
      <c r="E12" s="6">
        <v>45</v>
      </c>
      <c r="F12" s="7">
        <v>45</v>
      </c>
      <c r="G12" s="7">
        <v>10</v>
      </c>
      <c r="H12" s="7" t="s">
        <v>153</v>
      </c>
      <c r="I12" s="7" t="s">
        <v>154</v>
      </c>
      <c r="J12" s="6" t="s">
        <v>130</v>
      </c>
      <c r="K12" s="11">
        <v>0.6430555555555556</v>
      </c>
      <c r="L12" s="11">
        <v>0.8833333333333333</v>
      </c>
      <c r="M12" s="130" t="s">
        <v>2283</v>
      </c>
      <c r="N12" s="6" t="s">
        <v>109</v>
      </c>
      <c r="O12" s="6" t="s">
        <v>61</v>
      </c>
      <c r="P12" s="7" t="s">
        <v>131</v>
      </c>
      <c r="Q12" s="7" t="s">
        <v>154</v>
      </c>
      <c r="R12" s="6" t="s">
        <v>63</v>
      </c>
      <c r="S12" s="7" t="s">
        <v>123</v>
      </c>
      <c r="T12" s="6" t="s">
        <v>2288</v>
      </c>
      <c r="U12" s="125">
        <f t="shared" si="0"/>
        <v>0.22222222222222221</v>
      </c>
      <c r="V12" s="7" t="s">
        <v>291</v>
      </c>
    </row>
    <row r="13" spans="1:22" x14ac:dyDescent="0.3">
      <c r="A13" s="7">
        <v>12</v>
      </c>
      <c r="B13" s="6" t="s">
        <v>170</v>
      </c>
      <c r="C13" s="6" t="s">
        <v>1349</v>
      </c>
      <c r="D13" s="6">
        <v>40126026</v>
      </c>
      <c r="E13" s="6">
        <v>100</v>
      </c>
      <c r="F13" s="7">
        <v>107</v>
      </c>
      <c r="G13" s="7">
        <v>59</v>
      </c>
      <c r="H13" s="7" t="s">
        <v>196</v>
      </c>
      <c r="I13" s="7" t="s">
        <v>87</v>
      </c>
      <c r="J13" s="6" t="s">
        <v>130</v>
      </c>
      <c r="K13" s="11">
        <v>0.95208333333333328</v>
      </c>
      <c r="L13" s="11">
        <v>0.97777777777777775</v>
      </c>
      <c r="M13" s="7" t="s">
        <v>109</v>
      </c>
      <c r="N13" s="6" t="s">
        <v>109</v>
      </c>
      <c r="O13" s="6" t="s">
        <v>61</v>
      </c>
      <c r="P13" s="7" t="s">
        <v>131</v>
      </c>
      <c r="Q13" s="7" t="s">
        <v>87</v>
      </c>
      <c r="R13" s="6" t="s">
        <v>62</v>
      </c>
      <c r="S13" s="7" t="s">
        <v>123</v>
      </c>
      <c r="T13" s="6" t="s">
        <v>859</v>
      </c>
      <c r="U13" s="125">
        <f t="shared" si="0"/>
        <v>0.59</v>
      </c>
      <c r="V13" s="7" t="s">
        <v>291</v>
      </c>
    </row>
    <row r="14" spans="1:22" x14ac:dyDescent="0.3">
      <c r="A14" s="7">
        <v>13</v>
      </c>
      <c r="B14" s="6" t="s">
        <v>170</v>
      </c>
      <c r="C14" s="6" t="s">
        <v>1350</v>
      </c>
      <c r="D14" s="6">
        <v>40126025</v>
      </c>
      <c r="E14" s="6">
        <v>140</v>
      </c>
      <c r="F14" s="7">
        <v>258</v>
      </c>
      <c r="G14" s="7">
        <v>78</v>
      </c>
      <c r="H14" s="7" t="s">
        <v>2227</v>
      </c>
      <c r="I14" s="7" t="s">
        <v>157</v>
      </c>
      <c r="J14" s="6" t="s">
        <v>130</v>
      </c>
      <c r="K14" s="11">
        <v>0.86597222222222225</v>
      </c>
      <c r="L14" s="11">
        <v>0.87847222222222221</v>
      </c>
      <c r="M14" s="7" t="s">
        <v>109</v>
      </c>
      <c r="N14" s="6" t="s">
        <v>109</v>
      </c>
      <c r="O14" s="6" t="s">
        <v>61</v>
      </c>
      <c r="P14" s="7" t="s">
        <v>131</v>
      </c>
      <c r="Q14" s="7" t="s">
        <v>93</v>
      </c>
      <c r="R14" s="6" t="s">
        <v>62</v>
      </c>
      <c r="S14" s="7" t="s">
        <v>123</v>
      </c>
      <c r="T14" s="6" t="s">
        <v>859</v>
      </c>
      <c r="U14" s="125">
        <f t="shared" si="0"/>
        <v>0.55714285714285716</v>
      </c>
      <c r="V14" s="7" t="s">
        <v>2319</v>
      </c>
    </row>
    <row r="15" spans="1:22" x14ac:dyDescent="0.3">
      <c r="A15" s="7">
        <v>14</v>
      </c>
      <c r="B15" s="6" t="s">
        <v>135</v>
      </c>
      <c r="C15" s="6" t="s">
        <v>2290</v>
      </c>
      <c r="D15" s="6">
        <v>20226004</v>
      </c>
      <c r="E15" s="6">
        <v>60</v>
      </c>
      <c r="F15" s="7">
        <v>83</v>
      </c>
      <c r="G15" s="7">
        <v>67</v>
      </c>
      <c r="H15" s="7" t="s">
        <v>71</v>
      </c>
      <c r="I15" s="7" t="s">
        <v>95</v>
      </c>
      <c r="J15" s="6" t="s">
        <v>130</v>
      </c>
      <c r="K15" s="11">
        <v>0.73819444444444449</v>
      </c>
      <c r="L15" s="11">
        <v>0.82013888888888886</v>
      </c>
      <c r="M15" s="7" t="s">
        <v>109</v>
      </c>
      <c r="N15" s="10" t="s">
        <v>2291</v>
      </c>
      <c r="O15" s="6" t="s">
        <v>61</v>
      </c>
      <c r="P15" s="7" t="s">
        <v>131</v>
      </c>
      <c r="Q15" s="7" t="s">
        <v>95</v>
      </c>
      <c r="R15" s="6" t="s">
        <v>62</v>
      </c>
      <c r="S15" s="7" t="s">
        <v>123</v>
      </c>
      <c r="T15" s="6" t="s">
        <v>2292</v>
      </c>
      <c r="U15" s="125">
        <f t="shared" si="0"/>
        <v>1.1166666666666667</v>
      </c>
      <c r="V15" s="7" t="s">
        <v>1945</v>
      </c>
    </row>
    <row r="16" spans="1:22" x14ac:dyDescent="0.3">
      <c r="A16" s="7">
        <v>15</v>
      </c>
      <c r="B16" s="6" t="s">
        <v>135</v>
      </c>
      <c r="C16" s="6" t="s">
        <v>2293</v>
      </c>
      <c r="D16" s="6">
        <v>20226005</v>
      </c>
      <c r="E16" s="6">
        <v>100</v>
      </c>
      <c r="F16" s="7">
        <v>151</v>
      </c>
      <c r="G16" s="7">
        <v>32</v>
      </c>
      <c r="H16" s="7" t="s">
        <v>66</v>
      </c>
      <c r="I16" s="7" t="s">
        <v>93</v>
      </c>
      <c r="J16" s="6" t="s">
        <v>130</v>
      </c>
      <c r="K16" s="11">
        <v>0.77916666666666667</v>
      </c>
      <c r="L16" s="11">
        <v>0.8</v>
      </c>
      <c r="M16" s="7" t="s">
        <v>109</v>
      </c>
      <c r="N16" s="10" t="s">
        <v>2291</v>
      </c>
      <c r="O16" s="6" t="s">
        <v>61</v>
      </c>
      <c r="P16" s="7" t="s">
        <v>131</v>
      </c>
      <c r="Q16" s="7" t="s">
        <v>93</v>
      </c>
      <c r="R16" s="6" t="s">
        <v>62</v>
      </c>
      <c r="S16" s="7" t="s">
        <v>123</v>
      </c>
      <c r="T16" s="6" t="s">
        <v>2292</v>
      </c>
      <c r="U16" s="125">
        <f t="shared" si="0"/>
        <v>0.32</v>
      </c>
      <c r="V16" s="7" t="s">
        <v>2319</v>
      </c>
    </row>
    <row r="17" spans="1:22" x14ac:dyDescent="0.3">
      <c r="A17" s="7">
        <v>16</v>
      </c>
      <c r="B17" s="6" t="s">
        <v>135</v>
      </c>
      <c r="C17" s="6" t="s">
        <v>2294</v>
      </c>
      <c r="D17" s="6">
        <v>20226006</v>
      </c>
      <c r="E17" s="6">
        <v>60</v>
      </c>
      <c r="F17" s="7">
        <v>100</v>
      </c>
      <c r="G17" s="7">
        <v>54</v>
      </c>
      <c r="H17" s="7" t="s">
        <v>84</v>
      </c>
      <c r="I17" s="7" t="s">
        <v>94</v>
      </c>
      <c r="J17" s="15" t="s">
        <v>130</v>
      </c>
      <c r="K17" s="15">
        <v>0.82916666666666672</v>
      </c>
      <c r="L17" s="11">
        <v>0.84652777777777777</v>
      </c>
      <c r="M17" s="7" t="s">
        <v>109</v>
      </c>
      <c r="N17" s="10" t="s">
        <v>2291</v>
      </c>
      <c r="O17" s="6" t="s">
        <v>61</v>
      </c>
      <c r="P17" s="7" t="s">
        <v>131</v>
      </c>
      <c r="Q17" s="7" t="s">
        <v>94</v>
      </c>
      <c r="R17" s="6" t="s">
        <v>62</v>
      </c>
      <c r="S17" s="7" t="s">
        <v>123</v>
      </c>
      <c r="T17" s="6" t="s">
        <v>2292</v>
      </c>
      <c r="U17" s="125">
        <f t="shared" si="0"/>
        <v>0.9</v>
      </c>
      <c r="V17" s="7" t="s">
        <v>1945</v>
      </c>
    </row>
    <row r="18" spans="1:22" x14ac:dyDescent="0.3">
      <c r="A18" s="7">
        <v>17</v>
      </c>
      <c r="B18" s="6" t="s">
        <v>23</v>
      </c>
      <c r="C18" s="6" t="s">
        <v>2265</v>
      </c>
      <c r="D18" s="6">
        <v>50226072</v>
      </c>
      <c r="E18" s="6">
        <v>100</v>
      </c>
      <c r="F18" s="7">
        <v>77</v>
      </c>
      <c r="G18" s="7">
        <v>75</v>
      </c>
      <c r="H18" s="7" t="s">
        <v>83</v>
      </c>
      <c r="I18" s="7" t="s">
        <v>109</v>
      </c>
      <c r="J18" s="6" t="s">
        <v>130</v>
      </c>
      <c r="K18" s="11" t="s">
        <v>109</v>
      </c>
      <c r="L18" s="11">
        <v>0.87430555555555556</v>
      </c>
      <c r="M18" s="7" t="s">
        <v>109</v>
      </c>
      <c r="N18" s="6" t="s">
        <v>109</v>
      </c>
      <c r="O18" s="6" t="s">
        <v>61</v>
      </c>
      <c r="P18" s="7" t="s">
        <v>131</v>
      </c>
      <c r="Q18" s="7" t="s">
        <v>83</v>
      </c>
      <c r="R18" s="6" t="s">
        <v>62</v>
      </c>
      <c r="S18" s="7" t="s">
        <v>123</v>
      </c>
      <c r="T18" s="6" t="s">
        <v>2264</v>
      </c>
      <c r="U18" s="125">
        <f t="shared" si="0"/>
        <v>0.75</v>
      </c>
      <c r="V18" s="7" t="s">
        <v>2319</v>
      </c>
    </row>
    <row r="19" spans="1:22" x14ac:dyDescent="0.3">
      <c r="A19" s="7">
        <v>18</v>
      </c>
      <c r="B19" s="6" t="s">
        <v>23</v>
      </c>
      <c r="C19" s="6" t="s">
        <v>2266</v>
      </c>
      <c r="D19" s="6">
        <v>50226071</v>
      </c>
      <c r="E19" s="6">
        <v>100</v>
      </c>
      <c r="F19" s="7">
        <v>200</v>
      </c>
      <c r="G19" s="7">
        <v>79</v>
      </c>
      <c r="H19" s="7" t="s">
        <v>184</v>
      </c>
      <c r="I19" s="7" t="s">
        <v>109</v>
      </c>
      <c r="J19" s="6" t="s">
        <v>130</v>
      </c>
      <c r="K19" s="11" t="s">
        <v>109</v>
      </c>
      <c r="L19" s="11">
        <v>0.94861111111111107</v>
      </c>
      <c r="M19" s="7" t="s">
        <v>109</v>
      </c>
      <c r="N19" s="6" t="s">
        <v>109</v>
      </c>
      <c r="O19" s="6" t="s">
        <v>61</v>
      </c>
      <c r="P19" s="7" t="s">
        <v>131</v>
      </c>
      <c r="Q19" s="7" t="s">
        <v>184</v>
      </c>
      <c r="R19" s="6" t="s">
        <v>62</v>
      </c>
      <c r="S19" s="7" t="s">
        <v>123</v>
      </c>
      <c r="T19" s="6" t="s">
        <v>2264</v>
      </c>
      <c r="U19" s="125">
        <f t="shared" si="0"/>
        <v>0.79</v>
      </c>
      <c r="V19" s="7" t="s">
        <v>2141</v>
      </c>
    </row>
    <row r="20" spans="1:22" x14ac:dyDescent="0.3">
      <c r="A20" s="7">
        <v>19</v>
      </c>
      <c r="B20" s="6" t="s">
        <v>23</v>
      </c>
      <c r="C20" s="6" t="s">
        <v>2117</v>
      </c>
      <c r="D20" s="6">
        <v>50226054</v>
      </c>
      <c r="E20" s="6">
        <v>300</v>
      </c>
      <c r="F20" s="7">
        <v>496</v>
      </c>
      <c r="G20" s="7">
        <v>272</v>
      </c>
      <c r="H20" s="7" t="s">
        <v>2295</v>
      </c>
      <c r="I20" s="7" t="s">
        <v>109</v>
      </c>
      <c r="J20" s="6" t="s">
        <v>130</v>
      </c>
      <c r="K20" s="11" t="s">
        <v>109</v>
      </c>
      <c r="L20" s="11">
        <v>0.88958333333333328</v>
      </c>
      <c r="M20" s="7" t="s">
        <v>109</v>
      </c>
      <c r="N20" s="6" t="s">
        <v>109</v>
      </c>
      <c r="O20" s="6" t="s">
        <v>61</v>
      </c>
      <c r="P20" s="7" t="s">
        <v>131</v>
      </c>
      <c r="Q20" s="7" t="s">
        <v>84</v>
      </c>
      <c r="R20" s="6" t="s">
        <v>62</v>
      </c>
      <c r="S20" s="7" t="s">
        <v>123</v>
      </c>
      <c r="T20" s="6" t="s">
        <v>289</v>
      </c>
      <c r="U20" s="125">
        <f t="shared" si="0"/>
        <v>0.90666666666666662</v>
      </c>
      <c r="V20" s="7" t="s">
        <v>1945</v>
      </c>
    </row>
    <row r="21" spans="1:22" x14ac:dyDescent="0.3">
      <c r="A21" s="7">
        <v>20</v>
      </c>
      <c r="B21" s="6" t="s">
        <v>23</v>
      </c>
      <c r="C21" s="6" t="s">
        <v>1909</v>
      </c>
      <c r="D21" s="6">
        <v>50226025</v>
      </c>
      <c r="E21" s="6">
        <v>300</v>
      </c>
      <c r="F21" s="7">
        <v>654</v>
      </c>
      <c r="G21" s="7">
        <v>155</v>
      </c>
      <c r="H21" s="7" t="s">
        <v>1925</v>
      </c>
      <c r="I21" s="7" t="s">
        <v>109</v>
      </c>
      <c r="J21" s="6" t="s">
        <v>130</v>
      </c>
      <c r="K21" s="11" t="s">
        <v>109</v>
      </c>
      <c r="L21" s="11">
        <v>0.83680555555555558</v>
      </c>
      <c r="M21" s="7" t="s">
        <v>109</v>
      </c>
      <c r="N21" s="6" t="s">
        <v>109</v>
      </c>
      <c r="O21" s="6" t="s">
        <v>61</v>
      </c>
      <c r="P21" s="7" t="s">
        <v>131</v>
      </c>
      <c r="Q21" s="7" t="s">
        <v>86</v>
      </c>
      <c r="R21" s="6" t="s">
        <v>62</v>
      </c>
      <c r="S21" s="7" t="s">
        <v>123</v>
      </c>
      <c r="T21" s="6" t="s">
        <v>480</v>
      </c>
      <c r="U21" s="125">
        <f t="shared" si="0"/>
        <v>0.51666666666666672</v>
      </c>
      <c r="V21" s="7" t="s">
        <v>2141</v>
      </c>
    </row>
    <row r="22" spans="1:22" x14ac:dyDescent="0.3">
      <c r="A22" s="7">
        <v>21</v>
      </c>
      <c r="B22" s="6" t="s">
        <v>23</v>
      </c>
      <c r="C22" s="6" t="s">
        <v>2199</v>
      </c>
      <c r="D22" s="6">
        <v>50226057</v>
      </c>
      <c r="E22" s="6">
        <v>100</v>
      </c>
      <c r="F22" s="7">
        <v>127</v>
      </c>
      <c r="G22" s="7">
        <v>106</v>
      </c>
      <c r="H22" s="7" t="s">
        <v>82</v>
      </c>
      <c r="I22" s="7" t="s">
        <v>109</v>
      </c>
      <c r="J22" s="6" t="s">
        <v>130</v>
      </c>
      <c r="K22" s="11" t="s">
        <v>109</v>
      </c>
      <c r="L22" s="11">
        <v>0.90347222222222223</v>
      </c>
      <c r="M22" s="7" t="s">
        <v>109</v>
      </c>
      <c r="N22" s="6" t="s">
        <v>109</v>
      </c>
      <c r="O22" s="6" t="s">
        <v>61</v>
      </c>
      <c r="P22" s="7" t="s">
        <v>131</v>
      </c>
      <c r="Q22" s="7" t="s">
        <v>82</v>
      </c>
      <c r="R22" s="6" t="s">
        <v>62</v>
      </c>
      <c r="S22" s="7" t="s">
        <v>123</v>
      </c>
      <c r="T22" s="6" t="s">
        <v>289</v>
      </c>
      <c r="U22" s="125">
        <f t="shared" si="0"/>
        <v>1.06</v>
      </c>
      <c r="V22" s="7" t="s">
        <v>1945</v>
      </c>
    </row>
    <row r="23" spans="1:22" x14ac:dyDescent="0.3">
      <c r="A23" s="7">
        <v>22</v>
      </c>
      <c r="B23" s="6" t="s">
        <v>23</v>
      </c>
      <c r="C23" s="6" t="s">
        <v>1364</v>
      </c>
      <c r="D23" s="6">
        <v>50126341</v>
      </c>
      <c r="E23" s="6">
        <v>200</v>
      </c>
      <c r="F23" s="7">
        <v>341</v>
      </c>
      <c r="G23" s="7">
        <v>173</v>
      </c>
      <c r="H23" s="7" t="s">
        <v>750</v>
      </c>
      <c r="I23" s="7" t="s">
        <v>109</v>
      </c>
      <c r="J23" s="6" t="s">
        <v>130</v>
      </c>
      <c r="K23" s="11" t="s">
        <v>109</v>
      </c>
      <c r="L23" s="11">
        <v>0.89097222222222228</v>
      </c>
      <c r="M23" s="130" t="s">
        <v>2296</v>
      </c>
      <c r="N23" s="6" t="s">
        <v>109</v>
      </c>
      <c r="O23" s="6" t="s">
        <v>61</v>
      </c>
      <c r="P23" s="7" t="s">
        <v>131</v>
      </c>
      <c r="Q23" s="7" t="s">
        <v>91</v>
      </c>
      <c r="R23" s="6" t="s">
        <v>62</v>
      </c>
      <c r="S23" s="7" t="s">
        <v>123</v>
      </c>
      <c r="T23" s="6" t="s">
        <v>1365</v>
      </c>
      <c r="U23" s="125">
        <f t="shared" si="0"/>
        <v>0.86499999999999999</v>
      </c>
      <c r="V23" s="7" t="s">
        <v>1945</v>
      </c>
    </row>
    <row r="24" spans="1:22" x14ac:dyDescent="0.3">
      <c r="A24" s="7">
        <v>23</v>
      </c>
      <c r="B24" s="6" t="s">
        <v>23</v>
      </c>
      <c r="C24" s="6" t="s">
        <v>2159</v>
      </c>
      <c r="D24" s="6">
        <v>50226068</v>
      </c>
      <c r="E24" s="6">
        <v>50</v>
      </c>
      <c r="F24" s="7">
        <v>51</v>
      </c>
      <c r="G24" s="7">
        <v>15</v>
      </c>
      <c r="H24" s="7" t="s">
        <v>69</v>
      </c>
      <c r="I24" s="7" t="s">
        <v>109</v>
      </c>
      <c r="J24" s="6" t="s">
        <v>130</v>
      </c>
      <c r="K24" s="11" t="s">
        <v>109</v>
      </c>
      <c r="L24" s="11">
        <v>0.72291666666666665</v>
      </c>
      <c r="M24" s="7" t="s">
        <v>109</v>
      </c>
      <c r="N24" s="6" t="s">
        <v>109</v>
      </c>
      <c r="O24" s="6" t="s">
        <v>61</v>
      </c>
      <c r="P24" s="7" t="s">
        <v>131</v>
      </c>
      <c r="Q24" s="7" t="s">
        <v>69</v>
      </c>
      <c r="R24" s="6" t="s">
        <v>62</v>
      </c>
      <c r="S24" s="7" t="s">
        <v>123</v>
      </c>
      <c r="T24" s="6" t="s">
        <v>2160</v>
      </c>
      <c r="U24" s="125">
        <f t="shared" si="0"/>
        <v>0.3</v>
      </c>
      <c r="V24" s="7" t="s">
        <v>291</v>
      </c>
    </row>
    <row r="25" spans="1:22" x14ac:dyDescent="0.3">
      <c r="A25" s="7">
        <v>24</v>
      </c>
      <c r="B25" s="6" t="s">
        <v>23</v>
      </c>
      <c r="C25" s="6" t="s">
        <v>1952</v>
      </c>
      <c r="D25" s="6">
        <v>50226035</v>
      </c>
      <c r="E25" s="6">
        <v>40</v>
      </c>
      <c r="F25" s="7">
        <v>54</v>
      </c>
      <c r="G25" s="7">
        <v>13</v>
      </c>
      <c r="H25" s="7" t="s">
        <v>66</v>
      </c>
      <c r="I25" s="7" t="s">
        <v>109</v>
      </c>
      <c r="J25" s="6" t="s">
        <v>130</v>
      </c>
      <c r="K25" s="11" t="s">
        <v>109</v>
      </c>
      <c r="L25" s="11">
        <v>0.65694444444444444</v>
      </c>
      <c r="M25" s="7" t="s">
        <v>109</v>
      </c>
      <c r="N25" s="6" t="s">
        <v>109</v>
      </c>
      <c r="O25" s="6" t="s">
        <v>61</v>
      </c>
      <c r="P25" s="7" t="s">
        <v>131</v>
      </c>
      <c r="Q25" s="7" t="s">
        <v>66</v>
      </c>
      <c r="R25" s="6" t="s">
        <v>62</v>
      </c>
      <c r="S25" s="7" t="s">
        <v>123</v>
      </c>
      <c r="T25" s="6" t="s">
        <v>351</v>
      </c>
      <c r="U25" s="125">
        <f t="shared" si="0"/>
        <v>0.32500000000000001</v>
      </c>
      <c r="V25" s="7" t="s">
        <v>291</v>
      </c>
    </row>
    <row r="26" spans="1:22" x14ac:dyDescent="0.3">
      <c r="A26" s="7">
        <v>25</v>
      </c>
      <c r="B26" s="6" t="s">
        <v>23</v>
      </c>
      <c r="C26" s="6" t="s">
        <v>1962</v>
      </c>
      <c r="D26" s="6">
        <v>50226036</v>
      </c>
      <c r="E26" s="6">
        <v>50</v>
      </c>
      <c r="F26" s="7">
        <v>97</v>
      </c>
      <c r="G26" s="7">
        <v>57</v>
      </c>
      <c r="H26" s="7" t="s">
        <v>65</v>
      </c>
      <c r="I26" s="7" t="s">
        <v>109</v>
      </c>
      <c r="J26" s="6" t="s">
        <v>130</v>
      </c>
      <c r="K26" s="11" t="s">
        <v>109</v>
      </c>
      <c r="L26" s="11">
        <v>0.93680555555555556</v>
      </c>
      <c r="M26" s="7" t="s">
        <v>109</v>
      </c>
      <c r="N26" s="6" t="s">
        <v>109</v>
      </c>
      <c r="O26" s="6" t="s">
        <v>61</v>
      </c>
      <c r="P26" s="7" t="s">
        <v>131</v>
      </c>
      <c r="Q26" s="7" t="s">
        <v>65</v>
      </c>
      <c r="R26" s="6" t="s">
        <v>62</v>
      </c>
      <c r="S26" s="7" t="s">
        <v>123</v>
      </c>
      <c r="T26" s="6" t="s">
        <v>351</v>
      </c>
      <c r="U26" s="125">
        <f t="shared" si="0"/>
        <v>1.1399999999999999</v>
      </c>
      <c r="V26" s="7" t="s">
        <v>1945</v>
      </c>
    </row>
    <row r="27" spans="1:22" x14ac:dyDescent="0.3">
      <c r="A27" s="7">
        <v>26</v>
      </c>
      <c r="B27" s="6" t="s">
        <v>23</v>
      </c>
      <c r="C27" s="6" t="s">
        <v>1964</v>
      </c>
      <c r="D27" s="6">
        <v>50226034</v>
      </c>
      <c r="E27" s="6">
        <v>50</v>
      </c>
      <c r="F27" s="7">
        <v>63</v>
      </c>
      <c r="G27" s="7">
        <v>56</v>
      </c>
      <c r="H27" s="7" t="s">
        <v>64</v>
      </c>
      <c r="I27" s="7" t="s">
        <v>109</v>
      </c>
      <c r="J27" s="6" t="s">
        <v>130</v>
      </c>
      <c r="K27" s="11" t="s">
        <v>109</v>
      </c>
      <c r="L27" s="11">
        <v>0.98472222222222228</v>
      </c>
      <c r="M27" s="7" t="s">
        <v>109</v>
      </c>
      <c r="N27" s="6" t="s">
        <v>109</v>
      </c>
      <c r="O27" s="6" t="s">
        <v>61</v>
      </c>
      <c r="P27" s="7" t="s">
        <v>131</v>
      </c>
      <c r="Q27" s="7" t="s">
        <v>64</v>
      </c>
      <c r="R27" s="6" t="s">
        <v>62</v>
      </c>
      <c r="S27" s="7" t="s">
        <v>123</v>
      </c>
      <c r="T27" s="6" t="s">
        <v>351</v>
      </c>
      <c r="U27" s="125">
        <f t="shared" si="0"/>
        <v>1.1200000000000001</v>
      </c>
      <c r="V27" s="7" t="s">
        <v>1945</v>
      </c>
    </row>
    <row r="28" spans="1:22" x14ac:dyDescent="0.3">
      <c r="A28" s="7">
        <v>27</v>
      </c>
      <c r="B28" s="6" t="s">
        <v>23</v>
      </c>
      <c r="C28" s="6" t="s">
        <v>978</v>
      </c>
      <c r="D28" s="6">
        <v>50126276</v>
      </c>
      <c r="E28" s="6">
        <v>150</v>
      </c>
      <c r="F28" s="7">
        <v>182</v>
      </c>
      <c r="G28" s="7">
        <v>164</v>
      </c>
      <c r="H28" s="7" t="s">
        <v>79</v>
      </c>
      <c r="I28" s="7" t="s">
        <v>109</v>
      </c>
      <c r="J28" s="6" t="s">
        <v>130</v>
      </c>
      <c r="K28" s="11" t="s">
        <v>109</v>
      </c>
      <c r="L28" s="11">
        <v>0.80763888888888891</v>
      </c>
      <c r="M28" s="7" t="s">
        <v>109</v>
      </c>
      <c r="N28" s="6" t="s">
        <v>109</v>
      </c>
      <c r="O28" s="6" t="s">
        <v>61</v>
      </c>
      <c r="P28" s="7" t="s">
        <v>131</v>
      </c>
      <c r="Q28" s="7" t="s">
        <v>67</v>
      </c>
      <c r="R28" s="6" t="s">
        <v>62</v>
      </c>
      <c r="S28" s="7" t="s">
        <v>123</v>
      </c>
      <c r="T28" s="6" t="s">
        <v>334</v>
      </c>
      <c r="U28" s="125">
        <f t="shared" si="0"/>
        <v>1.0933333333333333</v>
      </c>
      <c r="V28" s="7" t="s">
        <v>1945</v>
      </c>
    </row>
    <row r="29" spans="1:22" x14ac:dyDescent="0.3">
      <c r="A29" s="7">
        <v>28</v>
      </c>
      <c r="B29" s="6" t="s">
        <v>23</v>
      </c>
      <c r="C29" s="6" t="s">
        <v>981</v>
      </c>
      <c r="D29" s="6">
        <v>50126275</v>
      </c>
      <c r="E29" s="6">
        <v>125</v>
      </c>
      <c r="F29" s="7">
        <v>249</v>
      </c>
      <c r="G29" s="7">
        <v>57</v>
      </c>
      <c r="H29" s="7" t="s">
        <v>1242</v>
      </c>
      <c r="I29" s="7" t="s">
        <v>109</v>
      </c>
      <c r="J29" s="6" t="s">
        <v>130</v>
      </c>
      <c r="K29" s="11" t="s">
        <v>109</v>
      </c>
      <c r="L29" s="11">
        <v>0.75972222222222219</v>
      </c>
      <c r="M29" s="7" t="s">
        <v>109</v>
      </c>
      <c r="N29" s="6" t="s">
        <v>109</v>
      </c>
      <c r="O29" s="6" t="s">
        <v>61</v>
      </c>
      <c r="P29" s="7" t="s">
        <v>131</v>
      </c>
      <c r="Q29" s="7" t="s">
        <v>83</v>
      </c>
      <c r="R29" s="6" t="s">
        <v>62</v>
      </c>
      <c r="S29" s="7" t="s">
        <v>123</v>
      </c>
      <c r="T29" s="6" t="s">
        <v>334</v>
      </c>
      <c r="U29" s="125">
        <f t="shared" si="0"/>
        <v>0.45600000000000002</v>
      </c>
      <c r="V29" s="7" t="s">
        <v>291</v>
      </c>
    </row>
    <row r="30" spans="1:22" x14ac:dyDescent="0.3">
      <c r="A30" s="7">
        <v>29</v>
      </c>
      <c r="B30" s="6" t="s">
        <v>23</v>
      </c>
      <c r="C30" s="6" t="s">
        <v>982</v>
      </c>
      <c r="D30" s="6">
        <v>50126277</v>
      </c>
      <c r="E30" s="6">
        <v>400</v>
      </c>
      <c r="F30" s="7">
        <v>604</v>
      </c>
      <c r="G30" s="7">
        <v>110</v>
      </c>
      <c r="H30" s="7" t="s">
        <v>2297</v>
      </c>
      <c r="I30" s="7" t="s">
        <v>109</v>
      </c>
      <c r="J30" s="6" t="s">
        <v>130</v>
      </c>
      <c r="K30" s="11" t="s">
        <v>109</v>
      </c>
      <c r="L30" s="11">
        <v>0.9194444444444444</v>
      </c>
      <c r="M30" s="7" t="s">
        <v>109</v>
      </c>
      <c r="N30" s="6" t="s">
        <v>109</v>
      </c>
      <c r="O30" s="6" t="s">
        <v>61</v>
      </c>
      <c r="P30" s="7" t="s">
        <v>131</v>
      </c>
      <c r="Q30" s="7" t="s">
        <v>200</v>
      </c>
      <c r="R30" s="6" t="s">
        <v>62</v>
      </c>
      <c r="S30" s="7" t="s">
        <v>123</v>
      </c>
      <c r="T30" s="6" t="s">
        <v>334</v>
      </c>
      <c r="U30" s="125">
        <f t="shared" si="0"/>
        <v>0.27500000000000002</v>
      </c>
      <c r="V30" s="7" t="s">
        <v>2319</v>
      </c>
    </row>
    <row r="31" spans="1:22" x14ac:dyDescent="0.3">
      <c r="A31" s="7">
        <v>30</v>
      </c>
      <c r="B31" s="6" t="s">
        <v>23</v>
      </c>
      <c r="C31" s="6" t="s">
        <v>985</v>
      </c>
      <c r="D31" s="6">
        <v>50126273</v>
      </c>
      <c r="E31" s="6">
        <v>125</v>
      </c>
      <c r="F31" s="7">
        <v>237</v>
      </c>
      <c r="G31" s="7">
        <v>91</v>
      </c>
      <c r="H31" s="7" t="s">
        <v>1374</v>
      </c>
      <c r="I31" s="7" t="s">
        <v>109</v>
      </c>
      <c r="J31" s="6" t="s">
        <v>130</v>
      </c>
      <c r="K31" s="11" t="s">
        <v>109</v>
      </c>
      <c r="L31" s="11">
        <v>0.70902777777777781</v>
      </c>
      <c r="M31" s="7" t="s">
        <v>109</v>
      </c>
      <c r="N31" s="6" t="s">
        <v>109</v>
      </c>
      <c r="O31" s="6" t="s">
        <v>61</v>
      </c>
      <c r="P31" s="7" t="s">
        <v>131</v>
      </c>
      <c r="Q31" s="7" t="s">
        <v>64</v>
      </c>
      <c r="R31" s="6" t="s">
        <v>62</v>
      </c>
      <c r="S31" s="7" t="s">
        <v>123</v>
      </c>
      <c r="T31" s="6" t="s">
        <v>334</v>
      </c>
      <c r="U31" s="125">
        <f t="shared" si="0"/>
        <v>0.72799999999999998</v>
      </c>
      <c r="V31" s="7" t="s">
        <v>2319</v>
      </c>
    </row>
    <row r="32" spans="1:22" x14ac:dyDescent="0.3">
      <c r="A32" s="7">
        <v>31</v>
      </c>
      <c r="B32" s="6" t="s">
        <v>23</v>
      </c>
      <c r="C32" s="6" t="s">
        <v>2298</v>
      </c>
      <c r="D32" s="6">
        <v>50925081</v>
      </c>
      <c r="E32" s="6">
        <v>50</v>
      </c>
      <c r="F32" s="7">
        <v>76</v>
      </c>
      <c r="G32" s="7">
        <v>18</v>
      </c>
      <c r="H32" s="7" t="s">
        <v>184</v>
      </c>
      <c r="I32" s="7" t="s">
        <v>109</v>
      </c>
      <c r="J32" s="6" t="s">
        <v>130</v>
      </c>
      <c r="K32" s="11" t="s">
        <v>109</v>
      </c>
      <c r="L32" s="11">
        <v>2.1527777777777778E-2</v>
      </c>
      <c r="M32" s="7" t="s">
        <v>109</v>
      </c>
      <c r="N32" s="6" t="s">
        <v>109</v>
      </c>
      <c r="O32" s="6" t="s">
        <v>61</v>
      </c>
      <c r="P32" s="7" t="s">
        <v>131</v>
      </c>
      <c r="Q32" s="7" t="s">
        <v>184</v>
      </c>
      <c r="R32" s="6" t="s">
        <v>62</v>
      </c>
      <c r="S32" s="7" t="s">
        <v>123</v>
      </c>
      <c r="T32" s="6" t="s">
        <v>197</v>
      </c>
      <c r="U32" s="125">
        <f t="shared" si="0"/>
        <v>0.36</v>
      </c>
      <c r="V32" s="7" t="s">
        <v>291</v>
      </c>
    </row>
    <row r="33" spans="1:22" x14ac:dyDescent="0.3">
      <c r="A33" s="7">
        <v>32</v>
      </c>
      <c r="B33" s="6" t="s">
        <v>23</v>
      </c>
      <c r="C33" s="6" t="s">
        <v>210</v>
      </c>
      <c r="D33" s="6">
        <v>50925063</v>
      </c>
      <c r="E33" s="6">
        <v>50</v>
      </c>
      <c r="F33" s="7">
        <v>100</v>
      </c>
      <c r="G33" s="7">
        <v>29</v>
      </c>
      <c r="H33" s="7" t="s">
        <v>66</v>
      </c>
      <c r="I33" s="7" t="s">
        <v>109</v>
      </c>
      <c r="J33" s="6" t="s">
        <v>130</v>
      </c>
      <c r="K33" s="11" t="s">
        <v>109</v>
      </c>
      <c r="L33" s="11">
        <v>0.99583333333333335</v>
      </c>
      <c r="M33" s="7" t="s">
        <v>109</v>
      </c>
      <c r="N33" s="6" t="s">
        <v>109</v>
      </c>
      <c r="O33" s="6" t="s">
        <v>61</v>
      </c>
      <c r="P33" s="7" t="s">
        <v>131</v>
      </c>
      <c r="Q33" s="7" t="s">
        <v>66</v>
      </c>
      <c r="R33" s="6" t="s">
        <v>62</v>
      </c>
      <c r="S33" s="7" t="s">
        <v>123</v>
      </c>
      <c r="T33" s="6" t="s">
        <v>197</v>
      </c>
      <c r="U33" s="125">
        <f t="shared" si="0"/>
        <v>0.57999999999999996</v>
      </c>
      <c r="V33" s="7" t="s">
        <v>2141</v>
      </c>
    </row>
    <row r="34" spans="1:22" x14ac:dyDescent="0.3">
      <c r="A34" s="7">
        <v>33</v>
      </c>
      <c r="B34" s="6" t="s">
        <v>23</v>
      </c>
      <c r="C34" s="6" t="s">
        <v>198</v>
      </c>
      <c r="D34" s="6">
        <v>50925062</v>
      </c>
      <c r="E34" s="6">
        <v>150</v>
      </c>
      <c r="F34" s="7">
        <v>317</v>
      </c>
      <c r="G34" s="7">
        <v>67</v>
      </c>
      <c r="H34" s="7" t="s">
        <v>2299</v>
      </c>
      <c r="I34" s="7" t="s">
        <v>109</v>
      </c>
      <c r="J34" s="6" t="s">
        <v>130</v>
      </c>
      <c r="K34" s="11" t="s">
        <v>109</v>
      </c>
      <c r="L34" s="11">
        <v>0.89513888888888893</v>
      </c>
      <c r="M34" s="7" t="s">
        <v>109</v>
      </c>
      <c r="N34" s="6" t="s">
        <v>109</v>
      </c>
      <c r="O34" s="6" t="s">
        <v>61</v>
      </c>
      <c r="P34" s="7" t="s">
        <v>131</v>
      </c>
      <c r="Q34" s="7" t="s">
        <v>214</v>
      </c>
      <c r="R34" s="6" t="s">
        <v>62</v>
      </c>
      <c r="S34" s="7" t="s">
        <v>123</v>
      </c>
      <c r="T34" s="6" t="s">
        <v>197</v>
      </c>
      <c r="U34" s="125">
        <f t="shared" si="0"/>
        <v>0.44666666666666666</v>
      </c>
      <c r="V34" s="7" t="s">
        <v>2141</v>
      </c>
    </row>
    <row r="35" spans="1:22" x14ac:dyDescent="0.3">
      <c r="A35" s="7">
        <v>34</v>
      </c>
      <c r="B35" s="6" t="s">
        <v>23</v>
      </c>
      <c r="C35" s="6" t="s">
        <v>215</v>
      </c>
      <c r="D35" s="6">
        <v>50925077</v>
      </c>
      <c r="E35" s="6">
        <v>50</v>
      </c>
      <c r="F35" s="7">
        <v>81</v>
      </c>
      <c r="G35" s="7">
        <v>54</v>
      </c>
      <c r="H35" s="7" t="s">
        <v>200</v>
      </c>
      <c r="I35" s="7" t="s">
        <v>109</v>
      </c>
      <c r="J35" s="6" t="s">
        <v>130</v>
      </c>
      <c r="K35" s="11" t="s">
        <v>109</v>
      </c>
      <c r="L35" s="11">
        <v>0.69236111111111109</v>
      </c>
      <c r="M35" s="7" t="s">
        <v>109</v>
      </c>
      <c r="N35" s="6" t="s">
        <v>109</v>
      </c>
      <c r="O35" s="6" t="s">
        <v>61</v>
      </c>
      <c r="P35" s="7" t="s">
        <v>131</v>
      </c>
      <c r="Q35" s="7" t="s">
        <v>200</v>
      </c>
      <c r="R35" s="6" t="s">
        <v>62</v>
      </c>
      <c r="S35" s="7" t="s">
        <v>123</v>
      </c>
      <c r="T35" s="6" t="s">
        <v>197</v>
      </c>
      <c r="U35" s="125">
        <f t="shared" si="0"/>
        <v>1.08</v>
      </c>
      <c r="V35" s="7" t="s">
        <v>1945</v>
      </c>
    </row>
    <row r="36" spans="1:22" x14ac:dyDescent="0.3">
      <c r="A36" s="7">
        <v>35</v>
      </c>
      <c r="B36" s="6" t="s">
        <v>23</v>
      </c>
      <c r="C36" s="6" t="s">
        <v>205</v>
      </c>
      <c r="D36" s="6">
        <v>50925075</v>
      </c>
      <c r="E36" s="6">
        <v>150</v>
      </c>
      <c r="F36" s="7">
        <v>203</v>
      </c>
      <c r="G36" s="7">
        <v>137</v>
      </c>
      <c r="H36" s="7" t="s">
        <v>2300</v>
      </c>
      <c r="I36" s="7" t="s">
        <v>109</v>
      </c>
      <c r="J36" s="6" t="s">
        <v>130</v>
      </c>
      <c r="K36" s="11" t="s">
        <v>109</v>
      </c>
      <c r="L36" s="11">
        <v>0.93958333333333333</v>
      </c>
      <c r="M36" s="7" t="s">
        <v>109</v>
      </c>
      <c r="N36" s="6" t="s">
        <v>109</v>
      </c>
      <c r="O36" s="6" t="s">
        <v>61</v>
      </c>
      <c r="P36" s="7" t="s">
        <v>131</v>
      </c>
      <c r="Q36" s="7" t="s">
        <v>84</v>
      </c>
      <c r="R36" s="6" t="s">
        <v>62</v>
      </c>
      <c r="S36" s="7" t="s">
        <v>123</v>
      </c>
      <c r="T36" s="6" t="s">
        <v>197</v>
      </c>
      <c r="U36" s="125">
        <f t="shared" si="0"/>
        <v>0.91333333333333333</v>
      </c>
      <c r="V36" s="7" t="s">
        <v>1945</v>
      </c>
    </row>
    <row r="37" spans="1:22" x14ac:dyDescent="0.3">
      <c r="A37" s="7">
        <v>36</v>
      </c>
      <c r="B37" s="6" t="s">
        <v>23</v>
      </c>
      <c r="C37" s="6" t="s">
        <v>590</v>
      </c>
      <c r="D37" s="6">
        <v>50126065</v>
      </c>
      <c r="E37" s="6">
        <v>20</v>
      </c>
      <c r="F37" s="18">
        <v>17</v>
      </c>
      <c r="G37" s="18">
        <v>10</v>
      </c>
      <c r="H37" s="33" t="s">
        <v>209</v>
      </c>
      <c r="I37" s="7" t="s">
        <v>109</v>
      </c>
      <c r="J37" s="19" t="s">
        <v>130</v>
      </c>
      <c r="K37" s="79" t="s">
        <v>109</v>
      </c>
      <c r="L37" s="79">
        <v>3.6111111111111108E-2</v>
      </c>
      <c r="M37" s="18" t="s">
        <v>109</v>
      </c>
      <c r="N37" s="6" t="s">
        <v>109</v>
      </c>
      <c r="O37" s="6" t="s">
        <v>61</v>
      </c>
      <c r="P37" s="18" t="s">
        <v>131</v>
      </c>
      <c r="Q37" s="18" t="s">
        <v>209</v>
      </c>
      <c r="R37" s="6" t="s">
        <v>62</v>
      </c>
      <c r="S37" s="7" t="s">
        <v>123</v>
      </c>
      <c r="T37" s="6" t="s">
        <v>610</v>
      </c>
      <c r="U37" s="125">
        <f t="shared" si="0"/>
        <v>0.5</v>
      </c>
      <c r="V37" s="18" t="s">
        <v>2319</v>
      </c>
    </row>
    <row r="38" spans="1:22" x14ac:dyDescent="0.3">
      <c r="A38" s="7">
        <v>37</v>
      </c>
      <c r="B38" s="6" t="s">
        <v>23</v>
      </c>
      <c r="C38" s="6" t="s">
        <v>591</v>
      </c>
      <c r="D38" s="6">
        <v>50126066</v>
      </c>
      <c r="E38" s="6">
        <v>100</v>
      </c>
      <c r="F38" s="7">
        <v>27</v>
      </c>
      <c r="G38" s="7">
        <v>21</v>
      </c>
      <c r="H38" s="7" t="s">
        <v>274</v>
      </c>
      <c r="I38" s="7" t="s">
        <v>109</v>
      </c>
      <c r="J38" s="6" t="s">
        <v>130</v>
      </c>
      <c r="K38" s="11" t="s">
        <v>109</v>
      </c>
      <c r="L38" s="11">
        <v>0.94374999999999998</v>
      </c>
      <c r="M38" s="7" t="s">
        <v>109</v>
      </c>
      <c r="N38" s="6" t="s">
        <v>109</v>
      </c>
      <c r="O38" s="6" t="s">
        <v>61</v>
      </c>
      <c r="P38" s="7" t="s">
        <v>131</v>
      </c>
      <c r="Q38" s="7" t="s">
        <v>274</v>
      </c>
      <c r="R38" s="6" t="s">
        <v>62</v>
      </c>
      <c r="S38" s="7" t="s">
        <v>123</v>
      </c>
      <c r="T38" s="6" t="s">
        <v>610</v>
      </c>
      <c r="U38" s="125">
        <f t="shared" si="0"/>
        <v>0.21</v>
      </c>
      <c r="V38" s="7" t="s">
        <v>291</v>
      </c>
    </row>
    <row r="39" spans="1:22" x14ac:dyDescent="0.3">
      <c r="A39" s="7">
        <v>38</v>
      </c>
      <c r="B39" s="6" t="s">
        <v>23</v>
      </c>
      <c r="C39" s="6" t="s">
        <v>2127</v>
      </c>
      <c r="D39" s="6">
        <v>50226065</v>
      </c>
      <c r="E39" s="6">
        <v>50</v>
      </c>
      <c r="F39" s="7">
        <v>38</v>
      </c>
      <c r="G39" s="7">
        <v>15</v>
      </c>
      <c r="H39" s="7" t="s">
        <v>71</v>
      </c>
      <c r="I39" s="7" t="s">
        <v>109</v>
      </c>
      <c r="J39" s="6" t="s">
        <v>130</v>
      </c>
      <c r="K39" s="11" t="s">
        <v>109</v>
      </c>
      <c r="L39" s="11">
        <v>0.95416666666666672</v>
      </c>
      <c r="M39" s="7" t="s">
        <v>109</v>
      </c>
      <c r="N39" s="6" t="s">
        <v>109</v>
      </c>
      <c r="O39" s="6" t="s">
        <v>61</v>
      </c>
      <c r="P39" s="7" t="s">
        <v>131</v>
      </c>
      <c r="Q39" s="7" t="s">
        <v>71</v>
      </c>
      <c r="R39" s="6" t="s">
        <v>62</v>
      </c>
      <c r="S39" s="7" t="s">
        <v>123</v>
      </c>
      <c r="T39" s="6" t="s">
        <v>610</v>
      </c>
      <c r="U39" s="125">
        <f t="shared" si="0"/>
        <v>0.3</v>
      </c>
      <c r="V39" s="7" t="s">
        <v>291</v>
      </c>
    </row>
    <row r="40" spans="1:22" x14ac:dyDescent="0.3">
      <c r="A40" s="7">
        <v>39</v>
      </c>
      <c r="B40" s="6" t="s">
        <v>23</v>
      </c>
      <c r="C40" s="6" t="s">
        <v>990</v>
      </c>
      <c r="D40" s="6">
        <v>50126268</v>
      </c>
      <c r="E40" s="6">
        <v>100</v>
      </c>
      <c r="F40" s="7">
        <v>45</v>
      </c>
      <c r="G40" s="7">
        <v>18</v>
      </c>
      <c r="H40" s="7" t="s">
        <v>200</v>
      </c>
      <c r="I40" s="7" t="s">
        <v>87</v>
      </c>
      <c r="J40" s="6" t="s">
        <v>130</v>
      </c>
      <c r="K40" s="11">
        <v>0.95694444444444449</v>
      </c>
      <c r="L40" s="11">
        <v>0.98958333333333337</v>
      </c>
      <c r="M40" s="7" t="s">
        <v>109</v>
      </c>
      <c r="N40" s="10" t="s">
        <v>2301</v>
      </c>
      <c r="O40" s="6" t="s">
        <v>61</v>
      </c>
      <c r="P40" s="7" t="s">
        <v>131</v>
      </c>
      <c r="Q40" s="7" t="s">
        <v>87</v>
      </c>
      <c r="R40" s="6" t="s">
        <v>62</v>
      </c>
      <c r="S40" s="7" t="s">
        <v>123</v>
      </c>
      <c r="T40" s="6" t="s">
        <v>402</v>
      </c>
      <c r="U40" s="125">
        <f t="shared" si="0"/>
        <v>0.18</v>
      </c>
      <c r="V40" s="7" t="s">
        <v>2319</v>
      </c>
    </row>
    <row r="41" spans="1:22" x14ac:dyDescent="0.3">
      <c r="A41" s="7">
        <v>40</v>
      </c>
      <c r="B41" s="6" t="s">
        <v>23</v>
      </c>
      <c r="C41" s="6" t="s">
        <v>1842</v>
      </c>
      <c r="D41" s="6">
        <v>50226012</v>
      </c>
      <c r="E41" s="6">
        <v>300</v>
      </c>
      <c r="F41" s="7">
        <v>206</v>
      </c>
      <c r="G41" s="7">
        <v>59</v>
      </c>
      <c r="H41" s="7" t="s">
        <v>2302</v>
      </c>
      <c r="I41" s="7" t="s">
        <v>2303</v>
      </c>
      <c r="J41" s="6" t="s">
        <v>130</v>
      </c>
      <c r="K41" s="11">
        <v>0.9291666666666667</v>
      </c>
      <c r="L41" s="11">
        <v>0.96458333333333335</v>
      </c>
      <c r="M41" s="7" t="s">
        <v>109</v>
      </c>
      <c r="N41" s="6" t="s">
        <v>109</v>
      </c>
      <c r="O41" s="6" t="s">
        <v>61</v>
      </c>
      <c r="P41" s="7" t="s">
        <v>131</v>
      </c>
      <c r="Q41" s="7" t="s">
        <v>90</v>
      </c>
      <c r="R41" s="6" t="s">
        <v>62</v>
      </c>
      <c r="S41" s="7" t="s">
        <v>123</v>
      </c>
      <c r="T41" s="6" t="s">
        <v>1433</v>
      </c>
      <c r="U41" s="125">
        <f t="shared" si="0"/>
        <v>0.19666666666666666</v>
      </c>
      <c r="V41" s="7" t="s">
        <v>2319</v>
      </c>
    </row>
    <row r="42" spans="1:22" x14ac:dyDescent="0.3">
      <c r="A42" s="7">
        <v>41</v>
      </c>
      <c r="B42" s="6" t="s">
        <v>23</v>
      </c>
      <c r="C42" s="6" t="s">
        <v>2240</v>
      </c>
      <c r="D42" s="6">
        <v>50226074</v>
      </c>
      <c r="E42" s="6">
        <v>200</v>
      </c>
      <c r="F42" s="7">
        <v>183</v>
      </c>
      <c r="G42" s="7">
        <v>127</v>
      </c>
      <c r="H42" s="7" t="s">
        <v>294</v>
      </c>
      <c r="I42" s="7" t="s">
        <v>109</v>
      </c>
      <c r="J42" s="6" t="s">
        <v>130</v>
      </c>
      <c r="K42" s="11" t="s">
        <v>109</v>
      </c>
      <c r="L42" s="11">
        <v>0.79236111111111107</v>
      </c>
      <c r="M42" s="7" t="s">
        <v>109</v>
      </c>
      <c r="N42" s="6" t="s">
        <v>109</v>
      </c>
      <c r="O42" s="6" t="s">
        <v>61</v>
      </c>
      <c r="P42" s="7" t="s">
        <v>131</v>
      </c>
      <c r="Q42" s="7" t="s">
        <v>209</v>
      </c>
      <c r="R42" s="6" t="s">
        <v>62</v>
      </c>
      <c r="S42" s="7" t="s">
        <v>123</v>
      </c>
      <c r="T42" s="6" t="s">
        <v>1568</v>
      </c>
      <c r="U42" s="125">
        <f t="shared" si="0"/>
        <v>0.63500000000000001</v>
      </c>
      <c r="V42" s="7" t="s">
        <v>291</v>
      </c>
    </row>
    <row r="43" spans="1:22" x14ac:dyDescent="0.3">
      <c r="A43" s="7">
        <v>42</v>
      </c>
      <c r="B43" s="6" t="s">
        <v>143</v>
      </c>
      <c r="C43" s="6" t="s">
        <v>1667</v>
      </c>
      <c r="D43" s="6">
        <v>10126048</v>
      </c>
      <c r="E43" s="6">
        <v>75</v>
      </c>
      <c r="F43" s="7">
        <v>73</v>
      </c>
      <c r="G43" s="7">
        <v>12</v>
      </c>
      <c r="H43" s="7" t="s">
        <v>67</v>
      </c>
      <c r="I43" s="7" t="s">
        <v>86</v>
      </c>
      <c r="J43" s="6" t="s">
        <v>130</v>
      </c>
      <c r="K43" s="11">
        <v>0.9819444444444444</v>
      </c>
      <c r="L43" s="11">
        <v>0.99236111111111114</v>
      </c>
      <c r="M43" s="7" t="s">
        <v>109</v>
      </c>
      <c r="N43" s="10" t="s">
        <v>2248</v>
      </c>
      <c r="O43" s="6" t="s">
        <v>61</v>
      </c>
      <c r="P43" s="7" t="s">
        <v>131</v>
      </c>
      <c r="Q43" s="7" t="s">
        <v>86</v>
      </c>
      <c r="R43" s="6" t="s">
        <v>62</v>
      </c>
      <c r="S43" s="7" t="s">
        <v>123</v>
      </c>
      <c r="T43" s="6" t="s">
        <v>402</v>
      </c>
      <c r="U43" s="125">
        <f t="shared" si="0"/>
        <v>0.16</v>
      </c>
      <c r="V43" s="7" t="s">
        <v>291</v>
      </c>
    </row>
    <row r="44" spans="1:22" x14ac:dyDescent="0.3">
      <c r="A44" s="7">
        <v>43</v>
      </c>
      <c r="B44" s="6" t="s">
        <v>143</v>
      </c>
      <c r="C44" s="6" t="s">
        <v>1992</v>
      </c>
      <c r="D44" s="6">
        <v>10126006</v>
      </c>
      <c r="E44" s="6">
        <v>22</v>
      </c>
      <c r="F44" s="7">
        <v>128</v>
      </c>
      <c r="G44" s="7">
        <v>3</v>
      </c>
      <c r="H44" s="7" t="s">
        <v>184</v>
      </c>
      <c r="I44" s="7" t="s">
        <v>90</v>
      </c>
      <c r="J44" s="6" t="s">
        <v>130</v>
      </c>
      <c r="K44" s="11">
        <v>0.99652777777777779</v>
      </c>
      <c r="L44" s="11">
        <v>2.7777777777777776E-2</v>
      </c>
      <c r="M44" s="7" t="s">
        <v>109</v>
      </c>
      <c r="N44" s="10" t="s">
        <v>2248</v>
      </c>
      <c r="O44" s="6" t="s">
        <v>61</v>
      </c>
      <c r="P44" s="7" t="s">
        <v>131</v>
      </c>
      <c r="Q44" s="7" t="s">
        <v>510</v>
      </c>
      <c r="R44" s="6" t="s">
        <v>62</v>
      </c>
      <c r="S44" s="7" t="s">
        <v>123</v>
      </c>
      <c r="T44" s="6" t="s">
        <v>2089</v>
      </c>
      <c r="U44" s="125">
        <f t="shared" si="0"/>
        <v>0.13636363636363635</v>
      </c>
      <c r="V44" s="7" t="s">
        <v>291</v>
      </c>
    </row>
    <row r="45" spans="1:22" x14ac:dyDescent="0.3">
      <c r="A45" s="7">
        <v>44</v>
      </c>
      <c r="B45" s="6" t="s">
        <v>143</v>
      </c>
      <c r="C45" s="6" t="s">
        <v>1598</v>
      </c>
      <c r="D45" s="6">
        <v>10126044</v>
      </c>
      <c r="E45" s="6">
        <v>200</v>
      </c>
      <c r="F45" s="7">
        <v>350</v>
      </c>
      <c r="G45" s="7">
        <v>138</v>
      </c>
      <c r="H45" s="7" t="s">
        <v>1409</v>
      </c>
      <c r="I45" s="7" t="s">
        <v>97</v>
      </c>
      <c r="J45" s="6" t="s">
        <v>130</v>
      </c>
      <c r="K45" s="11">
        <v>0.77430555555555558</v>
      </c>
      <c r="L45" s="11">
        <v>0.81874999999999998</v>
      </c>
      <c r="M45" s="7" t="s">
        <v>109</v>
      </c>
      <c r="N45" s="10" t="s">
        <v>2248</v>
      </c>
      <c r="O45" s="6" t="s">
        <v>61</v>
      </c>
      <c r="P45" s="7" t="s">
        <v>131</v>
      </c>
      <c r="Q45" s="7" t="s">
        <v>89</v>
      </c>
      <c r="R45" s="6" t="s">
        <v>62</v>
      </c>
      <c r="S45" s="7" t="s">
        <v>123</v>
      </c>
      <c r="T45" s="6" t="s">
        <v>480</v>
      </c>
      <c r="U45" s="125">
        <f t="shared" si="0"/>
        <v>0.69</v>
      </c>
      <c r="V45" s="7" t="s">
        <v>2319</v>
      </c>
    </row>
    <row r="46" spans="1:22" x14ac:dyDescent="0.3">
      <c r="A46" s="7">
        <v>45</v>
      </c>
      <c r="B46" s="6" t="s">
        <v>143</v>
      </c>
      <c r="C46" s="6" t="s">
        <v>1599</v>
      </c>
      <c r="D46" s="6">
        <v>10126043</v>
      </c>
      <c r="E46" s="6">
        <v>88</v>
      </c>
      <c r="F46" s="7">
        <v>161</v>
      </c>
      <c r="G46" s="7">
        <v>31</v>
      </c>
      <c r="H46" s="7" t="s">
        <v>65</v>
      </c>
      <c r="I46" s="7" t="s">
        <v>88</v>
      </c>
      <c r="J46" s="6" t="s">
        <v>130</v>
      </c>
      <c r="K46" s="11">
        <v>0.96666666666666667</v>
      </c>
      <c r="L46" s="11">
        <v>0.9770833333333333</v>
      </c>
      <c r="M46" s="7" t="s">
        <v>109</v>
      </c>
      <c r="N46" s="10" t="s">
        <v>2248</v>
      </c>
      <c r="O46" s="6" t="s">
        <v>61</v>
      </c>
      <c r="P46" s="7" t="s">
        <v>131</v>
      </c>
      <c r="Q46" s="7" t="s">
        <v>86</v>
      </c>
      <c r="R46" s="6" t="s">
        <v>62</v>
      </c>
      <c r="S46" s="7" t="s">
        <v>123</v>
      </c>
      <c r="T46" s="6" t="s">
        <v>480</v>
      </c>
      <c r="U46" s="125">
        <f t="shared" si="0"/>
        <v>0.35227272727272729</v>
      </c>
      <c r="V46" s="7" t="s">
        <v>2141</v>
      </c>
    </row>
    <row r="47" spans="1:22" x14ac:dyDescent="0.3">
      <c r="A47" s="7">
        <v>46</v>
      </c>
      <c r="B47" s="6" t="s">
        <v>143</v>
      </c>
      <c r="C47" s="6" t="s">
        <v>2304</v>
      </c>
      <c r="D47" s="6">
        <v>10226023</v>
      </c>
      <c r="E47" s="6">
        <v>100</v>
      </c>
      <c r="F47" s="7">
        <v>150</v>
      </c>
      <c r="G47" s="7">
        <v>26</v>
      </c>
      <c r="H47" s="7" t="s">
        <v>153</v>
      </c>
      <c r="I47" s="7" t="s">
        <v>154</v>
      </c>
      <c r="J47" s="6" t="s">
        <v>130</v>
      </c>
      <c r="K47" s="11">
        <v>0.78888888888888886</v>
      </c>
      <c r="L47" s="11">
        <v>0.81319444444444444</v>
      </c>
      <c r="M47" s="7" t="s">
        <v>109</v>
      </c>
      <c r="N47" s="6" t="s">
        <v>109</v>
      </c>
      <c r="O47" s="6" t="s">
        <v>61</v>
      </c>
      <c r="P47" s="7" t="s">
        <v>131</v>
      </c>
      <c r="Q47" s="7" t="s">
        <v>154</v>
      </c>
      <c r="R47" s="6" t="s">
        <v>62</v>
      </c>
      <c r="S47" s="7" t="s">
        <v>123</v>
      </c>
      <c r="T47" s="6" t="s">
        <v>402</v>
      </c>
      <c r="U47" s="125">
        <f t="shared" si="0"/>
        <v>0.26</v>
      </c>
      <c r="V47" s="7" t="s">
        <v>2319</v>
      </c>
    </row>
    <row r="48" spans="1:22" x14ac:dyDescent="0.3">
      <c r="A48" s="7">
        <v>47</v>
      </c>
      <c r="B48" s="6" t="s">
        <v>143</v>
      </c>
      <c r="C48" s="6" t="s">
        <v>2305</v>
      </c>
      <c r="D48" s="6">
        <v>10226022</v>
      </c>
      <c r="E48" s="6">
        <v>100</v>
      </c>
      <c r="F48" s="7">
        <v>117</v>
      </c>
      <c r="G48" s="7">
        <v>13</v>
      </c>
      <c r="H48" s="7" t="s">
        <v>65</v>
      </c>
      <c r="I48" s="7" t="s">
        <v>93</v>
      </c>
      <c r="J48" s="6" t="s">
        <v>130</v>
      </c>
      <c r="K48" s="11">
        <v>0.80694444444444446</v>
      </c>
      <c r="L48" s="11">
        <v>0.86319444444444449</v>
      </c>
      <c r="M48" s="7" t="s">
        <v>109</v>
      </c>
      <c r="N48" s="6" t="s">
        <v>109</v>
      </c>
      <c r="O48" s="6" t="s">
        <v>61</v>
      </c>
      <c r="P48" s="7" t="s">
        <v>131</v>
      </c>
      <c r="Q48" s="7" t="s">
        <v>93</v>
      </c>
      <c r="R48" s="6" t="s">
        <v>62</v>
      </c>
      <c r="S48" s="7" t="s">
        <v>123</v>
      </c>
      <c r="T48" s="6" t="s">
        <v>402</v>
      </c>
      <c r="U48" s="125">
        <f t="shared" si="0"/>
        <v>0.13</v>
      </c>
      <c r="V48" s="7" t="s">
        <v>291</v>
      </c>
    </row>
    <row r="49" spans="1:22" x14ac:dyDescent="0.3">
      <c r="A49" s="7">
        <v>48</v>
      </c>
      <c r="B49" s="6" t="s">
        <v>143</v>
      </c>
      <c r="C49" s="6" t="s">
        <v>2306</v>
      </c>
      <c r="D49" s="6">
        <v>10226024</v>
      </c>
      <c r="E49" s="6">
        <v>50</v>
      </c>
      <c r="F49" s="7">
        <v>12</v>
      </c>
      <c r="G49" s="7">
        <v>7</v>
      </c>
      <c r="H49" s="7" t="s">
        <v>82</v>
      </c>
      <c r="I49" s="7" t="s">
        <v>89</v>
      </c>
      <c r="J49" s="6" t="s">
        <v>130</v>
      </c>
      <c r="K49" s="11">
        <v>0.97847222222222219</v>
      </c>
      <c r="L49" s="11" t="s">
        <v>2320</v>
      </c>
      <c r="M49" s="7" t="s">
        <v>109</v>
      </c>
      <c r="N49" s="6" t="s">
        <v>109</v>
      </c>
      <c r="O49" s="6" t="s">
        <v>61</v>
      </c>
      <c r="P49" s="7" t="s">
        <v>131</v>
      </c>
      <c r="Q49" s="7" t="s">
        <v>89</v>
      </c>
      <c r="R49" s="6" t="s">
        <v>62</v>
      </c>
      <c r="S49" s="7" t="s">
        <v>123</v>
      </c>
      <c r="T49" s="6" t="s">
        <v>1665</v>
      </c>
      <c r="U49" s="125">
        <f t="shared" si="0"/>
        <v>0.14000000000000001</v>
      </c>
      <c r="V49" s="7" t="s">
        <v>291</v>
      </c>
    </row>
    <row r="50" spans="1:22" x14ac:dyDescent="0.3">
      <c r="A50" s="7">
        <v>49</v>
      </c>
      <c r="B50" s="6" t="s">
        <v>143</v>
      </c>
      <c r="C50" s="6" t="s">
        <v>2250</v>
      </c>
      <c r="D50" s="6">
        <v>10226021</v>
      </c>
      <c r="E50" s="6">
        <v>150</v>
      </c>
      <c r="F50" s="7">
        <v>194</v>
      </c>
      <c r="G50" s="7">
        <v>137</v>
      </c>
      <c r="H50" s="7" t="s">
        <v>2307</v>
      </c>
      <c r="I50" s="7" t="s">
        <v>294</v>
      </c>
      <c r="J50" s="6" t="s">
        <v>130</v>
      </c>
      <c r="K50" s="11">
        <v>0.81805555555555554</v>
      </c>
      <c r="L50" s="11">
        <v>0.85</v>
      </c>
      <c r="M50" s="7" t="s">
        <v>109</v>
      </c>
      <c r="N50" s="6" t="s">
        <v>109</v>
      </c>
      <c r="O50" s="6" t="s">
        <v>61</v>
      </c>
      <c r="P50" s="7" t="s">
        <v>131</v>
      </c>
      <c r="Q50" s="7" t="s">
        <v>88</v>
      </c>
      <c r="R50" s="6" t="s">
        <v>62</v>
      </c>
      <c r="S50" s="7" t="s">
        <v>123</v>
      </c>
      <c r="T50" s="6" t="s">
        <v>2253</v>
      </c>
      <c r="U50" s="125">
        <f t="shared" si="0"/>
        <v>0.91333333333333333</v>
      </c>
      <c r="V50" s="7" t="s">
        <v>1945</v>
      </c>
    </row>
    <row r="51" spans="1:22" x14ac:dyDescent="0.3">
      <c r="A51" s="7">
        <v>50</v>
      </c>
      <c r="B51" s="6" t="s">
        <v>143</v>
      </c>
      <c r="C51" s="6" t="s">
        <v>2255</v>
      </c>
      <c r="D51" s="6">
        <v>10226015</v>
      </c>
      <c r="E51" s="6">
        <v>50</v>
      </c>
      <c r="F51" s="7">
        <v>84</v>
      </c>
      <c r="G51" s="7">
        <v>40</v>
      </c>
      <c r="H51" s="7" t="s">
        <v>67</v>
      </c>
      <c r="I51" s="7" t="s">
        <v>95</v>
      </c>
      <c r="J51" s="6" t="s">
        <v>130</v>
      </c>
      <c r="K51" s="11">
        <v>0.91805555555555551</v>
      </c>
      <c r="L51" s="11">
        <v>0.93055555555555558</v>
      </c>
      <c r="M51" s="7" t="s">
        <v>109</v>
      </c>
      <c r="N51" s="6" t="s">
        <v>109</v>
      </c>
      <c r="O51" s="6" t="s">
        <v>61</v>
      </c>
      <c r="P51" s="7" t="s">
        <v>131</v>
      </c>
      <c r="Q51" s="7" t="s">
        <v>95</v>
      </c>
      <c r="R51" s="6" t="s">
        <v>62</v>
      </c>
      <c r="S51" s="7" t="s">
        <v>123</v>
      </c>
      <c r="T51" s="6" t="s">
        <v>2253</v>
      </c>
      <c r="U51" s="125">
        <f t="shared" si="0"/>
        <v>0.8</v>
      </c>
      <c r="V51" s="7" t="s">
        <v>2319</v>
      </c>
    </row>
    <row r="52" spans="1:22" x14ac:dyDescent="0.3">
      <c r="A52" s="7">
        <v>51</v>
      </c>
      <c r="B52" s="6" t="s">
        <v>143</v>
      </c>
      <c r="C52" s="6" t="s">
        <v>2256</v>
      </c>
      <c r="D52" s="6">
        <v>10226016</v>
      </c>
      <c r="E52" s="6">
        <v>200</v>
      </c>
      <c r="F52" s="7">
        <v>271</v>
      </c>
      <c r="G52" s="7">
        <v>168</v>
      </c>
      <c r="H52" s="7" t="s">
        <v>2237</v>
      </c>
      <c r="I52" s="7" t="s">
        <v>297</v>
      </c>
      <c r="J52" s="6" t="s">
        <v>130</v>
      </c>
      <c r="K52" s="11">
        <v>0.9868055555555556</v>
      </c>
      <c r="L52" s="11">
        <v>3.4027777777777775E-2</v>
      </c>
      <c r="M52" s="7" t="s">
        <v>109</v>
      </c>
      <c r="N52" s="6" t="s">
        <v>109</v>
      </c>
      <c r="O52" s="6" t="s">
        <v>61</v>
      </c>
      <c r="P52" s="7" t="s">
        <v>131</v>
      </c>
      <c r="Q52" s="7" t="s">
        <v>90</v>
      </c>
      <c r="R52" s="6" t="s">
        <v>62</v>
      </c>
      <c r="S52" s="7" t="s">
        <v>123</v>
      </c>
      <c r="T52" s="6" t="s">
        <v>2253</v>
      </c>
      <c r="U52" s="125">
        <f t="shared" si="0"/>
        <v>0.84</v>
      </c>
      <c r="V52" s="7" t="s">
        <v>1945</v>
      </c>
    </row>
    <row r="53" spans="1:22" x14ac:dyDescent="0.3">
      <c r="A53" s="7">
        <v>52</v>
      </c>
      <c r="B53" s="6" t="s">
        <v>143</v>
      </c>
      <c r="C53" s="6" t="s">
        <v>2257</v>
      </c>
      <c r="D53" s="6">
        <v>10226019</v>
      </c>
      <c r="E53" s="6">
        <v>50</v>
      </c>
      <c r="F53" s="7">
        <v>99</v>
      </c>
      <c r="G53" s="7">
        <v>39</v>
      </c>
      <c r="H53" s="7" t="s">
        <v>153</v>
      </c>
      <c r="I53" s="7" t="s">
        <v>93</v>
      </c>
      <c r="J53" s="6" t="s">
        <v>130</v>
      </c>
      <c r="K53" s="11">
        <v>0.7104166666666667</v>
      </c>
      <c r="L53" s="11">
        <v>0.74513888888888891</v>
      </c>
      <c r="M53" s="7" t="s">
        <v>109</v>
      </c>
      <c r="N53" s="6" t="s">
        <v>109</v>
      </c>
      <c r="O53" s="6" t="s">
        <v>61</v>
      </c>
      <c r="P53" s="7" t="s">
        <v>131</v>
      </c>
      <c r="Q53" s="7" t="s">
        <v>93</v>
      </c>
      <c r="R53" s="6" t="s">
        <v>62</v>
      </c>
      <c r="S53" s="7" t="s">
        <v>123</v>
      </c>
      <c r="T53" s="6" t="s">
        <v>2253</v>
      </c>
      <c r="U53" s="125">
        <f t="shared" si="0"/>
        <v>0.78</v>
      </c>
      <c r="V53" s="7" t="s">
        <v>2141</v>
      </c>
    </row>
    <row r="54" spans="1:22" x14ac:dyDescent="0.3">
      <c r="A54" s="7">
        <v>53</v>
      </c>
      <c r="B54" s="6" t="s">
        <v>143</v>
      </c>
      <c r="C54" s="6" t="s">
        <v>1514</v>
      </c>
      <c r="D54" s="6">
        <v>10126035</v>
      </c>
      <c r="E54" s="6">
        <v>50</v>
      </c>
      <c r="F54" s="7">
        <v>79</v>
      </c>
      <c r="G54" s="7">
        <v>23</v>
      </c>
      <c r="H54" s="7" t="s">
        <v>83</v>
      </c>
      <c r="I54" s="7" t="s">
        <v>209</v>
      </c>
      <c r="J54" s="6" t="s">
        <v>130</v>
      </c>
      <c r="K54" s="11">
        <v>0.92777777777777781</v>
      </c>
      <c r="L54" s="11">
        <v>5.6250000000000001E-2</v>
      </c>
      <c r="M54" s="7" t="s">
        <v>109</v>
      </c>
      <c r="N54" s="6" t="s">
        <v>109</v>
      </c>
      <c r="O54" s="6" t="s">
        <v>61</v>
      </c>
      <c r="P54" s="7" t="s">
        <v>131</v>
      </c>
      <c r="Q54" s="7" t="s">
        <v>605</v>
      </c>
      <c r="R54" s="6" t="s">
        <v>62</v>
      </c>
      <c r="S54" s="7" t="s">
        <v>123</v>
      </c>
      <c r="T54" s="6" t="s">
        <v>398</v>
      </c>
      <c r="U54" s="125">
        <f t="shared" si="0"/>
        <v>0.46</v>
      </c>
      <c r="V54" s="7" t="s">
        <v>109</v>
      </c>
    </row>
    <row r="55" spans="1:22" x14ac:dyDescent="0.3">
      <c r="A55" s="7">
        <v>54</v>
      </c>
      <c r="B55" s="6" t="s">
        <v>143</v>
      </c>
      <c r="C55" s="6" t="s">
        <v>1604</v>
      </c>
      <c r="D55" s="6">
        <v>10126042</v>
      </c>
      <c r="E55" s="6">
        <v>50</v>
      </c>
      <c r="F55" s="7">
        <v>69</v>
      </c>
      <c r="G55" s="7">
        <v>54</v>
      </c>
      <c r="H55" s="7" t="s">
        <v>196</v>
      </c>
      <c r="I55" s="7" t="s">
        <v>91</v>
      </c>
      <c r="J55" s="6" t="s">
        <v>130</v>
      </c>
      <c r="K55" s="11">
        <v>0.68958333333333333</v>
      </c>
      <c r="L55" s="11">
        <v>0.96944444444444444</v>
      </c>
      <c r="M55" s="7" t="s">
        <v>109</v>
      </c>
      <c r="N55" s="6" t="s">
        <v>109</v>
      </c>
      <c r="O55" s="6" t="s">
        <v>61</v>
      </c>
      <c r="P55" s="7" t="s">
        <v>131</v>
      </c>
      <c r="Q55" s="7" t="s">
        <v>603</v>
      </c>
      <c r="R55" s="6" t="s">
        <v>62</v>
      </c>
      <c r="S55" s="7" t="s">
        <v>123</v>
      </c>
      <c r="T55" s="6" t="s">
        <v>398</v>
      </c>
      <c r="U55" s="125">
        <f t="shared" si="0"/>
        <v>1.08</v>
      </c>
      <c r="V55" s="7" t="s">
        <v>1945</v>
      </c>
    </row>
    <row r="56" spans="1:22" x14ac:dyDescent="0.3">
      <c r="A56" s="7">
        <v>55</v>
      </c>
      <c r="B56" s="6" t="s">
        <v>23</v>
      </c>
      <c r="C56" s="6" t="s">
        <v>1919</v>
      </c>
      <c r="D56" s="6">
        <v>50226021</v>
      </c>
      <c r="E56" s="6">
        <v>800</v>
      </c>
      <c r="F56" s="7">
        <v>970</v>
      </c>
      <c r="G56" s="7">
        <v>760</v>
      </c>
      <c r="H56" s="7" t="s">
        <v>2308</v>
      </c>
      <c r="I56" s="7" t="s">
        <v>109</v>
      </c>
      <c r="J56" s="6" t="s">
        <v>130</v>
      </c>
      <c r="K56" s="11" t="s">
        <v>109</v>
      </c>
      <c r="L56" s="11">
        <v>0.72152777777777777</v>
      </c>
      <c r="M56" s="7" t="s">
        <v>109</v>
      </c>
      <c r="N56" s="6" t="s">
        <v>110</v>
      </c>
      <c r="O56" s="6" t="s">
        <v>61</v>
      </c>
      <c r="P56" s="7" t="s">
        <v>131</v>
      </c>
      <c r="Q56" s="7" t="s">
        <v>83</v>
      </c>
      <c r="R56" s="6" t="s">
        <v>62</v>
      </c>
      <c r="S56" s="7" t="s">
        <v>123</v>
      </c>
      <c r="T56" s="6" t="s">
        <v>424</v>
      </c>
      <c r="U56" s="125">
        <f t="shared" si="0"/>
        <v>0.95</v>
      </c>
      <c r="V56" s="7" t="s">
        <v>1945</v>
      </c>
    </row>
    <row r="57" spans="1:22" x14ac:dyDescent="0.3">
      <c r="A57" s="7">
        <v>56</v>
      </c>
      <c r="B57" s="6" t="s">
        <v>23</v>
      </c>
      <c r="C57" s="6" t="s">
        <v>1664</v>
      </c>
      <c r="D57" s="6">
        <v>50126367</v>
      </c>
      <c r="E57" s="6">
        <v>500</v>
      </c>
      <c r="F57" s="7">
        <v>736</v>
      </c>
      <c r="G57" s="7">
        <v>441</v>
      </c>
      <c r="H57" s="7" t="s">
        <v>2309</v>
      </c>
      <c r="I57" s="7" t="s">
        <v>109</v>
      </c>
      <c r="J57" s="6" t="s">
        <v>130</v>
      </c>
      <c r="K57" s="11" t="s">
        <v>109</v>
      </c>
      <c r="L57" s="11">
        <v>0.78333333333333333</v>
      </c>
      <c r="M57" s="7" t="s">
        <v>109</v>
      </c>
      <c r="N57" s="6" t="s">
        <v>110</v>
      </c>
      <c r="O57" s="6" t="s">
        <v>61</v>
      </c>
      <c r="P57" s="7" t="s">
        <v>131</v>
      </c>
      <c r="Q57" s="7" t="s">
        <v>86</v>
      </c>
      <c r="R57" s="6" t="s">
        <v>62</v>
      </c>
      <c r="S57" s="7" t="s">
        <v>123</v>
      </c>
      <c r="T57" s="6" t="s">
        <v>424</v>
      </c>
      <c r="U57" s="125">
        <f t="shared" si="0"/>
        <v>0.88200000000000001</v>
      </c>
      <c r="V57" s="7" t="s">
        <v>1945</v>
      </c>
    </row>
    <row r="58" spans="1:22" x14ac:dyDescent="0.3">
      <c r="A58" s="7">
        <v>57</v>
      </c>
      <c r="B58" s="6" t="s">
        <v>23</v>
      </c>
      <c r="C58" s="6" t="s">
        <v>940</v>
      </c>
      <c r="D58" s="6">
        <v>50126249</v>
      </c>
      <c r="E58" s="6">
        <v>650</v>
      </c>
      <c r="F58" s="7">
        <v>1018</v>
      </c>
      <c r="G58" s="7">
        <v>651</v>
      </c>
      <c r="H58" s="7" t="s">
        <v>2310</v>
      </c>
      <c r="I58" s="7" t="s">
        <v>109</v>
      </c>
      <c r="J58" s="6" t="s">
        <v>130</v>
      </c>
      <c r="K58" s="11" t="s">
        <v>109</v>
      </c>
      <c r="L58" s="11">
        <v>0.87708333333333333</v>
      </c>
      <c r="M58" s="7" t="s">
        <v>109</v>
      </c>
      <c r="N58" s="6" t="s">
        <v>110</v>
      </c>
      <c r="O58" s="6" t="s">
        <v>61</v>
      </c>
      <c r="P58" s="7" t="s">
        <v>131</v>
      </c>
      <c r="Q58" s="7" t="s">
        <v>200</v>
      </c>
      <c r="R58" s="6" t="s">
        <v>62</v>
      </c>
      <c r="S58" s="7" t="s">
        <v>123</v>
      </c>
      <c r="T58" s="6" t="s">
        <v>424</v>
      </c>
      <c r="U58" s="125">
        <f t="shared" si="0"/>
        <v>1.0015384615384615</v>
      </c>
      <c r="V58" s="7" t="s">
        <v>1945</v>
      </c>
    </row>
    <row r="59" spans="1:22" x14ac:dyDescent="0.3">
      <c r="A59" s="7">
        <v>58</v>
      </c>
      <c r="B59" s="6" t="s">
        <v>23</v>
      </c>
      <c r="C59" s="6" t="s">
        <v>2178</v>
      </c>
      <c r="D59" s="6">
        <v>50226073</v>
      </c>
      <c r="E59" s="6">
        <v>280</v>
      </c>
      <c r="F59" s="7">
        <v>354</v>
      </c>
      <c r="G59" s="7">
        <v>311</v>
      </c>
      <c r="H59" s="7" t="s">
        <v>2311</v>
      </c>
      <c r="I59" s="7" t="s">
        <v>109</v>
      </c>
      <c r="J59" s="6" t="s">
        <v>130</v>
      </c>
      <c r="K59" s="11" t="s">
        <v>109</v>
      </c>
      <c r="L59" s="11">
        <v>0.81666666666666665</v>
      </c>
      <c r="M59" s="7" t="s">
        <v>109</v>
      </c>
      <c r="N59" s="10" t="s">
        <v>2312</v>
      </c>
      <c r="O59" s="6" t="s">
        <v>61</v>
      </c>
      <c r="P59" s="7" t="s">
        <v>131</v>
      </c>
      <c r="Q59" s="7" t="s">
        <v>274</v>
      </c>
      <c r="R59" s="6" t="s">
        <v>62</v>
      </c>
      <c r="S59" s="7" t="s">
        <v>123</v>
      </c>
      <c r="T59" s="6" t="s">
        <v>424</v>
      </c>
      <c r="U59" s="125">
        <f t="shared" si="0"/>
        <v>1.1107142857142858</v>
      </c>
      <c r="V59" s="7" t="s">
        <v>1945</v>
      </c>
    </row>
    <row r="60" spans="1:22" x14ac:dyDescent="0.3">
      <c r="A60" s="7">
        <v>59</v>
      </c>
      <c r="B60" s="6" t="s">
        <v>23</v>
      </c>
      <c r="C60" s="6" t="s">
        <v>1913</v>
      </c>
      <c r="D60" s="6">
        <v>50226029</v>
      </c>
      <c r="E60" s="6">
        <v>300</v>
      </c>
      <c r="F60" s="7">
        <v>538</v>
      </c>
      <c r="G60" s="7">
        <v>278</v>
      </c>
      <c r="H60" s="7" t="s">
        <v>2313</v>
      </c>
      <c r="I60" s="7" t="s">
        <v>109</v>
      </c>
      <c r="J60" s="6" t="s">
        <v>130</v>
      </c>
      <c r="K60" s="11" t="s">
        <v>109</v>
      </c>
      <c r="L60" s="11">
        <v>0.96875</v>
      </c>
      <c r="M60" s="7" t="s">
        <v>109</v>
      </c>
      <c r="N60" s="10" t="s">
        <v>2314</v>
      </c>
      <c r="O60" s="6" t="s">
        <v>61</v>
      </c>
      <c r="P60" s="7" t="s">
        <v>131</v>
      </c>
      <c r="Q60" s="7" t="s">
        <v>83</v>
      </c>
      <c r="R60" s="6" t="s">
        <v>62</v>
      </c>
      <c r="S60" s="7" t="s">
        <v>123</v>
      </c>
      <c r="T60" s="6" t="s">
        <v>424</v>
      </c>
      <c r="U60" s="125">
        <f t="shared" si="0"/>
        <v>0.92666666666666664</v>
      </c>
      <c r="V60" s="7" t="s">
        <v>1945</v>
      </c>
    </row>
    <row r="61" spans="1:22" x14ac:dyDescent="0.3">
      <c r="A61" s="7">
        <v>60</v>
      </c>
      <c r="B61" s="6" t="s">
        <v>23</v>
      </c>
      <c r="C61" s="6" t="s">
        <v>1918</v>
      </c>
      <c r="D61" s="6">
        <v>50226022</v>
      </c>
      <c r="E61" s="6">
        <v>160</v>
      </c>
      <c r="F61" s="7">
        <v>301</v>
      </c>
      <c r="G61" s="7">
        <v>140</v>
      </c>
      <c r="H61" s="7" t="s">
        <v>1431</v>
      </c>
      <c r="I61" s="7" t="s">
        <v>109</v>
      </c>
      <c r="J61" s="6" t="s">
        <v>130</v>
      </c>
      <c r="K61" s="11" t="s">
        <v>109</v>
      </c>
      <c r="L61" s="11">
        <v>0.95763888888888893</v>
      </c>
      <c r="M61" s="7" t="s">
        <v>109</v>
      </c>
      <c r="N61" s="6" t="s">
        <v>109</v>
      </c>
      <c r="O61" s="6" t="s">
        <v>61</v>
      </c>
      <c r="P61" s="7" t="s">
        <v>131</v>
      </c>
      <c r="Q61" s="7" t="s">
        <v>82</v>
      </c>
      <c r="R61" s="6" t="s">
        <v>62</v>
      </c>
      <c r="S61" s="7" t="s">
        <v>123</v>
      </c>
      <c r="T61" s="6" t="s">
        <v>424</v>
      </c>
      <c r="U61" s="125">
        <f t="shared" si="0"/>
        <v>0.875</v>
      </c>
      <c r="V61" s="7" t="s">
        <v>1945</v>
      </c>
    </row>
    <row r="62" spans="1:22" x14ac:dyDescent="0.3">
      <c r="A62" s="7">
        <v>61</v>
      </c>
      <c r="B62" s="6" t="s">
        <v>23</v>
      </c>
      <c r="C62" s="6" t="s">
        <v>1748</v>
      </c>
      <c r="D62" s="6">
        <v>50126396</v>
      </c>
      <c r="E62" s="6">
        <v>125</v>
      </c>
      <c r="F62" s="7">
        <v>117</v>
      </c>
      <c r="G62" s="7">
        <v>26</v>
      </c>
      <c r="H62" s="7" t="s">
        <v>1195</v>
      </c>
      <c r="I62" s="7" t="s">
        <v>109</v>
      </c>
      <c r="J62" s="6" t="s">
        <v>130</v>
      </c>
      <c r="K62" s="11" t="s">
        <v>109</v>
      </c>
      <c r="L62" s="11">
        <v>0.86319444444444449</v>
      </c>
      <c r="M62" s="7" t="s">
        <v>109</v>
      </c>
      <c r="N62" s="6" t="s">
        <v>2315</v>
      </c>
      <c r="O62" s="6" t="s">
        <v>61</v>
      </c>
      <c r="P62" s="7" t="s">
        <v>131</v>
      </c>
      <c r="Q62" s="7" t="s">
        <v>196</v>
      </c>
      <c r="R62" s="6" t="s">
        <v>62</v>
      </c>
      <c r="S62" s="7" t="s">
        <v>123</v>
      </c>
      <c r="T62" s="6" t="s">
        <v>310</v>
      </c>
      <c r="U62" s="125">
        <f t="shared" si="0"/>
        <v>0.20799999999999999</v>
      </c>
      <c r="V62" s="7" t="s">
        <v>291</v>
      </c>
    </row>
    <row r="63" spans="1:22" x14ac:dyDescent="0.3">
      <c r="A63" s="7">
        <v>62</v>
      </c>
      <c r="B63" s="6" t="s">
        <v>23</v>
      </c>
      <c r="C63" s="6" t="s">
        <v>1750</v>
      </c>
      <c r="D63" s="6">
        <v>50126393</v>
      </c>
      <c r="E63" s="6">
        <v>75</v>
      </c>
      <c r="F63" s="7">
        <v>126</v>
      </c>
      <c r="G63" s="7">
        <v>81</v>
      </c>
      <c r="H63" s="7" t="s">
        <v>69</v>
      </c>
      <c r="I63" s="7" t="s">
        <v>109</v>
      </c>
      <c r="J63" s="6" t="s">
        <v>130</v>
      </c>
      <c r="K63" s="11" t="s">
        <v>109</v>
      </c>
      <c r="L63" s="11">
        <v>0.93402777777777779</v>
      </c>
      <c r="M63" s="7" t="s">
        <v>109</v>
      </c>
      <c r="N63" s="6" t="s">
        <v>2315</v>
      </c>
      <c r="O63" s="6" t="s">
        <v>61</v>
      </c>
      <c r="P63" s="7" t="s">
        <v>131</v>
      </c>
      <c r="Q63" s="7" t="s">
        <v>69</v>
      </c>
      <c r="R63" s="6" t="s">
        <v>62</v>
      </c>
      <c r="S63" s="7" t="s">
        <v>123</v>
      </c>
      <c r="T63" s="6" t="s">
        <v>310</v>
      </c>
      <c r="U63" s="125">
        <f t="shared" si="0"/>
        <v>1.08</v>
      </c>
      <c r="V63" s="7" t="s">
        <v>1945</v>
      </c>
    </row>
    <row r="64" spans="1:22" x14ac:dyDescent="0.3">
      <c r="A64" s="7">
        <v>63</v>
      </c>
      <c r="B64" s="6" t="s">
        <v>23</v>
      </c>
      <c r="C64" s="6" t="s">
        <v>1751</v>
      </c>
      <c r="D64" s="6">
        <v>50126399</v>
      </c>
      <c r="E64" s="6">
        <v>50</v>
      </c>
      <c r="F64" s="7">
        <v>113</v>
      </c>
      <c r="G64" s="7">
        <v>13</v>
      </c>
      <c r="H64" s="7" t="s">
        <v>214</v>
      </c>
      <c r="I64" s="7" t="s">
        <v>109</v>
      </c>
      <c r="J64" s="6" t="s">
        <v>130</v>
      </c>
      <c r="K64" s="11" t="s">
        <v>109</v>
      </c>
      <c r="L64" s="11">
        <v>0.69236111111111109</v>
      </c>
      <c r="M64" s="7" t="s">
        <v>109</v>
      </c>
      <c r="N64" s="6" t="s">
        <v>2315</v>
      </c>
      <c r="O64" s="6" t="s">
        <v>61</v>
      </c>
      <c r="P64" s="7" t="s">
        <v>131</v>
      </c>
      <c r="Q64" s="7" t="s">
        <v>214</v>
      </c>
      <c r="R64" s="6" t="s">
        <v>62</v>
      </c>
      <c r="S64" s="7" t="s">
        <v>123</v>
      </c>
      <c r="T64" s="6" t="s">
        <v>310</v>
      </c>
      <c r="U64" s="125">
        <f t="shared" si="0"/>
        <v>0.26</v>
      </c>
      <c r="V64" s="7" t="s">
        <v>2141</v>
      </c>
    </row>
    <row r="65" spans="1:22" x14ac:dyDescent="0.3">
      <c r="A65" s="7">
        <v>64</v>
      </c>
      <c r="B65" s="6" t="s">
        <v>23</v>
      </c>
      <c r="C65" s="6" t="s">
        <v>1754</v>
      </c>
      <c r="D65" s="6">
        <v>50126395</v>
      </c>
      <c r="E65" s="6">
        <v>150</v>
      </c>
      <c r="F65" s="7">
        <v>301</v>
      </c>
      <c r="G65" s="7">
        <v>52</v>
      </c>
      <c r="H65" s="7" t="s">
        <v>1223</v>
      </c>
      <c r="I65" s="7" t="s">
        <v>109</v>
      </c>
      <c r="J65" s="6" t="s">
        <v>130</v>
      </c>
      <c r="K65" s="11" t="s">
        <v>109</v>
      </c>
      <c r="L65" s="11">
        <v>0.98055555555555551</v>
      </c>
      <c r="M65" s="7" t="s">
        <v>109</v>
      </c>
      <c r="N65" s="6" t="s">
        <v>2315</v>
      </c>
      <c r="O65" s="6" t="s">
        <v>61</v>
      </c>
      <c r="P65" s="7" t="s">
        <v>131</v>
      </c>
      <c r="Q65" s="7" t="s">
        <v>69</v>
      </c>
      <c r="R65" s="6" t="s">
        <v>62</v>
      </c>
      <c r="S65" s="7" t="s">
        <v>123</v>
      </c>
      <c r="T65" s="6" t="s">
        <v>310</v>
      </c>
      <c r="U65" s="125">
        <f t="shared" si="0"/>
        <v>0.34666666666666668</v>
      </c>
      <c r="V65" s="7" t="s">
        <v>2141</v>
      </c>
    </row>
    <row r="66" spans="1:22" x14ac:dyDescent="0.3">
      <c r="A66" s="7">
        <v>65</v>
      </c>
      <c r="B66" s="6" t="s">
        <v>23</v>
      </c>
      <c r="C66" s="6" t="s">
        <v>1755</v>
      </c>
      <c r="D66" s="6">
        <v>50126394</v>
      </c>
      <c r="E66" s="6">
        <v>200</v>
      </c>
      <c r="F66" s="7">
        <v>150</v>
      </c>
      <c r="G66" s="7">
        <v>121</v>
      </c>
      <c r="H66" s="7" t="s">
        <v>2316</v>
      </c>
      <c r="I66" s="7" t="s">
        <v>109</v>
      </c>
      <c r="J66" s="6" t="s">
        <v>130</v>
      </c>
      <c r="K66" s="11" t="s">
        <v>109</v>
      </c>
      <c r="L66" s="11">
        <v>2.0833333333333332E-2</v>
      </c>
      <c r="M66" s="7" t="s">
        <v>109</v>
      </c>
      <c r="N66" s="6" t="s">
        <v>2315</v>
      </c>
      <c r="O66" s="6" t="s">
        <v>61</v>
      </c>
      <c r="P66" s="7" t="s">
        <v>131</v>
      </c>
      <c r="Q66" s="7" t="s">
        <v>209</v>
      </c>
      <c r="R66" s="6" t="s">
        <v>62</v>
      </c>
      <c r="S66" s="7" t="s">
        <v>123</v>
      </c>
      <c r="T66" s="6" t="s">
        <v>310</v>
      </c>
      <c r="U66" s="125">
        <f t="shared" si="0"/>
        <v>0.60499999999999998</v>
      </c>
      <c r="V66" s="7" t="s">
        <v>2146</v>
      </c>
    </row>
    <row r="67" spans="1:22" x14ac:dyDescent="0.3">
      <c r="A67" s="7">
        <v>66</v>
      </c>
      <c r="B67" s="7" t="s">
        <v>163</v>
      </c>
      <c r="C67" s="7" t="s">
        <v>167</v>
      </c>
      <c r="D67" s="7">
        <v>40126007</v>
      </c>
      <c r="E67" s="7">
        <v>306</v>
      </c>
      <c r="F67" s="7">
        <v>295</v>
      </c>
      <c r="G67" s="7">
        <v>171</v>
      </c>
      <c r="H67" s="18" t="s">
        <v>2317</v>
      </c>
      <c r="I67" s="7" t="s">
        <v>109</v>
      </c>
      <c r="J67" s="7" t="s">
        <v>130</v>
      </c>
      <c r="K67" s="7" t="s">
        <v>109</v>
      </c>
      <c r="L67" s="11">
        <v>0.77638888888888891</v>
      </c>
      <c r="M67" s="7" t="s">
        <v>109</v>
      </c>
      <c r="N67" s="7" t="s">
        <v>109</v>
      </c>
      <c r="O67" s="7"/>
      <c r="P67" s="7" t="s">
        <v>131</v>
      </c>
      <c r="Q67" s="7" t="s">
        <v>603</v>
      </c>
      <c r="R67" s="6" t="s">
        <v>62</v>
      </c>
      <c r="S67" s="7" t="s">
        <v>109</v>
      </c>
      <c r="T67" s="48" t="s">
        <v>166</v>
      </c>
      <c r="U67" s="125">
        <f t="shared" si="0"/>
        <v>0.55882352941176472</v>
      </c>
      <c r="V67" s="7" t="s">
        <v>2318</v>
      </c>
    </row>
    <row r="68" spans="1:22" x14ac:dyDescent="0.3">
      <c r="A68" s="7">
        <v>67</v>
      </c>
      <c r="B68" s="6" t="s">
        <v>23</v>
      </c>
      <c r="C68" s="6" t="s">
        <v>1865</v>
      </c>
      <c r="D68" s="6">
        <v>50226016</v>
      </c>
      <c r="E68" s="6">
        <v>50</v>
      </c>
      <c r="F68" s="7">
        <v>129</v>
      </c>
      <c r="G68" s="6">
        <v>56</v>
      </c>
      <c r="H68" s="7" t="s">
        <v>2321</v>
      </c>
      <c r="I68" s="7" t="s">
        <v>109</v>
      </c>
      <c r="J68" s="6" t="s">
        <v>130</v>
      </c>
      <c r="K68" s="11" t="s">
        <v>109</v>
      </c>
      <c r="L68" s="11">
        <v>4.3055555555555555E-2</v>
      </c>
      <c r="M68" s="7" t="s">
        <v>109</v>
      </c>
      <c r="N68" s="6" t="s">
        <v>109</v>
      </c>
      <c r="O68" s="6" t="s">
        <v>61</v>
      </c>
      <c r="P68" s="7" t="s">
        <v>131</v>
      </c>
      <c r="Q68" s="7" t="s">
        <v>94</v>
      </c>
      <c r="R68" s="6" t="s">
        <v>62</v>
      </c>
      <c r="S68" s="7" t="s">
        <v>876</v>
      </c>
      <c r="T68" s="6" t="s">
        <v>1341</v>
      </c>
      <c r="U68" s="125">
        <f t="shared" ref="U68" si="1">G68/E68</f>
        <v>1.1200000000000001</v>
      </c>
      <c r="V68" s="7" t="s">
        <v>109</v>
      </c>
    </row>
  </sheetData>
  <conditionalFormatting sqref="D1">
    <cfRule type="duplicateValues" dxfId="73" priority="1"/>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81DBD-E14C-40BD-B331-0ABD4705036D}">
  <sheetPr codeName="Sheet34"/>
  <dimension ref="A1:V45"/>
  <sheetViews>
    <sheetView topLeftCell="J1" workbookViewId="0">
      <pane ySplit="1" topLeftCell="A2" activePane="bottomLeft" state="frozen"/>
      <selection pane="bottomLeft" activeCell="U2" sqref="U2"/>
    </sheetView>
  </sheetViews>
  <sheetFormatPr defaultRowHeight="14.4" x14ac:dyDescent="0.3"/>
  <cols>
    <col min="1" max="1" width="3.109375" bestFit="1" customWidth="1"/>
    <col min="2" max="2" width="10.44140625" bestFit="1" customWidth="1"/>
    <col min="3" max="3" width="76.88671875" bestFit="1" customWidth="1"/>
    <col min="4" max="4" width="10.44140625" bestFit="1" customWidth="1"/>
    <col min="5" max="5" width="13.88671875" bestFit="1" customWidth="1"/>
    <col min="6" max="6" width="15.109375" bestFit="1" customWidth="1"/>
    <col min="7" max="7" width="8.5546875" bestFit="1" customWidth="1"/>
    <col min="8" max="8" width="68.109375" bestFit="1" customWidth="1"/>
    <col min="9" max="9" width="54.33203125" bestFit="1" customWidth="1"/>
    <col min="10" max="10" width="6.21875" bestFit="1" customWidth="1"/>
    <col min="11" max="12" width="16.21875" bestFit="1" customWidth="1"/>
    <col min="13" max="14" width="11.77734375" customWidth="1"/>
    <col min="15" max="15" width="8.33203125" bestFit="1" customWidth="1"/>
    <col min="16" max="16" width="14.33203125" bestFit="1" customWidth="1"/>
    <col min="17" max="17" width="11.77734375" bestFit="1" customWidth="1"/>
    <col min="18" max="18" width="14.33203125" bestFit="1" customWidth="1"/>
    <col min="19" max="19" width="12.21875" bestFit="1" customWidth="1"/>
    <col min="20" max="20" width="5.77734375" bestFit="1" customWidth="1"/>
    <col min="21" max="21" width="37.44140625" bestFit="1" customWidth="1"/>
    <col min="22" max="22" width="24.109375" bestFit="1" customWidth="1"/>
  </cols>
  <sheetData>
    <row r="1" spans="1:22" x14ac:dyDescent="0.3">
      <c r="A1" s="1" t="s">
        <v>0</v>
      </c>
      <c r="B1" s="1" t="s">
        <v>1</v>
      </c>
      <c r="C1" s="1" t="s">
        <v>2</v>
      </c>
      <c r="D1" s="1" t="s">
        <v>3</v>
      </c>
      <c r="E1" s="1" t="s">
        <v>4</v>
      </c>
      <c r="F1" s="1" t="s">
        <v>5</v>
      </c>
      <c r="G1" s="1" t="s">
        <v>6</v>
      </c>
      <c r="H1" s="1" t="s">
        <v>7</v>
      </c>
      <c r="I1" s="1" t="s">
        <v>8</v>
      </c>
      <c r="J1" s="1" t="s">
        <v>9</v>
      </c>
      <c r="K1" s="2" t="s">
        <v>2218</v>
      </c>
      <c r="L1" s="2" t="s">
        <v>2219</v>
      </c>
      <c r="M1" s="3" t="s">
        <v>2281</v>
      </c>
      <c r="N1" s="4" t="s">
        <v>13</v>
      </c>
      <c r="O1" s="1" t="s">
        <v>14</v>
      </c>
      <c r="P1" s="1" t="s">
        <v>15</v>
      </c>
      <c r="Q1" s="1" t="s">
        <v>16</v>
      </c>
      <c r="R1" s="1" t="s">
        <v>17</v>
      </c>
      <c r="S1" s="127" t="s">
        <v>2282</v>
      </c>
      <c r="T1" s="1" t="s">
        <v>19</v>
      </c>
      <c r="U1" s="1" t="s">
        <v>20</v>
      </c>
      <c r="V1" s="1" t="s">
        <v>21</v>
      </c>
    </row>
    <row r="2" spans="1:22" x14ac:dyDescent="0.3">
      <c r="A2" s="7">
        <v>1</v>
      </c>
      <c r="B2" s="29" t="s">
        <v>23</v>
      </c>
      <c r="C2" s="29" t="s">
        <v>1062</v>
      </c>
      <c r="D2" s="29">
        <v>50126304</v>
      </c>
      <c r="E2" s="29">
        <v>100</v>
      </c>
      <c r="F2" s="7">
        <v>296</v>
      </c>
      <c r="G2" s="7">
        <v>70</v>
      </c>
      <c r="H2" s="53" t="s">
        <v>153</v>
      </c>
      <c r="I2" s="7" t="s">
        <v>109</v>
      </c>
      <c r="J2" s="7" t="s">
        <v>130</v>
      </c>
      <c r="K2" s="7" t="s">
        <v>109</v>
      </c>
      <c r="L2" s="11">
        <v>0.79513888888888884</v>
      </c>
      <c r="M2" s="7" t="s">
        <v>109</v>
      </c>
      <c r="N2" s="38" t="s">
        <v>109</v>
      </c>
      <c r="O2" s="38" t="s">
        <v>61</v>
      </c>
      <c r="P2" s="7" t="s">
        <v>131</v>
      </c>
      <c r="Q2" s="53" t="s">
        <v>153</v>
      </c>
      <c r="R2" s="7" t="s">
        <v>62</v>
      </c>
      <c r="S2" s="7" t="s">
        <v>109</v>
      </c>
      <c r="T2" s="7" t="s">
        <v>109</v>
      </c>
      <c r="U2" s="131">
        <f t="shared" ref="U2:U45" si="0">G2/E2</f>
        <v>0.7</v>
      </c>
      <c r="V2" s="7" t="s">
        <v>1313</v>
      </c>
    </row>
    <row r="3" spans="1:22" x14ac:dyDescent="0.3">
      <c r="A3" s="7">
        <v>2</v>
      </c>
      <c r="B3" s="29" t="s">
        <v>23</v>
      </c>
      <c r="C3" s="29" t="s">
        <v>1064</v>
      </c>
      <c r="D3" s="29">
        <v>50126306</v>
      </c>
      <c r="E3" s="29">
        <v>75</v>
      </c>
      <c r="F3" s="7">
        <v>174</v>
      </c>
      <c r="G3" s="7">
        <v>27</v>
      </c>
      <c r="H3" s="53" t="s">
        <v>274</v>
      </c>
      <c r="I3" s="7" t="s">
        <v>109</v>
      </c>
      <c r="J3" s="7" t="s">
        <v>130</v>
      </c>
      <c r="K3" s="7" t="s">
        <v>109</v>
      </c>
      <c r="L3" s="11">
        <v>0.78333333333333333</v>
      </c>
      <c r="M3" s="7" t="s">
        <v>109</v>
      </c>
      <c r="N3" s="38" t="s">
        <v>109</v>
      </c>
      <c r="O3" s="38" t="s">
        <v>61</v>
      </c>
      <c r="P3" s="7" t="s">
        <v>131</v>
      </c>
      <c r="Q3" s="7" t="s">
        <v>274</v>
      </c>
      <c r="R3" s="7" t="s">
        <v>62</v>
      </c>
      <c r="S3" s="7" t="s">
        <v>109</v>
      </c>
      <c r="T3" s="7" t="s">
        <v>109</v>
      </c>
      <c r="U3" s="131">
        <f t="shared" si="0"/>
        <v>0.36</v>
      </c>
      <c r="V3" s="7" t="s">
        <v>1313</v>
      </c>
    </row>
    <row r="4" spans="1:22" x14ac:dyDescent="0.3">
      <c r="A4" s="7">
        <v>3</v>
      </c>
      <c r="B4" s="29" t="s">
        <v>23</v>
      </c>
      <c r="C4" s="29" t="s">
        <v>1065</v>
      </c>
      <c r="D4" s="29">
        <v>50126305</v>
      </c>
      <c r="E4" s="29">
        <v>100</v>
      </c>
      <c r="F4" s="7">
        <v>163</v>
      </c>
      <c r="G4" s="7">
        <v>36</v>
      </c>
      <c r="H4" s="53" t="s">
        <v>274</v>
      </c>
      <c r="I4" s="7" t="s">
        <v>109</v>
      </c>
      <c r="J4" s="7" t="s">
        <v>130</v>
      </c>
      <c r="K4" s="7" t="s">
        <v>109</v>
      </c>
      <c r="L4" s="11">
        <v>0.82708333333333328</v>
      </c>
      <c r="M4" s="7" t="s">
        <v>109</v>
      </c>
      <c r="N4" s="38" t="s">
        <v>109</v>
      </c>
      <c r="O4" s="38" t="s">
        <v>61</v>
      </c>
      <c r="P4" s="7" t="s">
        <v>131</v>
      </c>
      <c r="Q4" s="7" t="s">
        <v>274</v>
      </c>
      <c r="R4" s="7" t="s">
        <v>62</v>
      </c>
      <c r="S4" s="7" t="s">
        <v>109</v>
      </c>
      <c r="T4" s="7" t="s">
        <v>109</v>
      </c>
      <c r="U4" s="131">
        <f t="shared" si="0"/>
        <v>0.36</v>
      </c>
      <c r="V4" s="7" t="s">
        <v>2319</v>
      </c>
    </row>
    <row r="5" spans="1:22" x14ac:dyDescent="0.3">
      <c r="A5" s="7">
        <v>4</v>
      </c>
      <c r="B5" s="29" t="s">
        <v>23</v>
      </c>
      <c r="C5" s="29" t="s">
        <v>140</v>
      </c>
      <c r="D5" s="29">
        <v>51225035</v>
      </c>
      <c r="E5" s="29">
        <v>75</v>
      </c>
      <c r="F5" s="7">
        <v>152</v>
      </c>
      <c r="G5" s="7">
        <v>27</v>
      </c>
      <c r="H5" s="53" t="s">
        <v>68</v>
      </c>
      <c r="I5" s="7" t="s">
        <v>109</v>
      </c>
      <c r="J5" s="7" t="s">
        <v>130</v>
      </c>
      <c r="K5" s="7" t="s">
        <v>109</v>
      </c>
      <c r="L5" s="11">
        <v>0.86805555555555558</v>
      </c>
      <c r="M5" s="7" t="s">
        <v>109</v>
      </c>
      <c r="N5" s="38" t="s">
        <v>109</v>
      </c>
      <c r="O5" s="38" t="s">
        <v>61</v>
      </c>
      <c r="P5" s="7" t="s">
        <v>131</v>
      </c>
      <c r="Q5" s="7" t="s">
        <v>68</v>
      </c>
      <c r="R5" s="7" t="s">
        <v>62</v>
      </c>
      <c r="S5" s="7" t="s">
        <v>109</v>
      </c>
      <c r="T5" s="7" t="s">
        <v>109</v>
      </c>
      <c r="U5" s="131">
        <f t="shared" si="0"/>
        <v>0.36</v>
      </c>
      <c r="V5" s="7" t="s">
        <v>1313</v>
      </c>
    </row>
    <row r="6" spans="1:22" x14ac:dyDescent="0.3">
      <c r="A6" s="7">
        <v>5</v>
      </c>
      <c r="B6" s="29" t="s">
        <v>23</v>
      </c>
      <c r="C6" s="29" t="s">
        <v>280</v>
      </c>
      <c r="D6" s="29">
        <v>51125192</v>
      </c>
      <c r="E6" s="29">
        <v>50</v>
      </c>
      <c r="F6" s="7">
        <v>108</v>
      </c>
      <c r="G6" s="7">
        <v>21</v>
      </c>
      <c r="H6" s="53" t="s">
        <v>65</v>
      </c>
      <c r="I6" s="7" t="s">
        <v>109</v>
      </c>
      <c r="J6" s="7" t="s">
        <v>130</v>
      </c>
      <c r="K6" s="7" t="s">
        <v>109</v>
      </c>
      <c r="L6" s="11">
        <v>0.86041666666666672</v>
      </c>
      <c r="M6" s="7" t="s">
        <v>109</v>
      </c>
      <c r="N6" s="38" t="s">
        <v>109</v>
      </c>
      <c r="O6" s="38" t="s">
        <v>61</v>
      </c>
      <c r="P6" s="7" t="s">
        <v>131</v>
      </c>
      <c r="Q6" s="7" t="s">
        <v>65</v>
      </c>
      <c r="R6" s="7" t="s">
        <v>62</v>
      </c>
      <c r="S6" s="7" t="s">
        <v>109</v>
      </c>
      <c r="T6" s="7" t="s">
        <v>109</v>
      </c>
      <c r="U6" s="131">
        <f t="shared" si="0"/>
        <v>0.42</v>
      </c>
      <c r="V6" s="7" t="s">
        <v>1313</v>
      </c>
    </row>
    <row r="7" spans="1:22" x14ac:dyDescent="0.3">
      <c r="A7" s="7">
        <v>6</v>
      </c>
      <c r="B7" s="29" t="s">
        <v>23</v>
      </c>
      <c r="C7" s="29" t="s">
        <v>2322</v>
      </c>
      <c r="D7" s="29">
        <v>50126037</v>
      </c>
      <c r="E7" s="29">
        <v>50</v>
      </c>
      <c r="F7" s="7">
        <v>48</v>
      </c>
      <c r="G7" s="7">
        <v>13</v>
      </c>
      <c r="H7" s="53" t="s">
        <v>82</v>
      </c>
      <c r="I7" s="7" t="s">
        <v>95</v>
      </c>
      <c r="J7" s="7" t="s">
        <v>130</v>
      </c>
      <c r="K7" s="11">
        <v>0.92777777777777781</v>
      </c>
      <c r="L7" s="11">
        <v>2.0833333333333333E-3</v>
      </c>
      <c r="M7" s="7" t="s">
        <v>109</v>
      </c>
      <c r="N7" s="38" t="s">
        <v>109</v>
      </c>
      <c r="O7" s="38" t="s">
        <v>61</v>
      </c>
      <c r="P7" s="7" t="s">
        <v>131</v>
      </c>
      <c r="Q7" s="7" t="s">
        <v>95</v>
      </c>
      <c r="R7" s="7" t="s">
        <v>62</v>
      </c>
      <c r="S7" s="7" t="s">
        <v>109</v>
      </c>
      <c r="T7" s="7" t="s">
        <v>109</v>
      </c>
      <c r="U7" s="131">
        <f t="shared" si="0"/>
        <v>0.26</v>
      </c>
      <c r="V7" s="7" t="s">
        <v>291</v>
      </c>
    </row>
    <row r="8" spans="1:22" x14ac:dyDescent="0.3">
      <c r="A8" s="7">
        <v>7</v>
      </c>
      <c r="B8" s="29" t="s">
        <v>23</v>
      </c>
      <c r="C8" s="29" t="s">
        <v>479</v>
      </c>
      <c r="D8" s="29">
        <v>50126013</v>
      </c>
      <c r="E8" s="29">
        <v>70</v>
      </c>
      <c r="F8" s="7">
        <v>120</v>
      </c>
      <c r="G8" s="7">
        <v>4</v>
      </c>
      <c r="H8" s="53" t="s">
        <v>214</v>
      </c>
      <c r="I8" s="77" t="s">
        <v>89</v>
      </c>
      <c r="J8" s="7" t="s">
        <v>130</v>
      </c>
      <c r="K8" s="11">
        <v>0.81805555555555554</v>
      </c>
      <c r="L8" s="11">
        <v>0.8256944444444444</v>
      </c>
      <c r="M8" s="7" t="s">
        <v>109</v>
      </c>
      <c r="N8" s="38" t="s">
        <v>109</v>
      </c>
      <c r="O8" s="38" t="s">
        <v>61</v>
      </c>
      <c r="P8" s="7" t="s">
        <v>131</v>
      </c>
      <c r="Q8" s="7" t="s">
        <v>89</v>
      </c>
      <c r="R8" s="7" t="s">
        <v>62</v>
      </c>
      <c r="S8" s="7" t="s">
        <v>109</v>
      </c>
      <c r="T8" s="7" t="s">
        <v>109</v>
      </c>
      <c r="U8" s="131">
        <f t="shared" si="0"/>
        <v>5.7142857142857141E-2</v>
      </c>
      <c r="V8" s="7" t="s">
        <v>2319</v>
      </c>
    </row>
    <row r="9" spans="1:22" x14ac:dyDescent="0.3">
      <c r="A9" s="7">
        <v>8</v>
      </c>
      <c r="B9" s="29" t="s">
        <v>411</v>
      </c>
      <c r="C9" s="29" t="s">
        <v>2246</v>
      </c>
      <c r="D9" s="29">
        <v>30226011</v>
      </c>
      <c r="E9" s="29">
        <v>150</v>
      </c>
      <c r="F9" s="7">
        <v>92</v>
      </c>
      <c r="G9" s="7">
        <v>23</v>
      </c>
      <c r="H9" s="28" t="s">
        <v>262</v>
      </c>
      <c r="I9" s="7" t="s">
        <v>294</v>
      </c>
      <c r="J9" s="7" t="s">
        <v>130</v>
      </c>
      <c r="K9" s="11">
        <v>0.81041666666666667</v>
      </c>
      <c r="L9" s="11">
        <v>0.81527777777777777</v>
      </c>
      <c r="M9" s="7" t="s">
        <v>109</v>
      </c>
      <c r="N9" s="38" t="s">
        <v>109</v>
      </c>
      <c r="O9" s="38" t="s">
        <v>61</v>
      </c>
      <c r="P9" s="7" t="s">
        <v>131</v>
      </c>
      <c r="Q9" s="7" t="s">
        <v>209</v>
      </c>
      <c r="R9" s="7" t="s">
        <v>63</v>
      </c>
      <c r="S9" s="7" t="s">
        <v>109</v>
      </c>
      <c r="T9" s="7" t="s">
        <v>109</v>
      </c>
      <c r="U9" s="131">
        <f t="shared" si="0"/>
        <v>0.15333333333333332</v>
      </c>
      <c r="V9" s="7" t="s">
        <v>291</v>
      </c>
    </row>
    <row r="10" spans="1:22" x14ac:dyDescent="0.3">
      <c r="A10" s="7">
        <v>9</v>
      </c>
      <c r="B10" s="29" t="s">
        <v>170</v>
      </c>
      <c r="C10" s="29" t="s">
        <v>2323</v>
      </c>
      <c r="D10" s="29">
        <v>40226008</v>
      </c>
      <c r="E10" s="29">
        <v>150</v>
      </c>
      <c r="F10" s="7">
        <v>115</v>
      </c>
      <c r="G10" s="7">
        <v>34</v>
      </c>
      <c r="H10" s="28" t="s">
        <v>2271</v>
      </c>
      <c r="I10" s="7" t="s">
        <v>285</v>
      </c>
      <c r="J10" s="7" t="s">
        <v>130</v>
      </c>
      <c r="K10" s="11">
        <v>0.84652777777777777</v>
      </c>
      <c r="L10" s="11">
        <v>0.86458333333333337</v>
      </c>
      <c r="M10" s="7" t="s">
        <v>109</v>
      </c>
      <c r="N10" s="43" t="s">
        <v>2324</v>
      </c>
      <c r="O10" s="38" t="s">
        <v>61</v>
      </c>
      <c r="P10" s="7" t="s">
        <v>131</v>
      </c>
      <c r="Q10" s="7" t="s">
        <v>154</v>
      </c>
      <c r="R10" s="7" t="s">
        <v>62</v>
      </c>
      <c r="S10" s="7" t="s">
        <v>109</v>
      </c>
      <c r="T10" s="7" t="s">
        <v>109</v>
      </c>
      <c r="U10" s="131">
        <f t="shared" si="0"/>
        <v>0.22666666666666666</v>
      </c>
      <c r="V10" s="7" t="s">
        <v>291</v>
      </c>
    </row>
    <row r="11" spans="1:22" s="21" customFormat="1" x14ac:dyDescent="0.3">
      <c r="A11" s="7">
        <v>10</v>
      </c>
      <c r="B11" s="29" t="s">
        <v>23</v>
      </c>
      <c r="C11" s="29" t="s">
        <v>2325</v>
      </c>
      <c r="D11" s="29">
        <v>50226077</v>
      </c>
      <c r="E11" s="29">
        <v>50</v>
      </c>
      <c r="F11" s="7">
        <v>38</v>
      </c>
      <c r="G11" s="7">
        <v>17</v>
      </c>
      <c r="H11" s="53" t="s">
        <v>200</v>
      </c>
      <c r="I11" s="7" t="s">
        <v>109</v>
      </c>
      <c r="J11" s="7" t="s">
        <v>130</v>
      </c>
      <c r="K11" s="7" t="s">
        <v>109</v>
      </c>
      <c r="L11" s="11">
        <v>0.05</v>
      </c>
      <c r="M11" s="7" t="s">
        <v>109</v>
      </c>
      <c r="N11" s="38" t="s">
        <v>109</v>
      </c>
      <c r="O11" s="38" t="s">
        <v>61</v>
      </c>
      <c r="P11" s="7" t="s">
        <v>131</v>
      </c>
      <c r="Q11" s="7" t="s">
        <v>603</v>
      </c>
      <c r="R11" s="7" t="s">
        <v>62</v>
      </c>
      <c r="S11" s="7" t="s">
        <v>109</v>
      </c>
      <c r="T11" s="7" t="s">
        <v>109</v>
      </c>
      <c r="U11" s="131">
        <f t="shared" si="0"/>
        <v>0.34</v>
      </c>
      <c r="V11" s="7" t="s">
        <v>109</v>
      </c>
    </row>
    <row r="12" spans="1:22" x14ac:dyDescent="0.3">
      <c r="A12" s="7">
        <v>11</v>
      </c>
      <c r="B12" s="29" t="s">
        <v>23</v>
      </c>
      <c r="C12" s="29" t="s">
        <v>2326</v>
      </c>
      <c r="D12" s="29">
        <v>50226078</v>
      </c>
      <c r="E12" s="29">
        <v>75</v>
      </c>
      <c r="F12" s="7">
        <v>50</v>
      </c>
      <c r="G12" s="7">
        <v>12</v>
      </c>
      <c r="H12" s="53" t="s">
        <v>71</v>
      </c>
      <c r="I12" s="7" t="s">
        <v>109</v>
      </c>
      <c r="J12" s="7" t="s">
        <v>130</v>
      </c>
      <c r="K12" s="7" t="s">
        <v>109</v>
      </c>
      <c r="L12" s="11">
        <v>0.84027777777777779</v>
      </c>
      <c r="M12" s="7" t="s">
        <v>109</v>
      </c>
      <c r="N12" s="38" t="s">
        <v>109</v>
      </c>
      <c r="O12" s="38" t="s">
        <v>61</v>
      </c>
      <c r="P12" s="7" t="s">
        <v>131</v>
      </c>
      <c r="Q12" s="7" t="s">
        <v>71</v>
      </c>
      <c r="R12" s="7" t="s">
        <v>62</v>
      </c>
      <c r="S12" s="7" t="s">
        <v>109</v>
      </c>
      <c r="T12" s="7" t="s">
        <v>109</v>
      </c>
      <c r="U12" s="131">
        <f t="shared" si="0"/>
        <v>0.16</v>
      </c>
      <c r="V12" s="7" t="s">
        <v>291</v>
      </c>
    </row>
    <row r="13" spans="1:22" x14ac:dyDescent="0.3">
      <c r="A13" s="7">
        <v>12</v>
      </c>
      <c r="B13" s="29" t="s">
        <v>23</v>
      </c>
      <c r="C13" s="29" t="s">
        <v>2327</v>
      </c>
      <c r="D13" s="29">
        <v>50226080</v>
      </c>
      <c r="E13" s="29">
        <v>50</v>
      </c>
      <c r="F13" s="7">
        <v>74</v>
      </c>
      <c r="G13" s="7">
        <v>53</v>
      </c>
      <c r="H13" s="53" t="s">
        <v>222</v>
      </c>
      <c r="I13" s="7" t="s">
        <v>109</v>
      </c>
      <c r="J13" s="7" t="s">
        <v>130</v>
      </c>
      <c r="K13" s="7" t="s">
        <v>109</v>
      </c>
      <c r="L13" s="11">
        <v>0.85416666666666663</v>
      </c>
      <c r="M13" s="7" t="s">
        <v>109</v>
      </c>
      <c r="N13" s="38" t="s">
        <v>109</v>
      </c>
      <c r="O13" s="38" t="s">
        <v>61</v>
      </c>
      <c r="P13" s="7" t="s">
        <v>131</v>
      </c>
      <c r="Q13" s="7" t="s">
        <v>222</v>
      </c>
      <c r="R13" s="7" t="s">
        <v>62</v>
      </c>
      <c r="S13" s="7" t="s">
        <v>109</v>
      </c>
      <c r="T13" s="7" t="s">
        <v>109</v>
      </c>
      <c r="U13" s="131">
        <f t="shared" si="0"/>
        <v>1.06</v>
      </c>
      <c r="V13" s="7" t="s">
        <v>1945</v>
      </c>
    </row>
    <row r="14" spans="1:22" x14ac:dyDescent="0.3">
      <c r="A14" s="7">
        <v>13</v>
      </c>
      <c r="B14" s="29" t="s">
        <v>23</v>
      </c>
      <c r="C14" s="29" t="s">
        <v>2328</v>
      </c>
      <c r="D14" s="29">
        <v>50226079</v>
      </c>
      <c r="E14" s="29">
        <v>80</v>
      </c>
      <c r="F14" s="7">
        <v>123</v>
      </c>
      <c r="G14" s="7">
        <v>87</v>
      </c>
      <c r="H14" s="53" t="s">
        <v>200</v>
      </c>
      <c r="I14" s="7" t="s">
        <v>109</v>
      </c>
      <c r="J14" s="7" t="s">
        <v>130</v>
      </c>
      <c r="K14" s="7" t="s">
        <v>109</v>
      </c>
      <c r="L14" s="11">
        <v>0.90833333333333333</v>
      </c>
      <c r="M14" s="7" t="s">
        <v>109</v>
      </c>
      <c r="N14" s="38" t="s">
        <v>109</v>
      </c>
      <c r="O14" s="38" t="s">
        <v>61</v>
      </c>
      <c r="P14" s="7" t="s">
        <v>131</v>
      </c>
      <c r="Q14" s="7" t="s">
        <v>200</v>
      </c>
      <c r="R14" s="7" t="s">
        <v>62</v>
      </c>
      <c r="S14" s="7" t="s">
        <v>109</v>
      </c>
      <c r="T14" s="7" t="s">
        <v>109</v>
      </c>
      <c r="U14" s="131">
        <f t="shared" si="0"/>
        <v>1.0874999999999999</v>
      </c>
      <c r="V14" s="7" t="s">
        <v>1945</v>
      </c>
    </row>
    <row r="15" spans="1:22" x14ac:dyDescent="0.3">
      <c r="A15" s="7">
        <v>14</v>
      </c>
      <c r="B15" s="29" t="s">
        <v>23</v>
      </c>
      <c r="C15" s="29" t="s">
        <v>657</v>
      </c>
      <c r="D15" s="29">
        <v>50126030</v>
      </c>
      <c r="E15" s="29">
        <v>200</v>
      </c>
      <c r="F15" s="7">
        <v>254</v>
      </c>
      <c r="G15" s="7">
        <v>12</v>
      </c>
      <c r="H15" s="28" t="s">
        <v>1019</v>
      </c>
      <c r="I15" s="7" t="s">
        <v>2344</v>
      </c>
      <c r="J15" s="7" t="s">
        <v>130</v>
      </c>
      <c r="K15" s="11">
        <v>0.72499999999999998</v>
      </c>
      <c r="L15" s="11">
        <v>0.91736111111111107</v>
      </c>
      <c r="M15" s="7" t="s">
        <v>109</v>
      </c>
      <c r="N15" s="38" t="s">
        <v>109</v>
      </c>
      <c r="O15" s="38" t="s">
        <v>61</v>
      </c>
      <c r="P15" s="7" t="s">
        <v>131</v>
      </c>
      <c r="Q15" s="7" t="s">
        <v>91</v>
      </c>
      <c r="R15" s="7" t="s">
        <v>62</v>
      </c>
      <c r="S15" s="7" t="s">
        <v>109</v>
      </c>
      <c r="T15" s="7" t="s">
        <v>109</v>
      </c>
      <c r="U15" s="131">
        <f t="shared" si="0"/>
        <v>0.06</v>
      </c>
      <c r="V15" s="7" t="s">
        <v>2319</v>
      </c>
    </row>
    <row r="16" spans="1:22" x14ac:dyDescent="0.3">
      <c r="A16" s="7">
        <v>15</v>
      </c>
      <c r="B16" s="29" t="s">
        <v>23</v>
      </c>
      <c r="C16" s="29" t="s">
        <v>1746</v>
      </c>
      <c r="D16" s="29">
        <v>50126397</v>
      </c>
      <c r="E16" s="29">
        <v>50</v>
      </c>
      <c r="F16" s="7">
        <v>99</v>
      </c>
      <c r="G16" s="7">
        <v>39</v>
      </c>
      <c r="H16" s="53" t="s">
        <v>84</v>
      </c>
      <c r="I16" s="7" t="s">
        <v>109</v>
      </c>
      <c r="J16" s="7" t="s">
        <v>130</v>
      </c>
      <c r="K16" s="7" t="s">
        <v>109</v>
      </c>
      <c r="L16" s="11">
        <v>0.69444444444444442</v>
      </c>
      <c r="M16" s="7" t="s">
        <v>109</v>
      </c>
      <c r="N16" s="43" t="s">
        <v>2329</v>
      </c>
      <c r="O16" s="38" t="s">
        <v>61</v>
      </c>
      <c r="P16" s="7" t="s">
        <v>131</v>
      </c>
      <c r="Q16" s="7" t="s">
        <v>84</v>
      </c>
      <c r="R16" s="7" t="s">
        <v>62</v>
      </c>
      <c r="S16" s="7" t="s">
        <v>109</v>
      </c>
      <c r="T16" s="7" t="s">
        <v>109</v>
      </c>
      <c r="U16" s="131">
        <f t="shared" si="0"/>
        <v>0.78</v>
      </c>
      <c r="V16" s="7" t="s">
        <v>1313</v>
      </c>
    </row>
    <row r="17" spans="1:22" x14ac:dyDescent="0.3">
      <c r="A17" s="7">
        <v>16</v>
      </c>
      <c r="B17" s="29" t="s">
        <v>23</v>
      </c>
      <c r="C17" s="29" t="s">
        <v>1749</v>
      </c>
      <c r="D17" s="29">
        <v>50126392</v>
      </c>
      <c r="E17" s="29">
        <v>50</v>
      </c>
      <c r="F17" s="7">
        <v>80</v>
      </c>
      <c r="G17" s="7">
        <v>54</v>
      </c>
      <c r="H17" s="53" t="s">
        <v>69</v>
      </c>
      <c r="I17" s="7" t="s">
        <v>109</v>
      </c>
      <c r="J17" s="7" t="s">
        <v>130</v>
      </c>
      <c r="K17" s="7" t="s">
        <v>109</v>
      </c>
      <c r="L17" s="11">
        <v>0.67361111111111116</v>
      </c>
      <c r="M17" s="7" t="s">
        <v>109</v>
      </c>
      <c r="N17" s="43" t="s">
        <v>2329</v>
      </c>
      <c r="O17" s="38" t="s">
        <v>61</v>
      </c>
      <c r="P17" s="7" t="s">
        <v>131</v>
      </c>
      <c r="Q17" s="7" t="s">
        <v>69</v>
      </c>
      <c r="R17" s="7" t="s">
        <v>62</v>
      </c>
      <c r="S17" s="7" t="s">
        <v>109</v>
      </c>
      <c r="T17" s="7" t="s">
        <v>109</v>
      </c>
      <c r="U17" s="131">
        <f t="shared" si="0"/>
        <v>1.08</v>
      </c>
      <c r="V17" s="7" t="s">
        <v>1945</v>
      </c>
    </row>
    <row r="18" spans="1:22" x14ac:dyDescent="0.3">
      <c r="A18" s="7">
        <v>17</v>
      </c>
      <c r="B18" s="29" t="s">
        <v>23</v>
      </c>
      <c r="C18" s="29" t="s">
        <v>1919</v>
      </c>
      <c r="D18" s="29">
        <v>50226021</v>
      </c>
      <c r="E18" s="29">
        <v>750</v>
      </c>
      <c r="F18" s="7">
        <v>1066</v>
      </c>
      <c r="G18" s="7">
        <v>734</v>
      </c>
      <c r="H18" s="7" t="s">
        <v>2341</v>
      </c>
      <c r="I18" s="7" t="s">
        <v>109</v>
      </c>
      <c r="J18" s="7" t="s">
        <v>130</v>
      </c>
      <c r="K18" s="7" t="s">
        <v>109</v>
      </c>
      <c r="L18" s="11">
        <v>0.75069444444444444</v>
      </c>
      <c r="M18" s="7" t="s">
        <v>109</v>
      </c>
      <c r="N18" s="43" t="s">
        <v>110</v>
      </c>
      <c r="O18" s="38" t="s">
        <v>61</v>
      </c>
      <c r="P18" s="7" t="s">
        <v>131</v>
      </c>
      <c r="Q18" s="7" t="s">
        <v>94</v>
      </c>
      <c r="R18" s="7" t="s">
        <v>62</v>
      </c>
      <c r="S18" s="7" t="s">
        <v>109</v>
      </c>
      <c r="T18" s="7" t="s">
        <v>109</v>
      </c>
      <c r="U18" s="131">
        <f t="shared" si="0"/>
        <v>0.97866666666666668</v>
      </c>
      <c r="V18" s="7" t="s">
        <v>1945</v>
      </c>
    </row>
    <row r="19" spans="1:22" x14ac:dyDescent="0.3">
      <c r="A19" s="7">
        <v>18</v>
      </c>
      <c r="B19" s="29" t="s">
        <v>23</v>
      </c>
      <c r="C19" s="29" t="s">
        <v>1664</v>
      </c>
      <c r="D19" s="29">
        <v>50126367</v>
      </c>
      <c r="E19" s="29">
        <v>500</v>
      </c>
      <c r="F19" s="7">
        <v>798</v>
      </c>
      <c r="G19" s="7">
        <v>525</v>
      </c>
      <c r="H19" s="28" t="s">
        <v>2330</v>
      </c>
      <c r="I19" s="7" t="s">
        <v>109</v>
      </c>
      <c r="J19" s="7" t="s">
        <v>130</v>
      </c>
      <c r="K19" s="7" t="s">
        <v>109</v>
      </c>
      <c r="L19" s="11">
        <v>0.7</v>
      </c>
      <c r="M19" s="7" t="s">
        <v>109</v>
      </c>
      <c r="N19" s="43" t="s">
        <v>110</v>
      </c>
      <c r="O19" s="38" t="s">
        <v>61</v>
      </c>
      <c r="P19" s="7" t="s">
        <v>131</v>
      </c>
      <c r="Q19" s="7" t="s">
        <v>71</v>
      </c>
      <c r="R19" s="7" t="s">
        <v>62</v>
      </c>
      <c r="S19" s="7" t="s">
        <v>109</v>
      </c>
      <c r="T19" s="7" t="s">
        <v>109</v>
      </c>
      <c r="U19" s="131">
        <f t="shared" si="0"/>
        <v>1.05</v>
      </c>
      <c r="V19" s="7" t="s">
        <v>1945</v>
      </c>
    </row>
    <row r="20" spans="1:22" x14ac:dyDescent="0.3">
      <c r="A20" s="7">
        <v>19</v>
      </c>
      <c r="B20" s="29" t="s">
        <v>23</v>
      </c>
      <c r="C20" s="29" t="s">
        <v>940</v>
      </c>
      <c r="D20" s="29">
        <v>50126249</v>
      </c>
      <c r="E20" s="29">
        <v>350</v>
      </c>
      <c r="F20" s="7">
        <v>395</v>
      </c>
      <c r="G20" s="7">
        <v>191</v>
      </c>
      <c r="H20" s="7" t="s">
        <v>2343</v>
      </c>
      <c r="I20" s="7" t="s">
        <v>109</v>
      </c>
      <c r="J20" s="7" t="s">
        <v>130</v>
      </c>
      <c r="K20" s="7" t="s">
        <v>109</v>
      </c>
      <c r="L20" s="11">
        <v>0.78611111111111109</v>
      </c>
      <c r="M20" s="7" t="s">
        <v>109</v>
      </c>
      <c r="N20" s="43" t="s">
        <v>110</v>
      </c>
      <c r="O20" s="38" t="s">
        <v>61</v>
      </c>
      <c r="P20" s="7" t="s">
        <v>131</v>
      </c>
      <c r="Q20" s="7" t="s">
        <v>68</v>
      </c>
      <c r="R20" s="7" t="s">
        <v>62</v>
      </c>
      <c r="S20" s="7" t="s">
        <v>109</v>
      </c>
      <c r="T20" s="7" t="s">
        <v>109</v>
      </c>
      <c r="U20" s="131">
        <f t="shared" si="0"/>
        <v>0.54571428571428571</v>
      </c>
      <c r="V20" s="7" t="s">
        <v>291</v>
      </c>
    </row>
    <row r="21" spans="1:22" x14ac:dyDescent="0.3">
      <c r="A21" s="7">
        <v>20</v>
      </c>
      <c r="B21" s="29" t="s">
        <v>143</v>
      </c>
      <c r="C21" s="29" t="s">
        <v>2331</v>
      </c>
      <c r="D21" s="29">
        <v>10226031</v>
      </c>
      <c r="E21" s="29">
        <v>60</v>
      </c>
      <c r="F21" s="7">
        <v>120</v>
      </c>
      <c r="G21" s="7">
        <v>18</v>
      </c>
      <c r="H21" s="53" t="s">
        <v>66</v>
      </c>
      <c r="I21" s="7" t="s">
        <v>88</v>
      </c>
      <c r="J21" s="7" t="s">
        <v>130</v>
      </c>
      <c r="K21" s="11">
        <v>0.7895833333333333</v>
      </c>
      <c r="L21" s="11">
        <v>0.83402777777777781</v>
      </c>
      <c r="M21" s="7" t="s">
        <v>109</v>
      </c>
      <c r="N21" s="38" t="s">
        <v>109</v>
      </c>
      <c r="O21" s="38" t="s">
        <v>61</v>
      </c>
      <c r="P21" s="7" t="s">
        <v>131</v>
      </c>
      <c r="Q21" s="7" t="s">
        <v>88</v>
      </c>
      <c r="R21" s="7" t="s">
        <v>62</v>
      </c>
      <c r="S21" s="7" t="s">
        <v>109</v>
      </c>
      <c r="T21" s="7" t="s">
        <v>109</v>
      </c>
      <c r="U21" s="131">
        <f t="shared" si="0"/>
        <v>0.3</v>
      </c>
      <c r="V21" s="7" t="s">
        <v>1313</v>
      </c>
    </row>
    <row r="22" spans="1:22" x14ac:dyDescent="0.3">
      <c r="A22" s="7">
        <v>21</v>
      </c>
      <c r="B22" s="29" t="s">
        <v>143</v>
      </c>
      <c r="C22" s="29" t="s">
        <v>2332</v>
      </c>
      <c r="D22" s="29">
        <v>10226030</v>
      </c>
      <c r="E22" s="29">
        <v>60</v>
      </c>
      <c r="F22" s="7">
        <v>68</v>
      </c>
      <c r="G22" s="7">
        <v>12</v>
      </c>
      <c r="H22" s="53" t="s">
        <v>67</v>
      </c>
      <c r="I22" s="7" t="s">
        <v>95</v>
      </c>
      <c r="J22" s="7" t="s">
        <v>130</v>
      </c>
      <c r="K22" s="11">
        <v>0.89583333333333337</v>
      </c>
      <c r="L22" s="11">
        <v>0.90347222222222223</v>
      </c>
      <c r="M22" s="7" t="s">
        <v>109</v>
      </c>
      <c r="N22" s="38" t="s">
        <v>109</v>
      </c>
      <c r="O22" s="38" t="s">
        <v>61</v>
      </c>
      <c r="P22" s="7" t="s">
        <v>131</v>
      </c>
      <c r="Q22" s="7" t="s">
        <v>95</v>
      </c>
      <c r="R22" s="7" t="s">
        <v>62</v>
      </c>
      <c r="S22" s="7" t="s">
        <v>109</v>
      </c>
      <c r="T22" s="7" t="s">
        <v>109</v>
      </c>
      <c r="U22" s="131">
        <f t="shared" si="0"/>
        <v>0.2</v>
      </c>
      <c r="V22" s="7" t="s">
        <v>291</v>
      </c>
    </row>
    <row r="23" spans="1:22" x14ac:dyDescent="0.3">
      <c r="A23" s="7">
        <v>22</v>
      </c>
      <c r="B23" s="29" t="s">
        <v>143</v>
      </c>
      <c r="C23" s="29" t="s">
        <v>2333</v>
      </c>
      <c r="D23" s="29">
        <v>10226028</v>
      </c>
      <c r="E23" s="29">
        <v>60</v>
      </c>
      <c r="F23" s="7">
        <v>104</v>
      </c>
      <c r="G23" s="7">
        <v>69</v>
      </c>
      <c r="H23" s="53" t="s">
        <v>153</v>
      </c>
      <c r="I23" s="7" t="s">
        <v>154</v>
      </c>
      <c r="J23" s="7" t="s">
        <v>130</v>
      </c>
      <c r="K23" s="11">
        <v>0.8305555555555556</v>
      </c>
      <c r="L23" s="11">
        <v>0.85347222222222219</v>
      </c>
      <c r="M23" s="7" t="s">
        <v>109</v>
      </c>
      <c r="N23" s="38" t="s">
        <v>109</v>
      </c>
      <c r="O23" s="38" t="s">
        <v>61</v>
      </c>
      <c r="P23" s="7" t="s">
        <v>131</v>
      </c>
      <c r="Q23" s="7" t="s">
        <v>154</v>
      </c>
      <c r="R23" s="7" t="s">
        <v>62</v>
      </c>
      <c r="S23" s="7" t="s">
        <v>109</v>
      </c>
      <c r="T23" s="7" t="s">
        <v>109</v>
      </c>
      <c r="U23" s="131">
        <f t="shared" si="0"/>
        <v>1.1499999999999999</v>
      </c>
      <c r="V23" s="7" t="s">
        <v>1945</v>
      </c>
    </row>
    <row r="24" spans="1:22" x14ac:dyDescent="0.3">
      <c r="A24" s="7">
        <v>23</v>
      </c>
      <c r="B24" s="29" t="s">
        <v>143</v>
      </c>
      <c r="C24" s="29" t="s">
        <v>2334</v>
      </c>
      <c r="D24" s="29">
        <v>10226029</v>
      </c>
      <c r="E24" s="29">
        <v>30</v>
      </c>
      <c r="F24" s="7">
        <v>62</v>
      </c>
      <c r="G24" s="7">
        <v>34</v>
      </c>
      <c r="H24" s="53" t="s">
        <v>64</v>
      </c>
      <c r="I24" s="7" t="s">
        <v>86</v>
      </c>
      <c r="J24" s="7" t="s">
        <v>130</v>
      </c>
      <c r="K24" s="11">
        <v>0.79513888888888884</v>
      </c>
      <c r="L24" s="11">
        <v>0.82986111111111116</v>
      </c>
      <c r="M24" s="7" t="s">
        <v>109</v>
      </c>
      <c r="N24" s="38" t="s">
        <v>109</v>
      </c>
      <c r="O24" s="38" t="s">
        <v>61</v>
      </c>
      <c r="P24" s="7" t="s">
        <v>131</v>
      </c>
      <c r="Q24" s="7" t="s">
        <v>86</v>
      </c>
      <c r="R24" s="7" t="s">
        <v>62</v>
      </c>
      <c r="S24" s="7" t="s">
        <v>109</v>
      </c>
      <c r="T24" s="7" t="s">
        <v>109</v>
      </c>
      <c r="U24" s="131">
        <f t="shared" si="0"/>
        <v>1.1333333333333333</v>
      </c>
      <c r="V24" s="7" t="s">
        <v>1945</v>
      </c>
    </row>
    <row r="25" spans="1:22" x14ac:dyDescent="0.3">
      <c r="A25" s="7">
        <v>24</v>
      </c>
      <c r="B25" s="29" t="s">
        <v>143</v>
      </c>
      <c r="C25" s="29" t="s">
        <v>2335</v>
      </c>
      <c r="D25" s="29">
        <v>10226026</v>
      </c>
      <c r="E25" s="29">
        <v>25</v>
      </c>
      <c r="F25" s="7">
        <v>50</v>
      </c>
      <c r="G25" s="7">
        <v>24</v>
      </c>
      <c r="H25" s="53" t="s">
        <v>184</v>
      </c>
      <c r="I25" s="7" t="s">
        <v>90</v>
      </c>
      <c r="J25" s="7" t="s">
        <v>130</v>
      </c>
      <c r="K25" s="11">
        <v>0.85624999999999996</v>
      </c>
      <c r="L25" s="11">
        <v>0.89930555555555558</v>
      </c>
      <c r="M25" s="7" t="s">
        <v>109</v>
      </c>
      <c r="N25" s="38" t="s">
        <v>109</v>
      </c>
      <c r="O25" s="38" t="s">
        <v>61</v>
      </c>
      <c r="P25" s="7" t="s">
        <v>131</v>
      </c>
      <c r="Q25" s="7" t="s">
        <v>90</v>
      </c>
      <c r="R25" s="7" t="s">
        <v>62</v>
      </c>
      <c r="S25" s="7" t="s">
        <v>109</v>
      </c>
      <c r="T25" s="7" t="s">
        <v>109</v>
      </c>
      <c r="U25" s="131">
        <f t="shared" si="0"/>
        <v>0.96</v>
      </c>
      <c r="V25" s="7" t="s">
        <v>1945</v>
      </c>
    </row>
    <row r="26" spans="1:22" x14ac:dyDescent="0.3">
      <c r="A26" s="7">
        <v>25</v>
      </c>
      <c r="B26" s="29" t="s">
        <v>143</v>
      </c>
      <c r="C26" s="29" t="s">
        <v>1950</v>
      </c>
      <c r="D26" s="29">
        <v>10226007</v>
      </c>
      <c r="E26" s="29">
        <v>50</v>
      </c>
      <c r="F26" s="7">
        <v>119</v>
      </c>
      <c r="G26" s="7">
        <v>42</v>
      </c>
      <c r="H26" s="53" t="s">
        <v>196</v>
      </c>
      <c r="I26" s="7" t="s">
        <v>91</v>
      </c>
      <c r="J26" s="7" t="s">
        <v>130</v>
      </c>
      <c r="K26" s="11">
        <v>0.7944444444444444</v>
      </c>
      <c r="L26" s="11">
        <v>0.84166666666666667</v>
      </c>
      <c r="M26" s="7" t="s">
        <v>109</v>
      </c>
      <c r="N26" s="38" t="s">
        <v>109</v>
      </c>
      <c r="O26" s="38" t="s">
        <v>61</v>
      </c>
      <c r="P26" s="7" t="s">
        <v>131</v>
      </c>
      <c r="Q26" s="7" t="s">
        <v>91</v>
      </c>
      <c r="R26" s="7" t="s">
        <v>62</v>
      </c>
      <c r="S26" s="7" t="s">
        <v>109</v>
      </c>
      <c r="T26" s="7" t="s">
        <v>109</v>
      </c>
      <c r="U26" s="131">
        <f t="shared" si="0"/>
        <v>0.84</v>
      </c>
      <c r="V26" s="7" t="s">
        <v>1313</v>
      </c>
    </row>
    <row r="27" spans="1:22" x14ac:dyDescent="0.3">
      <c r="A27" s="7">
        <v>26</v>
      </c>
      <c r="B27" s="29" t="s">
        <v>143</v>
      </c>
      <c r="C27" s="29" t="s">
        <v>2250</v>
      </c>
      <c r="D27" s="29">
        <v>10226021</v>
      </c>
      <c r="E27" s="29">
        <v>150</v>
      </c>
      <c r="F27" s="7">
        <v>206</v>
      </c>
      <c r="G27" s="7">
        <v>149</v>
      </c>
      <c r="H27" s="28" t="s">
        <v>79</v>
      </c>
      <c r="I27" s="7" t="s">
        <v>97</v>
      </c>
      <c r="J27" s="7" t="s">
        <v>130</v>
      </c>
      <c r="K27" s="11">
        <v>0.81458333333333333</v>
      </c>
      <c r="L27" s="11">
        <v>0.83125000000000004</v>
      </c>
      <c r="M27" s="7" t="s">
        <v>109</v>
      </c>
      <c r="N27" s="38" t="s">
        <v>109</v>
      </c>
      <c r="O27" s="38" t="s">
        <v>61</v>
      </c>
      <c r="P27" s="7" t="s">
        <v>131</v>
      </c>
      <c r="Q27" s="7" t="s">
        <v>95</v>
      </c>
      <c r="R27" s="7" t="s">
        <v>62</v>
      </c>
      <c r="S27" s="7" t="s">
        <v>109</v>
      </c>
      <c r="T27" s="7" t="s">
        <v>109</v>
      </c>
      <c r="U27" s="131">
        <f t="shared" si="0"/>
        <v>0.99333333333333329</v>
      </c>
      <c r="V27" s="7" t="s">
        <v>1945</v>
      </c>
    </row>
    <row r="28" spans="1:22" x14ac:dyDescent="0.3">
      <c r="A28" s="7">
        <v>27</v>
      </c>
      <c r="B28" s="29" t="s">
        <v>143</v>
      </c>
      <c r="C28" s="29" t="s">
        <v>2256</v>
      </c>
      <c r="D28" s="29">
        <v>10226016</v>
      </c>
      <c r="E28" s="29">
        <v>150</v>
      </c>
      <c r="F28" s="7">
        <v>193</v>
      </c>
      <c r="G28" s="7">
        <v>156</v>
      </c>
      <c r="H28" s="28" t="s">
        <v>1051</v>
      </c>
      <c r="I28" s="7" t="s">
        <v>103</v>
      </c>
      <c r="J28" s="7" t="s">
        <v>130</v>
      </c>
      <c r="K28" s="11">
        <v>0.81944444444444442</v>
      </c>
      <c r="L28" s="11">
        <v>0.89652777777777781</v>
      </c>
      <c r="M28" s="7" t="s">
        <v>109</v>
      </c>
      <c r="N28" s="38" t="s">
        <v>109</v>
      </c>
      <c r="O28" s="38" t="s">
        <v>61</v>
      </c>
      <c r="P28" s="7" t="s">
        <v>131</v>
      </c>
      <c r="Q28" s="7" t="s">
        <v>94</v>
      </c>
      <c r="R28" s="7" t="s">
        <v>62</v>
      </c>
      <c r="S28" s="7" t="s">
        <v>109</v>
      </c>
      <c r="T28" s="7" t="s">
        <v>109</v>
      </c>
      <c r="U28" s="131">
        <f t="shared" si="0"/>
        <v>1.04</v>
      </c>
      <c r="V28" s="7" t="s">
        <v>1945</v>
      </c>
    </row>
    <row r="29" spans="1:22" x14ac:dyDescent="0.3">
      <c r="A29" s="7">
        <v>28</v>
      </c>
      <c r="B29" s="29" t="s">
        <v>143</v>
      </c>
      <c r="C29" s="29" t="s">
        <v>1514</v>
      </c>
      <c r="D29" s="29">
        <v>10126035</v>
      </c>
      <c r="E29" s="29">
        <v>100</v>
      </c>
      <c r="F29" s="7">
        <v>198</v>
      </c>
      <c r="G29" s="7">
        <v>17</v>
      </c>
      <c r="H29" s="53" t="s">
        <v>73</v>
      </c>
      <c r="I29" s="7" t="s">
        <v>86</v>
      </c>
      <c r="J29" s="7" t="s">
        <v>130</v>
      </c>
      <c r="K29" s="11">
        <v>0.96597222222222223</v>
      </c>
      <c r="L29" s="11">
        <v>7.9861111111111105E-2</v>
      </c>
      <c r="M29" s="7" t="s">
        <v>109</v>
      </c>
      <c r="N29" s="38" t="s">
        <v>109</v>
      </c>
      <c r="O29" s="38" t="s">
        <v>61</v>
      </c>
      <c r="P29" s="7" t="s">
        <v>131</v>
      </c>
      <c r="Q29" s="7" t="s">
        <v>744</v>
      </c>
      <c r="R29" s="7" t="s">
        <v>62</v>
      </c>
      <c r="S29" s="7" t="s">
        <v>109</v>
      </c>
      <c r="T29" s="7" t="s">
        <v>109</v>
      </c>
      <c r="U29" s="131">
        <f t="shared" si="0"/>
        <v>0.17</v>
      </c>
      <c r="V29" s="7" t="s">
        <v>109</v>
      </c>
    </row>
    <row r="30" spans="1:22" x14ac:dyDescent="0.3">
      <c r="A30" s="7">
        <v>29</v>
      </c>
      <c r="B30" s="29" t="s">
        <v>143</v>
      </c>
      <c r="C30" s="29" t="s">
        <v>1604</v>
      </c>
      <c r="D30" s="29">
        <v>10126042</v>
      </c>
      <c r="E30" s="29">
        <v>75</v>
      </c>
      <c r="F30" s="7">
        <v>90</v>
      </c>
      <c r="G30" s="7">
        <v>62</v>
      </c>
      <c r="H30" s="53" t="s">
        <v>153</v>
      </c>
      <c r="I30" s="7" t="s">
        <v>93</v>
      </c>
      <c r="J30" s="7" t="s">
        <v>130</v>
      </c>
      <c r="K30" s="11">
        <v>0.70277777777777772</v>
      </c>
      <c r="L30" s="11">
        <v>0.81111111111111112</v>
      </c>
      <c r="M30" s="7" t="s">
        <v>109</v>
      </c>
      <c r="N30" s="38" t="s">
        <v>109</v>
      </c>
      <c r="O30" s="38" t="s">
        <v>61</v>
      </c>
      <c r="P30" s="7" t="s">
        <v>131</v>
      </c>
      <c r="Q30" s="7" t="s">
        <v>93</v>
      </c>
      <c r="R30" s="7" t="s">
        <v>62</v>
      </c>
      <c r="S30" s="7" t="s">
        <v>109</v>
      </c>
      <c r="T30" s="7" t="s">
        <v>109</v>
      </c>
      <c r="U30" s="131">
        <f t="shared" si="0"/>
        <v>0.82666666666666666</v>
      </c>
      <c r="V30" s="7" t="s">
        <v>1945</v>
      </c>
    </row>
    <row r="31" spans="1:22" x14ac:dyDescent="0.3">
      <c r="A31" s="7">
        <v>30</v>
      </c>
      <c r="B31" s="29" t="s">
        <v>143</v>
      </c>
      <c r="C31" s="29" t="s">
        <v>2336</v>
      </c>
      <c r="D31" s="29">
        <v>10226025</v>
      </c>
      <c r="E31" s="29">
        <v>95</v>
      </c>
      <c r="F31" s="7">
        <v>200</v>
      </c>
      <c r="G31" s="7">
        <v>85</v>
      </c>
      <c r="H31" s="53" t="s">
        <v>67</v>
      </c>
      <c r="I31" s="7" t="s">
        <v>89</v>
      </c>
      <c r="J31" s="7" t="s">
        <v>130</v>
      </c>
      <c r="K31" s="11">
        <v>0.875</v>
      </c>
      <c r="L31" s="11">
        <v>2.7777777777777776E-2</v>
      </c>
      <c r="M31" s="7" t="s">
        <v>109</v>
      </c>
      <c r="N31" s="38" t="s">
        <v>109</v>
      </c>
      <c r="O31" s="38" t="s">
        <v>61</v>
      </c>
      <c r="P31" s="7" t="s">
        <v>131</v>
      </c>
      <c r="Q31" s="7" t="s">
        <v>787</v>
      </c>
      <c r="R31" s="7" t="s">
        <v>62</v>
      </c>
      <c r="S31" s="7" t="s">
        <v>109</v>
      </c>
      <c r="T31" s="7" t="s">
        <v>109</v>
      </c>
      <c r="U31" s="131">
        <f t="shared" si="0"/>
        <v>0.89473684210526316</v>
      </c>
      <c r="V31" s="7" t="s">
        <v>1945</v>
      </c>
    </row>
    <row r="32" spans="1:22" x14ac:dyDescent="0.3">
      <c r="A32" s="7">
        <v>31</v>
      </c>
      <c r="B32" s="29" t="s">
        <v>23</v>
      </c>
      <c r="C32" s="29" t="s">
        <v>1307</v>
      </c>
      <c r="D32" s="29">
        <v>50126334</v>
      </c>
      <c r="E32" s="29">
        <v>140</v>
      </c>
      <c r="F32" s="7">
        <v>134</v>
      </c>
      <c r="G32" s="7">
        <v>125</v>
      </c>
      <c r="H32" s="28" t="s">
        <v>1007</v>
      </c>
      <c r="I32" s="7" t="s">
        <v>109</v>
      </c>
      <c r="J32" s="7" t="s">
        <v>130</v>
      </c>
      <c r="K32" s="7" t="s">
        <v>109</v>
      </c>
      <c r="L32" s="11">
        <v>0.75416666666666665</v>
      </c>
      <c r="M32" s="7" t="s">
        <v>109</v>
      </c>
      <c r="N32" s="43" t="s">
        <v>2337</v>
      </c>
      <c r="O32" s="38" t="s">
        <v>61</v>
      </c>
      <c r="P32" s="7" t="s">
        <v>131</v>
      </c>
      <c r="Q32" s="7" t="s">
        <v>71</v>
      </c>
      <c r="R32" s="7" t="s">
        <v>62</v>
      </c>
      <c r="S32" s="7" t="s">
        <v>109</v>
      </c>
      <c r="T32" s="7" t="s">
        <v>109</v>
      </c>
      <c r="U32" s="131">
        <f t="shared" si="0"/>
        <v>0.8928571428571429</v>
      </c>
      <c r="V32" s="7" t="s">
        <v>1945</v>
      </c>
    </row>
    <row r="33" spans="1:22" x14ac:dyDescent="0.3">
      <c r="A33" s="7">
        <v>32</v>
      </c>
      <c r="B33" s="29" t="s">
        <v>23</v>
      </c>
      <c r="C33" s="29" t="s">
        <v>980</v>
      </c>
      <c r="D33" s="29">
        <v>50126278</v>
      </c>
      <c r="E33" s="29">
        <v>100</v>
      </c>
      <c r="F33" s="7">
        <v>167</v>
      </c>
      <c r="G33" s="7">
        <v>109</v>
      </c>
      <c r="H33" s="53" t="s">
        <v>196</v>
      </c>
      <c r="I33" s="7" t="s">
        <v>109</v>
      </c>
      <c r="J33" s="7" t="s">
        <v>130</v>
      </c>
      <c r="K33" s="7" t="s">
        <v>109</v>
      </c>
      <c r="L33" s="11">
        <v>0.83888888888888891</v>
      </c>
      <c r="M33" s="7" t="s">
        <v>109</v>
      </c>
      <c r="N33" s="38" t="s">
        <v>109</v>
      </c>
      <c r="O33" s="38" t="s">
        <v>61</v>
      </c>
      <c r="P33" s="7" t="s">
        <v>131</v>
      </c>
      <c r="Q33" s="7" t="s">
        <v>196</v>
      </c>
      <c r="R33" s="7" t="s">
        <v>62</v>
      </c>
      <c r="S33" s="7" t="s">
        <v>109</v>
      </c>
      <c r="T33" s="7" t="s">
        <v>109</v>
      </c>
      <c r="U33" s="131">
        <f t="shared" si="0"/>
        <v>1.0900000000000001</v>
      </c>
      <c r="V33" s="7" t="s">
        <v>1945</v>
      </c>
    </row>
    <row r="34" spans="1:22" x14ac:dyDescent="0.3">
      <c r="A34" s="7">
        <v>33</v>
      </c>
      <c r="B34" s="29" t="s">
        <v>23</v>
      </c>
      <c r="C34" s="29" t="s">
        <v>982</v>
      </c>
      <c r="D34" s="29">
        <v>50126277</v>
      </c>
      <c r="E34" s="29">
        <v>400</v>
      </c>
      <c r="F34" s="7">
        <v>601</v>
      </c>
      <c r="G34" s="7">
        <v>94</v>
      </c>
      <c r="H34" s="28" t="s">
        <v>2342</v>
      </c>
      <c r="I34" s="7" t="s">
        <v>109</v>
      </c>
      <c r="J34" s="7" t="s">
        <v>130</v>
      </c>
      <c r="K34" s="7" t="s">
        <v>109</v>
      </c>
      <c r="L34" s="11">
        <v>0.78055555555555556</v>
      </c>
      <c r="M34" s="7" t="s">
        <v>109</v>
      </c>
      <c r="N34" s="38" t="s">
        <v>109</v>
      </c>
      <c r="O34" s="38" t="s">
        <v>61</v>
      </c>
      <c r="P34" s="7" t="s">
        <v>131</v>
      </c>
      <c r="Q34" s="7" t="s">
        <v>69</v>
      </c>
      <c r="R34" s="7" t="s">
        <v>62</v>
      </c>
      <c r="S34" s="7" t="s">
        <v>109</v>
      </c>
      <c r="T34" s="7" t="s">
        <v>109</v>
      </c>
      <c r="U34" s="131">
        <f t="shared" si="0"/>
        <v>0.23499999999999999</v>
      </c>
      <c r="V34" s="7" t="s">
        <v>1313</v>
      </c>
    </row>
    <row r="35" spans="1:22" x14ac:dyDescent="0.3">
      <c r="A35" s="7">
        <v>34</v>
      </c>
      <c r="B35" s="29" t="s">
        <v>23</v>
      </c>
      <c r="C35" s="29" t="s">
        <v>1375</v>
      </c>
      <c r="D35" s="29">
        <v>50126345</v>
      </c>
      <c r="E35" s="29">
        <v>150</v>
      </c>
      <c r="F35" s="7">
        <v>292</v>
      </c>
      <c r="G35" s="7">
        <v>107</v>
      </c>
      <c r="H35" s="28" t="s">
        <v>1447</v>
      </c>
      <c r="I35" s="7" t="s">
        <v>109</v>
      </c>
      <c r="J35" s="7" t="s">
        <v>130</v>
      </c>
      <c r="K35" s="7" t="s">
        <v>109</v>
      </c>
      <c r="L35" s="11">
        <v>0.86111111111111116</v>
      </c>
      <c r="M35" s="7" t="s">
        <v>109</v>
      </c>
      <c r="N35" s="38" t="s">
        <v>109</v>
      </c>
      <c r="O35" s="38" t="s">
        <v>61</v>
      </c>
      <c r="P35" s="7" t="s">
        <v>131</v>
      </c>
      <c r="Q35" s="7" t="s">
        <v>84</v>
      </c>
      <c r="R35" s="7" t="s">
        <v>62</v>
      </c>
      <c r="S35" s="7" t="s">
        <v>109</v>
      </c>
      <c r="T35" s="7" t="s">
        <v>109</v>
      </c>
      <c r="U35" s="131">
        <f t="shared" si="0"/>
        <v>0.71333333333333337</v>
      </c>
      <c r="V35" s="7" t="s">
        <v>1313</v>
      </c>
    </row>
    <row r="36" spans="1:22" x14ac:dyDescent="0.3">
      <c r="A36" s="7">
        <v>35</v>
      </c>
      <c r="B36" s="29" t="s">
        <v>23</v>
      </c>
      <c r="C36" s="29" t="s">
        <v>2115</v>
      </c>
      <c r="D36" s="29">
        <v>50226055</v>
      </c>
      <c r="E36" s="29">
        <v>150</v>
      </c>
      <c r="F36" s="7">
        <v>239</v>
      </c>
      <c r="G36" s="7">
        <v>133</v>
      </c>
      <c r="H36" s="28" t="s">
        <v>2338</v>
      </c>
      <c r="I36" s="7" t="s">
        <v>109</v>
      </c>
      <c r="J36" s="7" t="s">
        <v>130</v>
      </c>
      <c r="K36" s="7" t="s">
        <v>109</v>
      </c>
      <c r="L36" s="11">
        <v>0.77847222222222223</v>
      </c>
      <c r="M36" s="7" t="s">
        <v>109</v>
      </c>
      <c r="N36" s="38" t="s">
        <v>109</v>
      </c>
      <c r="O36" s="38" t="s">
        <v>61</v>
      </c>
      <c r="P36" s="7" t="s">
        <v>131</v>
      </c>
      <c r="Q36" s="7" t="s">
        <v>65</v>
      </c>
      <c r="R36" s="7" t="s">
        <v>62</v>
      </c>
      <c r="S36" s="7" t="s">
        <v>109</v>
      </c>
      <c r="T36" s="7" t="s">
        <v>109</v>
      </c>
      <c r="U36" s="131">
        <f t="shared" si="0"/>
        <v>0.88666666666666671</v>
      </c>
      <c r="V36" s="7" t="s">
        <v>1945</v>
      </c>
    </row>
    <row r="37" spans="1:22" x14ac:dyDescent="0.3">
      <c r="A37" s="7">
        <v>36</v>
      </c>
      <c r="B37" s="29" t="s">
        <v>23</v>
      </c>
      <c r="C37" s="29" t="s">
        <v>758</v>
      </c>
      <c r="D37" s="29">
        <v>50126142</v>
      </c>
      <c r="E37" s="29">
        <v>100</v>
      </c>
      <c r="F37" s="7">
        <v>160</v>
      </c>
      <c r="G37" s="7">
        <v>85</v>
      </c>
      <c r="H37" s="53" t="s">
        <v>69</v>
      </c>
      <c r="I37" s="7" t="s">
        <v>90</v>
      </c>
      <c r="J37" s="7" t="s">
        <v>130</v>
      </c>
      <c r="K37" s="11">
        <v>0.72569444444444442</v>
      </c>
      <c r="L37" s="11">
        <v>0.76875000000000004</v>
      </c>
      <c r="M37" s="7" t="s">
        <v>109</v>
      </c>
      <c r="N37" s="38" t="s">
        <v>109</v>
      </c>
      <c r="O37" s="38" t="s">
        <v>61</v>
      </c>
      <c r="P37" s="7" t="s">
        <v>131</v>
      </c>
      <c r="Q37" s="7" t="s">
        <v>90</v>
      </c>
      <c r="R37" s="7" t="s">
        <v>62</v>
      </c>
      <c r="S37" s="7" t="s">
        <v>109</v>
      </c>
      <c r="T37" s="7" t="s">
        <v>109</v>
      </c>
      <c r="U37" s="131">
        <f t="shared" si="0"/>
        <v>0.85</v>
      </c>
      <c r="V37" s="7" t="s">
        <v>1945</v>
      </c>
    </row>
    <row r="38" spans="1:22" x14ac:dyDescent="0.3">
      <c r="A38" s="7">
        <v>37</v>
      </c>
      <c r="B38" s="29" t="s">
        <v>23</v>
      </c>
      <c r="C38" s="29" t="s">
        <v>1906</v>
      </c>
      <c r="D38" s="29">
        <v>50226027</v>
      </c>
      <c r="E38" s="29">
        <v>120</v>
      </c>
      <c r="F38" s="7">
        <v>227</v>
      </c>
      <c r="G38" s="7">
        <v>109</v>
      </c>
      <c r="H38" s="28" t="s">
        <v>1333</v>
      </c>
      <c r="I38" s="7" t="s">
        <v>294</v>
      </c>
      <c r="J38" s="7" t="s">
        <v>130</v>
      </c>
      <c r="K38" s="11">
        <v>9.0277777777777769E-3</v>
      </c>
      <c r="L38" s="11">
        <v>2.5694444444444443E-2</v>
      </c>
      <c r="M38" s="7" t="s">
        <v>109</v>
      </c>
      <c r="N38" s="38" t="s">
        <v>109</v>
      </c>
      <c r="O38" s="38" t="s">
        <v>61</v>
      </c>
      <c r="P38" s="7" t="s">
        <v>131</v>
      </c>
      <c r="Q38" s="7" t="s">
        <v>88</v>
      </c>
      <c r="R38" s="7" t="s">
        <v>62</v>
      </c>
      <c r="S38" s="7" t="s">
        <v>109</v>
      </c>
      <c r="T38" s="7" t="s">
        <v>109</v>
      </c>
      <c r="U38" s="131">
        <f t="shared" si="0"/>
        <v>0.90833333333333333</v>
      </c>
      <c r="V38" s="7" t="s">
        <v>1945</v>
      </c>
    </row>
    <row r="39" spans="1:22" x14ac:dyDescent="0.3">
      <c r="A39" s="7">
        <v>38</v>
      </c>
      <c r="B39" s="29" t="s">
        <v>23</v>
      </c>
      <c r="C39" s="29" t="s">
        <v>1911</v>
      </c>
      <c r="D39" s="29">
        <v>50226026</v>
      </c>
      <c r="E39" s="29">
        <v>100</v>
      </c>
      <c r="F39" s="7">
        <v>168</v>
      </c>
      <c r="G39" s="7">
        <v>22</v>
      </c>
      <c r="H39" s="53" t="s">
        <v>84</v>
      </c>
      <c r="I39" s="7" t="s">
        <v>94</v>
      </c>
      <c r="J39" s="7" t="s">
        <v>130</v>
      </c>
      <c r="K39" s="11">
        <v>0.95</v>
      </c>
      <c r="L39" s="11">
        <v>0.9770833333333333</v>
      </c>
      <c r="M39" s="7" t="s">
        <v>109</v>
      </c>
      <c r="N39" s="38" t="s">
        <v>109</v>
      </c>
      <c r="O39" s="38" t="s">
        <v>61</v>
      </c>
      <c r="P39" s="7" t="s">
        <v>131</v>
      </c>
      <c r="Q39" s="7" t="s">
        <v>94</v>
      </c>
      <c r="R39" s="7" t="s">
        <v>62</v>
      </c>
      <c r="S39" s="7" t="s">
        <v>109</v>
      </c>
      <c r="T39" s="7" t="s">
        <v>109</v>
      </c>
      <c r="U39" s="131">
        <f t="shared" si="0"/>
        <v>0.22</v>
      </c>
      <c r="V39" s="7" t="s">
        <v>2319</v>
      </c>
    </row>
    <row r="40" spans="1:22" x14ac:dyDescent="0.3">
      <c r="A40" s="7">
        <v>39</v>
      </c>
      <c r="B40" s="29" t="s">
        <v>23</v>
      </c>
      <c r="C40" s="29" t="s">
        <v>1056</v>
      </c>
      <c r="D40" s="29">
        <v>50126316</v>
      </c>
      <c r="E40" s="29">
        <v>100</v>
      </c>
      <c r="F40" s="7">
        <v>155</v>
      </c>
      <c r="G40" s="7">
        <v>61</v>
      </c>
      <c r="H40" s="53" t="s">
        <v>200</v>
      </c>
      <c r="I40" s="7" t="s">
        <v>86</v>
      </c>
      <c r="J40" s="7" t="s">
        <v>130</v>
      </c>
      <c r="K40" s="11">
        <v>0.85972222222222228</v>
      </c>
      <c r="L40" s="11">
        <v>0.9604166666666667</v>
      </c>
      <c r="M40" s="7" t="s">
        <v>109</v>
      </c>
      <c r="N40" s="38" t="s">
        <v>109</v>
      </c>
      <c r="O40" s="38" t="s">
        <v>61</v>
      </c>
      <c r="P40" s="7" t="s">
        <v>131</v>
      </c>
      <c r="Q40" s="7" t="s">
        <v>86</v>
      </c>
      <c r="R40" s="7" t="s">
        <v>62</v>
      </c>
      <c r="S40" s="7" t="s">
        <v>109</v>
      </c>
      <c r="T40" s="7" t="s">
        <v>109</v>
      </c>
      <c r="U40" s="131">
        <f t="shared" si="0"/>
        <v>0.61</v>
      </c>
      <c r="V40" s="7" t="s">
        <v>2319</v>
      </c>
    </row>
    <row r="41" spans="1:22" x14ac:dyDescent="0.3">
      <c r="A41" s="7">
        <v>40</v>
      </c>
      <c r="B41" s="29" t="s">
        <v>23</v>
      </c>
      <c r="C41" s="29" t="s">
        <v>1909</v>
      </c>
      <c r="D41" s="29">
        <v>50226025</v>
      </c>
      <c r="E41" s="29">
        <v>300</v>
      </c>
      <c r="F41" s="7">
        <v>1164</v>
      </c>
      <c r="G41" s="7">
        <v>312</v>
      </c>
      <c r="H41" s="52" t="s">
        <v>2345</v>
      </c>
      <c r="I41" s="7" t="s">
        <v>2346</v>
      </c>
      <c r="J41" s="7" t="s">
        <v>130</v>
      </c>
      <c r="K41" s="11">
        <v>0.98958333333333337</v>
      </c>
      <c r="L41" s="11">
        <v>1.5972222222222221E-2</v>
      </c>
      <c r="M41" s="7" t="s">
        <v>109</v>
      </c>
      <c r="N41" s="38" t="s">
        <v>109</v>
      </c>
      <c r="O41" s="38" t="s">
        <v>61</v>
      </c>
      <c r="P41" s="7" t="s">
        <v>131</v>
      </c>
      <c r="Q41" s="7" t="s">
        <v>90</v>
      </c>
      <c r="R41" s="7" t="s">
        <v>62</v>
      </c>
      <c r="S41" s="7" t="s">
        <v>109</v>
      </c>
      <c r="T41" s="7" t="s">
        <v>109</v>
      </c>
      <c r="U41" s="131">
        <f t="shared" si="0"/>
        <v>1.04</v>
      </c>
      <c r="V41" s="7" t="s">
        <v>1313</v>
      </c>
    </row>
    <row r="42" spans="1:22" x14ac:dyDescent="0.3">
      <c r="A42" s="7">
        <v>41</v>
      </c>
      <c r="B42" s="29" t="s">
        <v>24</v>
      </c>
      <c r="C42" s="29" t="s">
        <v>1832</v>
      </c>
      <c r="D42" s="29">
        <v>60226011</v>
      </c>
      <c r="E42" s="29">
        <v>105</v>
      </c>
      <c r="F42" s="7">
        <v>217</v>
      </c>
      <c r="G42" s="7">
        <v>105</v>
      </c>
      <c r="H42" s="28" t="s">
        <v>1057</v>
      </c>
      <c r="I42" s="7" t="s">
        <v>1508</v>
      </c>
      <c r="J42" s="7" t="s">
        <v>130</v>
      </c>
      <c r="K42" s="11">
        <v>0.74027777777777781</v>
      </c>
      <c r="L42" s="11">
        <v>0.7895833333333333</v>
      </c>
      <c r="M42" s="130" t="s">
        <v>2283</v>
      </c>
      <c r="N42" s="43" t="s">
        <v>2339</v>
      </c>
      <c r="O42" s="38" t="s">
        <v>61</v>
      </c>
      <c r="P42" s="7" t="s">
        <v>131</v>
      </c>
      <c r="Q42" s="7" t="s">
        <v>91</v>
      </c>
      <c r="R42" s="7" t="s">
        <v>63</v>
      </c>
      <c r="S42" s="7" t="s">
        <v>109</v>
      </c>
      <c r="T42" s="7" t="s">
        <v>109</v>
      </c>
      <c r="U42" s="131">
        <f t="shared" si="0"/>
        <v>1</v>
      </c>
      <c r="V42" s="7" t="s">
        <v>1945</v>
      </c>
    </row>
    <row r="43" spans="1:22" x14ac:dyDescent="0.3">
      <c r="A43" s="7">
        <v>42</v>
      </c>
      <c r="B43" s="29" t="s">
        <v>24</v>
      </c>
      <c r="C43" s="29" t="s">
        <v>1834</v>
      </c>
      <c r="D43" s="29">
        <v>60226012</v>
      </c>
      <c r="E43" s="29">
        <v>95</v>
      </c>
      <c r="F43" s="7">
        <v>137</v>
      </c>
      <c r="G43" s="7">
        <v>112</v>
      </c>
      <c r="H43" s="53" t="s">
        <v>214</v>
      </c>
      <c r="I43" s="7" t="s">
        <v>209</v>
      </c>
      <c r="J43" s="7" t="s">
        <v>130</v>
      </c>
      <c r="K43" s="11">
        <v>0.70625000000000004</v>
      </c>
      <c r="L43" s="11">
        <v>0.75069444444444444</v>
      </c>
      <c r="M43" s="130" t="s">
        <v>2283</v>
      </c>
      <c r="N43" s="43" t="s">
        <v>2339</v>
      </c>
      <c r="O43" s="38" t="s">
        <v>61</v>
      </c>
      <c r="P43" s="7" t="s">
        <v>131</v>
      </c>
      <c r="Q43" s="7" t="s">
        <v>209</v>
      </c>
      <c r="R43" s="7" t="s">
        <v>63</v>
      </c>
      <c r="S43" s="7" t="s">
        <v>109</v>
      </c>
      <c r="T43" s="7" t="s">
        <v>109</v>
      </c>
      <c r="U43" s="131">
        <f t="shared" si="0"/>
        <v>1.1789473684210525</v>
      </c>
      <c r="V43" s="7" t="s">
        <v>1945</v>
      </c>
    </row>
    <row r="44" spans="1:22" x14ac:dyDescent="0.3">
      <c r="A44" s="7">
        <v>43</v>
      </c>
      <c r="B44" s="29" t="s">
        <v>26</v>
      </c>
      <c r="C44" s="29" t="s">
        <v>1778</v>
      </c>
      <c r="D44" s="29">
        <v>40226001</v>
      </c>
      <c r="E44" s="29">
        <v>334</v>
      </c>
      <c r="F44" s="7">
        <v>664</v>
      </c>
      <c r="G44" s="7">
        <v>70</v>
      </c>
      <c r="H44" s="28" t="s">
        <v>1016</v>
      </c>
      <c r="I44" s="7" t="s">
        <v>2340</v>
      </c>
      <c r="J44" s="7" t="s">
        <v>130</v>
      </c>
      <c r="K44" s="11">
        <v>0.75486111111111109</v>
      </c>
      <c r="L44" s="11">
        <v>0.79861111111111116</v>
      </c>
      <c r="M44" s="7" t="s">
        <v>109</v>
      </c>
      <c r="N44" s="43" t="s">
        <v>2098</v>
      </c>
      <c r="O44" s="38" t="s">
        <v>61</v>
      </c>
      <c r="P44" s="7" t="s">
        <v>131</v>
      </c>
      <c r="Q44" s="7" t="s">
        <v>91</v>
      </c>
      <c r="R44" s="7" t="s">
        <v>62</v>
      </c>
      <c r="S44" s="7" t="s">
        <v>109</v>
      </c>
      <c r="T44" s="7" t="s">
        <v>109</v>
      </c>
      <c r="U44" s="131">
        <f t="shared" si="0"/>
        <v>0.20958083832335328</v>
      </c>
      <c r="V44" s="7" t="s">
        <v>1313</v>
      </c>
    </row>
    <row r="45" spans="1:22" x14ac:dyDescent="0.3">
      <c r="A45" s="7">
        <v>44</v>
      </c>
      <c r="B45" s="29" t="s">
        <v>23</v>
      </c>
      <c r="C45" s="29" t="s">
        <v>2117</v>
      </c>
      <c r="D45" s="29">
        <v>50226054</v>
      </c>
      <c r="E45" s="29">
        <v>150</v>
      </c>
      <c r="F45" s="7">
        <v>238</v>
      </c>
      <c r="G45" s="7">
        <v>116</v>
      </c>
      <c r="H45" s="28" t="s">
        <v>2347</v>
      </c>
      <c r="I45" s="7" t="s">
        <v>109</v>
      </c>
      <c r="J45" s="7" t="s">
        <v>130</v>
      </c>
      <c r="K45" s="11" t="s">
        <v>109</v>
      </c>
      <c r="L45" s="11">
        <v>3.125E-2</v>
      </c>
      <c r="M45" s="7" t="s">
        <v>109</v>
      </c>
      <c r="N45" s="7" t="s">
        <v>109</v>
      </c>
      <c r="O45" s="38" t="s">
        <v>61</v>
      </c>
      <c r="P45" s="7" t="s">
        <v>131</v>
      </c>
      <c r="Q45" s="7" t="s">
        <v>86</v>
      </c>
      <c r="R45" s="7" t="s">
        <v>109</v>
      </c>
      <c r="S45" s="7" t="s">
        <v>109</v>
      </c>
      <c r="T45" s="7" t="s">
        <v>109</v>
      </c>
      <c r="U45" s="131">
        <f t="shared" si="0"/>
        <v>0.77333333333333332</v>
      </c>
      <c r="V45" s="7" t="s">
        <v>1945</v>
      </c>
    </row>
  </sheetData>
  <conditionalFormatting sqref="D1">
    <cfRule type="duplicateValues" dxfId="72" priority="1"/>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7BE4E-0B14-48F6-ADE1-2DB4B70AF9A2}">
  <sheetPr codeName="Sheet35"/>
  <dimension ref="A1:V66"/>
  <sheetViews>
    <sheetView workbookViewId="0">
      <pane ySplit="1" topLeftCell="A2" activePane="bottomLeft" state="frozen"/>
      <selection activeCell="I1" sqref="I1"/>
      <selection pane="bottomLeft"/>
    </sheetView>
  </sheetViews>
  <sheetFormatPr defaultRowHeight="14.4" x14ac:dyDescent="0.3"/>
  <cols>
    <col min="1" max="1" width="3.109375" style="31" bestFit="1" customWidth="1"/>
    <col min="2" max="2" width="8.6640625" style="31" bestFit="1" customWidth="1"/>
    <col min="3" max="3" width="14.5546875" style="31" bestFit="1" customWidth="1"/>
    <col min="4" max="4" width="10.44140625" style="31" bestFit="1" customWidth="1"/>
    <col min="5" max="5" width="13.88671875" style="31" bestFit="1" customWidth="1"/>
    <col min="6" max="6" width="15.109375" style="31" bestFit="1" customWidth="1"/>
    <col min="7" max="7" width="8.5546875" style="31" bestFit="1" customWidth="1"/>
    <col min="8" max="8" width="7.33203125" style="31" bestFit="1" customWidth="1"/>
    <col min="9" max="9" width="15.88671875" style="31" bestFit="1" customWidth="1"/>
    <col min="10" max="10" width="6.21875" style="31" bestFit="1" customWidth="1"/>
    <col min="11" max="12" width="16.21875" style="31" bestFit="1" customWidth="1"/>
    <col min="13" max="13" width="12.5546875" style="31" bestFit="1" customWidth="1"/>
    <col min="14" max="14" width="8.21875" style="31" bestFit="1" customWidth="1"/>
    <col min="15" max="15" width="6.77734375" style="31" bestFit="1" customWidth="1"/>
    <col min="16" max="16" width="14.33203125" style="31" bestFit="1" customWidth="1"/>
    <col min="17" max="17" width="11.77734375" style="31" bestFit="1" customWidth="1"/>
    <col min="18" max="18" width="14.33203125" style="31" bestFit="1" customWidth="1"/>
    <col min="19" max="19" width="12.21875" style="31" bestFit="1" customWidth="1"/>
    <col min="20" max="20" width="5.77734375" style="31" bestFit="1" customWidth="1"/>
    <col min="21" max="21" width="37.44140625" style="31" bestFit="1" customWidth="1"/>
    <col min="22" max="22" width="10.109375" style="31" bestFit="1" customWidth="1"/>
    <col min="23" max="16384" width="8.88671875" style="31"/>
  </cols>
  <sheetData>
    <row r="1" spans="1:22" x14ac:dyDescent="0.3">
      <c r="A1" s="1" t="s">
        <v>0</v>
      </c>
      <c r="B1" s="1" t="s">
        <v>1</v>
      </c>
      <c r="C1" s="1" t="s">
        <v>2</v>
      </c>
      <c r="D1" s="1" t="s">
        <v>3</v>
      </c>
      <c r="E1" s="1" t="s">
        <v>4</v>
      </c>
      <c r="F1" s="1" t="s">
        <v>5</v>
      </c>
      <c r="G1" s="1" t="s">
        <v>6</v>
      </c>
      <c r="H1" s="1" t="s">
        <v>7</v>
      </c>
      <c r="I1" s="1" t="s">
        <v>8</v>
      </c>
      <c r="J1" s="1" t="s">
        <v>9</v>
      </c>
      <c r="K1" s="2" t="s">
        <v>2218</v>
      </c>
      <c r="L1" s="2" t="s">
        <v>2219</v>
      </c>
      <c r="M1" s="3" t="s">
        <v>2281</v>
      </c>
      <c r="N1" s="4" t="s">
        <v>13</v>
      </c>
      <c r="O1" s="1" t="s">
        <v>14</v>
      </c>
      <c r="P1" s="1" t="s">
        <v>15</v>
      </c>
      <c r="Q1" s="1" t="s">
        <v>16</v>
      </c>
      <c r="R1" s="1" t="s">
        <v>17</v>
      </c>
      <c r="S1" s="127" t="s">
        <v>2282</v>
      </c>
      <c r="T1" s="1" t="s">
        <v>19</v>
      </c>
      <c r="U1" s="1" t="s">
        <v>20</v>
      </c>
      <c r="V1" s="1" t="s">
        <v>21</v>
      </c>
    </row>
    <row r="2" spans="1:22" x14ac:dyDescent="0.3">
      <c r="A2" s="7">
        <v>1</v>
      </c>
      <c r="B2" s="29" t="s">
        <v>292</v>
      </c>
      <c r="C2" s="29" t="s">
        <v>2386</v>
      </c>
      <c r="D2" s="91">
        <v>40226005</v>
      </c>
      <c r="E2" s="91">
        <v>200</v>
      </c>
      <c r="F2" s="7">
        <f>367+138</f>
        <v>505</v>
      </c>
      <c r="G2" s="7">
        <f>158+69</f>
        <v>227</v>
      </c>
      <c r="H2" s="53" t="s">
        <v>2348</v>
      </c>
      <c r="I2" s="53" t="s">
        <v>2382</v>
      </c>
      <c r="J2" s="53" t="s">
        <v>130</v>
      </c>
      <c r="K2" s="11">
        <v>0.93888888888888888</v>
      </c>
      <c r="L2" s="11">
        <v>0.96597222222222223</v>
      </c>
      <c r="M2" s="7" t="s">
        <v>109</v>
      </c>
      <c r="N2" s="32" t="s">
        <v>2349</v>
      </c>
      <c r="O2" s="29" t="s">
        <v>61</v>
      </c>
      <c r="P2" s="7" t="s">
        <v>131</v>
      </c>
      <c r="Q2" s="7" t="s">
        <v>94</v>
      </c>
      <c r="R2" s="7" t="s">
        <v>63</v>
      </c>
      <c r="S2" s="7" t="s">
        <v>109</v>
      </c>
      <c r="T2" s="29" t="s">
        <v>295</v>
      </c>
      <c r="U2" s="131">
        <f t="shared" ref="U2:U59" si="0">G2/E2</f>
        <v>1.135</v>
      </c>
      <c r="V2" s="7" t="s">
        <v>1945</v>
      </c>
    </row>
    <row r="3" spans="1:22" x14ac:dyDescent="0.3">
      <c r="A3" s="7">
        <v>2</v>
      </c>
      <c r="B3" s="29" t="s">
        <v>24</v>
      </c>
      <c r="C3" s="29" t="s">
        <v>1892</v>
      </c>
      <c r="D3" s="29">
        <v>60226001</v>
      </c>
      <c r="E3" s="91">
        <v>50</v>
      </c>
      <c r="F3" s="7">
        <v>84</v>
      </c>
      <c r="G3" s="7">
        <v>20</v>
      </c>
      <c r="H3" s="28" t="s">
        <v>184</v>
      </c>
      <c r="I3" s="53" t="s">
        <v>94</v>
      </c>
      <c r="J3" s="7" t="s">
        <v>130</v>
      </c>
      <c r="K3" s="11">
        <v>0.95138888888888884</v>
      </c>
      <c r="L3" s="11">
        <v>1.5277777777777777E-2</v>
      </c>
      <c r="M3" s="7" t="s">
        <v>109</v>
      </c>
      <c r="N3" s="29" t="s">
        <v>109</v>
      </c>
      <c r="O3" s="29" t="s">
        <v>61</v>
      </c>
      <c r="P3" s="7" t="s">
        <v>131</v>
      </c>
      <c r="Q3" s="7" t="s">
        <v>94</v>
      </c>
      <c r="R3" s="7" t="s">
        <v>63</v>
      </c>
      <c r="S3" s="7" t="s">
        <v>109</v>
      </c>
      <c r="T3" s="29" t="s">
        <v>2042</v>
      </c>
      <c r="U3" s="131">
        <f t="shared" si="0"/>
        <v>0.4</v>
      </c>
      <c r="V3" s="7" t="s">
        <v>2380</v>
      </c>
    </row>
    <row r="4" spans="1:22" x14ac:dyDescent="0.3">
      <c r="A4" s="7">
        <v>3</v>
      </c>
      <c r="B4" s="29" t="s">
        <v>24</v>
      </c>
      <c r="C4" s="29" t="s">
        <v>1893</v>
      </c>
      <c r="D4" s="29">
        <v>60226006</v>
      </c>
      <c r="E4" s="91">
        <v>43</v>
      </c>
      <c r="F4" s="7">
        <v>80</v>
      </c>
      <c r="G4" s="7">
        <v>36</v>
      </c>
      <c r="H4" s="53" t="s">
        <v>67</v>
      </c>
      <c r="I4" s="53" t="s">
        <v>95</v>
      </c>
      <c r="J4" s="7" t="s">
        <v>130</v>
      </c>
      <c r="K4" s="11">
        <v>0.69374999999999998</v>
      </c>
      <c r="L4" s="11">
        <v>0.70625000000000004</v>
      </c>
      <c r="M4" s="7" t="s">
        <v>109</v>
      </c>
      <c r="N4" s="29" t="s">
        <v>109</v>
      </c>
      <c r="O4" s="29" t="s">
        <v>61</v>
      </c>
      <c r="P4" s="7" t="s">
        <v>131</v>
      </c>
      <c r="Q4" s="7" t="s">
        <v>95</v>
      </c>
      <c r="R4" s="7" t="s">
        <v>63</v>
      </c>
      <c r="S4" s="7" t="s">
        <v>109</v>
      </c>
      <c r="T4" s="29" t="s">
        <v>2042</v>
      </c>
      <c r="U4" s="131">
        <f t="shared" si="0"/>
        <v>0.83720930232558144</v>
      </c>
      <c r="V4" s="7" t="s">
        <v>2391</v>
      </c>
    </row>
    <row r="5" spans="1:22" x14ac:dyDescent="0.3">
      <c r="A5" s="7">
        <v>4</v>
      </c>
      <c r="B5" s="29" t="s">
        <v>24</v>
      </c>
      <c r="C5" s="29" t="s">
        <v>1899</v>
      </c>
      <c r="D5" s="29">
        <v>60226008</v>
      </c>
      <c r="E5" s="91">
        <v>15</v>
      </c>
      <c r="F5" s="7">
        <v>2</v>
      </c>
      <c r="G5" s="7">
        <v>1</v>
      </c>
      <c r="H5" s="53" t="s">
        <v>64</v>
      </c>
      <c r="I5" s="53" t="s">
        <v>86</v>
      </c>
      <c r="J5" s="7" t="s">
        <v>130</v>
      </c>
      <c r="K5" s="11">
        <v>0.94791666666666663</v>
      </c>
      <c r="L5" s="11">
        <v>0.96527777777777779</v>
      </c>
      <c r="M5" s="7" t="s">
        <v>109</v>
      </c>
      <c r="N5" s="29" t="s">
        <v>109</v>
      </c>
      <c r="O5" s="29" t="s">
        <v>61</v>
      </c>
      <c r="P5" s="7" t="s">
        <v>131</v>
      </c>
      <c r="Q5" s="7" t="s">
        <v>86</v>
      </c>
      <c r="R5" s="7" t="s">
        <v>63</v>
      </c>
      <c r="S5" s="7" t="s">
        <v>109</v>
      </c>
      <c r="T5" s="29" t="s">
        <v>2042</v>
      </c>
      <c r="U5" s="131">
        <f t="shared" si="0"/>
        <v>6.6666666666666666E-2</v>
      </c>
      <c r="V5" s="7" t="s">
        <v>2380</v>
      </c>
    </row>
    <row r="6" spans="1:22" x14ac:dyDescent="0.3">
      <c r="A6" s="7">
        <v>5</v>
      </c>
      <c r="B6" s="29" t="s">
        <v>24</v>
      </c>
      <c r="C6" s="29" t="s">
        <v>1090</v>
      </c>
      <c r="D6" s="29">
        <v>60126010</v>
      </c>
      <c r="E6" s="91">
        <v>15</v>
      </c>
      <c r="F6" s="7">
        <v>34</v>
      </c>
      <c r="G6" s="7">
        <v>21</v>
      </c>
      <c r="H6" s="53" t="s">
        <v>82</v>
      </c>
      <c r="I6" s="53" t="s">
        <v>209</v>
      </c>
      <c r="J6" s="7" t="s">
        <v>130</v>
      </c>
      <c r="K6" s="11">
        <v>0.78333333333333333</v>
      </c>
      <c r="L6" s="11">
        <v>0.81944444444444442</v>
      </c>
      <c r="M6" s="7" t="s">
        <v>109</v>
      </c>
      <c r="N6" s="29" t="s">
        <v>109</v>
      </c>
      <c r="O6" s="29" t="s">
        <v>61</v>
      </c>
      <c r="P6" s="7" t="s">
        <v>131</v>
      </c>
      <c r="Q6" s="7" t="s">
        <v>209</v>
      </c>
      <c r="R6" s="7" t="s">
        <v>63</v>
      </c>
      <c r="S6" s="7" t="s">
        <v>109</v>
      </c>
      <c r="T6" s="29" t="s">
        <v>1089</v>
      </c>
      <c r="U6" s="131">
        <f t="shared" si="0"/>
        <v>1.4</v>
      </c>
      <c r="V6" s="7" t="s">
        <v>1945</v>
      </c>
    </row>
    <row r="7" spans="1:22" x14ac:dyDescent="0.3">
      <c r="A7" s="7">
        <v>6</v>
      </c>
      <c r="B7" s="29" t="s">
        <v>163</v>
      </c>
      <c r="C7" s="29" t="s">
        <v>164</v>
      </c>
      <c r="D7" s="91">
        <v>40126008</v>
      </c>
      <c r="E7" s="91">
        <v>201</v>
      </c>
      <c r="F7" s="7">
        <f>183+45</f>
        <v>228</v>
      </c>
      <c r="G7" s="7">
        <f>28+30</f>
        <v>58</v>
      </c>
      <c r="H7" s="7" t="s">
        <v>2140</v>
      </c>
      <c r="I7" s="7" t="s">
        <v>1783</v>
      </c>
      <c r="J7" s="7" t="s">
        <v>130</v>
      </c>
      <c r="K7" s="11">
        <v>0.96805555555555556</v>
      </c>
      <c r="L7" s="11">
        <v>0.99861111111111112</v>
      </c>
      <c r="M7" s="7" t="s">
        <v>109</v>
      </c>
      <c r="N7" s="32" t="s">
        <v>2350</v>
      </c>
      <c r="O7" s="29" t="s">
        <v>145</v>
      </c>
      <c r="P7" s="7" t="s">
        <v>131</v>
      </c>
      <c r="Q7" s="7" t="s">
        <v>2390</v>
      </c>
      <c r="R7" s="7" t="s">
        <v>62</v>
      </c>
      <c r="S7" s="7" t="s">
        <v>109</v>
      </c>
      <c r="T7" s="29" t="s">
        <v>166</v>
      </c>
      <c r="U7" s="131">
        <f t="shared" si="0"/>
        <v>0.28855721393034828</v>
      </c>
      <c r="V7" s="7" t="s">
        <v>2384</v>
      </c>
    </row>
    <row r="8" spans="1:22" x14ac:dyDescent="0.3">
      <c r="A8" s="7">
        <v>7</v>
      </c>
      <c r="B8" s="29" t="s">
        <v>163</v>
      </c>
      <c r="C8" s="29" t="s">
        <v>167</v>
      </c>
      <c r="D8" s="91">
        <v>40126007</v>
      </c>
      <c r="E8" s="91">
        <v>60</v>
      </c>
      <c r="F8" s="7">
        <v>96</v>
      </c>
      <c r="G8" s="7">
        <v>64</v>
      </c>
      <c r="H8" s="53" t="s">
        <v>222</v>
      </c>
      <c r="I8" s="53" t="s">
        <v>88</v>
      </c>
      <c r="J8" s="7" t="s">
        <v>130</v>
      </c>
      <c r="K8" s="11">
        <v>0.6958333333333333</v>
      </c>
      <c r="L8" s="11">
        <v>0.71805555555555556</v>
      </c>
      <c r="M8" s="7" t="s">
        <v>109</v>
      </c>
      <c r="N8" s="32" t="s">
        <v>2351</v>
      </c>
      <c r="O8" s="29" t="s">
        <v>61</v>
      </c>
      <c r="P8" s="7" t="s">
        <v>131</v>
      </c>
      <c r="Q8" s="7" t="s">
        <v>88</v>
      </c>
      <c r="R8" s="7" t="s">
        <v>62</v>
      </c>
      <c r="S8" s="7" t="s">
        <v>109</v>
      </c>
      <c r="T8" s="29" t="s">
        <v>166</v>
      </c>
      <c r="U8" s="131">
        <f t="shared" si="0"/>
        <v>1.0666666666666667</v>
      </c>
      <c r="V8" s="7" t="s">
        <v>1945</v>
      </c>
    </row>
    <row r="9" spans="1:22" x14ac:dyDescent="0.3">
      <c r="A9" s="7">
        <v>8</v>
      </c>
      <c r="B9" s="29" t="s">
        <v>23</v>
      </c>
      <c r="C9" s="29" t="s">
        <v>2059</v>
      </c>
      <c r="D9" s="29">
        <v>50226048</v>
      </c>
      <c r="E9" s="29">
        <v>200</v>
      </c>
      <c r="F9" s="7">
        <v>377</v>
      </c>
      <c r="G9" s="7">
        <v>158</v>
      </c>
      <c r="H9" s="7" t="s">
        <v>927</v>
      </c>
      <c r="I9" s="7" t="s">
        <v>109</v>
      </c>
      <c r="J9" s="7" t="s">
        <v>130</v>
      </c>
      <c r="K9" s="11">
        <v>0.91874999999999996</v>
      </c>
      <c r="L9" s="7" t="s">
        <v>109</v>
      </c>
      <c r="M9" s="7" t="s">
        <v>109</v>
      </c>
      <c r="N9" s="29" t="s">
        <v>109</v>
      </c>
      <c r="O9" s="29" t="s">
        <v>61</v>
      </c>
      <c r="P9" s="7" t="s">
        <v>131</v>
      </c>
      <c r="Q9" s="7" t="s">
        <v>184</v>
      </c>
      <c r="R9" s="7" t="s">
        <v>62</v>
      </c>
      <c r="S9" s="7" t="s">
        <v>109</v>
      </c>
      <c r="T9" s="29" t="s">
        <v>2057</v>
      </c>
      <c r="U9" s="131">
        <f t="shared" si="0"/>
        <v>0.79</v>
      </c>
      <c r="V9" s="7" t="s">
        <v>1313</v>
      </c>
    </row>
    <row r="10" spans="1:22" x14ac:dyDescent="0.3">
      <c r="A10" s="7">
        <v>9</v>
      </c>
      <c r="B10" s="29" t="s">
        <v>23</v>
      </c>
      <c r="C10" s="29" t="s">
        <v>2061</v>
      </c>
      <c r="D10" s="29">
        <v>50226047</v>
      </c>
      <c r="E10" s="29">
        <v>100</v>
      </c>
      <c r="F10" s="7">
        <v>89</v>
      </c>
      <c r="G10" s="7">
        <v>54</v>
      </c>
      <c r="H10" s="53" t="s">
        <v>222</v>
      </c>
      <c r="I10" s="7" t="s">
        <v>109</v>
      </c>
      <c r="J10" s="7" t="s">
        <v>130</v>
      </c>
      <c r="K10" s="11">
        <v>0.80833333333333335</v>
      </c>
      <c r="L10" s="7" t="s">
        <v>109</v>
      </c>
      <c r="M10" s="7" t="s">
        <v>109</v>
      </c>
      <c r="N10" s="29" t="s">
        <v>109</v>
      </c>
      <c r="O10" s="29" t="s">
        <v>61</v>
      </c>
      <c r="P10" s="7" t="s">
        <v>131</v>
      </c>
      <c r="Q10" s="7" t="s">
        <v>222</v>
      </c>
      <c r="R10" s="7" t="s">
        <v>62</v>
      </c>
      <c r="S10" s="7" t="s">
        <v>109</v>
      </c>
      <c r="T10" s="29" t="s">
        <v>2057</v>
      </c>
      <c r="U10" s="131">
        <f t="shared" si="0"/>
        <v>0.54</v>
      </c>
      <c r="V10" s="7" t="s">
        <v>2380</v>
      </c>
    </row>
    <row r="11" spans="1:22" x14ac:dyDescent="0.3">
      <c r="A11" s="7">
        <v>10</v>
      </c>
      <c r="B11" s="29" t="s">
        <v>23</v>
      </c>
      <c r="C11" s="29" t="s">
        <v>2325</v>
      </c>
      <c r="D11" s="29">
        <v>50226077</v>
      </c>
      <c r="E11" s="29">
        <v>50</v>
      </c>
      <c r="F11" s="7">
        <v>126</v>
      </c>
      <c r="G11" s="7">
        <v>13</v>
      </c>
      <c r="H11" s="53" t="s">
        <v>214</v>
      </c>
      <c r="I11" s="7" t="s">
        <v>109</v>
      </c>
      <c r="J11" s="7" t="s">
        <v>130</v>
      </c>
      <c r="K11" s="11">
        <v>0.74930555555555556</v>
      </c>
      <c r="L11" s="7" t="s">
        <v>109</v>
      </c>
      <c r="M11" s="7" t="s">
        <v>109</v>
      </c>
      <c r="N11" s="29" t="s">
        <v>109</v>
      </c>
      <c r="O11" s="29" t="s">
        <v>61</v>
      </c>
      <c r="P11" s="7" t="s">
        <v>131</v>
      </c>
      <c r="Q11" s="7" t="s">
        <v>214</v>
      </c>
      <c r="R11" s="7" t="s">
        <v>62</v>
      </c>
      <c r="S11" s="7" t="s">
        <v>109</v>
      </c>
      <c r="T11" s="29" t="s">
        <v>252</v>
      </c>
      <c r="U11" s="131">
        <f t="shared" si="0"/>
        <v>0.26</v>
      </c>
      <c r="V11" s="7" t="s">
        <v>2380</v>
      </c>
    </row>
    <row r="12" spans="1:22" x14ac:dyDescent="0.3">
      <c r="A12" s="7">
        <v>11</v>
      </c>
      <c r="B12" s="29" t="s">
        <v>23</v>
      </c>
      <c r="C12" s="29" t="s">
        <v>2326</v>
      </c>
      <c r="D12" s="29">
        <v>50226078</v>
      </c>
      <c r="E12" s="29">
        <v>75</v>
      </c>
      <c r="F12" s="7">
        <v>113</v>
      </c>
      <c r="G12" s="7">
        <v>65</v>
      </c>
      <c r="H12" s="53" t="s">
        <v>64</v>
      </c>
      <c r="I12" s="7" t="s">
        <v>109</v>
      </c>
      <c r="J12" s="7" t="s">
        <v>130</v>
      </c>
      <c r="K12" s="11">
        <v>0.78263888888888888</v>
      </c>
      <c r="L12" s="7" t="s">
        <v>109</v>
      </c>
      <c r="M12" s="7" t="s">
        <v>109</v>
      </c>
      <c r="N12" s="29" t="s">
        <v>109</v>
      </c>
      <c r="O12" s="29" t="s">
        <v>61</v>
      </c>
      <c r="P12" s="7" t="s">
        <v>131</v>
      </c>
      <c r="Q12" s="7" t="s">
        <v>64</v>
      </c>
      <c r="R12" s="7" t="s">
        <v>62</v>
      </c>
      <c r="S12" s="7" t="s">
        <v>109</v>
      </c>
      <c r="T12" s="29" t="s">
        <v>252</v>
      </c>
      <c r="U12" s="131">
        <f t="shared" si="0"/>
        <v>0.8666666666666667</v>
      </c>
      <c r="V12" s="7" t="s">
        <v>2391</v>
      </c>
    </row>
    <row r="13" spans="1:22" x14ac:dyDescent="0.3">
      <c r="A13" s="7">
        <v>12</v>
      </c>
      <c r="B13" s="29" t="s">
        <v>23</v>
      </c>
      <c r="C13" s="29" t="s">
        <v>808</v>
      </c>
      <c r="D13" s="29">
        <v>50126193</v>
      </c>
      <c r="E13" s="29">
        <v>40</v>
      </c>
      <c r="F13" s="7">
        <v>62</v>
      </c>
      <c r="G13" s="7">
        <v>49</v>
      </c>
      <c r="H13" s="53" t="s">
        <v>68</v>
      </c>
      <c r="I13" s="7" t="s">
        <v>109</v>
      </c>
      <c r="J13" s="7" t="s">
        <v>130</v>
      </c>
      <c r="K13" s="11">
        <v>0.67847222222222225</v>
      </c>
      <c r="L13" s="7" t="s">
        <v>109</v>
      </c>
      <c r="M13" s="7" t="s">
        <v>109</v>
      </c>
      <c r="N13" s="32" t="s">
        <v>2352</v>
      </c>
      <c r="O13" s="29" t="s">
        <v>61</v>
      </c>
      <c r="P13" s="7" t="s">
        <v>131</v>
      </c>
      <c r="Q13" s="7" t="s">
        <v>68</v>
      </c>
      <c r="R13" s="7" t="s">
        <v>62</v>
      </c>
      <c r="S13" s="7" t="s">
        <v>109</v>
      </c>
      <c r="T13" s="29" t="s">
        <v>424</v>
      </c>
      <c r="U13" s="131">
        <f t="shared" si="0"/>
        <v>1.2250000000000001</v>
      </c>
      <c r="V13" s="7" t="s">
        <v>1945</v>
      </c>
    </row>
    <row r="14" spans="1:22" x14ac:dyDescent="0.3">
      <c r="A14" s="7">
        <v>13</v>
      </c>
      <c r="B14" s="29" t="s">
        <v>23</v>
      </c>
      <c r="C14" s="29" t="s">
        <v>1641</v>
      </c>
      <c r="D14" s="29">
        <v>50126366</v>
      </c>
      <c r="E14" s="29">
        <v>300</v>
      </c>
      <c r="F14" s="7">
        <v>490</v>
      </c>
      <c r="G14" s="7">
        <v>319</v>
      </c>
      <c r="H14" s="7" t="s">
        <v>2353</v>
      </c>
      <c r="I14" s="7" t="s">
        <v>109</v>
      </c>
      <c r="J14" s="7" t="s">
        <v>130</v>
      </c>
      <c r="K14" s="11">
        <v>0.74236111111111114</v>
      </c>
      <c r="L14" s="7" t="s">
        <v>109</v>
      </c>
      <c r="M14" s="7" t="s">
        <v>109</v>
      </c>
      <c r="N14" s="32" t="s">
        <v>2352</v>
      </c>
      <c r="O14" s="29" t="s">
        <v>61</v>
      </c>
      <c r="P14" s="7" t="s">
        <v>131</v>
      </c>
      <c r="Q14" s="7" t="s">
        <v>93</v>
      </c>
      <c r="R14" s="7" t="s">
        <v>62</v>
      </c>
      <c r="S14" s="7" t="s">
        <v>109</v>
      </c>
      <c r="T14" s="29" t="s">
        <v>424</v>
      </c>
      <c r="U14" s="131">
        <f t="shared" si="0"/>
        <v>1.0633333333333332</v>
      </c>
      <c r="V14" s="7" t="s">
        <v>1945</v>
      </c>
    </row>
    <row r="15" spans="1:22" x14ac:dyDescent="0.3">
      <c r="A15" s="7">
        <v>14</v>
      </c>
      <c r="B15" s="29" t="s">
        <v>23</v>
      </c>
      <c r="C15" s="29" t="s">
        <v>850</v>
      </c>
      <c r="D15" s="29">
        <v>50126214</v>
      </c>
      <c r="E15" s="29">
        <v>550</v>
      </c>
      <c r="F15" s="7">
        <v>817</v>
      </c>
      <c r="G15" s="7">
        <v>511</v>
      </c>
      <c r="H15" s="53" t="s">
        <v>2381</v>
      </c>
      <c r="I15" s="7" t="s">
        <v>109</v>
      </c>
      <c r="J15" s="7" t="s">
        <v>130</v>
      </c>
      <c r="K15" s="11">
        <v>0.78125</v>
      </c>
      <c r="L15" s="7" t="s">
        <v>109</v>
      </c>
      <c r="M15" s="7" t="s">
        <v>109</v>
      </c>
      <c r="N15" s="32" t="s">
        <v>2352</v>
      </c>
      <c r="O15" s="29" t="s">
        <v>61</v>
      </c>
      <c r="P15" s="7" t="s">
        <v>131</v>
      </c>
      <c r="Q15" s="7" t="s">
        <v>87</v>
      </c>
      <c r="R15" s="7" t="s">
        <v>62</v>
      </c>
      <c r="S15" s="7" t="s">
        <v>109</v>
      </c>
      <c r="T15" s="29" t="s">
        <v>424</v>
      </c>
      <c r="U15" s="131">
        <f t="shared" si="0"/>
        <v>0.92909090909090908</v>
      </c>
      <c r="V15" s="7" t="s">
        <v>1945</v>
      </c>
    </row>
    <row r="16" spans="1:22" x14ac:dyDescent="0.3">
      <c r="A16" s="7">
        <v>15</v>
      </c>
      <c r="B16" s="29" t="s">
        <v>23</v>
      </c>
      <c r="C16" s="29" t="s">
        <v>2354</v>
      </c>
      <c r="D16" s="29">
        <v>50226083</v>
      </c>
      <c r="E16" s="29">
        <v>100</v>
      </c>
      <c r="F16" s="7">
        <v>179</v>
      </c>
      <c r="G16" s="7">
        <v>117</v>
      </c>
      <c r="H16" s="53" t="s">
        <v>196</v>
      </c>
      <c r="I16" s="7" t="s">
        <v>109</v>
      </c>
      <c r="J16" s="7" t="s">
        <v>130</v>
      </c>
      <c r="K16" s="11">
        <v>0.69166666666666665</v>
      </c>
      <c r="L16" s="7" t="s">
        <v>109</v>
      </c>
      <c r="M16" s="7" t="s">
        <v>109</v>
      </c>
      <c r="N16" s="32" t="s">
        <v>2352</v>
      </c>
      <c r="O16" s="29" t="s">
        <v>61</v>
      </c>
      <c r="P16" s="7" t="s">
        <v>131</v>
      </c>
      <c r="Q16" s="7" t="s">
        <v>196</v>
      </c>
      <c r="R16" s="7" t="s">
        <v>62</v>
      </c>
      <c r="S16" s="7" t="s">
        <v>109</v>
      </c>
      <c r="T16" s="29" t="s">
        <v>424</v>
      </c>
      <c r="U16" s="131">
        <f t="shared" si="0"/>
        <v>1.17</v>
      </c>
      <c r="V16" s="7" t="s">
        <v>1945</v>
      </c>
    </row>
    <row r="17" spans="1:22" x14ac:dyDescent="0.3">
      <c r="A17" s="7">
        <v>16</v>
      </c>
      <c r="B17" s="29" t="s">
        <v>23</v>
      </c>
      <c r="C17" s="29" t="s">
        <v>2355</v>
      </c>
      <c r="D17" s="29">
        <v>50226082</v>
      </c>
      <c r="E17" s="29">
        <v>100</v>
      </c>
      <c r="F17" s="7">
        <v>119</v>
      </c>
      <c r="G17" s="7">
        <v>78</v>
      </c>
      <c r="H17" s="53" t="s">
        <v>66</v>
      </c>
      <c r="I17" s="7" t="s">
        <v>109</v>
      </c>
      <c r="J17" s="7" t="s">
        <v>130</v>
      </c>
      <c r="K17" s="11">
        <v>0.69027777777777777</v>
      </c>
      <c r="L17" s="7" t="s">
        <v>109</v>
      </c>
      <c r="M17" s="7" t="s">
        <v>109</v>
      </c>
      <c r="N17" s="32" t="s">
        <v>2352</v>
      </c>
      <c r="O17" s="29" t="s">
        <v>61</v>
      </c>
      <c r="P17" s="7" t="s">
        <v>131</v>
      </c>
      <c r="Q17" s="7" t="s">
        <v>66</v>
      </c>
      <c r="R17" s="7" t="s">
        <v>62</v>
      </c>
      <c r="S17" s="7" t="s">
        <v>109</v>
      </c>
      <c r="T17" s="29" t="s">
        <v>424</v>
      </c>
      <c r="U17" s="131">
        <f t="shared" si="0"/>
        <v>0.78</v>
      </c>
      <c r="V17" s="7" t="s">
        <v>2391</v>
      </c>
    </row>
    <row r="18" spans="1:22" x14ac:dyDescent="0.3">
      <c r="A18" s="7">
        <v>17</v>
      </c>
      <c r="B18" s="29" t="s">
        <v>23</v>
      </c>
      <c r="C18" s="29" t="s">
        <v>2356</v>
      </c>
      <c r="D18" s="29">
        <v>50226081</v>
      </c>
      <c r="E18" s="29">
        <v>100</v>
      </c>
      <c r="F18" s="7">
        <v>155</v>
      </c>
      <c r="G18" s="7">
        <v>100</v>
      </c>
      <c r="H18" s="53" t="s">
        <v>71</v>
      </c>
      <c r="I18" s="7" t="s">
        <v>109</v>
      </c>
      <c r="J18" s="7" t="s">
        <v>130</v>
      </c>
      <c r="K18" s="11">
        <v>0.7270833333333333</v>
      </c>
      <c r="L18" s="7" t="s">
        <v>109</v>
      </c>
      <c r="M18" s="7" t="s">
        <v>109</v>
      </c>
      <c r="N18" s="32" t="s">
        <v>2352</v>
      </c>
      <c r="O18" s="29" t="s">
        <v>61</v>
      </c>
      <c r="P18" s="7" t="s">
        <v>131</v>
      </c>
      <c r="Q18" s="7" t="s">
        <v>71</v>
      </c>
      <c r="R18" s="7" t="s">
        <v>62</v>
      </c>
      <c r="S18" s="7" t="s">
        <v>109</v>
      </c>
      <c r="T18" s="29" t="s">
        <v>424</v>
      </c>
      <c r="U18" s="131">
        <f t="shared" si="0"/>
        <v>1</v>
      </c>
      <c r="V18" s="7" t="s">
        <v>1945</v>
      </c>
    </row>
    <row r="19" spans="1:22" x14ac:dyDescent="0.3">
      <c r="A19" s="7">
        <v>18</v>
      </c>
      <c r="B19" s="29" t="s">
        <v>23</v>
      </c>
      <c r="C19" s="29" t="s">
        <v>2357</v>
      </c>
      <c r="D19" s="29">
        <v>50226084</v>
      </c>
      <c r="E19" s="29">
        <v>100</v>
      </c>
      <c r="F19" s="7">
        <v>150</v>
      </c>
      <c r="G19" s="7">
        <v>84</v>
      </c>
      <c r="H19" s="53" t="s">
        <v>67</v>
      </c>
      <c r="I19" s="7" t="s">
        <v>109</v>
      </c>
      <c r="J19" s="7" t="s">
        <v>130</v>
      </c>
      <c r="K19" s="11">
        <v>0.87777777777777777</v>
      </c>
      <c r="L19" s="7" t="s">
        <v>109</v>
      </c>
      <c r="M19" s="7" t="s">
        <v>109</v>
      </c>
      <c r="N19" s="32" t="s">
        <v>2352</v>
      </c>
      <c r="O19" s="29" t="s">
        <v>61</v>
      </c>
      <c r="P19" s="7" t="s">
        <v>131</v>
      </c>
      <c r="Q19" s="7" t="s">
        <v>67</v>
      </c>
      <c r="R19" s="7" t="s">
        <v>62</v>
      </c>
      <c r="S19" s="7" t="s">
        <v>109</v>
      </c>
      <c r="T19" s="29" t="s">
        <v>424</v>
      </c>
      <c r="U19" s="131">
        <f t="shared" si="0"/>
        <v>0.84</v>
      </c>
      <c r="V19" s="7" t="s">
        <v>2391</v>
      </c>
    </row>
    <row r="20" spans="1:22" x14ac:dyDescent="0.3">
      <c r="A20" s="7">
        <v>19</v>
      </c>
      <c r="B20" s="29" t="s">
        <v>23</v>
      </c>
      <c r="C20" s="29" t="s">
        <v>794</v>
      </c>
      <c r="D20" s="29">
        <v>50126194</v>
      </c>
      <c r="E20" s="29">
        <v>50</v>
      </c>
      <c r="F20" s="7">
        <v>80</v>
      </c>
      <c r="G20" s="7">
        <v>58</v>
      </c>
      <c r="H20" s="53" t="s">
        <v>69</v>
      </c>
      <c r="I20" s="7" t="s">
        <v>109</v>
      </c>
      <c r="J20" s="7" t="s">
        <v>130</v>
      </c>
      <c r="K20" s="11">
        <v>0.64652777777777781</v>
      </c>
      <c r="L20" s="7" t="s">
        <v>109</v>
      </c>
      <c r="M20" s="7" t="s">
        <v>109</v>
      </c>
      <c r="N20" s="32" t="s">
        <v>2352</v>
      </c>
      <c r="O20" s="29" t="s">
        <v>61</v>
      </c>
      <c r="P20" s="7" t="s">
        <v>131</v>
      </c>
      <c r="Q20" s="7" t="s">
        <v>69</v>
      </c>
      <c r="R20" s="7" t="s">
        <v>62</v>
      </c>
      <c r="S20" s="7" t="s">
        <v>109</v>
      </c>
      <c r="T20" s="29" t="s">
        <v>424</v>
      </c>
      <c r="U20" s="131">
        <f t="shared" si="0"/>
        <v>1.1599999999999999</v>
      </c>
      <c r="V20" s="7" t="s">
        <v>1945</v>
      </c>
    </row>
    <row r="21" spans="1:22" x14ac:dyDescent="0.3">
      <c r="A21" s="7">
        <v>20</v>
      </c>
      <c r="B21" s="29" t="s">
        <v>23</v>
      </c>
      <c r="C21" s="29" t="s">
        <v>797</v>
      </c>
      <c r="D21" s="29">
        <v>50126195</v>
      </c>
      <c r="E21" s="29">
        <v>40</v>
      </c>
      <c r="F21" s="7">
        <v>67</v>
      </c>
      <c r="G21" s="7">
        <v>60</v>
      </c>
      <c r="H21" s="53" t="s">
        <v>274</v>
      </c>
      <c r="I21" s="7" t="s">
        <v>109</v>
      </c>
      <c r="J21" s="7" t="s">
        <v>130</v>
      </c>
      <c r="K21" s="11">
        <v>0.68333333333333335</v>
      </c>
      <c r="L21" s="7" t="s">
        <v>109</v>
      </c>
      <c r="M21" s="7" t="s">
        <v>109</v>
      </c>
      <c r="N21" s="32" t="s">
        <v>2352</v>
      </c>
      <c r="O21" s="29" t="s">
        <v>61</v>
      </c>
      <c r="P21" s="7" t="s">
        <v>131</v>
      </c>
      <c r="Q21" s="7" t="s">
        <v>274</v>
      </c>
      <c r="R21" s="7" t="s">
        <v>62</v>
      </c>
      <c r="S21" s="7" t="s">
        <v>109</v>
      </c>
      <c r="T21" s="29" t="s">
        <v>424</v>
      </c>
      <c r="U21" s="131">
        <f t="shared" si="0"/>
        <v>1.5</v>
      </c>
      <c r="V21" s="7" t="s">
        <v>1945</v>
      </c>
    </row>
    <row r="22" spans="1:22" x14ac:dyDescent="0.3">
      <c r="A22" s="7">
        <v>21</v>
      </c>
      <c r="B22" s="29" t="s">
        <v>23</v>
      </c>
      <c r="C22" s="29" t="s">
        <v>801</v>
      </c>
      <c r="D22" s="29">
        <v>50126196</v>
      </c>
      <c r="E22" s="29">
        <v>50</v>
      </c>
      <c r="F22" s="7">
        <v>99</v>
      </c>
      <c r="G22" s="7">
        <v>62</v>
      </c>
      <c r="H22" s="53" t="s">
        <v>82</v>
      </c>
      <c r="I22" s="7" t="s">
        <v>109</v>
      </c>
      <c r="J22" s="7" t="s">
        <v>130</v>
      </c>
      <c r="K22" s="11">
        <v>3.125E-2</v>
      </c>
      <c r="L22" s="7" t="s">
        <v>109</v>
      </c>
      <c r="M22" s="7" t="s">
        <v>109</v>
      </c>
      <c r="N22" s="32" t="s">
        <v>2352</v>
      </c>
      <c r="O22" s="29" t="s">
        <v>61</v>
      </c>
      <c r="P22" s="7" t="s">
        <v>131</v>
      </c>
      <c r="Q22" s="7" t="s">
        <v>82</v>
      </c>
      <c r="R22" s="7" t="s">
        <v>62</v>
      </c>
      <c r="S22" s="7" t="s">
        <v>109</v>
      </c>
      <c r="T22" s="29" t="s">
        <v>424</v>
      </c>
      <c r="U22" s="131">
        <f t="shared" si="0"/>
        <v>1.24</v>
      </c>
      <c r="V22" s="7" t="s">
        <v>1945</v>
      </c>
    </row>
    <row r="23" spans="1:22" x14ac:dyDescent="0.3">
      <c r="A23" s="7">
        <v>22</v>
      </c>
      <c r="B23" s="29" t="s">
        <v>23</v>
      </c>
      <c r="C23" s="29" t="s">
        <v>807</v>
      </c>
      <c r="D23" s="29">
        <v>50126199</v>
      </c>
      <c r="E23" s="29">
        <v>50</v>
      </c>
      <c r="F23" s="7">
        <v>106</v>
      </c>
      <c r="G23" s="7">
        <v>55</v>
      </c>
      <c r="H23" s="53" t="s">
        <v>65</v>
      </c>
      <c r="I23" s="7" t="s">
        <v>109</v>
      </c>
      <c r="J23" s="7" t="s">
        <v>130</v>
      </c>
      <c r="K23" s="11">
        <v>0.70694444444444449</v>
      </c>
      <c r="L23" s="7" t="s">
        <v>109</v>
      </c>
      <c r="M23" s="7" t="s">
        <v>109</v>
      </c>
      <c r="N23" s="32" t="s">
        <v>2352</v>
      </c>
      <c r="O23" s="29" t="s">
        <v>61</v>
      </c>
      <c r="P23" s="7" t="s">
        <v>131</v>
      </c>
      <c r="Q23" s="7" t="s">
        <v>65</v>
      </c>
      <c r="R23" s="7" t="s">
        <v>62</v>
      </c>
      <c r="S23" s="7" t="s">
        <v>109</v>
      </c>
      <c r="T23" s="29" t="s">
        <v>424</v>
      </c>
      <c r="U23" s="131">
        <f t="shared" si="0"/>
        <v>1.1000000000000001</v>
      </c>
      <c r="V23" s="7" t="s">
        <v>1945</v>
      </c>
    </row>
    <row r="24" spans="1:22" x14ac:dyDescent="0.3">
      <c r="A24" s="7">
        <v>23</v>
      </c>
      <c r="B24" s="29" t="s">
        <v>23</v>
      </c>
      <c r="C24" s="29" t="s">
        <v>810</v>
      </c>
      <c r="D24" s="29">
        <v>50126200</v>
      </c>
      <c r="E24" s="29">
        <v>65</v>
      </c>
      <c r="F24" s="7">
        <v>90</v>
      </c>
      <c r="G24" s="7">
        <v>46</v>
      </c>
      <c r="H24" s="53" t="s">
        <v>153</v>
      </c>
      <c r="I24" s="7" t="s">
        <v>109</v>
      </c>
      <c r="J24" s="7" t="s">
        <v>130</v>
      </c>
      <c r="K24" s="11">
        <v>0.68263888888888891</v>
      </c>
      <c r="L24" s="7" t="s">
        <v>109</v>
      </c>
      <c r="M24" s="7" t="s">
        <v>109</v>
      </c>
      <c r="N24" s="32" t="s">
        <v>2352</v>
      </c>
      <c r="O24" s="29" t="s">
        <v>61</v>
      </c>
      <c r="P24" s="7" t="s">
        <v>131</v>
      </c>
      <c r="Q24" s="7" t="s">
        <v>153</v>
      </c>
      <c r="R24" s="7" t="s">
        <v>62</v>
      </c>
      <c r="S24" s="7" t="s">
        <v>109</v>
      </c>
      <c r="T24" s="29" t="s">
        <v>424</v>
      </c>
      <c r="U24" s="131">
        <f t="shared" si="0"/>
        <v>0.70769230769230773</v>
      </c>
      <c r="V24" s="7" t="s">
        <v>2391</v>
      </c>
    </row>
    <row r="25" spans="1:22" x14ac:dyDescent="0.3">
      <c r="A25" s="7">
        <v>24</v>
      </c>
      <c r="B25" s="29" t="s">
        <v>23</v>
      </c>
      <c r="C25" s="29" t="s">
        <v>804</v>
      </c>
      <c r="D25" s="29">
        <v>50126197</v>
      </c>
      <c r="E25" s="29">
        <v>150</v>
      </c>
      <c r="F25" s="7">
        <v>204</v>
      </c>
      <c r="G25" s="7">
        <v>142</v>
      </c>
      <c r="H25" s="53" t="s">
        <v>927</v>
      </c>
      <c r="I25" s="7" t="s">
        <v>109</v>
      </c>
      <c r="J25" s="7" t="s">
        <v>130</v>
      </c>
      <c r="K25" s="11">
        <v>0.69374999999999998</v>
      </c>
      <c r="L25" s="7" t="s">
        <v>109</v>
      </c>
      <c r="M25" s="7" t="s">
        <v>109</v>
      </c>
      <c r="N25" s="32" t="s">
        <v>2352</v>
      </c>
      <c r="O25" s="29" t="s">
        <v>61</v>
      </c>
      <c r="P25" s="7" t="s">
        <v>131</v>
      </c>
      <c r="Q25" s="7" t="s">
        <v>84</v>
      </c>
      <c r="R25" s="7" t="s">
        <v>62</v>
      </c>
      <c r="S25" s="7" t="s">
        <v>109</v>
      </c>
      <c r="T25" s="29" t="s">
        <v>424</v>
      </c>
      <c r="U25" s="131">
        <f t="shared" si="0"/>
        <v>0.94666666666666666</v>
      </c>
      <c r="V25" s="7" t="s">
        <v>1945</v>
      </c>
    </row>
    <row r="26" spans="1:22" x14ac:dyDescent="0.3">
      <c r="A26" s="7">
        <v>25</v>
      </c>
      <c r="B26" s="29" t="s">
        <v>143</v>
      </c>
      <c r="C26" s="29" t="s">
        <v>2305</v>
      </c>
      <c r="D26" s="29">
        <v>10226022</v>
      </c>
      <c r="E26" s="91">
        <v>100</v>
      </c>
      <c r="F26" s="7">
        <v>207</v>
      </c>
      <c r="G26" s="7">
        <v>56</v>
      </c>
      <c r="H26" s="7" t="s">
        <v>2358</v>
      </c>
      <c r="I26" s="7" t="s">
        <v>154</v>
      </c>
      <c r="J26" s="7" t="s">
        <v>130</v>
      </c>
      <c r="K26" s="11">
        <v>0.93402777777777779</v>
      </c>
      <c r="L26" s="11">
        <v>0.95138888888888884</v>
      </c>
      <c r="M26" s="7" t="s">
        <v>109</v>
      </c>
      <c r="N26" s="29" t="s">
        <v>109</v>
      </c>
      <c r="O26" s="29" t="s">
        <v>61</v>
      </c>
      <c r="P26" s="7" t="s">
        <v>131</v>
      </c>
      <c r="Q26" s="7" t="s">
        <v>109</v>
      </c>
      <c r="R26" s="7" t="s">
        <v>62</v>
      </c>
      <c r="S26" s="7" t="s">
        <v>109</v>
      </c>
      <c r="T26" s="29" t="s">
        <v>402</v>
      </c>
      <c r="U26" s="131">
        <f t="shared" si="0"/>
        <v>0.56000000000000005</v>
      </c>
      <c r="V26" s="7" t="s">
        <v>1313</v>
      </c>
    </row>
    <row r="27" spans="1:22" x14ac:dyDescent="0.3">
      <c r="A27" s="7">
        <v>26</v>
      </c>
      <c r="B27" s="29" t="s">
        <v>143</v>
      </c>
      <c r="C27" s="29" t="s">
        <v>1667</v>
      </c>
      <c r="D27" s="29">
        <v>10126048</v>
      </c>
      <c r="E27" s="91">
        <v>77</v>
      </c>
      <c r="F27" s="7">
        <f>136+24</f>
        <v>160</v>
      </c>
      <c r="G27" s="7">
        <v>12</v>
      </c>
      <c r="H27" s="53" t="s">
        <v>66</v>
      </c>
      <c r="I27" s="53" t="s">
        <v>93</v>
      </c>
      <c r="J27" s="7" t="s">
        <v>130</v>
      </c>
      <c r="K27" s="11">
        <v>0.75069444444444444</v>
      </c>
      <c r="L27" s="11">
        <v>3.4722222222222224E-2</v>
      </c>
      <c r="M27" s="7" t="s">
        <v>109</v>
      </c>
      <c r="N27" s="29" t="s">
        <v>109</v>
      </c>
      <c r="O27" s="29" t="s">
        <v>607</v>
      </c>
      <c r="P27" s="7" t="s">
        <v>131</v>
      </c>
      <c r="Q27" s="7" t="s">
        <v>93</v>
      </c>
      <c r="R27" s="7" t="s">
        <v>62</v>
      </c>
      <c r="S27" s="7" t="s">
        <v>109</v>
      </c>
      <c r="T27" s="29" t="s">
        <v>402</v>
      </c>
      <c r="U27" s="131">
        <f t="shared" si="0"/>
        <v>0.15584415584415584</v>
      </c>
      <c r="V27" s="7" t="s">
        <v>2391</v>
      </c>
    </row>
    <row r="28" spans="1:22" x14ac:dyDescent="0.3">
      <c r="A28" s="7">
        <v>27</v>
      </c>
      <c r="B28" s="29" t="s">
        <v>143</v>
      </c>
      <c r="C28" s="29" t="s">
        <v>1598</v>
      </c>
      <c r="D28" s="93">
        <v>10126044</v>
      </c>
      <c r="E28" s="91">
        <v>100</v>
      </c>
      <c r="F28" s="7">
        <v>199</v>
      </c>
      <c r="G28" s="7">
        <v>81</v>
      </c>
      <c r="H28" s="53" t="s">
        <v>69</v>
      </c>
      <c r="I28" s="7" t="s">
        <v>90</v>
      </c>
      <c r="J28" s="7" t="s">
        <v>130</v>
      </c>
      <c r="K28" s="11">
        <v>0.79166666666666663</v>
      </c>
      <c r="L28" s="11">
        <v>0.92847222222222225</v>
      </c>
      <c r="M28" s="7" t="s">
        <v>109</v>
      </c>
      <c r="N28" s="29" t="s">
        <v>109</v>
      </c>
      <c r="O28" s="29" t="s">
        <v>61</v>
      </c>
      <c r="P28" s="7" t="s">
        <v>131</v>
      </c>
      <c r="Q28" s="7" t="s">
        <v>90</v>
      </c>
      <c r="R28" s="7" t="s">
        <v>62</v>
      </c>
      <c r="S28" s="7" t="s">
        <v>109</v>
      </c>
      <c r="T28" s="29" t="s">
        <v>480</v>
      </c>
      <c r="U28" s="131">
        <f t="shared" si="0"/>
        <v>0.81</v>
      </c>
      <c r="V28" s="7" t="s">
        <v>1313</v>
      </c>
    </row>
    <row r="29" spans="1:22" x14ac:dyDescent="0.3">
      <c r="A29" s="7">
        <v>28</v>
      </c>
      <c r="B29" s="29" t="s">
        <v>143</v>
      </c>
      <c r="C29" s="132" t="s">
        <v>2359</v>
      </c>
      <c r="D29" s="135">
        <v>10226038</v>
      </c>
      <c r="E29" s="133">
        <v>150</v>
      </c>
      <c r="F29" s="7">
        <v>235</v>
      </c>
      <c r="G29" s="7">
        <v>159</v>
      </c>
      <c r="H29" s="53" t="s">
        <v>969</v>
      </c>
      <c r="I29" s="7" t="s">
        <v>970</v>
      </c>
      <c r="J29" s="7" t="s">
        <v>130</v>
      </c>
      <c r="K29" s="11">
        <v>0.93472222222222223</v>
      </c>
      <c r="L29" s="11">
        <v>0.96666666666666667</v>
      </c>
      <c r="M29" s="7" t="s">
        <v>109</v>
      </c>
      <c r="N29" s="29" t="s">
        <v>109</v>
      </c>
      <c r="O29" s="29" t="s">
        <v>61</v>
      </c>
      <c r="P29" s="7" t="s">
        <v>131</v>
      </c>
      <c r="Q29" s="7" t="s">
        <v>91</v>
      </c>
      <c r="R29" s="7" t="s">
        <v>62</v>
      </c>
      <c r="S29" s="7" t="s">
        <v>109</v>
      </c>
      <c r="T29" s="29" t="s">
        <v>402</v>
      </c>
      <c r="U29" s="131">
        <f t="shared" si="0"/>
        <v>1.06</v>
      </c>
      <c r="V29" s="7" t="s">
        <v>1945</v>
      </c>
    </row>
    <row r="30" spans="1:22" x14ac:dyDescent="0.3">
      <c r="A30" s="7">
        <v>29</v>
      </c>
      <c r="B30" s="29" t="s">
        <v>143</v>
      </c>
      <c r="C30" s="132" t="s">
        <v>2360</v>
      </c>
      <c r="D30" s="135">
        <v>10226037</v>
      </c>
      <c r="E30" s="133">
        <v>125</v>
      </c>
      <c r="F30" s="7">
        <v>10</v>
      </c>
      <c r="G30" s="7">
        <v>5</v>
      </c>
      <c r="H30" s="53" t="s">
        <v>196</v>
      </c>
      <c r="I30" s="7" t="s">
        <v>87</v>
      </c>
      <c r="J30" s="7" t="s">
        <v>130</v>
      </c>
      <c r="K30" s="11">
        <v>0.76180555555555551</v>
      </c>
      <c r="L30" s="11">
        <v>0.78749999999999998</v>
      </c>
      <c r="M30" s="7" t="s">
        <v>109</v>
      </c>
      <c r="N30" s="29" t="s">
        <v>109</v>
      </c>
      <c r="O30" s="29" t="s">
        <v>61</v>
      </c>
      <c r="P30" s="7" t="s">
        <v>131</v>
      </c>
      <c r="Q30" s="7" t="s">
        <v>87</v>
      </c>
      <c r="R30" s="7" t="s">
        <v>62</v>
      </c>
      <c r="S30" s="7" t="s">
        <v>109</v>
      </c>
      <c r="T30" s="29" t="s">
        <v>121</v>
      </c>
      <c r="U30" s="131">
        <f t="shared" si="0"/>
        <v>0.04</v>
      </c>
      <c r="V30" s="7" t="s">
        <v>2380</v>
      </c>
    </row>
    <row r="31" spans="1:22" x14ac:dyDescent="0.3">
      <c r="A31" s="7">
        <v>30</v>
      </c>
      <c r="B31" s="29" t="s">
        <v>143</v>
      </c>
      <c r="C31" s="132" t="s">
        <v>2361</v>
      </c>
      <c r="D31" s="135">
        <v>10226039</v>
      </c>
      <c r="E31" s="133">
        <v>80</v>
      </c>
      <c r="F31" s="7">
        <v>84</v>
      </c>
      <c r="G31" s="7">
        <v>5</v>
      </c>
      <c r="H31" s="7" t="s">
        <v>214</v>
      </c>
      <c r="I31" s="53" t="s">
        <v>154</v>
      </c>
      <c r="J31" s="7" t="s">
        <v>130</v>
      </c>
      <c r="K31" s="11">
        <v>0.83472222222222225</v>
      </c>
      <c r="L31" s="11">
        <v>0.85</v>
      </c>
      <c r="M31" s="7" t="s">
        <v>109</v>
      </c>
      <c r="N31" s="29" t="s">
        <v>109</v>
      </c>
      <c r="O31" s="29" t="s">
        <v>61</v>
      </c>
      <c r="P31" s="7" t="s">
        <v>131</v>
      </c>
      <c r="Q31" s="7" t="s">
        <v>154</v>
      </c>
      <c r="R31" s="7" t="s">
        <v>62</v>
      </c>
      <c r="S31" s="7" t="s">
        <v>109</v>
      </c>
      <c r="T31" s="29" t="s">
        <v>121</v>
      </c>
      <c r="U31" s="131">
        <f t="shared" si="0"/>
        <v>6.25E-2</v>
      </c>
      <c r="V31" s="7" t="s">
        <v>2380</v>
      </c>
    </row>
    <row r="32" spans="1:22" x14ac:dyDescent="0.3">
      <c r="A32" s="7">
        <v>31</v>
      </c>
      <c r="B32" s="29" t="s">
        <v>143</v>
      </c>
      <c r="C32" s="132" t="s">
        <v>2362</v>
      </c>
      <c r="D32" s="135">
        <v>10226034</v>
      </c>
      <c r="E32" s="133">
        <v>22</v>
      </c>
      <c r="F32" s="7">
        <v>43</v>
      </c>
      <c r="G32" s="7">
        <v>25</v>
      </c>
      <c r="H32" s="53" t="s">
        <v>84</v>
      </c>
      <c r="I32" s="53" t="s">
        <v>90</v>
      </c>
      <c r="J32" s="7" t="s">
        <v>130</v>
      </c>
      <c r="K32" s="11">
        <v>0.84375</v>
      </c>
      <c r="L32" s="11">
        <v>0.90416666666666667</v>
      </c>
      <c r="M32" s="7" t="s">
        <v>109</v>
      </c>
      <c r="N32" s="29" t="s">
        <v>109</v>
      </c>
      <c r="O32" s="29" t="s">
        <v>61</v>
      </c>
      <c r="P32" s="7" t="s">
        <v>131</v>
      </c>
      <c r="Q32" s="7" t="s">
        <v>90</v>
      </c>
      <c r="R32" s="7" t="s">
        <v>62</v>
      </c>
      <c r="S32" s="7" t="s">
        <v>109</v>
      </c>
      <c r="T32" s="29" t="s">
        <v>121</v>
      </c>
      <c r="U32" s="131">
        <f t="shared" si="0"/>
        <v>1.1363636363636365</v>
      </c>
      <c r="V32" s="7" t="s">
        <v>1945</v>
      </c>
    </row>
    <row r="33" spans="1:22" x14ac:dyDescent="0.3">
      <c r="A33" s="7">
        <v>32</v>
      </c>
      <c r="B33" s="29" t="s">
        <v>143</v>
      </c>
      <c r="C33" s="29" t="s">
        <v>2363</v>
      </c>
      <c r="D33" s="134">
        <v>10226033</v>
      </c>
      <c r="E33" s="91">
        <v>25</v>
      </c>
      <c r="F33" s="7">
        <v>49</v>
      </c>
      <c r="G33" s="7">
        <v>23</v>
      </c>
      <c r="H33" s="53" t="s">
        <v>196</v>
      </c>
      <c r="I33" s="53" t="s">
        <v>87</v>
      </c>
      <c r="J33" s="7" t="s">
        <v>130</v>
      </c>
      <c r="K33" s="11">
        <v>0.65277777777777779</v>
      </c>
      <c r="L33" s="11">
        <v>0.68472222222222223</v>
      </c>
      <c r="M33" s="7" t="s">
        <v>109</v>
      </c>
      <c r="N33" s="29" t="s">
        <v>109</v>
      </c>
      <c r="O33" s="29" t="s">
        <v>61</v>
      </c>
      <c r="P33" s="7" t="s">
        <v>131</v>
      </c>
      <c r="Q33" s="7" t="s">
        <v>87</v>
      </c>
      <c r="R33" s="7" t="s">
        <v>62</v>
      </c>
      <c r="S33" s="7" t="s">
        <v>109</v>
      </c>
      <c r="T33" s="29" t="s">
        <v>121</v>
      </c>
      <c r="U33" s="131">
        <f t="shared" si="0"/>
        <v>0.92</v>
      </c>
      <c r="V33" s="7" t="s">
        <v>1945</v>
      </c>
    </row>
    <row r="34" spans="1:22" x14ac:dyDescent="0.3">
      <c r="A34" s="7">
        <v>33</v>
      </c>
      <c r="B34" s="29" t="s">
        <v>143</v>
      </c>
      <c r="C34" s="132" t="s">
        <v>2364</v>
      </c>
      <c r="D34" s="135">
        <v>10226035</v>
      </c>
      <c r="E34" s="133">
        <v>48</v>
      </c>
      <c r="F34" s="7">
        <v>79</v>
      </c>
      <c r="G34" s="7">
        <v>54</v>
      </c>
      <c r="H34" s="53" t="s">
        <v>200</v>
      </c>
      <c r="I34" s="53" t="s">
        <v>91</v>
      </c>
      <c r="J34" s="7" t="s">
        <v>130</v>
      </c>
      <c r="K34" s="11">
        <v>0.87986111111111109</v>
      </c>
      <c r="L34" s="11">
        <v>0.94305555555555554</v>
      </c>
      <c r="M34" s="7" t="s">
        <v>109</v>
      </c>
      <c r="N34" s="29" t="s">
        <v>109</v>
      </c>
      <c r="O34" s="29" t="s">
        <v>61</v>
      </c>
      <c r="P34" s="7" t="s">
        <v>131</v>
      </c>
      <c r="Q34" s="7" t="s">
        <v>91</v>
      </c>
      <c r="R34" s="7" t="s">
        <v>62</v>
      </c>
      <c r="S34" s="7" t="s">
        <v>109</v>
      </c>
      <c r="T34" s="29" t="s">
        <v>121</v>
      </c>
      <c r="U34" s="131">
        <f t="shared" si="0"/>
        <v>1.125</v>
      </c>
      <c r="V34" s="7" t="s">
        <v>1945</v>
      </c>
    </row>
    <row r="35" spans="1:22" x14ac:dyDescent="0.3">
      <c r="A35" s="7">
        <v>34</v>
      </c>
      <c r="B35" s="29" t="s">
        <v>143</v>
      </c>
      <c r="C35" s="29" t="s">
        <v>2365</v>
      </c>
      <c r="D35" s="134">
        <v>10226032</v>
      </c>
      <c r="E35" s="91">
        <v>36</v>
      </c>
      <c r="F35" s="7">
        <v>56</v>
      </c>
      <c r="G35" s="7">
        <v>43</v>
      </c>
      <c r="H35" s="53" t="s">
        <v>153</v>
      </c>
      <c r="I35" s="53" t="s">
        <v>154</v>
      </c>
      <c r="J35" s="7" t="s">
        <v>130</v>
      </c>
      <c r="K35" s="11">
        <v>0.63958333333333328</v>
      </c>
      <c r="L35" s="11">
        <v>0.67708333333333337</v>
      </c>
      <c r="M35" s="7" t="s">
        <v>109</v>
      </c>
      <c r="N35" s="29" t="s">
        <v>109</v>
      </c>
      <c r="O35" s="29" t="s">
        <v>61</v>
      </c>
      <c r="P35" s="7" t="s">
        <v>131</v>
      </c>
      <c r="Q35" s="7" t="s">
        <v>154</v>
      </c>
      <c r="R35" s="7" t="s">
        <v>62</v>
      </c>
      <c r="S35" s="7" t="s">
        <v>109</v>
      </c>
      <c r="T35" s="29" t="s">
        <v>121</v>
      </c>
      <c r="U35" s="131">
        <f t="shared" si="0"/>
        <v>1.1944444444444444</v>
      </c>
      <c r="V35" s="7" t="s">
        <v>1945</v>
      </c>
    </row>
    <row r="36" spans="1:22" x14ac:dyDescent="0.3">
      <c r="A36" s="7">
        <v>35</v>
      </c>
      <c r="B36" s="29" t="s">
        <v>143</v>
      </c>
      <c r="C36" s="132" t="s">
        <v>2366</v>
      </c>
      <c r="D36" s="135">
        <v>10226040</v>
      </c>
      <c r="E36" s="133">
        <v>160</v>
      </c>
      <c r="F36" s="7">
        <v>238</v>
      </c>
      <c r="G36" s="7">
        <v>149</v>
      </c>
      <c r="H36" s="53" t="s">
        <v>931</v>
      </c>
      <c r="I36" s="53" t="s">
        <v>2367</v>
      </c>
      <c r="J36" s="7" t="s">
        <v>130</v>
      </c>
      <c r="K36" s="11">
        <v>0.90833333333333333</v>
      </c>
      <c r="L36" s="11">
        <v>0.95625000000000004</v>
      </c>
      <c r="M36" s="7" t="s">
        <v>109</v>
      </c>
      <c r="N36" s="29" t="s">
        <v>109</v>
      </c>
      <c r="O36" s="29" t="s">
        <v>61</v>
      </c>
      <c r="P36" s="7" t="s">
        <v>131</v>
      </c>
      <c r="Q36" s="7" t="s">
        <v>109</v>
      </c>
      <c r="R36" s="7" t="s">
        <v>62</v>
      </c>
      <c r="S36" s="7" t="s">
        <v>109</v>
      </c>
      <c r="T36" s="29" t="s">
        <v>334</v>
      </c>
      <c r="U36" s="131">
        <f t="shared" si="0"/>
        <v>0.93125000000000002</v>
      </c>
      <c r="V36" s="7" t="s">
        <v>1313</v>
      </c>
    </row>
    <row r="37" spans="1:22" x14ac:dyDescent="0.3">
      <c r="A37" s="7">
        <v>36</v>
      </c>
      <c r="B37" s="29" t="s">
        <v>143</v>
      </c>
      <c r="C37" s="132" t="s">
        <v>2368</v>
      </c>
      <c r="D37" s="135">
        <v>10226036</v>
      </c>
      <c r="E37" s="133">
        <v>50</v>
      </c>
      <c r="F37" s="7">
        <v>87</v>
      </c>
      <c r="G37" s="7">
        <v>7</v>
      </c>
      <c r="H37" s="7" t="s">
        <v>66</v>
      </c>
      <c r="I37" s="53" t="s">
        <v>209</v>
      </c>
      <c r="J37" s="7" t="s">
        <v>130</v>
      </c>
      <c r="K37" s="11">
        <v>0.78333333333333333</v>
      </c>
      <c r="L37" s="11">
        <v>0.82361111111111107</v>
      </c>
      <c r="M37" s="7" t="s">
        <v>109</v>
      </c>
      <c r="N37" s="29" t="s">
        <v>109</v>
      </c>
      <c r="O37" s="29" t="s">
        <v>61</v>
      </c>
      <c r="P37" s="7" t="s">
        <v>131</v>
      </c>
      <c r="Q37" s="7" t="s">
        <v>209</v>
      </c>
      <c r="R37" s="7" t="s">
        <v>62</v>
      </c>
      <c r="S37" s="7" t="s">
        <v>109</v>
      </c>
      <c r="T37" s="29" t="s">
        <v>121</v>
      </c>
      <c r="U37" s="131">
        <f t="shared" si="0"/>
        <v>0.14000000000000001</v>
      </c>
      <c r="V37" s="7" t="s">
        <v>2380</v>
      </c>
    </row>
    <row r="38" spans="1:22" x14ac:dyDescent="0.3">
      <c r="A38" s="7">
        <v>37</v>
      </c>
      <c r="B38" s="29" t="s">
        <v>143</v>
      </c>
      <c r="C38" s="29" t="s">
        <v>2250</v>
      </c>
      <c r="D38" s="61">
        <v>10226021</v>
      </c>
      <c r="E38" s="91">
        <v>125</v>
      </c>
      <c r="F38" s="7">
        <v>195</v>
      </c>
      <c r="G38" s="7">
        <v>122</v>
      </c>
      <c r="H38" s="53" t="s">
        <v>975</v>
      </c>
      <c r="I38" s="53" t="s">
        <v>1549</v>
      </c>
      <c r="J38" s="7" t="s">
        <v>130</v>
      </c>
      <c r="K38" s="11">
        <v>0.87083333333333335</v>
      </c>
      <c r="L38" s="11">
        <v>0.89513888888888893</v>
      </c>
      <c r="M38" s="7" t="s">
        <v>109</v>
      </c>
      <c r="N38" s="29" t="s">
        <v>109</v>
      </c>
      <c r="O38" s="29" t="s">
        <v>61</v>
      </c>
      <c r="P38" s="7" t="s">
        <v>131</v>
      </c>
      <c r="Q38" s="7" t="s">
        <v>94</v>
      </c>
      <c r="R38" s="7" t="s">
        <v>62</v>
      </c>
      <c r="S38" s="7" t="s">
        <v>109</v>
      </c>
      <c r="T38" s="29" t="s">
        <v>2253</v>
      </c>
      <c r="U38" s="131">
        <f t="shared" si="0"/>
        <v>0.97599999999999998</v>
      </c>
      <c r="V38" s="7" t="s">
        <v>1945</v>
      </c>
    </row>
    <row r="39" spans="1:22" x14ac:dyDescent="0.3">
      <c r="A39" s="7">
        <v>38</v>
      </c>
      <c r="B39" s="29" t="s">
        <v>143</v>
      </c>
      <c r="C39" s="29" t="s">
        <v>2256</v>
      </c>
      <c r="D39" s="29">
        <v>10226016</v>
      </c>
      <c r="E39" s="91">
        <v>160</v>
      </c>
      <c r="F39" s="7">
        <v>259</v>
      </c>
      <c r="G39" s="7">
        <v>168</v>
      </c>
      <c r="H39" s="7" t="s">
        <v>962</v>
      </c>
      <c r="I39" s="7" t="s">
        <v>963</v>
      </c>
      <c r="J39" s="7" t="s">
        <v>130</v>
      </c>
      <c r="K39" s="11">
        <v>0.98333333333333328</v>
      </c>
      <c r="L39" s="7" t="s">
        <v>109</v>
      </c>
      <c r="M39" s="7" t="s">
        <v>109</v>
      </c>
      <c r="N39" s="29" t="s">
        <v>109</v>
      </c>
      <c r="O39" s="29" t="s">
        <v>61</v>
      </c>
      <c r="P39" s="7" t="s">
        <v>131</v>
      </c>
      <c r="Q39" s="7" t="s">
        <v>109</v>
      </c>
      <c r="R39" s="7" t="s">
        <v>62</v>
      </c>
      <c r="S39" s="7" t="s">
        <v>109</v>
      </c>
      <c r="T39" s="29" t="s">
        <v>2253</v>
      </c>
      <c r="U39" s="131">
        <f t="shared" si="0"/>
        <v>1.05</v>
      </c>
      <c r="V39" s="7" t="s">
        <v>1945</v>
      </c>
    </row>
    <row r="40" spans="1:22" x14ac:dyDescent="0.3">
      <c r="A40" s="7">
        <v>39</v>
      </c>
      <c r="B40" s="29" t="s">
        <v>143</v>
      </c>
      <c r="C40" s="29" t="s">
        <v>2257</v>
      </c>
      <c r="D40" s="29">
        <v>10226019</v>
      </c>
      <c r="E40" s="91">
        <v>30</v>
      </c>
      <c r="F40" s="7">
        <v>50</v>
      </c>
      <c r="G40" s="7">
        <v>27</v>
      </c>
      <c r="H40" s="53" t="s">
        <v>214</v>
      </c>
      <c r="I40" s="53" t="s">
        <v>93</v>
      </c>
      <c r="J40" s="7" t="s">
        <v>130</v>
      </c>
      <c r="K40" s="11">
        <v>0.6875</v>
      </c>
      <c r="L40" s="11">
        <v>0.76041666666666663</v>
      </c>
      <c r="M40" s="7" t="s">
        <v>109</v>
      </c>
      <c r="N40" s="29" t="s">
        <v>109</v>
      </c>
      <c r="O40" s="29" t="s">
        <v>61</v>
      </c>
      <c r="P40" s="7" t="s">
        <v>131</v>
      </c>
      <c r="Q40" s="7" t="s">
        <v>93</v>
      </c>
      <c r="R40" s="7" t="s">
        <v>62</v>
      </c>
      <c r="S40" s="7" t="s">
        <v>109</v>
      </c>
      <c r="T40" s="29" t="s">
        <v>2253</v>
      </c>
      <c r="U40" s="131">
        <f t="shared" si="0"/>
        <v>0.9</v>
      </c>
      <c r="V40" s="7" t="s">
        <v>1945</v>
      </c>
    </row>
    <row r="41" spans="1:22" x14ac:dyDescent="0.3">
      <c r="A41" s="7">
        <v>40</v>
      </c>
      <c r="B41" s="29" t="s">
        <v>1550</v>
      </c>
      <c r="C41" s="29" t="s">
        <v>1551</v>
      </c>
      <c r="D41" s="29">
        <v>40126035</v>
      </c>
      <c r="E41" s="91">
        <v>100</v>
      </c>
      <c r="F41" s="7">
        <v>95</v>
      </c>
      <c r="G41" s="7">
        <v>25</v>
      </c>
      <c r="H41" s="53" t="s">
        <v>153</v>
      </c>
      <c r="I41" s="7" t="s">
        <v>93</v>
      </c>
      <c r="J41" s="7" t="s">
        <v>130</v>
      </c>
      <c r="K41" s="11">
        <v>0.90416666666666667</v>
      </c>
      <c r="L41" s="11">
        <v>0.93819444444444444</v>
      </c>
      <c r="M41" s="7" t="s">
        <v>109</v>
      </c>
      <c r="N41" s="32" t="s">
        <v>2369</v>
      </c>
      <c r="O41" s="29" t="s">
        <v>61</v>
      </c>
      <c r="P41" s="7" t="s">
        <v>131</v>
      </c>
      <c r="Q41" s="7" t="s">
        <v>93</v>
      </c>
      <c r="R41" s="7" t="s">
        <v>1640</v>
      </c>
      <c r="S41" s="7" t="s">
        <v>109</v>
      </c>
      <c r="T41" s="29" t="s">
        <v>1554</v>
      </c>
      <c r="U41" s="131">
        <f t="shared" si="0"/>
        <v>0.25</v>
      </c>
      <c r="V41" s="7" t="s">
        <v>2392</v>
      </c>
    </row>
    <row r="42" spans="1:22" x14ac:dyDescent="0.3">
      <c r="A42" s="7">
        <v>41</v>
      </c>
      <c r="B42" s="29" t="s">
        <v>1550</v>
      </c>
      <c r="C42" s="29" t="s">
        <v>1556</v>
      </c>
      <c r="D42" s="29">
        <v>40126034</v>
      </c>
      <c r="E42" s="91">
        <v>100</v>
      </c>
      <c r="F42" s="7">
        <v>186</v>
      </c>
      <c r="G42" s="7">
        <v>43</v>
      </c>
      <c r="H42" s="53" t="s">
        <v>82</v>
      </c>
      <c r="I42" s="53" t="s">
        <v>95</v>
      </c>
      <c r="J42" s="7" t="s">
        <v>130</v>
      </c>
      <c r="K42" s="11">
        <v>0.86458333333333337</v>
      </c>
      <c r="L42" s="11">
        <v>0.89861111111111114</v>
      </c>
      <c r="M42" s="7" t="s">
        <v>109</v>
      </c>
      <c r="N42" s="32" t="s">
        <v>2369</v>
      </c>
      <c r="O42" s="29" t="s">
        <v>61</v>
      </c>
      <c r="P42" s="7" t="s">
        <v>131</v>
      </c>
      <c r="Q42" s="7" t="s">
        <v>95</v>
      </c>
      <c r="R42" s="7" t="s">
        <v>1640</v>
      </c>
      <c r="S42" s="7" t="s">
        <v>109</v>
      </c>
      <c r="T42" s="29" t="s">
        <v>1554</v>
      </c>
      <c r="U42" s="131">
        <f t="shared" si="0"/>
        <v>0.43</v>
      </c>
      <c r="V42" s="7" t="s">
        <v>2392</v>
      </c>
    </row>
    <row r="43" spans="1:22" x14ac:dyDescent="0.3">
      <c r="A43" s="7">
        <v>42</v>
      </c>
      <c r="B43" s="29" t="s">
        <v>170</v>
      </c>
      <c r="C43" s="29" t="s">
        <v>2323</v>
      </c>
      <c r="D43" s="29">
        <v>40226008</v>
      </c>
      <c r="E43" s="91">
        <v>106</v>
      </c>
      <c r="F43" s="7">
        <v>222</v>
      </c>
      <c r="G43" s="7">
        <v>128</v>
      </c>
      <c r="H43" s="53" t="s">
        <v>2370</v>
      </c>
      <c r="I43" s="7" t="s">
        <v>2371</v>
      </c>
      <c r="J43" s="7" t="s">
        <v>130</v>
      </c>
      <c r="K43" s="11">
        <v>0.84583333333333333</v>
      </c>
      <c r="L43" s="11">
        <v>0.90138888888888891</v>
      </c>
      <c r="M43" s="7" t="s">
        <v>109</v>
      </c>
      <c r="N43" s="32" t="s">
        <v>2372</v>
      </c>
      <c r="O43" s="29" t="s">
        <v>61</v>
      </c>
      <c r="P43" s="7" t="s">
        <v>131</v>
      </c>
      <c r="Q43" s="7" t="s">
        <v>86</v>
      </c>
      <c r="R43" s="7" t="s">
        <v>62</v>
      </c>
      <c r="S43" s="7" t="s">
        <v>109</v>
      </c>
      <c r="T43" s="29" t="s">
        <v>2373</v>
      </c>
      <c r="U43" s="131">
        <f t="shared" si="0"/>
        <v>1.2075471698113207</v>
      </c>
      <c r="V43" s="7" t="s">
        <v>1945</v>
      </c>
    </row>
    <row r="44" spans="1:22" x14ac:dyDescent="0.3">
      <c r="A44" s="7">
        <v>43</v>
      </c>
      <c r="B44" s="29" t="s">
        <v>411</v>
      </c>
      <c r="C44" s="29" t="s">
        <v>2246</v>
      </c>
      <c r="D44" s="29">
        <v>30226011</v>
      </c>
      <c r="E44" s="91">
        <v>176</v>
      </c>
      <c r="F44" s="7">
        <v>339</v>
      </c>
      <c r="G44" s="7">
        <v>157</v>
      </c>
      <c r="H44" s="53" t="s">
        <v>1283</v>
      </c>
      <c r="I44" s="7" t="s">
        <v>2374</v>
      </c>
      <c r="J44" s="7" t="s">
        <v>130</v>
      </c>
      <c r="K44" s="11">
        <v>0.75486111111111109</v>
      </c>
      <c r="L44" s="11">
        <v>0.85</v>
      </c>
      <c r="M44" s="7" t="s">
        <v>109</v>
      </c>
      <c r="N44" s="29" t="s">
        <v>109</v>
      </c>
      <c r="O44" s="29" t="s">
        <v>61</v>
      </c>
      <c r="P44" s="7" t="s">
        <v>131</v>
      </c>
      <c r="Q44" s="7" t="s">
        <v>93</v>
      </c>
      <c r="R44" s="7" t="s">
        <v>63</v>
      </c>
      <c r="S44" s="7" t="s">
        <v>109</v>
      </c>
      <c r="T44" s="29" t="s">
        <v>2247</v>
      </c>
      <c r="U44" s="131">
        <f t="shared" si="0"/>
        <v>0.89204545454545459</v>
      </c>
      <c r="V44" s="7" t="s">
        <v>1945</v>
      </c>
    </row>
    <row r="45" spans="1:22" x14ac:dyDescent="0.3">
      <c r="A45" s="7">
        <v>44</v>
      </c>
      <c r="B45" s="29" t="s">
        <v>23</v>
      </c>
      <c r="C45" s="29" t="s">
        <v>980</v>
      </c>
      <c r="D45" s="29">
        <v>50126278</v>
      </c>
      <c r="E45" s="29">
        <v>200</v>
      </c>
      <c r="F45" s="7">
        <v>294</v>
      </c>
      <c r="G45" s="7">
        <v>201</v>
      </c>
      <c r="H45" s="53" t="s">
        <v>969</v>
      </c>
      <c r="I45" s="7" t="s">
        <v>109</v>
      </c>
      <c r="J45" s="7" t="s">
        <v>130</v>
      </c>
      <c r="K45" s="11">
        <v>0.77708333333333335</v>
      </c>
      <c r="L45" s="7" t="s">
        <v>109</v>
      </c>
      <c r="M45" s="7" t="s">
        <v>109</v>
      </c>
      <c r="N45" s="29" t="s">
        <v>109</v>
      </c>
      <c r="O45" s="29" t="s">
        <v>61</v>
      </c>
      <c r="P45" s="7" t="s">
        <v>131</v>
      </c>
      <c r="Q45" s="7" t="s">
        <v>71</v>
      </c>
      <c r="R45" s="7" t="s">
        <v>62</v>
      </c>
      <c r="S45" s="7" t="s">
        <v>109</v>
      </c>
      <c r="T45" s="29" t="s">
        <v>334</v>
      </c>
      <c r="U45" s="131">
        <f t="shared" si="0"/>
        <v>1.0049999999999999</v>
      </c>
      <c r="V45" s="7" t="s">
        <v>1945</v>
      </c>
    </row>
    <row r="46" spans="1:22" x14ac:dyDescent="0.3">
      <c r="A46" s="7">
        <v>45</v>
      </c>
      <c r="B46" s="29" t="s">
        <v>23</v>
      </c>
      <c r="C46" s="29" t="s">
        <v>1375</v>
      </c>
      <c r="D46" s="29">
        <v>50126345</v>
      </c>
      <c r="E46" s="29">
        <v>50</v>
      </c>
      <c r="F46" s="7">
        <v>92</v>
      </c>
      <c r="G46" s="7">
        <v>59</v>
      </c>
      <c r="H46" s="53" t="s">
        <v>94</v>
      </c>
      <c r="I46" s="7" t="s">
        <v>109</v>
      </c>
      <c r="J46" s="7" t="s">
        <v>130</v>
      </c>
      <c r="K46" s="11">
        <v>1.3888888888888889E-3</v>
      </c>
      <c r="L46" s="7" t="s">
        <v>109</v>
      </c>
      <c r="M46" s="7" t="s">
        <v>109</v>
      </c>
      <c r="N46" s="29" t="s">
        <v>109</v>
      </c>
      <c r="O46" s="29" t="s">
        <v>61</v>
      </c>
      <c r="P46" s="7" t="s">
        <v>131</v>
      </c>
      <c r="Q46" s="7" t="s">
        <v>109</v>
      </c>
      <c r="R46" s="7" t="s">
        <v>62</v>
      </c>
      <c r="S46" s="7" t="s">
        <v>109</v>
      </c>
      <c r="T46" s="29" t="s">
        <v>1377</v>
      </c>
      <c r="U46" s="131">
        <f t="shared" si="0"/>
        <v>1.18</v>
      </c>
      <c r="V46" s="7" t="s">
        <v>1945</v>
      </c>
    </row>
    <row r="47" spans="1:22" x14ac:dyDescent="0.3">
      <c r="A47" s="7">
        <v>46</v>
      </c>
      <c r="B47" s="29" t="s">
        <v>23</v>
      </c>
      <c r="C47" s="29" t="s">
        <v>982</v>
      </c>
      <c r="D47" s="29">
        <v>50126277</v>
      </c>
      <c r="E47" s="29">
        <v>400</v>
      </c>
      <c r="F47" s="7">
        <v>604</v>
      </c>
      <c r="G47" s="7">
        <v>426</v>
      </c>
      <c r="H47" s="7" t="s">
        <v>2375</v>
      </c>
      <c r="I47" s="7" t="s">
        <v>109</v>
      </c>
      <c r="J47" s="7" t="s">
        <v>130</v>
      </c>
      <c r="K47" s="11">
        <v>0.83750000000000002</v>
      </c>
      <c r="L47" s="7" t="s">
        <v>109</v>
      </c>
      <c r="M47" s="7" t="s">
        <v>109</v>
      </c>
      <c r="N47" s="32" t="s">
        <v>1621</v>
      </c>
      <c r="O47" s="29" t="s">
        <v>61</v>
      </c>
      <c r="P47" s="7" t="s">
        <v>131</v>
      </c>
      <c r="Q47" s="7" t="s">
        <v>69</v>
      </c>
      <c r="R47" s="7" t="s">
        <v>62</v>
      </c>
      <c r="S47" s="7" t="s">
        <v>109</v>
      </c>
      <c r="T47" s="29" t="s">
        <v>334</v>
      </c>
      <c r="U47" s="131">
        <f t="shared" si="0"/>
        <v>1.0649999999999999</v>
      </c>
      <c r="V47" s="7" t="s">
        <v>1945</v>
      </c>
    </row>
    <row r="48" spans="1:22" x14ac:dyDescent="0.3">
      <c r="A48" s="7">
        <v>47</v>
      </c>
      <c r="B48" s="29" t="s">
        <v>23</v>
      </c>
      <c r="C48" s="29" t="s">
        <v>1906</v>
      </c>
      <c r="D48" s="29">
        <v>50226027</v>
      </c>
      <c r="E48" s="91">
        <v>400</v>
      </c>
      <c r="F48" s="7">
        <v>944</v>
      </c>
      <c r="G48" s="7">
        <v>378</v>
      </c>
      <c r="H48" s="7" t="s">
        <v>2376</v>
      </c>
      <c r="I48" s="53" t="s">
        <v>2377</v>
      </c>
      <c r="J48" s="7" t="s">
        <v>130</v>
      </c>
      <c r="K48" s="11">
        <v>0.92291666666666672</v>
      </c>
      <c r="L48" s="11">
        <v>0.94652777777777775</v>
      </c>
      <c r="M48" s="7" t="s">
        <v>109</v>
      </c>
      <c r="N48" s="32" t="s">
        <v>1621</v>
      </c>
      <c r="O48" s="29" t="s">
        <v>61</v>
      </c>
      <c r="P48" s="7" t="s">
        <v>131</v>
      </c>
      <c r="Q48" s="7" t="s">
        <v>90</v>
      </c>
      <c r="R48" s="7" t="s">
        <v>62</v>
      </c>
      <c r="S48" s="7" t="s">
        <v>109</v>
      </c>
      <c r="T48" s="29" t="s">
        <v>480</v>
      </c>
      <c r="U48" s="131">
        <f t="shared" si="0"/>
        <v>0.94499999999999995</v>
      </c>
      <c r="V48" s="7" t="s">
        <v>1945</v>
      </c>
    </row>
    <row r="49" spans="1:22" x14ac:dyDescent="0.3">
      <c r="A49" s="7">
        <v>48</v>
      </c>
      <c r="B49" s="29" t="s">
        <v>23</v>
      </c>
      <c r="C49" s="29" t="s">
        <v>1909</v>
      </c>
      <c r="D49" s="29">
        <v>50226025</v>
      </c>
      <c r="E49" s="91">
        <v>300</v>
      </c>
      <c r="F49" s="7">
        <v>516</v>
      </c>
      <c r="G49" s="7">
        <v>178</v>
      </c>
      <c r="H49" s="53" t="s">
        <v>2378</v>
      </c>
      <c r="I49" s="53" t="s">
        <v>2383</v>
      </c>
      <c r="J49" s="7" t="s">
        <v>130</v>
      </c>
      <c r="K49" s="11">
        <v>0.99513888888888891</v>
      </c>
      <c r="L49" s="11">
        <v>1.5277777777777777E-2</v>
      </c>
      <c r="M49" s="7" t="s">
        <v>109</v>
      </c>
      <c r="N49" s="32" t="s">
        <v>1621</v>
      </c>
      <c r="O49" s="29" t="s">
        <v>61</v>
      </c>
      <c r="P49" s="7" t="s">
        <v>131</v>
      </c>
      <c r="Q49" s="7" t="s">
        <v>86</v>
      </c>
      <c r="R49" s="7" t="s">
        <v>62</v>
      </c>
      <c r="S49" s="7" t="s">
        <v>109</v>
      </c>
      <c r="T49" s="29" t="s">
        <v>480</v>
      </c>
      <c r="U49" s="131">
        <f t="shared" si="0"/>
        <v>0.59333333333333338</v>
      </c>
      <c r="V49" s="7" t="s">
        <v>2391</v>
      </c>
    </row>
    <row r="50" spans="1:22" x14ac:dyDescent="0.3">
      <c r="A50" s="7">
        <v>49</v>
      </c>
      <c r="B50" s="29" t="s">
        <v>23</v>
      </c>
      <c r="C50" s="29" t="s">
        <v>1366</v>
      </c>
      <c r="D50" s="29">
        <v>50126343</v>
      </c>
      <c r="E50" s="29">
        <v>200</v>
      </c>
      <c r="F50" s="7">
        <v>310</v>
      </c>
      <c r="G50" s="7">
        <v>108</v>
      </c>
      <c r="H50" s="53" t="s">
        <v>2385</v>
      </c>
      <c r="I50" s="7" t="s">
        <v>109</v>
      </c>
      <c r="J50" s="7" t="s">
        <v>130</v>
      </c>
      <c r="K50" s="11">
        <v>0.89930555555555558</v>
      </c>
      <c r="L50" s="7" t="s">
        <v>109</v>
      </c>
      <c r="M50" s="7" t="s">
        <v>109</v>
      </c>
      <c r="N50" s="29" t="s">
        <v>109</v>
      </c>
      <c r="O50" s="29" t="s">
        <v>61</v>
      </c>
      <c r="P50" s="7" t="s">
        <v>131</v>
      </c>
      <c r="Q50" s="7" t="s">
        <v>91</v>
      </c>
      <c r="R50" s="7" t="s">
        <v>62</v>
      </c>
      <c r="S50" s="7" t="s">
        <v>109</v>
      </c>
      <c r="T50" s="29" t="s">
        <v>1365</v>
      </c>
      <c r="U50" s="131">
        <f t="shared" si="0"/>
        <v>0.54</v>
      </c>
      <c r="V50" s="7" t="s">
        <v>2391</v>
      </c>
    </row>
    <row r="51" spans="1:22" x14ac:dyDescent="0.3">
      <c r="A51" s="7">
        <v>50</v>
      </c>
      <c r="B51" s="29" t="s">
        <v>23</v>
      </c>
      <c r="C51" s="29" t="s">
        <v>2075</v>
      </c>
      <c r="D51" s="29">
        <v>50226051</v>
      </c>
      <c r="E51" s="29">
        <v>300</v>
      </c>
      <c r="F51" s="7">
        <v>499</v>
      </c>
      <c r="G51" s="7">
        <v>286</v>
      </c>
      <c r="H51" s="53" t="s">
        <v>2379</v>
      </c>
      <c r="I51" s="7" t="s">
        <v>109</v>
      </c>
      <c r="J51" s="7" t="s">
        <v>130</v>
      </c>
      <c r="K51" s="11">
        <v>2.0833333333333333E-3</v>
      </c>
      <c r="L51" s="7" t="s">
        <v>109</v>
      </c>
      <c r="M51" s="7" t="s">
        <v>109</v>
      </c>
      <c r="N51" s="29" t="s">
        <v>109</v>
      </c>
      <c r="O51" s="29" t="s">
        <v>61</v>
      </c>
      <c r="P51" s="7" t="s">
        <v>131</v>
      </c>
      <c r="Q51" s="7" t="s">
        <v>109</v>
      </c>
      <c r="R51" s="7" t="s">
        <v>62</v>
      </c>
      <c r="S51" s="7" t="s">
        <v>109</v>
      </c>
      <c r="T51" s="29" t="s">
        <v>289</v>
      </c>
      <c r="U51" s="131">
        <f t="shared" si="0"/>
        <v>0.95333333333333337</v>
      </c>
      <c r="V51" s="7" t="s">
        <v>1945</v>
      </c>
    </row>
    <row r="52" spans="1:22" x14ac:dyDescent="0.3">
      <c r="A52" s="7">
        <v>51</v>
      </c>
      <c r="B52" s="29" t="s">
        <v>23</v>
      </c>
      <c r="C52" s="29" t="s">
        <v>2022</v>
      </c>
      <c r="D52" s="29">
        <v>50226042</v>
      </c>
      <c r="E52" s="29">
        <v>150</v>
      </c>
      <c r="F52" s="7">
        <v>304</v>
      </c>
      <c r="G52" s="7">
        <v>83</v>
      </c>
      <c r="H52" s="53" t="s">
        <v>2358</v>
      </c>
      <c r="I52" s="7" t="s">
        <v>109</v>
      </c>
      <c r="J52" s="7" t="s">
        <v>130</v>
      </c>
      <c r="K52" s="11">
        <v>0.87222222222222223</v>
      </c>
      <c r="L52" s="7" t="s">
        <v>109</v>
      </c>
      <c r="M52" s="7" t="s">
        <v>109</v>
      </c>
      <c r="N52" s="29" t="s">
        <v>109</v>
      </c>
      <c r="O52" s="29" t="s">
        <v>61</v>
      </c>
      <c r="P52" s="7" t="s">
        <v>131</v>
      </c>
      <c r="Q52" s="7" t="s">
        <v>64</v>
      </c>
      <c r="R52" s="7" t="s">
        <v>62</v>
      </c>
      <c r="S52" s="7" t="s">
        <v>109</v>
      </c>
      <c r="T52" s="29" t="s">
        <v>464</v>
      </c>
      <c r="U52" s="131">
        <f t="shared" si="0"/>
        <v>0.55333333333333334</v>
      </c>
      <c r="V52" s="7" t="s">
        <v>1313</v>
      </c>
    </row>
    <row r="53" spans="1:22" x14ac:dyDescent="0.3">
      <c r="A53" s="7">
        <v>52</v>
      </c>
      <c r="B53" s="29" t="s">
        <v>23</v>
      </c>
      <c r="C53" s="29" t="s">
        <v>2121</v>
      </c>
      <c r="D53" s="29">
        <v>50226043</v>
      </c>
      <c r="E53" s="29">
        <v>50</v>
      </c>
      <c r="F53" s="7">
        <v>42</v>
      </c>
      <c r="G53" s="7">
        <v>11</v>
      </c>
      <c r="H53" s="53" t="s">
        <v>69</v>
      </c>
      <c r="I53" s="7" t="s">
        <v>109</v>
      </c>
      <c r="J53" s="7" t="s">
        <v>130</v>
      </c>
      <c r="K53" s="11">
        <v>0.68472222222222223</v>
      </c>
      <c r="L53" s="7" t="s">
        <v>109</v>
      </c>
      <c r="M53" s="7" t="s">
        <v>109</v>
      </c>
      <c r="N53" s="29" t="s">
        <v>109</v>
      </c>
      <c r="O53" s="29" t="s">
        <v>61</v>
      </c>
      <c r="P53" s="7" t="s">
        <v>131</v>
      </c>
      <c r="Q53" s="7" t="s">
        <v>69</v>
      </c>
      <c r="R53" s="7" t="s">
        <v>62</v>
      </c>
      <c r="S53" s="7" t="s">
        <v>109</v>
      </c>
      <c r="T53" s="29" t="s">
        <v>464</v>
      </c>
      <c r="U53" s="131">
        <f t="shared" si="0"/>
        <v>0.22</v>
      </c>
      <c r="V53" s="7" t="s">
        <v>2380</v>
      </c>
    </row>
    <row r="54" spans="1:22" x14ac:dyDescent="0.3">
      <c r="A54" s="7">
        <v>53</v>
      </c>
      <c r="B54" s="29" t="s">
        <v>23</v>
      </c>
      <c r="C54" s="29" t="s">
        <v>198</v>
      </c>
      <c r="D54" s="29">
        <v>50925062</v>
      </c>
      <c r="E54" s="29">
        <v>100</v>
      </c>
      <c r="F54" s="7">
        <v>150</v>
      </c>
      <c r="G54" s="7">
        <v>39</v>
      </c>
      <c r="H54" s="53" t="s">
        <v>65</v>
      </c>
      <c r="I54" s="7" t="s">
        <v>109</v>
      </c>
      <c r="J54" s="7" t="s">
        <v>130</v>
      </c>
      <c r="K54" s="11">
        <v>0.9458333333333333</v>
      </c>
      <c r="L54" s="7" t="s">
        <v>109</v>
      </c>
      <c r="M54" s="7" t="s">
        <v>109</v>
      </c>
      <c r="N54" s="29" t="s">
        <v>109</v>
      </c>
      <c r="O54" s="29" t="s">
        <v>61</v>
      </c>
      <c r="P54" s="7" t="s">
        <v>131</v>
      </c>
      <c r="Q54" s="7" t="s">
        <v>65</v>
      </c>
      <c r="R54" s="7" t="s">
        <v>62</v>
      </c>
      <c r="S54" s="7" t="s">
        <v>109</v>
      </c>
      <c r="T54" s="29" t="s">
        <v>197</v>
      </c>
      <c r="U54" s="131">
        <f t="shared" si="0"/>
        <v>0.39</v>
      </c>
      <c r="V54" s="7" t="s">
        <v>2391</v>
      </c>
    </row>
    <row r="55" spans="1:22" x14ac:dyDescent="0.3">
      <c r="A55" s="7">
        <v>54</v>
      </c>
      <c r="B55" s="29" t="s">
        <v>23</v>
      </c>
      <c r="C55" s="29" t="s">
        <v>2080</v>
      </c>
      <c r="D55" s="29">
        <v>50226046</v>
      </c>
      <c r="E55" s="29">
        <v>50</v>
      </c>
      <c r="F55" s="7">
        <v>82</v>
      </c>
      <c r="G55" s="7">
        <v>9</v>
      </c>
      <c r="H55" s="53" t="s">
        <v>71</v>
      </c>
      <c r="I55" s="7" t="s">
        <v>109</v>
      </c>
      <c r="J55" s="7" t="s">
        <v>130</v>
      </c>
      <c r="K55" s="11">
        <v>0.92222222222222228</v>
      </c>
      <c r="L55" s="7" t="s">
        <v>109</v>
      </c>
      <c r="M55" s="7" t="s">
        <v>109</v>
      </c>
      <c r="N55" s="29" t="s">
        <v>109</v>
      </c>
      <c r="O55" s="29" t="s">
        <v>61</v>
      </c>
      <c r="P55" s="7" t="s">
        <v>131</v>
      </c>
      <c r="Q55" s="7" t="s">
        <v>71</v>
      </c>
      <c r="R55" s="7" t="s">
        <v>62</v>
      </c>
      <c r="S55" s="7" t="s">
        <v>109</v>
      </c>
      <c r="T55" s="29" t="s">
        <v>610</v>
      </c>
      <c r="U55" s="131">
        <f t="shared" si="0"/>
        <v>0.18</v>
      </c>
      <c r="V55" s="7" t="s">
        <v>2380</v>
      </c>
    </row>
    <row r="56" spans="1:22" x14ac:dyDescent="0.3">
      <c r="A56" s="69">
        <v>55</v>
      </c>
      <c r="B56" s="136" t="s">
        <v>23</v>
      </c>
      <c r="C56" s="93" t="s">
        <v>990</v>
      </c>
      <c r="D56" s="93">
        <v>50126268</v>
      </c>
      <c r="E56" s="93">
        <v>51</v>
      </c>
      <c r="F56" s="69">
        <v>51</v>
      </c>
      <c r="G56" s="69">
        <v>32</v>
      </c>
      <c r="H56" s="96" t="s">
        <v>86</v>
      </c>
      <c r="I56" s="69" t="s">
        <v>109</v>
      </c>
      <c r="J56" s="69" t="s">
        <v>130</v>
      </c>
      <c r="K56" s="100">
        <v>1.3888888888888889E-3</v>
      </c>
      <c r="L56" s="69" t="s">
        <v>109</v>
      </c>
      <c r="M56" s="69" t="s">
        <v>109</v>
      </c>
      <c r="N56" s="69" t="s">
        <v>109</v>
      </c>
      <c r="O56" s="69" t="s">
        <v>145</v>
      </c>
      <c r="P56" s="69" t="s">
        <v>131</v>
      </c>
      <c r="Q56" s="69" t="s">
        <v>109</v>
      </c>
      <c r="R56" s="69" t="s">
        <v>62</v>
      </c>
      <c r="S56" s="69" t="s">
        <v>109</v>
      </c>
      <c r="T56" s="136" t="s">
        <v>402</v>
      </c>
      <c r="U56" s="131">
        <f t="shared" si="0"/>
        <v>0.62745098039215685</v>
      </c>
      <c r="V56" s="69" t="s">
        <v>2384</v>
      </c>
    </row>
    <row r="57" spans="1:22" x14ac:dyDescent="0.3">
      <c r="A57" s="7">
        <v>56</v>
      </c>
      <c r="B57" s="74" t="s">
        <v>143</v>
      </c>
      <c r="C57" s="7" t="s">
        <v>2387</v>
      </c>
      <c r="D57" s="7">
        <v>10226025</v>
      </c>
      <c r="E57" s="7">
        <v>104</v>
      </c>
      <c r="F57" s="7">
        <v>104</v>
      </c>
      <c r="G57" s="7">
        <v>1</v>
      </c>
      <c r="H57" s="53" t="s">
        <v>90</v>
      </c>
      <c r="I57" s="7" t="s">
        <v>109</v>
      </c>
      <c r="J57" s="7" t="s">
        <v>130</v>
      </c>
      <c r="K57" s="11">
        <v>2.7777777777777779E-3</v>
      </c>
      <c r="L57" s="7" t="s">
        <v>109</v>
      </c>
      <c r="M57" s="7" t="s">
        <v>109</v>
      </c>
      <c r="N57" s="7" t="s">
        <v>109</v>
      </c>
      <c r="O57" s="7" t="s">
        <v>145</v>
      </c>
      <c r="P57" s="7" t="s">
        <v>131</v>
      </c>
      <c r="Q57" s="7" t="s">
        <v>109</v>
      </c>
      <c r="R57" s="7" t="s">
        <v>62</v>
      </c>
      <c r="S57" s="7" t="s">
        <v>109</v>
      </c>
      <c r="T57" s="74" t="s">
        <v>398</v>
      </c>
      <c r="U57" s="131">
        <f t="shared" si="0"/>
        <v>9.6153846153846159E-3</v>
      </c>
      <c r="V57" s="7" t="s">
        <v>2384</v>
      </c>
    </row>
    <row r="58" spans="1:22" x14ac:dyDescent="0.3">
      <c r="A58" s="7">
        <v>57</v>
      </c>
      <c r="B58" s="74" t="s">
        <v>26</v>
      </c>
      <c r="C58" s="29" t="s">
        <v>2388</v>
      </c>
      <c r="D58" s="7">
        <v>40226001</v>
      </c>
      <c r="E58" s="29">
        <v>703</v>
      </c>
      <c r="F58" s="7">
        <v>247</v>
      </c>
      <c r="G58" s="7">
        <v>30</v>
      </c>
      <c r="H58" s="53" t="s">
        <v>2389</v>
      </c>
      <c r="I58" s="7" t="s">
        <v>109</v>
      </c>
      <c r="J58" s="7" t="s">
        <v>130</v>
      </c>
      <c r="K58" s="11">
        <v>3.3333333333333333E-2</v>
      </c>
      <c r="L58" s="7" t="s">
        <v>109</v>
      </c>
      <c r="M58" s="7" t="s">
        <v>109</v>
      </c>
      <c r="N58" s="7" t="s">
        <v>109</v>
      </c>
      <c r="O58" s="7" t="s">
        <v>145</v>
      </c>
      <c r="P58" s="7" t="s">
        <v>131</v>
      </c>
      <c r="Q58" s="7" t="s">
        <v>94</v>
      </c>
      <c r="R58" s="7" t="s">
        <v>62</v>
      </c>
      <c r="S58" s="7" t="s">
        <v>109</v>
      </c>
      <c r="T58" s="74" t="s">
        <v>121</v>
      </c>
      <c r="U58" s="131">
        <f t="shared" si="0"/>
        <v>4.2674253200568987E-2</v>
      </c>
      <c r="V58" s="7" t="s">
        <v>2384</v>
      </c>
    </row>
    <row r="59" spans="1:22" x14ac:dyDescent="0.3">
      <c r="A59" s="7">
        <v>58</v>
      </c>
      <c r="B59" s="7" t="s">
        <v>2395</v>
      </c>
      <c r="C59" s="7" t="s">
        <v>2393</v>
      </c>
      <c r="D59" s="47">
        <v>40226009</v>
      </c>
      <c r="E59" s="7">
        <v>123</v>
      </c>
      <c r="F59" s="7" t="s">
        <v>109</v>
      </c>
      <c r="G59" s="7" t="s">
        <v>109</v>
      </c>
      <c r="H59" s="7" t="s">
        <v>109</v>
      </c>
      <c r="I59" s="7" t="s">
        <v>109</v>
      </c>
      <c r="J59" s="7" t="s">
        <v>109</v>
      </c>
      <c r="K59" s="7" t="s">
        <v>109</v>
      </c>
      <c r="L59" s="7" t="s">
        <v>109</v>
      </c>
      <c r="M59" s="7" t="s">
        <v>109</v>
      </c>
      <c r="N59" s="33" t="s">
        <v>2394</v>
      </c>
      <c r="O59" s="7" t="s">
        <v>61</v>
      </c>
      <c r="P59" s="7" t="s">
        <v>109</v>
      </c>
      <c r="Q59" s="7" t="s">
        <v>109</v>
      </c>
      <c r="R59" s="7" t="s">
        <v>109</v>
      </c>
      <c r="S59" s="7" t="s">
        <v>109</v>
      </c>
      <c r="T59" s="7" t="s">
        <v>109</v>
      </c>
      <c r="U59" s="7" t="e">
        <f t="shared" si="0"/>
        <v>#VALUE!</v>
      </c>
      <c r="V59" s="7" t="s">
        <v>109</v>
      </c>
    </row>
    <row r="60" spans="1:22" x14ac:dyDescent="0.3">
      <c r="A60" s="7">
        <v>59</v>
      </c>
      <c r="B60" s="7" t="s">
        <v>163</v>
      </c>
      <c r="C60" s="7" t="s">
        <v>164</v>
      </c>
      <c r="D60" s="7">
        <v>40126008</v>
      </c>
      <c r="E60" s="7">
        <v>394</v>
      </c>
      <c r="F60" s="7" t="s">
        <v>109</v>
      </c>
      <c r="G60" s="7" t="s">
        <v>109</v>
      </c>
      <c r="H60" s="7" t="s">
        <v>2397</v>
      </c>
      <c r="I60" s="7" t="s">
        <v>109</v>
      </c>
      <c r="J60" s="7" t="s">
        <v>109</v>
      </c>
      <c r="K60" s="7" t="s">
        <v>109</v>
      </c>
      <c r="L60" s="7" t="s">
        <v>109</v>
      </c>
      <c r="M60" s="7" t="s">
        <v>109</v>
      </c>
      <c r="N60" s="33" t="s">
        <v>2396</v>
      </c>
      <c r="O60" s="7" t="s">
        <v>145</v>
      </c>
      <c r="P60" s="7" t="s">
        <v>109</v>
      </c>
      <c r="Q60" s="7" t="s">
        <v>109</v>
      </c>
      <c r="R60" s="7" t="s">
        <v>62</v>
      </c>
      <c r="S60" s="7" t="s">
        <v>109</v>
      </c>
      <c r="T60" s="7" t="s">
        <v>109</v>
      </c>
      <c r="U60" s="7" t="s">
        <v>109</v>
      </c>
      <c r="V60" s="7" t="s">
        <v>109</v>
      </c>
    </row>
    <row r="61" spans="1:22" x14ac:dyDescent="0.3">
      <c r="A61" s="7">
        <v>60</v>
      </c>
      <c r="B61" s="74" t="s">
        <v>24</v>
      </c>
      <c r="C61" s="7" t="s">
        <v>28</v>
      </c>
      <c r="D61" s="7">
        <v>61225007</v>
      </c>
      <c r="E61" s="7">
        <v>9</v>
      </c>
      <c r="F61" s="7" t="s">
        <v>109</v>
      </c>
      <c r="G61" s="7" t="s">
        <v>109</v>
      </c>
      <c r="H61" s="7" t="s">
        <v>82</v>
      </c>
      <c r="I61" s="7" t="s">
        <v>744</v>
      </c>
      <c r="J61" s="7" t="s">
        <v>109</v>
      </c>
      <c r="K61" s="7" t="s">
        <v>109</v>
      </c>
      <c r="L61" s="7" t="s">
        <v>109</v>
      </c>
      <c r="M61" s="7" t="s">
        <v>109</v>
      </c>
      <c r="N61" s="7" t="s">
        <v>109</v>
      </c>
      <c r="O61" s="7" t="s">
        <v>145</v>
      </c>
      <c r="P61" s="7" t="s">
        <v>109</v>
      </c>
      <c r="Q61" s="7" t="s">
        <v>109</v>
      </c>
      <c r="R61" s="7" t="s">
        <v>63</v>
      </c>
      <c r="S61" s="7" t="s">
        <v>109</v>
      </c>
      <c r="T61" s="7" t="s">
        <v>109</v>
      </c>
      <c r="U61" s="7" t="s">
        <v>109</v>
      </c>
      <c r="V61" s="7" t="s">
        <v>109</v>
      </c>
    </row>
    <row r="62" spans="1:22" x14ac:dyDescent="0.3">
      <c r="A62" s="7">
        <v>61</v>
      </c>
      <c r="B62" s="87" t="s">
        <v>24</v>
      </c>
      <c r="C62" s="7" t="s">
        <v>31</v>
      </c>
      <c r="D62" s="7">
        <v>61225003</v>
      </c>
      <c r="E62" s="7">
        <v>5</v>
      </c>
      <c r="F62" s="7" t="s">
        <v>109</v>
      </c>
      <c r="G62" s="7" t="s">
        <v>109</v>
      </c>
      <c r="H62" s="7" t="s">
        <v>82</v>
      </c>
      <c r="I62" s="7" t="s">
        <v>744</v>
      </c>
      <c r="J62" s="7" t="s">
        <v>109</v>
      </c>
      <c r="K62" s="7" t="s">
        <v>109</v>
      </c>
      <c r="L62" s="7" t="s">
        <v>109</v>
      </c>
      <c r="M62" s="7" t="s">
        <v>109</v>
      </c>
      <c r="N62" s="7" t="s">
        <v>109</v>
      </c>
      <c r="O62" s="7" t="s">
        <v>145</v>
      </c>
      <c r="P62" s="7" t="s">
        <v>109</v>
      </c>
      <c r="Q62" s="7" t="s">
        <v>109</v>
      </c>
      <c r="R62" s="7" t="s">
        <v>109</v>
      </c>
      <c r="S62" s="7" t="s">
        <v>109</v>
      </c>
      <c r="T62" s="7" t="s">
        <v>109</v>
      </c>
      <c r="U62" s="7" t="s">
        <v>109</v>
      </c>
      <c r="V62" s="7" t="s">
        <v>109</v>
      </c>
    </row>
    <row r="63" spans="1:22" x14ac:dyDescent="0.3">
      <c r="A63" s="7">
        <v>62</v>
      </c>
      <c r="B63" s="87" t="s">
        <v>24</v>
      </c>
      <c r="C63" s="7" t="s">
        <v>32</v>
      </c>
      <c r="D63" s="7">
        <v>61225004</v>
      </c>
      <c r="E63" s="7">
        <v>10</v>
      </c>
      <c r="F63" s="7" t="s">
        <v>109</v>
      </c>
      <c r="G63" s="7" t="s">
        <v>109</v>
      </c>
      <c r="H63" s="7" t="s">
        <v>82</v>
      </c>
      <c r="I63" s="7" t="s">
        <v>744</v>
      </c>
      <c r="J63" s="7" t="s">
        <v>109</v>
      </c>
      <c r="K63" s="7" t="s">
        <v>109</v>
      </c>
      <c r="L63" s="7" t="s">
        <v>109</v>
      </c>
      <c r="M63" s="7" t="s">
        <v>109</v>
      </c>
      <c r="N63" s="7" t="s">
        <v>109</v>
      </c>
      <c r="O63" s="7" t="s">
        <v>145</v>
      </c>
      <c r="P63" s="7" t="s">
        <v>109</v>
      </c>
      <c r="Q63" s="7" t="s">
        <v>109</v>
      </c>
      <c r="R63" s="7" t="s">
        <v>109</v>
      </c>
      <c r="S63" s="7" t="s">
        <v>109</v>
      </c>
      <c r="T63" s="7" t="s">
        <v>109</v>
      </c>
      <c r="U63" s="7" t="s">
        <v>109</v>
      </c>
      <c r="V63" s="7" t="s">
        <v>109</v>
      </c>
    </row>
    <row r="64" spans="1:22" x14ac:dyDescent="0.3">
      <c r="A64" s="7">
        <v>63</v>
      </c>
      <c r="B64" s="87" t="s">
        <v>24</v>
      </c>
      <c r="C64" s="7" t="s">
        <v>34</v>
      </c>
      <c r="D64" s="7">
        <v>61225002</v>
      </c>
      <c r="E64" s="7">
        <v>10</v>
      </c>
      <c r="F64" s="7" t="s">
        <v>109</v>
      </c>
      <c r="G64" s="7" t="s">
        <v>109</v>
      </c>
      <c r="H64" s="7" t="s">
        <v>82</v>
      </c>
      <c r="I64" s="7" t="s">
        <v>744</v>
      </c>
      <c r="J64" s="7" t="s">
        <v>109</v>
      </c>
      <c r="K64" s="7" t="s">
        <v>109</v>
      </c>
      <c r="L64" s="7" t="s">
        <v>109</v>
      </c>
      <c r="M64" s="7" t="s">
        <v>109</v>
      </c>
      <c r="N64" s="7" t="s">
        <v>109</v>
      </c>
      <c r="O64" s="7" t="s">
        <v>145</v>
      </c>
      <c r="P64" s="7" t="s">
        <v>109</v>
      </c>
      <c r="Q64" s="7" t="s">
        <v>109</v>
      </c>
      <c r="R64" s="7" t="s">
        <v>109</v>
      </c>
      <c r="S64" s="7" t="s">
        <v>109</v>
      </c>
      <c r="T64" s="7" t="s">
        <v>109</v>
      </c>
      <c r="U64" s="7" t="s">
        <v>109</v>
      </c>
      <c r="V64" s="7" t="s">
        <v>109</v>
      </c>
    </row>
    <row r="65" spans="1:22" x14ac:dyDescent="0.3">
      <c r="A65" s="7">
        <v>64</v>
      </c>
      <c r="B65" s="7" t="s">
        <v>23</v>
      </c>
      <c r="C65" s="7" t="s">
        <v>662</v>
      </c>
      <c r="D65" s="7">
        <v>50126152</v>
      </c>
      <c r="E65" s="7">
        <v>156</v>
      </c>
      <c r="F65" s="7" t="s">
        <v>109</v>
      </c>
      <c r="G65" s="7" t="s">
        <v>109</v>
      </c>
      <c r="H65" s="7" t="s">
        <v>109</v>
      </c>
      <c r="I65" s="7" t="s">
        <v>109</v>
      </c>
      <c r="J65" s="7" t="s">
        <v>109</v>
      </c>
      <c r="K65" s="7" t="s">
        <v>109</v>
      </c>
      <c r="L65" s="7" t="s">
        <v>109</v>
      </c>
      <c r="M65" s="7" t="s">
        <v>109</v>
      </c>
      <c r="N65" s="7" t="s">
        <v>109</v>
      </c>
      <c r="O65" s="7" t="s">
        <v>145</v>
      </c>
      <c r="P65" s="7" t="s">
        <v>109</v>
      </c>
      <c r="Q65" s="7" t="s">
        <v>109</v>
      </c>
      <c r="R65" s="7" t="s">
        <v>109</v>
      </c>
      <c r="S65" s="7" t="s">
        <v>109</v>
      </c>
      <c r="T65" s="7" t="s">
        <v>109</v>
      </c>
      <c r="U65" s="7" t="s">
        <v>109</v>
      </c>
      <c r="V65" s="7" t="s">
        <v>109</v>
      </c>
    </row>
    <row r="66" spans="1:22" ht="15.6" x14ac:dyDescent="0.3">
      <c r="A66" s="7">
        <v>65</v>
      </c>
      <c r="B66" s="87" t="s">
        <v>143</v>
      </c>
      <c r="C66" s="7" t="s">
        <v>2398</v>
      </c>
      <c r="D66" s="137">
        <v>10126048</v>
      </c>
      <c r="E66" s="7">
        <v>50</v>
      </c>
      <c r="F66" s="7" t="s">
        <v>109</v>
      </c>
      <c r="G66" s="7" t="s">
        <v>109</v>
      </c>
      <c r="H66" s="7" t="s">
        <v>109</v>
      </c>
      <c r="I66" s="7" t="s">
        <v>109</v>
      </c>
      <c r="J66" s="7" t="s">
        <v>109</v>
      </c>
      <c r="K66" s="7" t="s">
        <v>109</v>
      </c>
      <c r="L66" s="7" t="s">
        <v>109</v>
      </c>
      <c r="M66" s="7" t="s">
        <v>109</v>
      </c>
      <c r="N66" s="7" t="s">
        <v>109</v>
      </c>
      <c r="O66" s="7" t="s">
        <v>145</v>
      </c>
      <c r="P66" s="7" t="s">
        <v>109</v>
      </c>
      <c r="Q66" s="7" t="s">
        <v>109</v>
      </c>
      <c r="R66" s="7" t="s">
        <v>109</v>
      </c>
      <c r="S66" s="7" t="s">
        <v>109</v>
      </c>
      <c r="T66" s="7" t="s">
        <v>109</v>
      </c>
      <c r="U66" s="7" t="s">
        <v>109</v>
      </c>
      <c r="V66" s="7" t="s">
        <v>109</v>
      </c>
    </row>
  </sheetData>
  <conditionalFormatting sqref="D1:D57 D60:D65 D67:D1048576">
    <cfRule type="duplicateValues" dxfId="71" priority="1"/>
  </conditionalFormatting>
  <conditionalFormatting sqref="D29">
    <cfRule type="duplicateValues" dxfId="70" priority="8"/>
  </conditionalFormatting>
  <conditionalFormatting sqref="D30">
    <cfRule type="duplicateValues" dxfId="69" priority="7"/>
  </conditionalFormatting>
  <conditionalFormatting sqref="D31">
    <cfRule type="duplicateValues" dxfId="68" priority="6"/>
  </conditionalFormatting>
  <conditionalFormatting sqref="D32">
    <cfRule type="duplicateValues" dxfId="67" priority="5"/>
  </conditionalFormatting>
  <conditionalFormatting sqref="D34">
    <cfRule type="duplicateValues" dxfId="66" priority="4"/>
  </conditionalFormatting>
  <conditionalFormatting sqref="D36">
    <cfRule type="duplicateValues" dxfId="65" priority="3"/>
  </conditionalFormatting>
  <conditionalFormatting sqref="D37">
    <cfRule type="duplicateValues" dxfId="64" priority="2"/>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35507-1C2D-4F5D-BF0D-87A3FF1EE698}">
  <sheetPr codeName="Sheet36"/>
  <dimension ref="A1:V64"/>
  <sheetViews>
    <sheetView workbookViewId="0">
      <pane ySplit="1" topLeftCell="A2" activePane="bottomLeft" state="frozen"/>
      <selection pane="bottomLeft"/>
    </sheetView>
  </sheetViews>
  <sheetFormatPr defaultRowHeight="14.4" x14ac:dyDescent="0.3"/>
  <cols>
    <col min="1" max="1" width="3.109375" bestFit="1" customWidth="1"/>
    <col min="2" max="2" width="8.6640625" bestFit="1" customWidth="1"/>
    <col min="3" max="3" width="14.5546875" bestFit="1" customWidth="1"/>
    <col min="4" max="4" width="10.44140625" bestFit="1" customWidth="1"/>
    <col min="5" max="5" width="13.88671875" bestFit="1" customWidth="1"/>
    <col min="6" max="6" width="15.109375" bestFit="1" customWidth="1"/>
    <col min="7" max="7" width="8.5546875" bestFit="1" customWidth="1"/>
    <col min="8" max="8" width="7.33203125" bestFit="1" customWidth="1"/>
    <col min="9" max="9" width="15.88671875" bestFit="1" customWidth="1"/>
    <col min="10" max="10" width="6.21875" bestFit="1" customWidth="1"/>
    <col min="11" max="12" width="16.21875" bestFit="1" customWidth="1"/>
    <col min="13" max="13" width="12.5546875" bestFit="1" customWidth="1"/>
    <col min="14" max="14" width="8.21875" bestFit="1" customWidth="1"/>
    <col min="15" max="15" width="6.77734375" bestFit="1" customWidth="1"/>
    <col min="16" max="16" width="14.33203125" bestFit="1" customWidth="1"/>
    <col min="17" max="17" width="11.77734375" bestFit="1" customWidth="1"/>
    <col min="18" max="18" width="14.33203125" bestFit="1" customWidth="1"/>
    <col min="19" max="19" width="12.21875" bestFit="1" customWidth="1"/>
    <col min="20" max="20" width="5.77734375" bestFit="1" customWidth="1"/>
    <col min="21" max="21" width="37.44140625" bestFit="1" customWidth="1"/>
    <col min="22" max="22" width="10.109375" bestFit="1" customWidth="1"/>
  </cols>
  <sheetData>
    <row r="1" spans="1:22" x14ac:dyDescent="0.3">
      <c r="A1" s="1" t="s">
        <v>0</v>
      </c>
      <c r="B1" s="1" t="s">
        <v>1</v>
      </c>
      <c r="C1" s="1" t="s">
        <v>2</v>
      </c>
      <c r="D1" s="1" t="s">
        <v>3</v>
      </c>
      <c r="E1" s="1" t="s">
        <v>4</v>
      </c>
      <c r="F1" s="1" t="s">
        <v>5</v>
      </c>
      <c r="G1" s="1" t="s">
        <v>6</v>
      </c>
      <c r="H1" s="1" t="s">
        <v>7</v>
      </c>
      <c r="I1" s="1" t="s">
        <v>8</v>
      </c>
      <c r="J1" s="1" t="s">
        <v>9</v>
      </c>
      <c r="K1" s="2" t="s">
        <v>2218</v>
      </c>
      <c r="L1" s="2" t="s">
        <v>2219</v>
      </c>
      <c r="M1" s="3" t="s">
        <v>2281</v>
      </c>
      <c r="N1" s="4" t="s">
        <v>13</v>
      </c>
      <c r="O1" s="1" t="s">
        <v>14</v>
      </c>
      <c r="P1" s="1" t="s">
        <v>15</v>
      </c>
      <c r="Q1" s="1" t="s">
        <v>16</v>
      </c>
      <c r="R1" s="1" t="s">
        <v>17</v>
      </c>
      <c r="S1" s="127" t="s">
        <v>2282</v>
      </c>
      <c r="T1" s="1" t="s">
        <v>19</v>
      </c>
      <c r="U1" s="1" t="s">
        <v>20</v>
      </c>
      <c r="V1" s="1" t="s">
        <v>21</v>
      </c>
    </row>
    <row r="2" spans="1:22" x14ac:dyDescent="0.3">
      <c r="A2" s="7">
        <v>1</v>
      </c>
      <c r="B2" s="7" t="s">
        <v>292</v>
      </c>
      <c r="C2" s="7" t="s">
        <v>1883</v>
      </c>
      <c r="D2" s="7">
        <v>40126037</v>
      </c>
      <c r="E2" s="7">
        <v>156</v>
      </c>
      <c r="F2" s="7">
        <v>244</v>
      </c>
      <c r="G2" s="7">
        <v>35</v>
      </c>
      <c r="H2" s="7" t="s">
        <v>2399</v>
      </c>
      <c r="I2" s="7" t="s">
        <v>2400</v>
      </c>
      <c r="J2" s="7" t="s">
        <v>130</v>
      </c>
      <c r="K2" s="46">
        <v>0.69374999999999998</v>
      </c>
      <c r="L2" s="46">
        <v>0.75138888888888888</v>
      </c>
      <c r="M2" s="7" t="s">
        <v>109</v>
      </c>
      <c r="N2" s="7" t="s">
        <v>2098</v>
      </c>
      <c r="O2" s="7" t="s">
        <v>61</v>
      </c>
      <c r="P2" s="7" t="s">
        <v>131</v>
      </c>
      <c r="Q2" s="7" t="s">
        <v>179</v>
      </c>
      <c r="R2" s="7" t="s">
        <v>63</v>
      </c>
      <c r="S2" s="7" t="s">
        <v>123</v>
      </c>
      <c r="T2" s="7" t="s">
        <v>117</v>
      </c>
      <c r="U2" s="131">
        <f t="shared" ref="U2:U33" si="0">G2/E2</f>
        <v>0.22435897435897437</v>
      </c>
      <c r="V2" s="7" t="s">
        <v>2087</v>
      </c>
    </row>
    <row r="3" spans="1:22" x14ac:dyDescent="0.3">
      <c r="A3" s="7">
        <v>2</v>
      </c>
      <c r="B3" s="7" t="s">
        <v>24</v>
      </c>
      <c r="C3" s="7" t="s">
        <v>1832</v>
      </c>
      <c r="D3" s="7">
        <v>60226011</v>
      </c>
      <c r="E3" s="7">
        <v>100</v>
      </c>
      <c r="F3" s="7">
        <v>268</v>
      </c>
      <c r="G3" s="7">
        <v>77</v>
      </c>
      <c r="H3" s="7" t="s">
        <v>2401</v>
      </c>
      <c r="I3" s="7" t="s">
        <v>1256</v>
      </c>
      <c r="J3" s="7" t="s">
        <v>130</v>
      </c>
      <c r="K3" s="46">
        <v>0.76388888888888884</v>
      </c>
      <c r="L3" s="46">
        <v>0.8</v>
      </c>
      <c r="M3" s="7" t="s">
        <v>109</v>
      </c>
      <c r="N3" s="7" t="s">
        <v>2339</v>
      </c>
      <c r="O3" s="7" t="s">
        <v>61</v>
      </c>
      <c r="P3" s="7" t="s">
        <v>131</v>
      </c>
      <c r="Q3" s="7" t="s">
        <v>89</v>
      </c>
      <c r="R3" s="7" t="s">
        <v>63</v>
      </c>
      <c r="S3" s="7" t="s">
        <v>123</v>
      </c>
      <c r="T3" s="7" t="s">
        <v>117</v>
      </c>
      <c r="U3" s="131">
        <f t="shared" si="0"/>
        <v>0.77</v>
      </c>
      <c r="V3" s="7" t="s">
        <v>2087</v>
      </c>
    </row>
    <row r="4" spans="1:22" x14ac:dyDescent="0.3">
      <c r="A4" s="7">
        <v>3</v>
      </c>
      <c r="B4" s="7" t="s">
        <v>24</v>
      </c>
      <c r="C4" s="7" t="s">
        <v>49</v>
      </c>
      <c r="D4" s="7">
        <v>61225008</v>
      </c>
      <c r="E4" s="7">
        <v>135</v>
      </c>
      <c r="F4" s="7">
        <v>302</v>
      </c>
      <c r="G4" s="7">
        <v>48</v>
      </c>
      <c r="H4" s="7" t="s">
        <v>863</v>
      </c>
      <c r="I4" s="7" t="s">
        <v>764</v>
      </c>
      <c r="J4" s="7" t="s">
        <v>130</v>
      </c>
      <c r="K4" s="46">
        <v>0.71111111111111114</v>
      </c>
      <c r="L4" s="46">
        <v>0.77569444444444446</v>
      </c>
      <c r="M4" s="7" t="s">
        <v>109</v>
      </c>
      <c r="N4" s="7" t="s">
        <v>109</v>
      </c>
      <c r="O4" s="7" t="s">
        <v>61</v>
      </c>
      <c r="P4" s="7" t="s">
        <v>131</v>
      </c>
      <c r="Q4" s="7" t="s">
        <v>94</v>
      </c>
      <c r="R4" s="7" t="s">
        <v>63</v>
      </c>
      <c r="S4" s="7" t="s">
        <v>123</v>
      </c>
      <c r="T4" s="7" t="s">
        <v>120</v>
      </c>
      <c r="U4" s="131">
        <f t="shared" si="0"/>
        <v>0.35555555555555557</v>
      </c>
      <c r="V4" s="7" t="s">
        <v>2087</v>
      </c>
    </row>
    <row r="5" spans="1:22" x14ac:dyDescent="0.3">
      <c r="A5" s="7">
        <v>4</v>
      </c>
      <c r="B5" s="7" t="s">
        <v>24</v>
      </c>
      <c r="C5" s="7" t="s">
        <v>2028</v>
      </c>
      <c r="D5" s="7">
        <v>60226017</v>
      </c>
      <c r="E5" s="7">
        <v>81</v>
      </c>
      <c r="F5" s="7">
        <v>145</v>
      </c>
      <c r="G5" s="7">
        <v>28</v>
      </c>
      <c r="H5" s="7" t="s">
        <v>65</v>
      </c>
      <c r="I5" s="7" t="s">
        <v>88</v>
      </c>
      <c r="J5" s="7" t="s">
        <v>130</v>
      </c>
      <c r="K5" s="46">
        <v>0.97152777777777777</v>
      </c>
      <c r="L5" s="46">
        <v>0.99722222222222223</v>
      </c>
      <c r="M5" s="7" t="s">
        <v>109</v>
      </c>
      <c r="N5" s="7" t="s">
        <v>109</v>
      </c>
      <c r="O5" s="7" t="s">
        <v>61</v>
      </c>
      <c r="P5" s="7" t="s">
        <v>131</v>
      </c>
      <c r="Q5" s="7" t="s">
        <v>2448</v>
      </c>
      <c r="R5" s="7" t="s">
        <v>63</v>
      </c>
      <c r="S5" s="7" t="s">
        <v>123</v>
      </c>
      <c r="T5" s="7" t="s">
        <v>1562</v>
      </c>
      <c r="U5" s="131">
        <f t="shared" si="0"/>
        <v>0.34567901234567899</v>
      </c>
      <c r="V5" s="7" t="s">
        <v>2087</v>
      </c>
    </row>
    <row r="6" spans="1:22" x14ac:dyDescent="0.3">
      <c r="A6" s="7">
        <v>5</v>
      </c>
      <c r="B6" s="7" t="s">
        <v>24</v>
      </c>
      <c r="C6" s="7" t="s">
        <v>2030</v>
      </c>
      <c r="D6" s="7">
        <v>60226018</v>
      </c>
      <c r="E6" s="7">
        <v>79</v>
      </c>
      <c r="F6" s="7">
        <v>140</v>
      </c>
      <c r="G6" s="7">
        <v>34</v>
      </c>
      <c r="H6" s="7" t="s">
        <v>1141</v>
      </c>
      <c r="I6" s="7" t="s">
        <v>94</v>
      </c>
      <c r="J6" s="7" t="s">
        <v>130</v>
      </c>
      <c r="K6" s="46">
        <v>0.96250000000000002</v>
      </c>
      <c r="L6" s="46">
        <v>0.98333333333333328</v>
      </c>
      <c r="M6" s="7" t="s">
        <v>109</v>
      </c>
      <c r="N6" s="7" t="s">
        <v>109</v>
      </c>
      <c r="O6" s="7" t="s">
        <v>61</v>
      </c>
      <c r="P6" s="7" t="s">
        <v>131</v>
      </c>
      <c r="Q6" s="7" t="s">
        <v>94</v>
      </c>
      <c r="R6" s="7" t="s">
        <v>63</v>
      </c>
      <c r="S6" s="7" t="s">
        <v>123</v>
      </c>
      <c r="T6" s="7" t="s">
        <v>1562</v>
      </c>
      <c r="U6" s="131">
        <f t="shared" si="0"/>
        <v>0.43037974683544306</v>
      </c>
      <c r="V6" s="7" t="s">
        <v>2087</v>
      </c>
    </row>
    <row r="7" spans="1:22" x14ac:dyDescent="0.3">
      <c r="A7" s="7">
        <v>6</v>
      </c>
      <c r="B7" s="7" t="s">
        <v>24</v>
      </c>
      <c r="C7" s="7" t="s">
        <v>2027</v>
      </c>
      <c r="D7" s="7">
        <v>60226015</v>
      </c>
      <c r="E7" s="7">
        <v>61</v>
      </c>
      <c r="F7" s="7">
        <v>120</v>
      </c>
      <c r="G7" s="7">
        <v>25</v>
      </c>
      <c r="H7" s="7" t="s">
        <v>196</v>
      </c>
      <c r="I7" s="7" t="s">
        <v>87</v>
      </c>
      <c r="J7" s="7" t="s">
        <v>130</v>
      </c>
      <c r="K7" s="46">
        <v>0.69930555555555551</v>
      </c>
      <c r="L7" s="46">
        <v>0.72152777777777777</v>
      </c>
      <c r="M7" s="7" t="s">
        <v>109</v>
      </c>
      <c r="N7" s="7" t="s">
        <v>109</v>
      </c>
      <c r="O7" s="7" t="s">
        <v>61</v>
      </c>
      <c r="P7" s="7" t="s">
        <v>131</v>
      </c>
      <c r="Q7" s="7" t="s">
        <v>87</v>
      </c>
      <c r="R7" s="7" t="s">
        <v>63</v>
      </c>
      <c r="S7" s="7" t="s">
        <v>123</v>
      </c>
      <c r="T7" s="7" t="s">
        <v>1562</v>
      </c>
      <c r="U7" s="131">
        <f t="shared" si="0"/>
        <v>0.4098360655737705</v>
      </c>
      <c r="V7" s="7" t="s">
        <v>2087</v>
      </c>
    </row>
    <row r="8" spans="1:22" x14ac:dyDescent="0.3">
      <c r="A8" s="7">
        <v>7</v>
      </c>
      <c r="B8" s="7" t="s">
        <v>24</v>
      </c>
      <c r="C8" s="7" t="s">
        <v>2029</v>
      </c>
      <c r="D8" s="7">
        <v>60226016</v>
      </c>
      <c r="E8" s="7">
        <v>75</v>
      </c>
      <c r="F8" s="7">
        <v>156</v>
      </c>
      <c r="G8" s="7">
        <v>42</v>
      </c>
      <c r="H8" s="7" t="s">
        <v>64</v>
      </c>
      <c r="I8" s="7" t="s">
        <v>89</v>
      </c>
      <c r="J8" s="7" t="s">
        <v>130</v>
      </c>
      <c r="K8" s="46">
        <v>0.93611111111111112</v>
      </c>
      <c r="L8" s="46">
        <v>0.97777777777777775</v>
      </c>
      <c r="M8" s="7" t="s">
        <v>109</v>
      </c>
      <c r="N8" s="7" t="s">
        <v>109</v>
      </c>
      <c r="O8" s="7" t="s">
        <v>61</v>
      </c>
      <c r="P8" s="7" t="s">
        <v>131</v>
      </c>
      <c r="Q8" s="7" t="s">
        <v>89</v>
      </c>
      <c r="R8" s="7" t="s">
        <v>63</v>
      </c>
      <c r="S8" s="7" t="s">
        <v>123</v>
      </c>
      <c r="T8" s="7" t="s">
        <v>1562</v>
      </c>
      <c r="U8" s="131">
        <f t="shared" si="0"/>
        <v>0.56000000000000005</v>
      </c>
      <c r="V8" s="7" t="s">
        <v>2087</v>
      </c>
    </row>
    <row r="9" spans="1:22" x14ac:dyDescent="0.3">
      <c r="A9" s="7">
        <v>8</v>
      </c>
      <c r="B9" s="7" t="s">
        <v>25</v>
      </c>
      <c r="C9" s="7" t="s">
        <v>2402</v>
      </c>
      <c r="D9" s="7">
        <v>40226010</v>
      </c>
      <c r="E9" s="7">
        <v>289</v>
      </c>
      <c r="F9" s="7">
        <v>537</v>
      </c>
      <c r="G9" s="7">
        <v>289</v>
      </c>
      <c r="H9" s="7" t="s">
        <v>2403</v>
      </c>
      <c r="I9" s="7" t="s">
        <v>2404</v>
      </c>
      <c r="J9" s="7" t="s">
        <v>130</v>
      </c>
      <c r="K9" s="46">
        <v>0.7270833333333333</v>
      </c>
      <c r="L9" s="46">
        <v>0.7631944444444444</v>
      </c>
      <c r="M9" s="7" t="s">
        <v>109</v>
      </c>
      <c r="N9" s="7" t="s">
        <v>110</v>
      </c>
      <c r="O9" s="7" t="s">
        <v>61</v>
      </c>
      <c r="P9" s="7" t="s">
        <v>131</v>
      </c>
      <c r="Q9" s="7" t="s">
        <v>86</v>
      </c>
      <c r="R9" s="7" t="s">
        <v>62</v>
      </c>
      <c r="S9" s="7" t="s">
        <v>123</v>
      </c>
      <c r="T9" s="7" t="s">
        <v>2405</v>
      </c>
      <c r="U9" s="131">
        <f t="shared" si="0"/>
        <v>1</v>
      </c>
      <c r="V9" s="7" t="s">
        <v>1941</v>
      </c>
    </row>
    <row r="10" spans="1:22" x14ac:dyDescent="0.3">
      <c r="A10" s="7">
        <v>9</v>
      </c>
      <c r="B10" s="7" t="s">
        <v>23</v>
      </c>
      <c r="C10" s="7" t="s">
        <v>1022</v>
      </c>
      <c r="D10" s="7">
        <v>51225088</v>
      </c>
      <c r="E10" s="7">
        <v>200</v>
      </c>
      <c r="F10" s="7">
        <v>373</v>
      </c>
      <c r="G10" s="7">
        <v>148</v>
      </c>
      <c r="H10" s="7" t="s">
        <v>2406</v>
      </c>
      <c r="I10" s="7" t="s">
        <v>109</v>
      </c>
      <c r="J10" s="7" t="s">
        <v>130</v>
      </c>
      <c r="K10" s="46">
        <v>0.97361111111111109</v>
      </c>
      <c r="L10" s="7" t="s">
        <v>109</v>
      </c>
      <c r="M10" s="7" t="s">
        <v>109</v>
      </c>
      <c r="N10" s="7" t="s">
        <v>2407</v>
      </c>
      <c r="O10" s="7" t="s">
        <v>61</v>
      </c>
      <c r="P10" s="7" t="s">
        <v>131</v>
      </c>
      <c r="Q10" s="7" t="s">
        <v>71</v>
      </c>
      <c r="R10" s="7" t="s">
        <v>62</v>
      </c>
      <c r="S10" s="7" t="s">
        <v>123</v>
      </c>
      <c r="T10" s="7" t="s">
        <v>1024</v>
      </c>
      <c r="U10" s="131">
        <f t="shared" si="0"/>
        <v>0.74</v>
      </c>
      <c r="V10" s="7" t="s">
        <v>2087</v>
      </c>
    </row>
    <row r="11" spans="1:22" x14ac:dyDescent="0.3">
      <c r="A11" s="7">
        <v>10</v>
      </c>
      <c r="B11" s="7" t="s">
        <v>23</v>
      </c>
      <c r="C11" s="7" t="s">
        <v>1025</v>
      </c>
      <c r="D11" s="7">
        <v>51225087</v>
      </c>
      <c r="E11" s="7">
        <v>150</v>
      </c>
      <c r="F11" s="7">
        <v>217</v>
      </c>
      <c r="G11" s="7">
        <v>64</v>
      </c>
      <c r="H11" s="7" t="s">
        <v>2408</v>
      </c>
      <c r="I11" s="7" t="s">
        <v>109</v>
      </c>
      <c r="J11" s="7" t="s">
        <v>130</v>
      </c>
      <c r="K11" s="46">
        <v>0.89166666666666672</v>
      </c>
      <c r="L11" s="7" t="s">
        <v>109</v>
      </c>
      <c r="M11" s="7" t="s">
        <v>109</v>
      </c>
      <c r="N11" s="7" t="s">
        <v>2407</v>
      </c>
      <c r="O11" s="7" t="s">
        <v>61</v>
      </c>
      <c r="P11" s="7" t="s">
        <v>131</v>
      </c>
      <c r="Q11" s="7" t="s">
        <v>70</v>
      </c>
      <c r="R11" s="7" t="s">
        <v>62</v>
      </c>
      <c r="S11" s="7" t="s">
        <v>123</v>
      </c>
      <c r="T11" s="7" t="s">
        <v>1024</v>
      </c>
      <c r="U11" s="131">
        <f t="shared" si="0"/>
        <v>0.42666666666666669</v>
      </c>
      <c r="V11" s="7" t="s">
        <v>2450</v>
      </c>
    </row>
    <row r="12" spans="1:22" x14ac:dyDescent="0.3">
      <c r="A12" s="7">
        <v>11</v>
      </c>
      <c r="B12" s="7" t="s">
        <v>23</v>
      </c>
      <c r="C12" s="7" t="s">
        <v>1337</v>
      </c>
      <c r="D12" s="7">
        <v>50126336</v>
      </c>
      <c r="E12" s="7">
        <v>50</v>
      </c>
      <c r="F12" s="7">
        <v>106</v>
      </c>
      <c r="G12" s="7">
        <v>25</v>
      </c>
      <c r="H12" s="7" t="s">
        <v>64</v>
      </c>
      <c r="I12" s="7" t="s">
        <v>109</v>
      </c>
      <c r="J12" s="7" t="s">
        <v>130</v>
      </c>
      <c r="K12" s="46">
        <v>0.84444444444444444</v>
      </c>
      <c r="L12" s="7" t="s">
        <v>109</v>
      </c>
      <c r="M12" s="7" t="s">
        <v>109</v>
      </c>
      <c r="N12" s="7" t="s">
        <v>109</v>
      </c>
      <c r="O12" s="7" t="s">
        <v>61</v>
      </c>
      <c r="P12" s="7" t="s">
        <v>131</v>
      </c>
      <c r="Q12" s="7" t="s">
        <v>64</v>
      </c>
      <c r="R12" s="7" t="s">
        <v>62</v>
      </c>
      <c r="S12" s="7" t="s">
        <v>123</v>
      </c>
      <c r="T12" s="7" t="s">
        <v>1338</v>
      </c>
      <c r="U12" s="131">
        <f t="shared" si="0"/>
        <v>0.5</v>
      </c>
      <c r="V12" s="7" t="s">
        <v>2087</v>
      </c>
    </row>
    <row r="13" spans="1:22" x14ac:dyDescent="0.3">
      <c r="A13" s="7">
        <v>12</v>
      </c>
      <c r="B13" s="7" t="s">
        <v>23</v>
      </c>
      <c r="C13" s="7" t="s">
        <v>650</v>
      </c>
      <c r="D13" s="7">
        <v>50126035</v>
      </c>
      <c r="E13" s="7">
        <v>100</v>
      </c>
      <c r="F13" s="7">
        <v>144</v>
      </c>
      <c r="G13" s="7">
        <v>97</v>
      </c>
      <c r="H13" s="7" t="s">
        <v>1521</v>
      </c>
      <c r="I13" s="7" t="s">
        <v>2409</v>
      </c>
      <c r="J13" s="7" t="s">
        <v>130</v>
      </c>
      <c r="K13" s="46">
        <v>0.85833333333333328</v>
      </c>
      <c r="L13" s="46">
        <v>0.92847222222222225</v>
      </c>
      <c r="M13" s="7" t="s">
        <v>109</v>
      </c>
      <c r="N13" s="7" t="s">
        <v>109</v>
      </c>
      <c r="O13" s="7" t="s">
        <v>61</v>
      </c>
      <c r="P13" s="7" t="s">
        <v>131</v>
      </c>
      <c r="Q13" s="7" t="s">
        <v>89</v>
      </c>
      <c r="R13" s="7" t="s">
        <v>62</v>
      </c>
      <c r="S13" s="7" t="s">
        <v>123</v>
      </c>
      <c r="T13" s="7" t="s">
        <v>480</v>
      </c>
      <c r="U13" s="131">
        <f t="shared" si="0"/>
        <v>0.97</v>
      </c>
      <c r="V13" s="7" t="s">
        <v>1941</v>
      </c>
    </row>
    <row r="14" spans="1:22" x14ac:dyDescent="0.3">
      <c r="A14" s="7">
        <v>13</v>
      </c>
      <c r="B14" s="7" t="s">
        <v>23</v>
      </c>
      <c r="C14" s="7" t="s">
        <v>651</v>
      </c>
      <c r="D14" s="7">
        <v>50126034</v>
      </c>
      <c r="E14" s="7">
        <v>70</v>
      </c>
      <c r="F14" s="7">
        <v>118</v>
      </c>
      <c r="G14" s="7">
        <v>49</v>
      </c>
      <c r="H14" s="7" t="s">
        <v>527</v>
      </c>
      <c r="I14" s="7" t="s">
        <v>93</v>
      </c>
      <c r="J14" s="7" t="s">
        <v>130</v>
      </c>
      <c r="K14" s="46">
        <v>0.6875</v>
      </c>
      <c r="L14" s="46">
        <v>0.72361111111111109</v>
      </c>
      <c r="M14" s="7" t="s">
        <v>109</v>
      </c>
      <c r="N14" s="7" t="s">
        <v>109</v>
      </c>
      <c r="O14" s="7" t="s">
        <v>61</v>
      </c>
      <c r="P14" s="7" t="s">
        <v>131</v>
      </c>
      <c r="Q14" s="7" t="s">
        <v>93</v>
      </c>
      <c r="R14" s="7" t="s">
        <v>62</v>
      </c>
      <c r="S14" s="7" t="s">
        <v>123</v>
      </c>
      <c r="T14" s="7" t="s">
        <v>480</v>
      </c>
      <c r="U14" s="131">
        <f t="shared" si="0"/>
        <v>0.7</v>
      </c>
      <c r="V14" s="7" t="s">
        <v>2008</v>
      </c>
    </row>
    <row r="15" spans="1:22" x14ac:dyDescent="0.3">
      <c r="A15" s="7">
        <v>14</v>
      </c>
      <c r="B15" s="7" t="s">
        <v>23</v>
      </c>
      <c r="C15" s="7" t="s">
        <v>656</v>
      </c>
      <c r="D15" s="7">
        <v>50126031</v>
      </c>
      <c r="E15" s="7">
        <v>50</v>
      </c>
      <c r="F15" s="7">
        <v>95</v>
      </c>
      <c r="G15" s="7">
        <v>54</v>
      </c>
      <c r="H15" s="7" t="s">
        <v>65</v>
      </c>
      <c r="I15" s="7" t="s">
        <v>209</v>
      </c>
      <c r="J15" s="7" t="s">
        <v>130</v>
      </c>
      <c r="K15" s="46">
        <v>0.73750000000000004</v>
      </c>
      <c r="L15" s="46">
        <v>0.75624999999999998</v>
      </c>
      <c r="M15" s="7" t="s">
        <v>109</v>
      </c>
      <c r="N15" s="7" t="s">
        <v>109</v>
      </c>
      <c r="O15" s="7" t="s">
        <v>61</v>
      </c>
      <c r="P15" s="7" t="s">
        <v>131</v>
      </c>
      <c r="Q15" s="7" t="s">
        <v>209</v>
      </c>
      <c r="R15" s="7" t="s">
        <v>62</v>
      </c>
      <c r="S15" s="7" t="s">
        <v>123</v>
      </c>
      <c r="T15" s="7" t="s">
        <v>480</v>
      </c>
      <c r="U15" s="131">
        <f t="shared" si="0"/>
        <v>1.08</v>
      </c>
      <c r="V15" s="7" t="s">
        <v>1941</v>
      </c>
    </row>
    <row r="16" spans="1:22" x14ac:dyDescent="0.3">
      <c r="A16" s="7">
        <v>15</v>
      </c>
      <c r="B16" s="7" t="s">
        <v>23</v>
      </c>
      <c r="C16" s="7" t="s">
        <v>657</v>
      </c>
      <c r="D16" s="7">
        <v>50126030</v>
      </c>
      <c r="E16" s="7">
        <v>50</v>
      </c>
      <c r="F16" s="7">
        <v>120</v>
      </c>
      <c r="G16" s="7">
        <v>15</v>
      </c>
      <c r="H16" s="7" t="s">
        <v>71</v>
      </c>
      <c r="I16" s="7" t="s">
        <v>91</v>
      </c>
      <c r="J16" s="7" t="s">
        <v>130</v>
      </c>
      <c r="K16" s="46">
        <v>0.68541666666666667</v>
      </c>
      <c r="L16" s="46">
        <v>0.6958333333333333</v>
      </c>
      <c r="M16" s="7" t="s">
        <v>109</v>
      </c>
      <c r="N16" s="7" t="s">
        <v>109</v>
      </c>
      <c r="O16" s="7" t="s">
        <v>61</v>
      </c>
      <c r="P16" s="7" t="s">
        <v>131</v>
      </c>
      <c r="Q16" s="7" t="s">
        <v>91</v>
      </c>
      <c r="R16" s="7" t="s">
        <v>62</v>
      </c>
      <c r="S16" s="7" t="s">
        <v>123</v>
      </c>
      <c r="T16" s="7" t="s">
        <v>480</v>
      </c>
      <c r="U16" s="131">
        <f t="shared" si="0"/>
        <v>0.3</v>
      </c>
      <c r="V16" s="7" t="s">
        <v>2087</v>
      </c>
    </row>
    <row r="17" spans="1:22" x14ac:dyDescent="0.3">
      <c r="A17" s="7">
        <v>16</v>
      </c>
      <c r="B17" s="7" t="s">
        <v>23</v>
      </c>
      <c r="C17" s="7" t="s">
        <v>2410</v>
      </c>
      <c r="D17" s="7">
        <v>50226089</v>
      </c>
      <c r="E17" s="7">
        <v>30</v>
      </c>
      <c r="F17" s="7">
        <v>26</v>
      </c>
      <c r="G17" s="7">
        <v>13</v>
      </c>
      <c r="H17" s="7" t="s">
        <v>68</v>
      </c>
      <c r="I17" s="7" t="s">
        <v>109</v>
      </c>
      <c r="J17" s="7" t="s">
        <v>130</v>
      </c>
      <c r="K17" s="46">
        <v>0.67847222222222225</v>
      </c>
      <c r="L17" s="7" t="s">
        <v>109</v>
      </c>
      <c r="M17" s="7" t="s">
        <v>109</v>
      </c>
      <c r="N17" s="7" t="s">
        <v>109</v>
      </c>
      <c r="O17" s="7" t="s">
        <v>61</v>
      </c>
      <c r="P17" s="7" t="s">
        <v>131</v>
      </c>
      <c r="Q17" s="7" t="s">
        <v>68</v>
      </c>
      <c r="R17" s="7" t="s">
        <v>62</v>
      </c>
      <c r="S17" s="7" t="s">
        <v>123</v>
      </c>
      <c r="T17" s="7" t="s">
        <v>252</v>
      </c>
      <c r="U17" s="131">
        <f t="shared" si="0"/>
        <v>0.43333333333333335</v>
      </c>
      <c r="V17" s="7" t="s">
        <v>889</v>
      </c>
    </row>
    <row r="18" spans="1:22" x14ac:dyDescent="0.3">
      <c r="A18" s="7">
        <v>17</v>
      </c>
      <c r="B18" s="7" t="s">
        <v>23</v>
      </c>
      <c r="C18" s="7" t="s">
        <v>2411</v>
      </c>
      <c r="D18" s="7">
        <v>50226088</v>
      </c>
      <c r="E18" s="7">
        <v>100</v>
      </c>
      <c r="F18" s="7">
        <v>140</v>
      </c>
      <c r="G18" s="7">
        <v>105</v>
      </c>
      <c r="H18" s="7" t="s">
        <v>2412</v>
      </c>
      <c r="I18" s="7" t="s">
        <v>109</v>
      </c>
      <c r="J18" s="7" t="s">
        <v>130</v>
      </c>
      <c r="K18" s="46">
        <v>0.74027777777777781</v>
      </c>
      <c r="L18" s="7" t="s">
        <v>109</v>
      </c>
      <c r="M18" s="7" t="s">
        <v>109</v>
      </c>
      <c r="N18" s="7" t="s">
        <v>109</v>
      </c>
      <c r="O18" s="7" t="s">
        <v>61</v>
      </c>
      <c r="P18" s="7" t="s">
        <v>131</v>
      </c>
      <c r="Q18" s="7" t="s">
        <v>222</v>
      </c>
      <c r="R18" s="7" t="s">
        <v>62</v>
      </c>
      <c r="S18" s="7" t="s">
        <v>123</v>
      </c>
      <c r="T18" s="7" t="s">
        <v>252</v>
      </c>
      <c r="U18" s="131">
        <f t="shared" si="0"/>
        <v>1.05</v>
      </c>
      <c r="V18" s="7" t="s">
        <v>1941</v>
      </c>
    </row>
    <row r="19" spans="1:22" x14ac:dyDescent="0.3">
      <c r="A19" s="7">
        <v>18</v>
      </c>
      <c r="B19" s="7" t="s">
        <v>23</v>
      </c>
      <c r="C19" s="7" t="s">
        <v>2413</v>
      </c>
      <c r="D19" s="7">
        <v>50226087</v>
      </c>
      <c r="E19" s="7">
        <v>150</v>
      </c>
      <c r="F19" s="7">
        <v>291</v>
      </c>
      <c r="G19" s="7">
        <v>67</v>
      </c>
      <c r="H19" s="7" t="s">
        <v>229</v>
      </c>
      <c r="I19" s="7" t="s">
        <v>109</v>
      </c>
      <c r="J19" s="7" t="s">
        <v>130</v>
      </c>
      <c r="K19" s="46">
        <v>0.74861111111111112</v>
      </c>
      <c r="L19" s="7" t="s">
        <v>109</v>
      </c>
      <c r="M19" s="7" t="s">
        <v>109</v>
      </c>
      <c r="N19" s="7" t="s">
        <v>660</v>
      </c>
      <c r="O19" s="7" t="s">
        <v>61</v>
      </c>
      <c r="P19" s="7" t="s">
        <v>131</v>
      </c>
      <c r="Q19" s="7" t="s">
        <v>64</v>
      </c>
      <c r="R19" s="7" t="s">
        <v>62</v>
      </c>
      <c r="S19" s="7" t="s">
        <v>123</v>
      </c>
      <c r="T19" s="7" t="s">
        <v>1240</v>
      </c>
      <c r="U19" s="131">
        <f t="shared" si="0"/>
        <v>0.44666666666666666</v>
      </c>
      <c r="V19" s="7" t="s">
        <v>2087</v>
      </c>
    </row>
    <row r="20" spans="1:22" x14ac:dyDescent="0.3">
      <c r="A20" s="7">
        <v>19</v>
      </c>
      <c r="B20" s="7" t="s">
        <v>23</v>
      </c>
      <c r="C20" s="7" t="s">
        <v>2059</v>
      </c>
      <c r="D20" s="7">
        <v>50226048</v>
      </c>
      <c r="E20" s="7">
        <v>200</v>
      </c>
      <c r="F20" s="7">
        <v>260</v>
      </c>
      <c r="G20" s="7">
        <v>101</v>
      </c>
      <c r="H20" s="7" t="s">
        <v>2414</v>
      </c>
      <c r="I20" s="7" t="s">
        <v>109</v>
      </c>
      <c r="J20" s="7" t="s">
        <v>130</v>
      </c>
      <c r="K20" s="46">
        <v>0.76736111111111116</v>
      </c>
      <c r="L20" s="7" t="s">
        <v>109</v>
      </c>
      <c r="M20" s="7" t="s">
        <v>109</v>
      </c>
      <c r="N20" s="7" t="s">
        <v>2223</v>
      </c>
      <c r="O20" s="7" t="s">
        <v>61</v>
      </c>
      <c r="P20" s="7" t="s">
        <v>131</v>
      </c>
      <c r="Q20" s="7" t="s">
        <v>527</v>
      </c>
      <c r="R20" s="7" t="s">
        <v>62</v>
      </c>
      <c r="S20" s="7" t="s">
        <v>123</v>
      </c>
      <c r="T20" s="7" t="s">
        <v>2057</v>
      </c>
      <c r="U20" s="131">
        <f t="shared" si="0"/>
        <v>0.505</v>
      </c>
      <c r="V20" s="7" t="s">
        <v>889</v>
      </c>
    </row>
    <row r="21" spans="1:22" x14ac:dyDescent="0.3">
      <c r="A21" s="7">
        <v>20</v>
      </c>
      <c r="B21" s="7" t="s">
        <v>23</v>
      </c>
      <c r="C21" s="7" t="s">
        <v>1062</v>
      </c>
      <c r="D21" s="7">
        <v>50126304</v>
      </c>
      <c r="E21" s="7">
        <v>70</v>
      </c>
      <c r="F21" s="7">
        <f>79+83</f>
        <v>162</v>
      </c>
      <c r="G21" s="7">
        <v>13</v>
      </c>
      <c r="H21" s="7" t="s">
        <v>69</v>
      </c>
      <c r="I21" s="7" t="s">
        <v>109</v>
      </c>
      <c r="J21" s="7" t="s">
        <v>130</v>
      </c>
      <c r="K21" s="46">
        <v>0.91666666666666663</v>
      </c>
      <c r="L21" s="7" t="s">
        <v>109</v>
      </c>
      <c r="M21" s="7" t="s">
        <v>109</v>
      </c>
      <c r="N21" s="7" t="s">
        <v>109</v>
      </c>
      <c r="O21" s="7" t="s">
        <v>607</v>
      </c>
      <c r="P21" s="7" t="s">
        <v>131</v>
      </c>
      <c r="Q21" s="7" t="s">
        <v>69</v>
      </c>
      <c r="R21" s="7" t="s">
        <v>62</v>
      </c>
      <c r="S21" s="7" t="s">
        <v>123</v>
      </c>
      <c r="T21" s="7" t="s">
        <v>1063</v>
      </c>
      <c r="U21" s="131">
        <f t="shared" si="0"/>
        <v>0.18571428571428572</v>
      </c>
      <c r="V21" s="7" t="s">
        <v>889</v>
      </c>
    </row>
    <row r="22" spans="1:22" x14ac:dyDescent="0.3">
      <c r="A22" s="7">
        <v>21</v>
      </c>
      <c r="B22" s="7" t="s">
        <v>23</v>
      </c>
      <c r="C22" s="7" t="s">
        <v>1065</v>
      </c>
      <c r="D22" s="7">
        <v>50126305</v>
      </c>
      <c r="E22" s="7">
        <v>100</v>
      </c>
      <c r="F22" s="7">
        <v>209</v>
      </c>
      <c r="G22" s="7">
        <v>13</v>
      </c>
      <c r="H22" s="7" t="s">
        <v>73</v>
      </c>
      <c r="I22" s="7" t="s">
        <v>109</v>
      </c>
      <c r="J22" s="7" t="s">
        <v>130</v>
      </c>
      <c r="K22" s="46">
        <v>0.80277777777777781</v>
      </c>
      <c r="L22" s="7" t="s">
        <v>109</v>
      </c>
      <c r="M22" s="7" t="s">
        <v>109</v>
      </c>
      <c r="N22" s="7" t="s">
        <v>109</v>
      </c>
      <c r="O22" s="7" t="s">
        <v>61</v>
      </c>
      <c r="P22" s="7" t="s">
        <v>131</v>
      </c>
      <c r="Q22" s="7" t="s">
        <v>64</v>
      </c>
      <c r="R22" s="7" t="s">
        <v>62</v>
      </c>
      <c r="S22" s="7" t="s">
        <v>123</v>
      </c>
      <c r="T22" s="7" t="s">
        <v>1063</v>
      </c>
      <c r="U22" s="131">
        <f t="shared" si="0"/>
        <v>0.13</v>
      </c>
      <c r="V22" s="7" t="s">
        <v>2087</v>
      </c>
    </row>
    <row r="23" spans="1:22" x14ac:dyDescent="0.3">
      <c r="A23" s="7">
        <v>22</v>
      </c>
      <c r="B23" s="7" t="s">
        <v>23</v>
      </c>
      <c r="C23" s="7" t="s">
        <v>484</v>
      </c>
      <c r="D23" s="7">
        <v>50126012</v>
      </c>
      <c r="E23" s="7">
        <v>30</v>
      </c>
      <c r="F23" s="7">
        <v>77</v>
      </c>
      <c r="G23" s="7">
        <v>28</v>
      </c>
      <c r="H23" s="7" t="s">
        <v>67</v>
      </c>
      <c r="I23" s="7" t="s">
        <v>95</v>
      </c>
      <c r="J23" s="7" t="s">
        <v>130</v>
      </c>
      <c r="K23" s="46">
        <v>0.7006944444444444</v>
      </c>
      <c r="L23" s="46">
        <v>0.71388888888888891</v>
      </c>
      <c r="M23" s="7" t="s">
        <v>109</v>
      </c>
      <c r="N23" s="7" t="s">
        <v>109</v>
      </c>
      <c r="O23" s="7" t="s">
        <v>61</v>
      </c>
      <c r="P23" s="7" t="s">
        <v>131</v>
      </c>
      <c r="Q23" s="7" t="s">
        <v>95</v>
      </c>
      <c r="R23" s="7" t="s">
        <v>62</v>
      </c>
      <c r="S23" s="7" t="s">
        <v>123</v>
      </c>
      <c r="T23" s="7" t="s">
        <v>480</v>
      </c>
      <c r="U23" s="131">
        <f t="shared" si="0"/>
        <v>0.93333333333333335</v>
      </c>
      <c r="V23" s="7" t="s">
        <v>1941</v>
      </c>
    </row>
    <row r="24" spans="1:22" x14ac:dyDescent="0.3">
      <c r="A24" s="7">
        <v>23</v>
      </c>
      <c r="B24" s="7" t="s">
        <v>23</v>
      </c>
      <c r="C24" s="7" t="s">
        <v>2415</v>
      </c>
      <c r="D24" s="7">
        <v>50226091</v>
      </c>
      <c r="E24" s="7">
        <v>70</v>
      </c>
      <c r="F24" s="7">
        <v>13</v>
      </c>
      <c r="G24" s="7">
        <v>3</v>
      </c>
      <c r="H24" s="7" t="s">
        <v>66</v>
      </c>
      <c r="I24" s="7" t="s">
        <v>109</v>
      </c>
      <c r="J24" s="7" t="s">
        <v>130</v>
      </c>
      <c r="K24" s="46">
        <v>0.99791666666666667</v>
      </c>
      <c r="L24" s="7" t="s">
        <v>109</v>
      </c>
      <c r="M24" s="7" t="s">
        <v>109</v>
      </c>
      <c r="N24" s="7" t="s">
        <v>109</v>
      </c>
      <c r="O24" s="7" t="s">
        <v>61</v>
      </c>
      <c r="P24" s="7" t="s">
        <v>131</v>
      </c>
      <c r="Q24" s="7" t="s">
        <v>66</v>
      </c>
      <c r="R24" s="7" t="s">
        <v>62</v>
      </c>
      <c r="S24" s="7" t="s">
        <v>123</v>
      </c>
      <c r="T24" s="7" t="s">
        <v>278</v>
      </c>
      <c r="U24" s="131">
        <f t="shared" si="0"/>
        <v>4.2857142857142858E-2</v>
      </c>
      <c r="V24" s="7" t="s">
        <v>889</v>
      </c>
    </row>
    <row r="25" spans="1:22" x14ac:dyDescent="0.3">
      <c r="A25" s="7">
        <v>24</v>
      </c>
      <c r="B25" s="7" t="s">
        <v>23</v>
      </c>
      <c r="C25" s="7" t="s">
        <v>2416</v>
      </c>
      <c r="D25" s="7">
        <v>50226095</v>
      </c>
      <c r="E25" s="7">
        <v>20</v>
      </c>
      <c r="F25" s="7">
        <v>54</v>
      </c>
      <c r="G25" s="7">
        <v>20</v>
      </c>
      <c r="H25" s="7" t="s">
        <v>196</v>
      </c>
      <c r="I25" s="7" t="s">
        <v>109</v>
      </c>
      <c r="J25" s="7" t="s">
        <v>130</v>
      </c>
      <c r="K25" s="46">
        <v>0.8</v>
      </c>
      <c r="L25" s="7" t="s">
        <v>109</v>
      </c>
      <c r="M25" s="7" t="s">
        <v>109</v>
      </c>
      <c r="N25" s="7" t="s">
        <v>109</v>
      </c>
      <c r="O25" s="7" t="s">
        <v>61</v>
      </c>
      <c r="P25" s="7" t="s">
        <v>131</v>
      </c>
      <c r="Q25" s="7" t="s">
        <v>196</v>
      </c>
      <c r="R25" s="7" t="s">
        <v>62</v>
      </c>
      <c r="S25" s="7" t="s">
        <v>123</v>
      </c>
      <c r="T25" s="7" t="s">
        <v>275</v>
      </c>
      <c r="U25" s="131">
        <f t="shared" si="0"/>
        <v>1</v>
      </c>
      <c r="V25" s="7" t="s">
        <v>1941</v>
      </c>
    </row>
    <row r="26" spans="1:22" x14ac:dyDescent="0.3">
      <c r="A26" s="7">
        <v>25</v>
      </c>
      <c r="B26" s="7" t="s">
        <v>23</v>
      </c>
      <c r="C26" s="7" t="s">
        <v>2417</v>
      </c>
      <c r="D26" s="7">
        <v>50226094</v>
      </c>
      <c r="E26" s="7">
        <v>40</v>
      </c>
      <c r="F26" s="7">
        <v>80</v>
      </c>
      <c r="G26" s="7">
        <v>10</v>
      </c>
      <c r="H26" s="7" t="s">
        <v>84</v>
      </c>
      <c r="I26" s="7" t="s">
        <v>109</v>
      </c>
      <c r="J26" s="7" t="s">
        <v>130</v>
      </c>
      <c r="K26" s="46">
        <v>0.81944444444444442</v>
      </c>
      <c r="L26" s="7" t="s">
        <v>109</v>
      </c>
      <c r="M26" s="7" t="s">
        <v>109</v>
      </c>
      <c r="N26" s="7" t="s">
        <v>109</v>
      </c>
      <c r="O26" s="7" t="s">
        <v>61</v>
      </c>
      <c r="P26" s="7" t="s">
        <v>131</v>
      </c>
      <c r="Q26" s="7" t="s">
        <v>84</v>
      </c>
      <c r="R26" s="7" t="s">
        <v>62</v>
      </c>
      <c r="S26" s="7" t="s">
        <v>123</v>
      </c>
      <c r="T26" s="7" t="s">
        <v>275</v>
      </c>
      <c r="U26" s="131">
        <f t="shared" si="0"/>
        <v>0.25</v>
      </c>
      <c r="V26" s="7" t="s">
        <v>2087</v>
      </c>
    </row>
    <row r="27" spans="1:22" x14ac:dyDescent="0.3">
      <c r="A27" s="7">
        <v>26</v>
      </c>
      <c r="B27" s="7" t="s">
        <v>23</v>
      </c>
      <c r="C27" s="7" t="s">
        <v>2418</v>
      </c>
      <c r="D27" s="7">
        <v>50226093</v>
      </c>
      <c r="E27" s="7">
        <v>40</v>
      </c>
      <c r="F27" s="7">
        <v>100</v>
      </c>
      <c r="G27" s="7">
        <v>23</v>
      </c>
      <c r="H27" s="7" t="s">
        <v>69</v>
      </c>
      <c r="I27" s="7" t="s">
        <v>109</v>
      </c>
      <c r="J27" s="7" t="s">
        <v>130</v>
      </c>
      <c r="K27" s="46">
        <v>0.90347222222222223</v>
      </c>
      <c r="L27" s="7" t="s">
        <v>109</v>
      </c>
      <c r="M27" s="7" t="s">
        <v>109</v>
      </c>
      <c r="N27" s="7" t="s">
        <v>109</v>
      </c>
      <c r="O27" s="7" t="s">
        <v>61</v>
      </c>
      <c r="P27" s="7" t="s">
        <v>131</v>
      </c>
      <c r="Q27" s="7" t="s">
        <v>69</v>
      </c>
      <c r="R27" s="7" t="s">
        <v>62</v>
      </c>
      <c r="S27" s="7" t="s">
        <v>123</v>
      </c>
      <c r="T27" s="7" t="s">
        <v>275</v>
      </c>
      <c r="U27" s="131">
        <f t="shared" si="0"/>
        <v>0.57499999999999996</v>
      </c>
      <c r="V27" s="7" t="s">
        <v>2087</v>
      </c>
    </row>
    <row r="28" spans="1:22" x14ac:dyDescent="0.3">
      <c r="A28" s="7">
        <v>27</v>
      </c>
      <c r="B28" s="7" t="s">
        <v>23</v>
      </c>
      <c r="C28" s="7" t="s">
        <v>479</v>
      </c>
      <c r="D28" s="7">
        <v>50126013</v>
      </c>
      <c r="E28" s="7">
        <v>100</v>
      </c>
      <c r="F28" s="7">
        <v>216</v>
      </c>
      <c r="G28" s="7">
        <v>40</v>
      </c>
      <c r="H28" s="7" t="s">
        <v>2419</v>
      </c>
      <c r="I28" s="7" t="s">
        <v>285</v>
      </c>
      <c r="J28" s="7" t="s">
        <v>130</v>
      </c>
      <c r="K28" s="46">
        <v>0.79583333333333328</v>
      </c>
      <c r="L28" s="46">
        <v>0.81874999999999998</v>
      </c>
      <c r="M28" s="7" t="s">
        <v>109</v>
      </c>
      <c r="N28" s="7" t="s">
        <v>109</v>
      </c>
      <c r="O28" s="7" t="s">
        <v>61</v>
      </c>
      <c r="P28" s="7" t="s">
        <v>131</v>
      </c>
      <c r="Q28" s="7" t="s">
        <v>93</v>
      </c>
      <c r="R28" s="7" t="s">
        <v>62</v>
      </c>
      <c r="S28" s="7" t="s">
        <v>123</v>
      </c>
      <c r="T28" s="7" t="s">
        <v>480</v>
      </c>
      <c r="U28" s="131">
        <f t="shared" si="0"/>
        <v>0.4</v>
      </c>
      <c r="V28" s="7" t="s">
        <v>2087</v>
      </c>
    </row>
    <row r="29" spans="1:22" x14ac:dyDescent="0.3">
      <c r="A29" s="7">
        <v>28</v>
      </c>
      <c r="B29" s="7" t="s">
        <v>23</v>
      </c>
      <c r="C29" s="7" t="s">
        <v>2420</v>
      </c>
      <c r="D29" s="7">
        <v>50226092</v>
      </c>
      <c r="E29" s="7">
        <v>15</v>
      </c>
      <c r="F29" s="7">
        <v>8</v>
      </c>
      <c r="G29" s="7">
        <v>2</v>
      </c>
      <c r="H29" s="7" t="s">
        <v>222</v>
      </c>
      <c r="I29" s="7" t="s">
        <v>109</v>
      </c>
      <c r="J29" s="7" t="s">
        <v>130</v>
      </c>
      <c r="K29" s="46">
        <v>0.75347222222222221</v>
      </c>
      <c r="L29" s="7" t="s">
        <v>109</v>
      </c>
      <c r="M29" s="7" t="s">
        <v>109</v>
      </c>
      <c r="N29" s="7" t="s">
        <v>109</v>
      </c>
      <c r="O29" s="7" t="s">
        <v>61</v>
      </c>
      <c r="P29" s="7" t="s">
        <v>131</v>
      </c>
      <c r="Q29" s="7" t="s">
        <v>222</v>
      </c>
      <c r="R29" s="7" t="s">
        <v>62</v>
      </c>
      <c r="S29" s="7" t="s">
        <v>123</v>
      </c>
      <c r="T29" s="7" t="s">
        <v>166</v>
      </c>
      <c r="U29" s="131">
        <f t="shared" si="0"/>
        <v>0.13333333333333333</v>
      </c>
      <c r="V29" s="7" t="s">
        <v>889</v>
      </c>
    </row>
    <row r="30" spans="1:22" x14ac:dyDescent="0.3">
      <c r="A30" s="7">
        <v>29</v>
      </c>
      <c r="B30" s="7" t="s">
        <v>143</v>
      </c>
      <c r="C30" s="7" t="s">
        <v>2359</v>
      </c>
      <c r="D30" s="7">
        <v>10226038</v>
      </c>
      <c r="E30" s="7">
        <v>200</v>
      </c>
      <c r="F30" s="7">
        <v>407</v>
      </c>
      <c r="G30" s="7">
        <v>162</v>
      </c>
      <c r="H30" s="7" t="s">
        <v>2421</v>
      </c>
      <c r="I30" s="7" t="s">
        <v>2422</v>
      </c>
      <c r="J30" s="7" t="s">
        <v>130</v>
      </c>
      <c r="K30" s="46">
        <v>0.93611111111111112</v>
      </c>
      <c r="L30" s="46">
        <v>0.95486111111111116</v>
      </c>
      <c r="M30" s="7" t="s">
        <v>109</v>
      </c>
      <c r="N30" s="7" t="s">
        <v>109</v>
      </c>
      <c r="O30" s="7" t="s">
        <v>61</v>
      </c>
      <c r="P30" s="7" t="s">
        <v>131</v>
      </c>
      <c r="Q30" s="7" t="s">
        <v>209</v>
      </c>
      <c r="R30" s="7" t="s">
        <v>62</v>
      </c>
      <c r="S30" s="7" t="s">
        <v>123</v>
      </c>
      <c r="T30" s="7" t="s">
        <v>402</v>
      </c>
      <c r="U30" s="131">
        <f t="shared" si="0"/>
        <v>0.81</v>
      </c>
      <c r="V30" s="7" t="s">
        <v>2087</v>
      </c>
    </row>
    <row r="31" spans="1:22" x14ac:dyDescent="0.3">
      <c r="A31" s="7">
        <v>30</v>
      </c>
      <c r="B31" s="7" t="s">
        <v>143</v>
      </c>
      <c r="C31" s="7" t="s">
        <v>2305</v>
      </c>
      <c r="D31" s="7">
        <v>10226022</v>
      </c>
      <c r="E31" s="7">
        <v>75</v>
      </c>
      <c r="F31" s="7">
        <v>157</v>
      </c>
      <c r="G31" s="7">
        <v>69</v>
      </c>
      <c r="H31" s="7" t="s">
        <v>200</v>
      </c>
      <c r="I31" s="7" t="s">
        <v>91</v>
      </c>
      <c r="J31" s="7" t="s">
        <v>130</v>
      </c>
      <c r="K31" s="46">
        <v>0.72083333333333333</v>
      </c>
      <c r="L31" s="46">
        <v>0.74652777777777779</v>
      </c>
      <c r="M31" s="7" t="s">
        <v>109</v>
      </c>
      <c r="N31" s="7" t="s">
        <v>109</v>
      </c>
      <c r="O31" s="7" t="s">
        <v>61</v>
      </c>
      <c r="P31" s="7" t="s">
        <v>131</v>
      </c>
      <c r="Q31" s="7" t="s">
        <v>91</v>
      </c>
      <c r="R31" s="7" t="s">
        <v>62</v>
      </c>
      <c r="S31" s="7" t="s">
        <v>123</v>
      </c>
      <c r="T31" s="7" t="s">
        <v>402</v>
      </c>
      <c r="U31" s="131">
        <f t="shared" si="0"/>
        <v>0.92</v>
      </c>
      <c r="V31" s="7" t="s">
        <v>1941</v>
      </c>
    </row>
    <row r="32" spans="1:22" x14ac:dyDescent="0.3">
      <c r="A32" s="7">
        <v>31</v>
      </c>
      <c r="B32" s="7" t="s">
        <v>143</v>
      </c>
      <c r="C32" s="7" t="s">
        <v>1667</v>
      </c>
      <c r="D32" s="7">
        <v>10126048</v>
      </c>
      <c r="E32" s="7">
        <v>65</v>
      </c>
      <c r="F32" s="7">
        <v>119</v>
      </c>
      <c r="G32" s="7">
        <v>23</v>
      </c>
      <c r="H32" s="7" t="s">
        <v>68</v>
      </c>
      <c r="I32" s="7" t="s">
        <v>86</v>
      </c>
      <c r="J32" s="7" t="s">
        <v>130</v>
      </c>
      <c r="K32" s="46">
        <v>0.97361111111111109</v>
      </c>
      <c r="L32" s="46">
        <v>0.98541666666666672</v>
      </c>
      <c r="M32" s="7" t="s">
        <v>109</v>
      </c>
      <c r="N32" s="7" t="s">
        <v>109</v>
      </c>
      <c r="O32" s="7" t="s">
        <v>61</v>
      </c>
      <c r="P32" s="7" t="s">
        <v>131</v>
      </c>
      <c r="Q32" s="7" t="s">
        <v>86</v>
      </c>
      <c r="R32" s="7" t="s">
        <v>62</v>
      </c>
      <c r="S32" s="7" t="s">
        <v>123</v>
      </c>
      <c r="T32" s="7" t="s">
        <v>402</v>
      </c>
      <c r="U32" s="131">
        <f t="shared" si="0"/>
        <v>0.35384615384615387</v>
      </c>
      <c r="V32" s="7" t="s">
        <v>2087</v>
      </c>
    </row>
    <row r="33" spans="1:22" x14ac:dyDescent="0.3">
      <c r="A33" s="7">
        <v>32</v>
      </c>
      <c r="B33" s="7" t="s">
        <v>143</v>
      </c>
      <c r="C33" s="7" t="s">
        <v>2331</v>
      </c>
      <c r="D33" s="7">
        <v>10226031</v>
      </c>
      <c r="E33" s="7">
        <v>65</v>
      </c>
      <c r="F33" s="7">
        <v>127</v>
      </c>
      <c r="G33" s="7">
        <v>28</v>
      </c>
      <c r="H33" s="7" t="s">
        <v>67</v>
      </c>
      <c r="I33" s="7" t="s">
        <v>95</v>
      </c>
      <c r="J33" s="7" t="s">
        <v>130</v>
      </c>
      <c r="K33" s="46">
        <v>0.97916666666666663</v>
      </c>
      <c r="L33" s="46">
        <v>0.98750000000000004</v>
      </c>
      <c r="M33" s="7" t="s">
        <v>109</v>
      </c>
      <c r="N33" s="7" t="s">
        <v>109</v>
      </c>
      <c r="O33" s="7" t="s">
        <v>61</v>
      </c>
      <c r="P33" s="7" t="s">
        <v>131</v>
      </c>
      <c r="Q33" s="7" t="s">
        <v>95</v>
      </c>
      <c r="R33" s="7" t="s">
        <v>62</v>
      </c>
      <c r="S33" s="7" t="s">
        <v>123</v>
      </c>
      <c r="T33" s="7" t="s">
        <v>121</v>
      </c>
      <c r="U33" s="131">
        <f t="shared" si="0"/>
        <v>0.43076923076923079</v>
      </c>
      <c r="V33" s="7" t="s">
        <v>2087</v>
      </c>
    </row>
    <row r="34" spans="1:22" x14ac:dyDescent="0.3">
      <c r="A34" s="7">
        <v>33</v>
      </c>
      <c r="B34" s="7" t="s">
        <v>143</v>
      </c>
      <c r="C34" s="7" t="s">
        <v>2333</v>
      </c>
      <c r="D34" s="7">
        <v>10226028</v>
      </c>
      <c r="E34" s="7">
        <v>60</v>
      </c>
      <c r="F34" s="7">
        <v>83</v>
      </c>
      <c r="G34" s="7">
        <v>64</v>
      </c>
      <c r="H34" s="7" t="s">
        <v>222</v>
      </c>
      <c r="I34" s="7" t="s">
        <v>209</v>
      </c>
      <c r="J34" s="7" t="s">
        <v>130</v>
      </c>
      <c r="K34" s="46">
        <v>0.7895833333333333</v>
      </c>
      <c r="L34" s="46">
        <v>0.81527777777777777</v>
      </c>
      <c r="M34" s="7" t="s">
        <v>109</v>
      </c>
      <c r="N34" s="7" t="s">
        <v>109</v>
      </c>
      <c r="O34" s="7" t="s">
        <v>61</v>
      </c>
      <c r="P34" s="7" t="s">
        <v>131</v>
      </c>
      <c r="Q34" s="7" t="s">
        <v>209</v>
      </c>
      <c r="R34" s="7" t="s">
        <v>62</v>
      </c>
      <c r="S34" s="7" t="s">
        <v>123</v>
      </c>
      <c r="T34" s="7" t="s">
        <v>121</v>
      </c>
      <c r="U34" s="131">
        <f t="shared" ref="U34:U64" si="1">G34/E34</f>
        <v>1.0666666666666667</v>
      </c>
      <c r="V34" s="7" t="s">
        <v>1941</v>
      </c>
    </row>
    <row r="35" spans="1:22" x14ac:dyDescent="0.3">
      <c r="A35" s="7">
        <v>34</v>
      </c>
      <c r="B35" s="7" t="s">
        <v>143</v>
      </c>
      <c r="C35" s="7" t="s">
        <v>2334</v>
      </c>
      <c r="D35" s="7">
        <v>10226029</v>
      </c>
      <c r="E35" s="7">
        <v>50</v>
      </c>
      <c r="F35" s="7">
        <v>60</v>
      </c>
      <c r="G35" s="7">
        <v>49</v>
      </c>
      <c r="H35" s="7" t="s">
        <v>66</v>
      </c>
      <c r="I35" s="7" t="s">
        <v>88</v>
      </c>
      <c r="J35" s="7" t="s">
        <v>130</v>
      </c>
      <c r="K35" s="46">
        <v>0.66180555555555554</v>
      </c>
      <c r="L35" s="46">
        <v>0.77361111111111114</v>
      </c>
      <c r="M35" s="7" t="s">
        <v>109</v>
      </c>
      <c r="N35" s="7" t="s">
        <v>109</v>
      </c>
      <c r="O35" s="7" t="s">
        <v>61</v>
      </c>
      <c r="P35" s="7" t="s">
        <v>131</v>
      </c>
      <c r="Q35" s="7" t="s">
        <v>88</v>
      </c>
      <c r="R35" s="7" t="s">
        <v>62</v>
      </c>
      <c r="S35" s="7" t="s">
        <v>123</v>
      </c>
      <c r="T35" s="7" t="s">
        <v>121</v>
      </c>
      <c r="U35" s="131">
        <f t="shared" si="1"/>
        <v>0.98</v>
      </c>
      <c r="V35" s="7" t="s">
        <v>1941</v>
      </c>
    </row>
    <row r="36" spans="1:22" x14ac:dyDescent="0.3">
      <c r="A36" s="7">
        <v>35</v>
      </c>
      <c r="B36" s="7" t="s">
        <v>143</v>
      </c>
      <c r="C36" s="7" t="s">
        <v>2366</v>
      </c>
      <c r="D36" s="7">
        <v>10226040</v>
      </c>
      <c r="E36" s="7">
        <v>50</v>
      </c>
      <c r="F36" s="7">
        <v>84</v>
      </c>
      <c r="G36" s="7">
        <v>49</v>
      </c>
      <c r="H36" s="7" t="s">
        <v>200</v>
      </c>
      <c r="I36" s="7" t="s">
        <v>89</v>
      </c>
      <c r="J36" s="7" t="s">
        <v>130</v>
      </c>
      <c r="K36" s="46">
        <v>0.79722222222222228</v>
      </c>
      <c r="L36" s="46">
        <v>0.82013888888888886</v>
      </c>
      <c r="M36" s="7" t="s">
        <v>109</v>
      </c>
      <c r="N36" s="7" t="s">
        <v>109</v>
      </c>
      <c r="O36" s="7" t="s">
        <v>61</v>
      </c>
      <c r="P36" s="7" t="s">
        <v>131</v>
      </c>
      <c r="Q36" s="7" t="s">
        <v>89</v>
      </c>
      <c r="R36" s="7" t="s">
        <v>62</v>
      </c>
      <c r="S36" s="7" t="s">
        <v>123</v>
      </c>
      <c r="T36" s="7" t="s">
        <v>334</v>
      </c>
      <c r="U36" s="131">
        <f t="shared" si="1"/>
        <v>0.98</v>
      </c>
      <c r="V36" s="7" t="s">
        <v>1941</v>
      </c>
    </row>
    <row r="37" spans="1:22" x14ac:dyDescent="0.3">
      <c r="A37" s="7">
        <v>36</v>
      </c>
      <c r="B37" s="7" t="s">
        <v>143</v>
      </c>
      <c r="C37" s="7" t="s">
        <v>1598</v>
      </c>
      <c r="D37" s="7">
        <v>10126044</v>
      </c>
      <c r="E37" s="7">
        <v>100</v>
      </c>
      <c r="F37" s="7">
        <v>199</v>
      </c>
      <c r="G37" s="7">
        <v>66</v>
      </c>
      <c r="H37" s="7" t="s">
        <v>2449</v>
      </c>
      <c r="I37" s="7" t="s">
        <v>194</v>
      </c>
      <c r="J37" s="7" t="s">
        <v>130</v>
      </c>
      <c r="K37" s="46">
        <v>0.97152777777777777</v>
      </c>
      <c r="L37" s="46">
        <v>3.1944444444444442E-2</v>
      </c>
      <c r="M37" s="7" t="s">
        <v>109</v>
      </c>
      <c r="N37" s="7" t="s">
        <v>109</v>
      </c>
      <c r="O37" s="7" t="s">
        <v>61</v>
      </c>
      <c r="P37" s="7" t="s">
        <v>131</v>
      </c>
      <c r="Q37" s="7" t="s">
        <v>89</v>
      </c>
      <c r="R37" s="7" t="s">
        <v>62</v>
      </c>
      <c r="S37" s="7" t="s">
        <v>123</v>
      </c>
      <c r="T37" s="7" t="s">
        <v>480</v>
      </c>
      <c r="U37" s="131">
        <f t="shared" si="1"/>
        <v>0.66</v>
      </c>
      <c r="V37" s="7" t="s">
        <v>2087</v>
      </c>
    </row>
    <row r="38" spans="1:22" x14ac:dyDescent="0.3">
      <c r="A38" s="7">
        <v>37</v>
      </c>
      <c r="B38" s="7" t="s">
        <v>143</v>
      </c>
      <c r="C38" s="7" t="s">
        <v>2256</v>
      </c>
      <c r="D38" s="7">
        <v>10226016</v>
      </c>
      <c r="E38" s="7">
        <v>190</v>
      </c>
      <c r="F38" s="7">
        <v>302</v>
      </c>
      <c r="G38" s="7">
        <v>191</v>
      </c>
      <c r="H38" s="7" t="s">
        <v>2423</v>
      </c>
      <c r="I38" s="7" t="s">
        <v>99</v>
      </c>
      <c r="J38" s="7" t="s">
        <v>130</v>
      </c>
      <c r="K38" s="46">
        <v>0.96597222222222223</v>
      </c>
      <c r="L38" s="46">
        <v>4.1666666666666666E-3</v>
      </c>
      <c r="M38" s="7" t="s">
        <v>109</v>
      </c>
      <c r="N38" s="7" t="s">
        <v>109</v>
      </c>
      <c r="O38" s="7" t="s">
        <v>61</v>
      </c>
      <c r="P38" s="7" t="s">
        <v>131</v>
      </c>
      <c r="Q38" s="7" t="s">
        <v>91</v>
      </c>
      <c r="R38" s="7" t="s">
        <v>62</v>
      </c>
      <c r="S38" s="7" t="s">
        <v>123</v>
      </c>
      <c r="T38" s="7" t="s">
        <v>2253</v>
      </c>
      <c r="U38" s="131">
        <f t="shared" si="1"/>
        <v>1.0052631578947369</v>
      </c>
      <c r="V38" s="7" t="s">
        <v>2087</v>
      </c>
    </row>
    <row r="39" spans="1:22" x14ac:dyDescent="0.3">
      <c r="A39" s="7">
        <v>38</v>
      </c>
      <c r="B39" s="7" t="s">
        <v>143</v>
      </c>
      <c r="C39" s="7" t="s">
        <v>1514</v>
      </c>
      <c r="D39" s="7">
        <v>10126035</v>
      </c>
      <c r="E39" s="7">
        <v>104</v>
      </c>
      <c r="F39" s="7">
        <v>219</v>
      </c>
      <c r="G39" s="7">
        <v>19</v>
      </c>
      <c r="H39" s="7" t="s">
        <v>1710</v>
      </c>
      <c r="I39" s="7" t="s">
        <v>294</v>
      </c>
      <c r="J39" s="7" t="s">
        <v>130</v>
      </c>
      <c r="K39" s="46">
        <v>0.94305555555555554</v>
      </c>
      <c r="L39" s="46">
        <v>0.97847222222222219</v>
      </c>
      <c r="M39" s="7" t="s">
        <v>109</v>
      </c>
      <c r="N39" s="7" t="s">
        <v>109</v>
      </c>
      <c r="O39" s="7" t="s">
        <v>61</v>
      </c>
      <c r="P39" s="7" t="s">
        <v>131</v>
      </c>
      <c r="Q39" s="7" t="s">
        <v>88</v>
      </c>
      <c r="R39" s="7" t="s">
        <v>62</v>
      </c>
      <c r="S39" s="7" t="s">
        <v>123</v>
      </c>
      <c r="T39" s="7" t="s">
        <v>398</v>
      </c>
      <c r="U39" s="131">
        <f t="shared" si="1"/>
        <v>0.18269230769230768</v>
      </c>
      <c r="V39" s="7" t="s">
        <v>2087</v>
      </c>
    </row>
    <row r="40" spans="1:22" x14ac:dyDescent="0.3">
      <c r="A40" s="7">
        <v>39</v>
      </c>
      <c r="B40" s="7" t="s">
        <v>143</v>
      </c>
      <c r="C40" s="7" t="s">
        <v>2424</v>
      </c>
      <c r="D40" s="7">
        <v>10226043</v>
      </c>
      <c r="E40" s="7">
        <v>100</v>
      </c>
      <c r="F40" s="7">
        <v>253</v>
      </c>
      <c r="G40" s="7">
        <v>64</v>
      </c>
      <c r="H40" s="7" t="s">
        <v>2425</v>
      </c>
      <c r="I40" s="7" t="s">
        <v>764</v>
      </c>
      <c r="J40" s="7" t="s">
        <v>130</v>
      </c>
      <c r="K40" s="46">
        <v>2.7777777777777779E-3</v>
      </c>
      <c r="L40" s="46">
        <v>2.4305555555555556E-2</v>
      </c>
      <c r="M40" s="7" t="s">
        <v>109</v>
      </c>
      <c r="N40" s="7" t="s">
        <v>109</v>
      </c>
      <c r="O40" s="7" t="s">
        <v>61</v>
      </c>
      <c r="P40" s="7" t="s">
        <v>131</v>
      </c>
      <c r="Q40" s="7" t="s">
        <v>888</v>
      </c>
      <c r="R40" s="7" t="s">
        <v>62</v>
      </c>
      <c r="S40" s="7" t="s">
        <v>123</v>
      </c>
      <c r="T40" s="7" t="s">
        <v>398</v>
      </c>
      <c r="U40" s="131">
        <f t="shared" si="1"/>
        <v>0.64</v>
      </c>
      <c r="V40" s="7" t="s">
        <v>2087</v>
      </c>
    </row>
    <row r="41" spans="1:22" x14ac:dyDescent="0.3">
      <c r="A41" s="7">
        <v>40</v>
      </c>
      <c r="B41" s="7" t="s">
        <v>143</v>
      </c>
      <c r="C41" s="7" t="s">
        <v>2426</v>
      </c>
      <c r="D41" s="7">
        <v>10226042</v>
      </c>
      <c r="E41" s="7">
        <v>50</v>
      </c>
      <c r="F41" s="7">
        <f>8+59</f>
        <v>67</v>
      </c>
      <c r="G41" s="7">
        <f>2+6</f>
        <v>8</v>
      </c>
      <c r="H41" s="7" t="s">
        <v>527</v>
      </c>
      <c r="I41" s="7" t="s">
        <v>154</v>
      </c>
      <c r="J41" s="7" t="s">
        <v>130</v>
      </c>
      <c r="K41" s="46">
        <v>0.97152777777777777</v>
      </c>
      <c r="L41" s="46">
        <v>0.9916666666666667</v>
      </c>
      <c r="M41" s="7" t="s">
        <v>109</v>
      </c>
      <c r="N41" s="7" t="s">
        <v>109</v>
      </c>
      <c r="O41" s="7" t="s">
        <v>61</v>
      </c>
      <c r="P41" s="7" t="s">
        <v>131</v>
      </c>
      <c r="Q41" s="7" t="s">
        <v>154</v>
      </c>
      <c r="R41" s="7" t="s">
        <v>62</v>
      </c>
      <c r="S41" s="7" t="s">
        <v>123</v>
      </c>
      <c r="T41" s="7" t="s">
        <v>398</v>
      </c>
      <c r="U41" s="131">
        <f t="shared" si="1"/>
        <v>0.16</v>
      </c>
      <c r="V41" s="7" t="s">
        <v>889</v>
      </c>
    </row>
    <row r="42" spans="1:22" x14ac:dyDescent="0.3">
      <c r="A42" s="7">
        <v>41</v>
      </c>
      <c r="B42" s="7" t="s">
        <v>143</v>
      </c>
      <c r="C42" s="7" t="s">
        <v>2427</v>
      </c>
      <c r="D42" s="7">
        <v>10226041</v>
      </c>
      <c r="E42" s="7">
        <v>150</v>
      </c>
      <c r="F42" s="7">
        <v>201</v>
      </c>
      <c r="G42" s="7">
        <v>131</v>
      </c>
      <c r="H42" s="7" t="s">
        <v>1333</v>
      </c>
      <c r="I42" s="7" t="s">
        <v>294</v>
      </c>
      <c r="J42" s="7" t="s">
        <v>130</v>
      </c>
      <c r="K42" s="46">
        <v>0.82361111111111107</v>
      </c>
      <c r="L42" s="46">
        <v>0.83680555555555558</v>
      </c>
      <c r="M42" s="7" t="s">
        <v>109</v>
      </c>
      <c r="N42" s="7" t="s">
        <v>109</v>
      </c>
      <c r="O42" s="7" t="s">
        <v>61</v>
      </c>
      <c r="P42" s="7" t="s">
        <v>131</v>
      </c>
      <c r="Q42" s="7" t="s">
        <v>209</v>
      </c>
      <c r="R42" s="7" t="s">
        <v>62</v>
      </c>
      <c r="S42" s="7" t="s">
        <v>123</v>
      </c>
      <c r="T42" s="7" t="s">
        <v>1603</v>
      </c>
      <c r="U42" s="131">
        <f t="shared" si="1"/>
        <v>0.87333333333333329</v>
      </c>
      <c r="V42" s="7" t="s">
        <v>1941</v>
      </c>
    </row>
    <row r="43" spans="1:22" x14ac:dyDescent="0.3">
      <c r="A43" s="7">
        <v>42</v>
      </c>
      <c r="B43" s="7" t="s">
        <v>143</v>
      </c>
      <c r="C43" s="7" t="s">
        <v>2428</v>
      </c>
      <c r="D43" s="7">
        <v>10226044</v>
      </c>
      <c r="E43" s="7">
        <v>94</v>
      </c>
      <c r="F43" s="7">
        <v>128</v>
      </c>
      <c r="G43" s="7">
        <v>91</v>
      </c>
      <c r="H43" s="7" t="s">
        <v>71</v>
      </c>
      <c r="I43" s="7" t="s">
        <v>87</v>
      </c>
      <c r="J43" s="7" t="s">
        <v>130</v>
      </c>
      <c r="K43" s="46">
        <v>0.87013888888888891</v>
      </c>
      <c r="L43" s="46">
        <v>0.95694444444444449</v>
      </c>
      <c r="M43" s="7" t="s">
        <v>109</v>
      </c>
      <c r="N43" s="7" t="s">
        <v>109</v>
      </c>
      <c r="O43" s="7" t="s">
        <v>61</v>
      </c>
      <c r="P43" s="7" t="s">
        <v>131</v>
      </c>
      <c r="Q43" s="7" t="s">
        <v>87</v>
      </c>
      <c r="R43" s="7" t="s">
        <v>62</v>
      </c>
      <c r="S43" s="7" t="s">
        <v>123</v>
      </c>
      <c r="T43" s="7" t="s">
        <v>609</v>
      </c>
      <c r="U43" s="131">
        <f t="shared" si="1"/>
        <v>0.96808510638297873</v>
      </c>
      <c r="V43" s="7" t="s">
        <v>1941</v>
      </c>
    </row>
    <row r="44" spans="1:22" x14ac:dyDescent="0.3">
      <c r="A44" s="7">
        <v>43</v>
      </c>
      <c r="B44" s="7" t="s">
        <v>2395</v>
      </c>
      <c r="C44" s="7" t="s">
        <v>2429</v>
      </c>
      <c r="D44" s="7">
        <v>40226009</v>
      </c>
      <c r="E44" s="7">
        <v>106</v>
      </c>
      <c r="F44" s="7">
        <v>92</v>
      </c>
      <c r="G44" s="7">
        <v>16</v>
      </c>
      <c r="H44" s="7" t="s">
        <v>229</v>
      </c>
      <c r="I44" s="7" t="s">
        <v>230</v>
      </c>
      <c r="J44" s="7" t="s">
        <v>130</v>
      </c>
      <c r="K44" s="46">
        <v>0.99236111111111114</v>
      </c>
      <c r="L44" s="46">
        <v>9.7222222222222224E-3</v>
      </c>
      <c r="M44" s="7" t="s">
        <v>109</v>
      </c>
      <c r="N44" s="7" t="s">
        <v>109</v>
      </c>
      <c r="O44" s="7" t="s">
        <v>61</v>
      </c>
      <c r="P44" s="7" t="s">
        <v>131</v>
      </c>
      <c r="Q44" s="7" t="s">
        <v>154</v>
      </c>
      <c r="R44" s="7" t="s">
        <v>62</v>
      </c>
      <c r="S44" s="7" t="s">
        <v>123</v>
      </c>
      <c r="T44" s="7" t="s">
        <v>2430</v>
      </c>
      <c r="U44" s="131">
        <f t="shared" si="1"/>
        <v>0.15094339622641509</v>
      </c>
      <c r="V44" s="7" t="s">
        <v>2450</v>
      </c>
    </row>
    <row r="45" spans="1:22" x14ac:dyDescent="0.3">
      <c r="A45" s="7">
        <v>44</v>
      </c>
      <c r="B45" s="7" t="s">
        <v>411</v>
      </c>
      <c r="C45" s="7" t="s">
        <v>2246</v>
      </c>
      <c r="D45" s="7">
        <v>30226011</v>
      </c>
      <c r="E45" s="7">
        <v>110</v>
      </c>
      <c r="F45" s="7">
        <v>148</v>
      </c>
      <c r="G45" s="7">
        <v>46</v>
      </c>
      <c r="H45" s="7" t="s">
        <v>1935</v>
      </c>
      <c r="I45" s="7" t="s">
        <v>157</v>
      </c>
      <c r="J45" s="7" t="s">
        <v>130</v>
      </c>
      <c r="K45" s="46">
        <v>0.82986111111111116</v>
      </c>
      <c r="L45" s="46">
        <v>0.84305555555555556</v>
      </c>
      <c r="M45" s="7" t="s">
        <v>109</v>
      </c>
      <c r="N45" s="7" t="s">
        <v>109</v>
      </c>
      <c r="O45" s="7" t="s">
        <v>61</v>
      </c>
      <c r="P45" s="7" t="s">
        <v>131</v>
      </c>
      <c r="Q45" s="7" t="s">
        <v>154</v>
      </c>
      <c r="R45" s="7" t="s">
        <v>63</v>
      </c>
      <c r="S45" s="7" t="s">
        <v>123</v>
      </c>
      <c r="T45" s="7" t="s">
        <v>2247</v>
      </c>
      <c r="U45" s="131">
        <f t="shared" si="1"/>
        <v>0.41818181818181815</v>
      </c>
      <c r="V45" s="7" t="s">
        <v>2441</v>
      </c>
    </row>
    <row r="46" spans="1:22" x14ac:dyDescent="0.3">
      <c r="A46" s="7">
        <v>45</v>
      </c>
      <c r="B46" s="7" t="s">
        <v>23</v>
      </c>
      <c r="C46" s="7" t="s">
        <v>2075</v>
      </c>
      <c r="D46" s="7">
        <v>50226051</v>
      </c>
      <c r="E46" s="7">
        <v>300</v>
      </c>
      <c r="F46" s="7">
        <v>566</v>
      </c>
      <c r="G46" s="7">
        <v>328</v>
      </c>
      <c r="H46" s="7" t="s">
        <v>2431</v>
      </c>
      <c r="I46" s="7" t="s">
        <v>109</v>
      </c>
      <c r="J46" s="7" t="s">
        <v>130</v>
      </c>
      <c r="K46" s="46">
        <v>0.88472222222222219</v>
      </c>
      <c r="L46" s="7" t="s">
        <v>109</v>
      </c>
      <c r="M46" s="7" t="s">
        <v>109</v>
      </c>
      <c r="N46" s="7" t="s">
        <v>1621</v>
      </c>
      <c r="O46" s="7" t="s">
        <v>61</v>
      </c>
      <c r="P46" s="7" t="s">
        <v>131</v>
      </c>
      <c r="Q46" s="7" t="s">
        <v>200</v>
      </c>
      <c r="R46" s="7" t="s">
        <v>62</v>
      </c>
      <c r="S46" s="7" t="s">
        <v>123</v>
      </c>
      <c r="T46" s="7" t="s">
        <v>289</v>
      </c>
      <c r="U46" s="131">
        <f t="shared" si="1"/>
        <v>1.0933333333333333</v>
      </c>
      <c r="V46" s="7" t="s">
        <v>1941</v>
      </c>
    </row>
    <row r="47" spans="1:22" x14ac:dyDescent="0.3">
      <c r="A47" s="7">
        <v>46</v>
      </c>
      <c r="B47" s="7" t="s">
        <v>23</v>
      </c>
      <c r="C47" s="7" t="s">
        <v>2022</v>
      </c>
      <c r="D47" s="7">
        <v>50226042</v>
      </c>
      <c r="E47" s="7">
        <v>100</v>
      </c>
      <c r="F47" s="7">
        <v>169</v>
      </c>
      <c r="G47" s="7">
        <v>51</v>
      </c>
      <c r="H47" s="7" t="s">
        <v>1710</v>
      </c>
      <c r="I47" s="7" t="s">
        <v>109</v>
      </c>
      <c r="J47" s="7" t="s">
        <v>130</v>
      </c>
      <c r="K47" s="46">
        <v>0.71180555555555558</v>
      </c>
      <c r="L47" s="7" t="s">
        <v>109</v>
      </c>
      <c r="M47" s="7" t="s">
        <v>109</v>
      </c>
      <c r="N47" s="7" t="s">
        <v>109</v>
      </c>
      <c r="O47" s="7" t="s">
        <v>61</v>
      </c>
      <c r="P47" s="7" t="s">
        <v>131</v>
      </c>
      <c r="Q47" s="7" t="s">
        <v>66</v>
      </c>
      <c r="R47" s="7" t="s">
        <v>62</v>
      </c>
      <c r="S47" s="7" t="s">
        <v>123</v>
      </c>
      <c r="T47" s="7" t="s">
        <v>464</v>
      </c>
      <c r="U47" s="131">
        <f t="shared" si="1"/>
        <v>0.51</v>
      </c>
      <c r="V47" s="7" t="s">
        <v>889</v>
      </c>
    </row>
    <row r="48" spans="1:22" x14ac:dyDescent="0.3">
      <c r="A48" s="7">
        <v>47</v>
      </c>
      <c r="B48" s="7" t="s">
        <v>23</v>
      </c>
      <c r="C48" s="7" t="s">
        <v>2023</v>
      </c>
      <c r="D48" s="7">
        <v>50226041</v>
      </c>
      <c r="E48" s="7">
        <v>50</v>
      </c>
      <c r="F48" s="7">
        <v>72</v>
      </c>
      <c r="G48" s="7">
        <v>34</v>
      </c>
      <c r="H48" s="7" t="s">
        <v>84</v>
      </c>
      <c r="I48" s="7" t="s">
        <v>109</v>
      </c>
      <c r="J48" s="7" t="s">
        <v>130</v>
      </c>
      <c r="K48" s="46">
        <v>4.1666666666666666E-3</v>
      </c>
      <c r="L48" s="7" t="s">
        <v>109</v>
      </c>
      <c r="M48" s="7" t="s">
        <v>109</v>
      </c>
      <c r="N48" s="7" t="s">
        <v>109</v>
      </c>
      <c r="O48" s="7" t="s">
        <v>61</v>
      </c>
      <c r="P48" s="7" t="s">
        <v>131</v>
      </c>
      <c r="Q48" s="7" t="s">
        <v>1141</v>
      </c>
      <c r="R48" s="7" t="s">
        <v>62</v>
      </c>
      <c r="S48" s="7" t="s">
        <v>123</v>
      </c>
      <c r="T48" s="7" t="s">
        <v>464</v>
      </c>
      <c r="U48" s="131">
        <f t="shared" si="1"/>
        <v>0.68</v>
      </c>
      <c r="V48" s="7" t="s">
        <v>889</v>
      </c>
    </row>
    <row r="49" spans="1:22" x14ac:dyDescent="0.3">
      <c r="A49" s="7">
        <v>48</v>
      </c>
      <c r="B49" s="7" t="s">
        <v>23</v>
      </c>
      <c r="C49" s="7" t="s">
        <v>1371</v>
      </c>
      <c r="D49" s="7">
        <v>50126338</v>
      </c>
      <c r="E49" s="7">
        <v>100</v>
      </c>
      <c r="F49" s="7">
        <v>51</v>
      </c>
      <c r="G49" s="7">
        <v>13</v>
      </c>
      <c r="H49" s="7" t="s">
        <v>2432</v>
      </c>
      <c r="I49" s="7" t="s">
        <v>109</v>
      </c>
      <c r="J49" s="7" t="s">
        <v>130</v>
      </c>
      <c r="K49" s="46">
        <v>2.5000000000000001E-2</v>
      </c>
      <c r="L49" s="7" t="s">
        <v>109</v>
      </c>
      <c r="M49" s="7" t="s">
        <v>109</v>
      </c>
      <c r="N49" s="7" t="s">
        <v>109</v>
      </c>
      <c r="O49" s="7" t="s">
        <v>61</v>
      </c>
      <c r="P49" s="7" t="s">
        <v>131</v>
      </c>
      <c r="Q49" s="7" t="s">
        <v>70</v>
      </c>
      <c r="R49" s="7" t="s">
        <v>62</v>
      </c>
      <c r="S49" s="7" t="s">
        <v>123</v>
      </c>
      <c r="T49" s="7" t="s">
        <v>1365</v>
      </c>
      <c r="U49" s="131">
        <f t="shared" si="1"/>
        <v>0.13</v>
      </c>
      <c r="V49" s="7" t="s">
        <v>889</v>
      </c>
    </row>
    <row r="50" spans="1:22" x14ac:dyDescent="0.3">
      <c r="A50" s="7">
        <v>49</v>
      </c>
      <c r="B50" s="7" t="s">
        <v>23</v>
      </c>
      <c r="C50" s="7" t="s">
        <v>2433</v>
      </c>
      <c r="D50" s="7">
        <v>50226090</v>
      </c>
      <c r="E50" s="7">
        <v>100</v>
      </c>
      <c r="F50" s="7">
        <v>209</v>
      </c>
      <c r="G50" s="7">
        <v>55</v>
      </c>
      <c r="H50" s="7" t="s">
        <v>1935</v>
      </c>
      <c r="I50" s="7" t="s">
        <v>109</v>
      </c>
      <c r="J50" s="7" t="s">
        <v>130</v>
      </c>
      <c r="K50" s="46">
        <v>0.91111111111111109</v>
      </c>
      <c r="L50" s="7" t="s">
        <v>109</v>
      </c>
      <c r="M50" s="7" t="s">
        <v>109</v>
      </c>
      <c r="N50" s="7" t="s">
        <v>109</v>
      </c>
      <c r="O50" s="7" t="s">
        <v>61</v>
      </c>
      <c r="P50" s="7" t="s">
        <v>131</v>
      </c>
      <c r="Q50" s="7" t="s">
        <v>200</v>
      </c>
      <c r="R50" s="7" t="s">
        <v>62</v>
      </c>
      <c r="S50" s="7" t="s">
        <v>123</v>
      </c>
      <c r="T50" s="7" t="s">
        <v>1365</v>
      </c>
      <c r="U50" s="131">
        <f t="shared" si="1"/>
        <v>0.55000000000000004</v>
      </c>
      <c r="V50" s="7" t="s">
        <v>2087</v>
      </c>
    </row>
    <row r="51" spans="1:22" x14ac:dyDescent="0.3">
      <c r="A51" s="7">
        <v>50</v>
      </c>
      <c r="B51" s="7" t="s">
        <v>23</v>
      </c>
      <c r="C51" s="7" t="s">
        <v>754</v>
      </c>
      <c r="D51" s="7">
        <v>50126148</v>
      </c>
      <c r="E51" s="7">
        <v>50</v>
      </c>
      <c r="F51" s="7">
        <v>100</v>
      </c>
      <c r="G51" s="7">
        <v>10</v>
      </c>
      <c r="H51" s="7" t="s">
        <v>520</v>
      </c>
      <c r="I51" s="7" t="s">
        <v>94</v>
      </c>
      <c r="J51" s="7" t="s">
        <v>130</v>
      </c>
      <c r="K51" s="46">
        <v>1.1805555555555555E-2</v>
      </c>
      <c r="L51" s="46">
        <v>2.5694444444444443E-2</v>
      </c>
      <c r="M51" s="7" t="s">
        <v>109</v>
      </c>
      <c r="N51" s="7" t="s">
        <v>109</v>
      </c>
      <c r="O51" s="7" t="s">
        <v>61</v>
      </c>
      <c r="P51" s="7" t="s">
        <v>131</v>
      </c>
      <c r="Q51" s="7" t="s">
        <v>94</v>
      </c>
      <c r="R51" s="7" t="s">
        <v>62</v>
      </c>
      <c r="S51" s="7" t="s">
        <v>123</v>
      </c>
      <c r="T51" s="7" t="s">
        <v>480</v>
      </c>
      <c r="U51" s="131">
        <f t="shared" si="1"/>
        <v>0.2</v>
      </c>
      <c r="V51" s="7" t="s">
        <v>2087</v>
      </c>
    </row>
    <row r="52" spans="1:22" x14ac:dyDescent="0.3">
      <c r="A52" s="7">
        <v>51</v>
      </c>
      <c r="B52" s="7" t="s">
        <v>23</v>
      </c>
      <c r="C52" s="7" t="s">
        <v>758</v>
      </c>
      <c r="D52" s="7">
        <v>50126142</v>
      </c>
      <c r="E52" s="7">
        <v>100</v>
      </c>
      <c r="F52" s="7">
        <v>169</v>
      </c>
      <c r="G52" s="7">
        <v>100</v>
      </c>
      <c r="H52" s="7" t="s">
        <v>259</v>
      </c>
      <c r="I52" s="7" t="s">
        <v>99</v>
      </c>
      <c r="J52" s="7" t="s">
        <v>130</v>
      </c>
      <c r="K52" s="46">
        <v>0.91527777777777775</v>
      </c>
      <c r="L52" s="46">
        <v>0.95416666666666672</v>
      </c>
      <c r="M52" s="7" t="s">
        <v>109</v>
      </c>
      <c r="N52" s="7" t="s">
        <v>109</v>
      </c>
      <c r="O52" s="7" t="s">
        <v>61</v>
      </c>
      <c r="P52" s="7" t="s">
        <v>131</v>
      </c>
      <c r="Q52" s="7" t="s">
        <v>91</v>
      </c>
      <c r="R52" s="7" t="s">
        <v>62</v>
      </c>
      <c r="S52" s="7" t="s">
        <v>123</v>
      </c>
      <c r="T52" s="7" t="s">
        <v>480</v>
      </c>
      <c r="U52" s="131">
        <f t="shared" si="1"/>
        <v>1</v>
      </c>
      <c r="V52" s="7" t="s">
        <v>1941</v>
      </c>
    </row>
    <row r="53" spans="1:22" x14ac:dyDescent="0.3">
      <c r="A53" s="7">
        <v>52</v>
      </c>
      <c r="B53" s="7" t="s">
        <v>23</v>
      </c>
      <c r="C53" s="7" t="s">
        <v>1906</v>
      </c>
      <c r="D53" s="7">
        <v>50226027</v>
      </c>
      <c r="E53" s="7">
        <v>200</v>
      </c>
      <c r="F53" s="7">
        <v>409</v>
      </c>
      <c r="G53" s="7">
        <v>152</v>
      </c>
      <c r="H53" s="7" t="s">
        <v>2434</v>
      </c>
      <c r="I53" s="7" t="s">
        <v>2435</v>
      </c>
      <c r="J53" s="7" t="s">
        <v>130</v>
      </c>
      <c r="K53" s="46">
        <v>0.90486111111111112</v>
      </c>
      <c r="L53" s="46">
        <v>0.99097222222222225</v>
      </c>
      <c r="M53" s="7" t="s">
        <v>109</v>
      </c>
      <c r="N53" s="7" t="s">
        <v>109</v>
      </c>
      <c r="O53" s="7" t="s">
        <v>61</v>
      </c>
      <c r="P53" s="7" t="s">
        <v>131</v>
      </c>
      <c r="Q53" s="7" t="s">
        <v>86</v>
      </c>
      <c r="R53" s="7" t="s">
        <v>62</v>
      </c>
      <c r="S53" s="7" t="s">
        <v>123</v>
      </c>
      <c r="T53" s="7" t="s">
        <v>480</v>
      </c>
      <c r="U53" s="131">
        <f t="shared" si="1"/>
        <v>0.76</v>
      </c>
      <c r="V53" s="7" t="s">
        <v>2087</v>
      </c>
    </row>
    <row r="54" spans="1:22" x14ac:dyDescent="0.3">
      <c r="A54" s="7">
        <v>53</v>
      </c>
      <c r="B54" s="7" t="s">
        <v>23</v>
      </c>
      <c r="C54" s="7" t="s">
        <v>1056</v>
      </c>
      <c r="D54" s="7">
        <v>50126316</v>
      </c>
      <c r="E54" s="7">
        <v>50</v>
      </c>
      <c r="F54" s="7">
        <v>88</v>
      </c>
      <c r="G54" s="7">
        <v>49</v>
      </c>
      <c r="H54" s="7" t="s">
        <v>70</v>
      </c>
      <c r="I54" s="7" t="s">
        <v>179</v>
      </c>
      <c r="J54" s="7" t="s">
        <v>130</v>
      </c>
      <c r="K54" s="46">
        <v>0.82916666666666672</v>
      </c>
      <c r="L54" s="46">
        <v>0.85138888888888886</v>
      </c>
      <c r="M54" s="7" t="s">
        <v>109</v>
      </c>
      <c r="N54" s="7" t="s">
        <v>109</v>
      </c>
      <c r="O54" s="7" t="s">
        <v>61</v>
      </c>
      <c r="P54" s="7" t="s">
        <v>131</v>
      </c>
      <c r="Q54" s="7" t="s">
        <v>179</v>
      </c>
      <c r="R54" s="7" t="s">
        <v>62</v>
      </c>
      <c r="S54" s="7" t="s">
        <v>123</v>
      </c>
      <c r="T54" s="7" t="s">
        <v>480</v>
      </c>
      <c r="U54" s="131">
        <f t="shared" si="1"/>
        <v>0.98</v>
      </c>
      <c r="V54" s="7" t="s">
        <v>1941</v>
      </c>
    </row>
    <row r="55" spans="1:22" x14ac:dyDescent="0.3">
      <c r="A55" s="7">
        <v>54</v>
      </c>
      <c r="B55" s="7" t="s">
        <v>23</v>
      </c>
      <c r="C55" s="7" t="s">
        <v>1909</v>
      </c>
      <c r="D55" s="7">
        <v>50226025</v>
      </c>
      <c r="E55" s="7">
        <v>400</v>
      </c>
      <c r="F55" s="7">
        <v>766</v>
      </c>
      <c r="G55" s="7">
        <v>378</v>
      </c>
      <c r="H55" s="7" t="s">
        <v>2436</v>
      </c>
      <c r="I55" s="7" t="s">
        <v>109</v>
      </c>
      <c r="J55" s="7" t="s">
        <v>130</v>
      </c>
      <c r="K55" s="46">
        <v>0.94444444444444442</v>
      </c>
      <c r="L55" s="7" t="s">
        <v>109</v>
      </c>
      <c r="M55" s="7" t="s">
        <v>109</v>
      </c>
      <c r="N55" s="7" t="s">
        <v>1621</v>
      </c>
      <c r="O55" s="7" t="s">
        <v>61</v>
      </c>
      <c r="P55" s="7" t="s">
        <v>131</v>
      </c>
      <c r="Q55" s="7" t="s">
        <v>209</v>
      </c>
      <c r="R55" s="7" t="s">
        <v>62</v>
      </c>
      <c r="S55" s="7" t="s">
        <v>123</v>
      </c>
      <c r="T55" s="7" t="s">
        <v>480</v>
      </c>
      <c r="U55" s="131">
        <f t="shared" si="1"/>
        <v>0.94499999999999995</v>
      </c>
      <c r="V55" s="7" t="s">
        <v>1941</v>
      </c>
    </row>
    <row r="56" spans="1:22" x14ac:dyDescent="0.3">
      <c r="A56" s="7">
        <v>55</v>
      </c>
      <c r="B56" s="7" t="s">
        <v>24</v>
      </c>
      <c r="C56" s="7" t="s">
        <v>1894</v>
      </c>
      <c r="D56" s="7">
        <v>60226002</v>
      </c>
      <c r="E56" s="7">
        <v>50</v>
      </c>
      <c r="F56" s="7">
        <f>70+75</f>
        <v>145</v>
      </c>
      <c r="G56" s="7">
        <f>3+9</f>
        <v>12</v>
      </c>
      <c r="H56" s="7" t="s">
        <v>229</v>
      </c>
      <c r="I56" s="7" t="s">
        <v>86</v>
      </c>
      <c r="J56" s="7" t="s">
        <v>130</v>
      </c>
      <c r="K56" s="46">
        <v>0.90972222222222221</v>
      </c>
      <c r="L56" s="46">
        <v>0.96180555555555558</v>
      </c>
      <c r="M56" s="7" t="s">
        <v>109</v>
      </c>
      <c r="N56" s="7" t="s">
        <v>2437</v>
      </c>
      <c r="O56" s="7" t="s">
        <v>606</v>
      </c>
      <c r="P56" s="7" t="s">
        <v>131</v>
      </c>
      <c r="Q56" s="7" t="s">
        <v>86</v>
      </c>
      <c r="R56" s="7" t="s">
        <v>63</v>
      </c>
      <c r="S56" s="7" t="s">
        <v>123</v>
      </c>
      <c r="T56" s="7" t="s">
        <v>2042</v>
      </c>
      <c r="U56" s="131">
        <f t="shared" si="1"/>
        <v>0.24</v>
      </c>
      <c r="V56" s="7" t="s">
        <v>2440</v>
      </c>
    </row>
    <row r="57" spans="1:22" x14ac:dyDescent="0.3">
      <c r="A57" s="7">
        <v>56</v>
      </c>
      <c r="B57" s="7" t="s">
        <v>24</v>
      </c>
      <c r="C57" s="7" t="s">
        <v>1901</v>
      </c>
      <c r="D57" s="7">
        <v>60226010</v>
      </c>
      <c r="E57" s="7">
        <v>50</v>
      </c>
      <c r="F57" s="7">
        <v>70</v>
      </c>
      <c r="G57" s="7">
        <v>26</v>
      </c>
      <c r="H57" s="7" t="s">
        <v>69</v>
      </c>
      <c r="I57" s="7" t="s">
        <v>179</v>
      </c>
      <c r="J57" s="7" t="s">
        <v>130</v>
      </c>
      <c r="K57" s="46">
        <v>0.82916666666666672</v>
      </c>
      <c r="L57" s="46">
        <v>0.85138888888888886</v>
      </c>
      <c r="M57" s="7" t="s">
        <v>109</v>
      </c>
      <c r="N57" s="7" t="s">
        <v>2437</v>
      </c>
      <c r="O57" s="7" t="s">
        <v>606</v>
      </c>
      <c r="P57" s="7" t="s">
        <v>131</v>
      </c>
      <c r="Q57" s="7" t="s">
        <v>179</v>
      </c>
      <c r="R57" s="7" t="s">
        <v>63</v>
      </c>
      <c r="S57" s="7" t="s">
        <v>123</v>
      </c>
      <c r="T57" s="7" t="s">
        <v>2042</v>
      </c>
      <c r="U57" s="131">
        <f t="shared" si="1"/>
        <v>0.52</v>
      </c>
      <c r="V57" s="7" t="s">
        <v>2440</v>
      </c>
    </row>
    <row r="58" spans="1:22" x14ac:dyDescent="0.3">
      <c r="A58" s="7">
        <v>57</v>
      </c>
      <c r="B58" s="7" t="s">
        <v>24</v>
      </c>
      <c r="C58" s="47" t="s">
        <v>2438</v>
      </c>
      <c r="D58" s="7">
        <v>60226006</v>
      </c>
      <c r="E58" s="7">
        <v>72</v>
      </c>
      <c r="F58" s="7">
        <v>67</v>
      </c>
      <c r="G58" s="7">
        <v>17</v>
      </c>
      <c r="H58" s="7" t="s">
        <v>2444</v>
      </c>
      <c r="I58" s="7" t="s">
        <v>95</v>
      </c>
      <c r="J58" s="7" t="s">
        <v>109</v>
      </c>
      <c r="K58" s="7" t="s">
        <v>109</v>
      </c>
      <c r="L58" s="7" t="s">
        <v>109</v>
      </c>
      <c r="M58" s="7" t="s">
        <v>109</v>
      </c>
      <c r="N58" s="7" t="s">
        <v>109</v>
      </c>
      <c r="O58" s="7" t="s">
        <v>606</v>
      </c>
      <c r="P58" s="7" t="s">
        <v>109</v>
      </c>
      <c r="Q58" s="7" t="s">
        <v>109</v>
      </c>
      <c r="R58" s="7" t="s">
        <v>63</v>
      </c>
      <c r="S58" s="7" t="s">
        <v>123</v>
      </c>
      <c r="T58" s="7" t="s">
        <v>2042</v>
      </c>
      <c r="U58" s="131">
        <f t="shared" si="1"/>
        <v>0.2361111111111111</v>
      </c>
      <c r="V58" s="7" t="s">
        <v>2440</v>
      </c>
    </row>
    <row r="59" spans="1:22" x14ac:dyDescent="0.3">
      <c r="A59" s="7">
        <v>58</v>
      </c>
      <c r="B59" s="7" t="s">
        <v>23</v>
      </c>
      <c r="C59" s="47" t="s">
        <v>2322</v>
      </c>
      <c r="D59" s="7">
        <v>50126037</v>
      </c>
      <c r="E59" s="7">
        <v>62</v>
      </c>
      <c r="F59" s="7" t="s">
        <v>109</v>
      </c>
      <c r="G59" s="7" t="s">
        <v>109</v>
      </c>
      <c r="H59" s="7" t="s">
        <v>200</v>
      </c>
      <c r="I59" s="7" t="s">
        <v>109</v>
      </c>
      <c r="J59" s="7" t="s">
        <v>85</v>
      </c>
      <c r="K59" s="7" t="s">
        <v>109</v>
      </c>
      <c r="L59" s="7" t="s">
        <v>109</v>
      </c>
      <c r="M59" s="7" t="s">
        <v>109</v>
      </c>
      <c r="N59" s="7" t="s">
        <v>109</v>
      </c>
      <c r="O59" s="7" t="s">
        <v>606</v>
      </c>
      <c r="P59" s="7" t="s">
        <v>109</v>
      </c>
      <c r="Q59" s="7" t="s">
        <v>109</v>
      </c>
      <c r="R59" s="7" t="s">
        <v>62</v>
      </c>
      <c r="S59" s="7" t="s">
        <v>2439</v>
      </c>
      <c r="T59" s="7" t="s">
        <v>480</v>
      </c>
      <c r="U59" s="131" t="e">
        <f t="shared" si="1"/>
        <v>#VALUE!</v>
      </c>
      <c r="V59" s="7" t="s">
        <v>2440</v>
      </c>
    </row>
    <row r="60" spans="1:22" x14ac:dyDescent="0.3">
      <c r="A60" s="7">
        <v>59</v>
      </c>
      <c r="B60" s="7" t="s">
        <v>23</v>
      </c>
      <c r="C60" s="7" t="s">
        <v>485</v>
      </c>
      <c r="D60" s="7">
        <v>50126039</v>
      </c>
      <c r="E60" s="7">
        <v>11</v>
      </c>
      <c r="F60" s="7">
        <v>11</v>
      </c>
      <c r="G60" s="7">
        <v>9</v>
      </c>
      <c r="H60" s="7" t="s">
        <v>84</v>
      </c>
      <c r="I60" s="7" t="s">
        <v>109</v>
      </c>
      <c r="J60" s="7" t="s">
        <v>130</v>
      </c>
      <c r="K60" s="46">
        <v>0.90069444444444446</v>
      </c>
      <c r="L60" s="7" t="s">
        <v>109</v>
      </c>
      <c r="M60" s="7" t="s">
        <v>109</v>
      </c>
      <c r="N60" s="7" t="s">
        <v>109</v>
      </c>
      <c r="O60" s="7" t="s">
        <v>606</v>
      </c>
      <c r="P60" s="7" t="s">
        <v>131</v>
      </c>
      <c r="Q60" s="7" t="s">
        <v>84</v>
      </c>
      <c r="R60" s="7" t="s">
        <v>62</v>
      </c>
      <c r="S60" s="7" t="s">
        <v>2439</v>
      </c>
      <c r="T60" s="7" t="s">
        <v>480</v>
      </c>
      <c r="U60" s="131">
        <f t="shared" si="1"/>
        <v>0.81818181818181823</v>
      </c>
      <c r="V60" s="7" t="s">
        <v>2440</v>
      </c>
    </row>
    <row r="61" spans="1:22" x14ac:dyDescent="0.3">
      <c r="A61" s="7">
        <v>60</v>
      </c>
      <c r="B61" s="7" t="s">
        <v>23</v>
      </c>
      <c r="C61" s="7" t="s">
        <v>2442</v>
      </c>
      <c r="D61" s="7">
        <v>50226099</v>
      </c>
      <c r="E61" s="7">
        <v>300</v>
      </c>
      <c r="F61" s="7">
        <v>567</v>
      </c>
      <c r="G61" s="7">
        <v>104</v>
      </c>
      <c r="H61" s="7" t="s">
        <v>2443</v>
      </c>
      <c r="I61" s="7" t="s">
        <v>109</v>
      </c>
      <c r="J61" s="7" t="s">
        <v>130</v>
      </c>
      <c r="K61" s="46">
        <v>0.98611111111111116</v>
      </c>
      <c r="L61" s="7" t="s">
        <v>109</v>
      </c>
      <c r="M61" s="7" t="s">
        <v>109</v>
      </c>
      <c r="N61" s="7" t="s">
        <v>109</v>
      </c>
      <c r="O61" s="7" t="s">
        <v>61</v>
      </c>
      <c r="P61" s="7" t="s">
        <v>131</v>
      </c>
      <c r="Q61" s="7" t="s">
        <v>70</v>
      </c>
      <c r="R61" s="7" t="s">
        <v>62</v>
      </c>
      <c r="S61" s="7" t="s">
        <v>1273</v>
      </c>
      <c r="T61" s="7" t="s">
        <v>2446</v>
      </c>
      <c r="U61" s="131">
        <f t="shared" si="1"/>
        <v>0.34666666666666668</v>
      </c>
      <c r="V61" s="7" t="s">
        <v>2087</v>
      </c>
    </row>
    <row r="62" spans="1:22" x14ac:dyDescent="0.3">
      <c r="A62" s="7">
        <v>61</v>
      </c>
      <c r="B62" s="7" t="s">
        <v>24</v>
      </c>
      <c r="C62" s="7" t="s">
        <v>2445</v>
      </c>
      <c r="D62" s="7">
        <v>60226001</v>
      </c>
      <c r="E62" s="7">
        <v>97</v>
      </c>
      <c r="F62" s="7">
        <v>97</v>
      </c>
      <c r="G62" s="7">
        <v>15</v>
      </c>
      <c r="H62" s="7" t="s">
        <v>89</v>
      </c>
      <c r="I62" s="7" t="s">
        <v>109</v>
      </c>
      <c r="J62" s="7" t="s">
        <v>130</v>
      </c>
      <c r="K62" s="46">
        <v>2.1527777777777778E-2</v>
      </c>
      <c r="L62" s="7" t="s">
        <v>109</v>
      </c>
      <c r="M62" s="7" t="s">
        <v>109</v>
      </c>
      <c r="N62" s="7" t="s">
        <v>109</v>
      </c>
      <c r="O62" s="7" t="s">
        <v>606</v>
      </c>
      <c r="P62" s="7" t="s">
        <v>131</v>
      </c>
      <c r="Q62" s="7" t="s">
        <v>89</v>
      </c>
      <c r="R62" s="7" t="s">
        <v>63</v>
      </c>
      <c r="S62" s="7" t="s">
        <v>2447</v>
      </c>
      <c r="T62" s="7" t="s">
        <v>2042</v>
      </c>
      <c r="U62" s="131">
        <f t="shared" si="1"/>
        <v>0.15463917525773196</v>
      </c>
      <c r="V62" s="7" t="s">
        <v>2440</v>
      </c>
    </row>
    <row r="63" spans="1:22" x14ac:dyDescent="0.3">
      <c r="A63" s="7">
        <v>62</v>
      </c>
      <c r="B63" s="7" t="s">
        <v>170</v>
      </c>
      <c r="C63" s="7" t="s">
        <v>171</v>
      </c>
      <c r="D63" s="7">
        <v>41125019</v>
      </c>
      <c r="E63" s="7">
        <v>78</v>
      </c>
      <c r="F63" s="7">
        <v>38</v>
      </c>
      <c r="G63" s="7">
        <v>37</v>
      </c>
      <c r="H63" s="7" t="s">
        <v>87</v>
      </c>
      <c r="I63" s="7" t="s">
        <v>109</v>
      </c>
      <c r="J63" s="7" t="s">
        <v>130</v>
      </c>
      <c r="K63" s="46">
        <v>4.5138888888888888E-2</v>
      </c>
      <c r="L63" s="7" t="s">
        <v>109</v>
      </c>
      <c r="M63" s="7" t="s">
        <v>109</v>
      </c>
      <c r="N63" s="7" t="s">
        <v>109</v>
      </c>
      <c r="O63" s="7" t="s">
        <v>606</v>
      </c>
      <c r="P63" s="7" t="s">
        <v>131</v>
      </c>
      <c r="Q63" s="7" t="s">
        <v>87</v>
      </c>
      <c r="R63" s="7" t="s">
        <v>62</v>
      </c>
      <c r="S63" s="7" t="s">
        <v>136</v>
      </c>
      <c r="T63" s="7" t="s">
        <v>175</v>
      </c>
      <c r="U63" s="131">
        <f t="shared" si="1"/>
        <v>0.47435897435897434</v>
      </c>
      <c r="V63" s="7" t="s">
        <v>2440</v>
      </c>
    </row>
    <row r="64" spans="1:22" x14ac:dyDescent="0.3">
      <c r="A64" s="7">
        <v>63</v>
      </c>
      <c r="B64" s="7" t="s">
        <v>26</v>
      </c>
      <c r="C64" s="7" t="s">
        <v>774</v>
      </c>
      <c r="D64" s="7">
        <v>40126001</v>
      </c>
      <c r="E64" s="7">
        <v>100</v>
      </c>
      <c r="F64" s="7" t="s">
        <v>109</v>
      </c>
      <c r="G64" s="7" t="s">
        <v>109</v>
      </c>
      <c r="H64" s="7" t="s">
        <v>744</v>
      </c>
      <c r="I64" s="7" t="s">
        <v>109</v>
      </c>
      <c r="J64" s="7" t="s">
        <v>109</v>
      </c>
      <c r="K64" s="7" t="s">
        <v>109</v>
      </c>
      <c r="L64" s="7" t="s">
        <v>109</v>
      </c>
      <c r="M64" s="7" t="s">
        <v>109</v>
      </c>
      <c r="N64" s="7" t="s">
        <v>109</v>
      </c>
      <c r="O64" s="7" t="s">
        <v>606</v>
      </c>
      <c r="P64" s="7" t="s">
        <v>109</v>
      </c>
      <c r="Q64" s="7" t="s">
        <v>109</v>
      </c>
      <c r="R64" s="7" t="s">
        <v>63</v>
      </c>
      <c r="S64" s="7" t="s">
        <v>109</v>
      </c>
      <c r="T64" s="7" t="s">
        <v>109</v>
      </c>
      <c r="U64" s="131" t="e">
        <f t="shared" si="1"/>
        <v>#VALUE!</v>
      </c>
      <c r="V64" s="7" t="s">
        <v>109</v>
      </c>
    </row>
  </sheetData>
  <conditionalFormatting sqref="D1">
    <cfRule type="duplicateValues" dxfId="63" priority="3"/>
  </conditionalFormatting>
  <conditionalFormatting sqref="D1:D1048576">
    <cfRule type="duplicateValues" dxfId="62" priority="1"/>
    <cfRule type="duplicateValues" dxfId="61" priority="2"/>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7A73E-74B7-4133-BA04-86E163459CC7}">
  <sheetPr codeName="Sheet37"/>
  <dimension ref="A1:V93"/>
  <sheetViews>
    <sheetView workbookViewId="0">
      <pane ySplit="1" topLeftCell="A71" activePane="bottomLeft" state="frozen"/>
      <selection pane="bottomLeft" activeCell="A92" sqref="A92"/>
    </sheetView>
  </sheetViews>
  <sheetFormatPr defaultRowHeight="14.4" x14ac:dyDescent="0.3"/>
  <cols>
    <col min="6" max="7" width="8.88671875" customWidth="1"/>
  </cols>
  <sheetData>
    <row r="1" spans="1:22"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row>
    <row r="2" spans="1:22" x14ac:dyDescent="0.3">
      <c r="A2" s="28">
        <v>1</v>
      </c>
      <c r="B2" s="29" t="s">
        <v>292</v>
      </c>
      <c r="C2" s="29" t="s">
        <v>1883</v>
      </c>
      <c r="D2" s="29">
        <v>40126037</v>
      </c>
      <c r="E2" s="29">
        <v>224</v>
      </c>
      <c r="F2" s="28">
        <v>217</v>
      </c>
      <c r="G2" s="28">
        <v>56</v>
      </c>
      <c r="H2" s="28" t="s">
        <v>2451</v>
      </c>
      <c r="I2" s="28" t="s">
        <v>2452</v>
      </c>
      <c r="J2" s="28" t="s">
        <v>130</v>
      </c>
      <c r="K2" s="41">
        <v>0.71736111111111112</v>
      </c>
      <c r="L2" s="41">
        <v>0.76666666666666672</v>
      </c>
      <c r="M2" s="28" t="s">
        <v>109</v>
      </c>
      <c r="N2" s="29" t="s">
        <v>434</v>
      </c>
      <c r="O2" s="29" t="s">
        <v>61</v>
      </c>
      <c r="P2" s="28" t="s">
        <v>131</v>
      </c>
      <c r="Q2" s="28" t="s">
        <v>86</v>
      </c>
      <c r="R2" s="28" t="s">
        <v>109</v>
      </c>
      <c r="S2" s="28" t="s">
        <v>109</v>
      </c>
      <c r="T2" s="29" t="s">
        <v>117</v>
      </c>
      <c r="U2" s="28" t="s">
        <v>109</v>
      </c>
      <c r="V2" s="28" t="s">
        <v>291</v>
      </c>
    </row>
    <row r="3" spans="1:22" x14ac:dyDescent="0.3">
      <c r="A3" s="28">
        <v>2</v>
      </c>
      <c r="B3" s="29" t="s">
        <v>24</v>
      </c>
      <c r="C3" s="29" t="s">
        <v>1970</v>
      </c>
      <c r="D3" s="29">
        <v>60226014</v>
      </c>
      <c r="E3" s="29">
        <v>91</v>
      </c>
      <c r="F3" s="28">
        <v>24</v>
      </c>
      <c r="G3" s="28">
        <v>0</v>
      </c>
      <c r="H3" s="7" t="s">
        <v>68</v>
      </c>
      <c r="I3" s="28" t="s">
        <v>86</v>
      </c>
      <c r="J3" s="28" t="s">
        <v>130</v>
      </c>
      <c r="K3" s="41">
        <v>2.7777777777777779E-3</v>
      </c>
      <c r="L3" s="41">
        <v>4.3749999999999997E-2</v>
      </c>
      <c r="M3" s="28" t="s">
        <v>109</v>
      </c>
      <c r="N3" s="29" t="s">
        <v>109</v>
      </c>
      <c r="O3" s="29" t="s">
        <v>61</v>
      </c>
      <c r="P3" s="28" t="s">
        <v>131</v>
      </c>
      <c r="Q3" s="28" t="s">
        <v>86</v>
      </c>
      <c r="R3" s="28" t="s">
        <v>109</v>
      </c>
      <c r="S3" s="28" t="s">
        <v>109</v>
      </c>
      <c r="T3" s="29" t="s">
        <v>2453</v>
      </c>
      <c r="U3" s="28" t="s">
        <v>109</v>
      </c>
      <c r="V3" s="28" t="s">
        <v>291</v>
      </c>
    </row>
    <row r="4" spans="1:22" x14ac:dyDescent="0.3">
      <c r="A4" s="28">
        <v>3</v>
      </c>
      <c r="B4" s="29" t="s">
        <v>24</v>
      </c>
      <c r="C4" s="29" t="s">
        <v>2454</v>
      </c>
      <c r="D4" s="29">
        <v>60226024</v>
      </c>
      <c r="E4" s="29">
        <v>61</v>
      </c>
      <c r="F4" s="28">
        <v>42</v>
      </c>
      <c r="G4" s="28">
        <v>3</v>
      </c>
      <c r="H4" s="7" t="s">
        <v>222</v>
      </c>
      <c r="I4" s="28" t="s">
        <v>93</v>
      </c>
      <c r="J4" s="28" t="s">
        <v>130</v>
      </c>
      <c r="K4" s="41">
        <v>0.75624999999999998</v>
      </c>
      <c r="L4" s="41">
        <v>0.76597222222222228</v>
      </c>
      <c r="M4" s="28" t="s">
        <v>109</v>
      </c>
      <c r="N4" s="29" t="s">
        <v>109</v>
      </c>
      <c r="O4" s="29" t="s">
        <v>61</v>
      </c>
      <c r="P4" s="28" t="s">
        <v>131</v>
      </c>
      <c r="Q4" s="28" t="s">
        <v>93</v>
      </c>
      <c r="R4" s="28" t="s">
        <v>109</v>
      </c>
      <c r="S4" s="28" t="s">
        <v>109</v>
      </c>
      <c r="T4" s="29" t="s">
        <v>2455</v>
      </c>
      <c r="U4" s="28" t="s">
        <v>109</v>
      </c>
      <c r="V4" s="28" t="s">
        <v>291</v>
      </c>
    </row>
    <row r="5" spans="1:22" x14ac:dyDescent="0.3">
      <c r="A5" s="28">
        <v>4</v>
      </c>
      <c r="B5" s="29" t="s">
        <v>24</v>
      </c>
      <c r="C5" s="29" t="s">
        <v>2456</v>
      </c>
      <c r="D5" s="29">
        <v>60226023</v>
      </c>
      <c r="E5" s="29">
        <v>54</v>
      </c>
      <c r="F5" s="28">
        <v>54</v>
      </c>
      <c r="G5" s="28">
        <v>3</v>
      </c>
      <c r="H5" s="7" t="s">
        <v>71</v>
      </c>
      <c r="I5" s="28" t="s">
        <v>88</v>
      </c>
      <c r="J5" s="28" t="s">
        <v>130</v>
      </c>
      <c r="K5" s="41">
        <v>0.88055555555555554</v>
      </c>
      <c r="L5" s="41">
        <v>0.88680555555555551</v>
      </c>
      <c r="M5" s="28" t="s">
        <v>109</v>
      </c>
      <c r="N5" s="29" t="s">
        <v>109</v>
      </c>
      <c r="O5" s="29" t="s">
        <v>61</v>
      </c>
      <c r="P5" s="28" t="s">
        <v>131</v>
      </c>
      <c r="Q5" s="28" t="s">
        <v>88</v>
      </c>
      <c r="R5" s="28" t="s">
        <v>109</v>
      </c>
      <c r="S5" s="28" t="s">
        <v>109</v>
      </c>
      <c r="T5" s="29" t="s">
        <v>2455</v>
      </c>
      <c r="U5" s="28" t="s">
        <v>109</v>
      </c>
      <c r="V5" s="28" t="s">
        <v>291</v>
      </c>
    </row>
    <row r="6" spans="1:22" x14ac:dyDescent="0.3">
      <c r="A6" s="28">
        <v>5</v>
      </c>
      <c r="B6" s="29" t="s">
        <v>24</v>
      </c>
      <c r="C6" s="29" t="s">
        <v>2457</v>
      </c>
      <c r="D6" s="29">
        <v>60226021</v>
      </c>
      <c r="E6" s="29">
        <v>46</v>
      </c>
      <c r="F6" s="28">
        <v>25</v>
      </c>
      <c r="G6" s="28">
        <v>20</v>
      </c>
      <c r="H6" s="7" t="s">
        <v>66</v>
      </c>
      <c r="I6" s="28" t="s">
        <v>88</v>
      </c>
      <c r="J6" s="28" t="s">
        <v>130</v>
      </c>
      <c r="K6" s="41">
        <v>0.80902777777777779</v>
      </c>
      <c r="L6" s="28" t="s">
        <v>2520</v>
      </c>
      <c r="M6" s="28" t="s">
        <v>109</v>
      </c>
      <c r="N6" s="29" t="s">
        <v>109</v>
      </c>
      <c r="O6" s="29" t="s">
        <v>61</v>
      </c>
      <c r="P6" s="28" t="s">
        <v>131</v>
      </c>
      <c r="Q6" s="28" t="s">
        <v>88</v>
      </c>
      <c r="R6" s="28" t="s">
        <v>109</v>
      </c>
      <c r="S6" s="28" t="s">
        <v>109</v>
      </c>
      <c r="T6" s="29" t="s">
        <v>2455</v>
      </c>
      <c r="U6" s="28" t="s">
        <v>109</v>
      </c>
      <c r="V6" s="28" t="s">
        <v>2485</v>
      </c>
    </row>
    <row r="7" spans="1:22" x14ac:dyDescent="0.3">
      <c r="A7" s="28">
        <v>6</v>
      </c>
      <c r="B7" s="29" t="s">
        <v>24</v>
      </c>
      <c r="C7" s="29" t="s">
        <v>2458</v>
      </c>
      <c r="D7" s="29">
        <v>60226022</v>
      </c>
      <c r="E7" s="29">
        <v>55</v>
      </c>
      <c r="F7" s="28">
        <v>119</v>
      </c>
      <c r="G7" s="28">
        <v>24</v>
      </c>
      <c r="H7" s="7" t="s">
        <v>65</v>
      </c>
      <c r="I7" s="28" t="s">
        <v>209</v>
      </c>
      <c r="J7" s="28" t="s">
        <v>130</v>
      </c>
      <c r="K7" s="41">
        <v>0.82430555555555551</v>
      </c>
      <c r="L7" s="28" t="s">
        <v>1140</v>
      </c>
      <c r="M7" s="28" t="s">
        <v>109</v>
      </c>
      <c r="N7" s="29" t="s">
        <v>109</v>
      </c>
      <c r="O7" s="29" t="s">
        <v>61</v>
      </c>
      <c r="P7" s="28" t="s">
        <v>131</v>
      </c>
      <c r="Q7" s="28" t="s">
        <v>209</v>
      </c>
      <c r="R7" s="28" t="s">
        <v>109</v>
      </c>
      <c r="S7" s="28" t="s">
        <v>109</v>
      </c>
      <c r="T7" s="29" t="s">
        <v>2455</v>
      </c>
      <c r="U7" s="28" t="s">
        <v>109</v>
      </c>
      <c r="V7" s="28" t="s">
        <v>2141</v>
      </c>
    </row>
    <row r="8" spans="1:22" x14ac:dyDescent="0.3">
      <c r="A8" s="28">
        <v>7</v>
      </c>
      <c r="B8" s="29" t="s">
        <v>26</v>
      </c>
      <c r="C8" s="29" t="s">
        <v>1388</v>
      </c>
      <c r="D8" s="29">
        <v>40126024</v>
      </c>
      <c r="E8" s="29">
        <v>290</v>
      </c>
      <c r="F8" s="28">
        <v>512</v>
      </c>
      <c r="G8" s="28">
        <v>113</v>
      </c>
      <c r="H8" s="28" t="s">
        <v>2459</v>
      </c>
      <c r="I8" s="28" t="s">
        <v>1987</v>
      </c>
      <c r="J8" s="28" t="s">
        <v>130</v>
      </c>
      <c r="K8" s="41">
        <v>0.9194444444444444</v>
      </c>
      <c r="L8" s="41">
        <v>4.0972222222222222E-2</v>
      </c>
      <c r="M8" s="28" t="s">
        <v>109</v>
      </c>
      <c r="N8" s="29" t="s">
        <v>109</v>
      </c>
      <c r="O8" s="29" t="s">
        <v>61</v>
      </c>
      <c r="P8" s="28" t="s">
        <v>131</v>
      </c>
      <c r="Q8" s="28" t="s">
        <v>90</v>
      </c>
      <c r="R8" s="28" t="s">
        <v>109</v>
      </c>
      <c r="S8" s="28" t="s">
        <v>109</v>
      </c>
      <c r="T8" s="29" t="s">
        <v>121</v>
      </c>
      <c r="U8" s="28" t="s">
        <v>109</v>
      </c>
      <c r="V8" s="28" t="s">
        <v>2008</v>
      </c>
    </row>
    <row r="9" spans="1:22" x14ac:dyDescent="0.3">
      <c r="A9" s="28">
        <v>8</v>
      </c>
      <c r="B9" s="29" t="s">
        <v>26</v>
      </c>
      <c r="C9" s="29" t="s">
        <v>2460</v>
      </c>
      <c r="D9" s="29">
        <v>40226013</v>
      </c>
      <c r="E9" s="29">
        <v>102</v>
      </c>
      <c r="F9" s="28">
        <v>93</v>
      </c>
      <c r="G9" s="28">
        <v>29</v>
      </c>
      <c r="H9" s="28" t="s">
        <v>2461</v>
      </c>
      <c r="I9" s="28" t="s">
        <v>294</v>
      </c>
      <c r="J9" s="28" t="s">
        <v>130</v>
      </c>
      <c r="K9" s="41">
        <v>0.99236111111111114</v>
      </c>
      <c r="L9" s="41">
        <v>6.9444444444444447E-4</v>
      </c>
      <c r="M9" s="28" t="s">
        <v>109</v>
      </c>
      <c r="N9" s="29" t="s">
        <v>109</v>
      </c>
      <c r="O9" s="29" t="s">
        <v>61</v>
      </c>
      <c r="P9" s="28" t="s">
        <v>131</v>
      </c>
      <c r="Q9" s="28" t="s">
        <v>209</v>
      </c>
      <c r="R9" s="28" t="s">
        <v>109</v>
      </c>
      <c r="S9" s="28" t="s">
        <v>109</v>
      </c>
      <c r="T9" s="29" t="s">
        <v>122</v>
      </c>
      <c r="U9" s="28" t="s">
        <v>109</v>
      </c>
      <c r="V9" s="28" t="s">
        <v>291</v>
      </c>
    </row>
    <row r="10" spans="1:22" x14ac:dyDescent="0.3">
      <c r="A10" s="28">
        <v>9</v>
      </c>
      <c r="B10" s="29" t="s">
        <v>26</v>
      </c>
      <c r="C10" s="29" t="s">
        <v>2462</v>
      </c>
      <c r="D10" s="29">
        <v>40226014</v>
      </c>
      <c r="E10" s="29">
        <v>224</v>
      </c>
      <c r="F10" s="28">
        <v>403</v>
      </c>
      <c r="G10" s="28">
        <v>192</v>
      </c>
      <c r="H10" s="28" t="s">
        <v>2463</v>
      </c>
      <c r="I10" s="28" t="s">
        <v>2464</v>
      </c>
      <c r="J10" s="28" t="s">
        <v>130</v>
      </c>
      <c r="K10" s="41">
        <v>0.81319444444444444</v>
      </c>
      <c r="L10" s="28" t="s">
        <v>2210</v>
      </c>
      <c r="M10" s="28" t="s">
        <v>109</v>
      </c>
      <c r="N10" s="29" t="s">
        <v>109</v>
      </c>
      <c r="O10" s="29" t="s">
        <v>61</v>
      </c>
      <c r="P10" s="28" t="s">
        <v>131</v>
      </c>
      <c r="Q10" s="28" t="s">
        <v>86</v>
      </c>
      <c r="R10" s="28" t="s">
        <v>109</v>
      </c>
      <c r="S10" s="28" t="s">
        <v>109</v>
      </c>
      <c r="T10" s="29" t="s">
        <v>122</v>
      </c>
      <c r="U10" s="28" t="s">
        <v>109</v>
      </c>
      <c r="V10" s="28" t="s">
        <v>2141</v>
      </c>
    </row>
    <row r="11" spans="1:22" x14ac:dyDescent="0.3">
      <c r="A11" s="28">
        <v>10</v>
      </c>
      <c r="B11" s="29" t="s">
        <v>26</v>
      </c>
      <c r="C11" s="29" t="s">
        <v>2465</v>
      </c>
      <c r="D11" s="29">
        <v>40226011</v>
      </c>
      <c r="E11" s="29">
        <v>195</v>
      </c>
      <c r="F11" s="28">
        <v>246</v>
      </c>
      <c r="G11" s="28">
        <v>61</v>
      </c>
      <c r="H11" s="28" t="s">
        <v>2466</v>
      </c>
      <c r="I11" s="28" t="s">
        <v>2467</v>
      </c>
      <c r="J11" s="28" t="s">
        <v>130</v>
      </c>
      <c r="K11" s="41">
        <v>9.0277777777777769E-3</v>
      </c>
      <c r="L11" s="41">
        <v>3.7499999999999999E-2</v>
      </c>
      <c r="M11" s="28" t="s">
        <v>109</v>
      </c>
      <c r="N11" s="29" t="s">
        <v>109</v>
      </c>
      <c r="O11" s="29" t="s">
        <v>61</v>
      </c>
      <c r="P11" s="28" t="s">
        <v>131</v>
      </c>
      <c r="Q11" s="28" t="s">
        <v>86</v>
      </c>
      <c r="R11" s="28" t="s">
        <v>109</v>
      </c>
      <c r="S11" s="28" t="s">
        <v>109</v>
      </c>
      <c r="T11" s="29" t="s">
        <v>122</v>
      </c>
      <c r="U11" s="28" t="s">
        <v>109</v>
      </c>
      <c r="V11" s="28" t="s">
        <v>2008</v>
      </c>
    </row>
    <row r="12" spans="1:22" x14ac:dyDescent="0.3">
      <c r="A12" s="28">
        <v>11</v>
      </c>
      <c r="B12" s="29" t="s">
        <v>26</v>
      </c>
      <c r="C12" s="29" t="s">
        <v>2468</v>
      </c>
      <c r="D12" s="29">
        <v>40226012</v>
      </c>
      <c r="E12" s="29">
        <v>289</v>
      </c>
      <c r="F12" s="28">
        <v>541</v>
      </c>
      <c r="G12" s="28">
        <v>172</v>
      </c>
      <c r="H12" s="28" t="s">
        <v>2469</v>
      </c>
      <c r="I12" s="28" t="s">
        <v>2470</v>
      </c>
      <c r="J12" s="28" t="s">
        <v>130</v>
      </c>
      <c r="K12" s="41">
        <v>0.88888888888888884</v>
      </c>
      <c r="L12" s="41">
        <v>0.95972222222222225</v>
      </c>
      <c r="M12" s="28" t="s">
        <v>109</v>
      </c>
      <c r="N12" s="29" t="s">
        <v>109</v>
      </c>
      <c r="O12" s="29" t="s">
        <v>61</v>
      </c>
      <c r="P12" s="28" t="s">
        <v>131</v>
      </c>
      <c r="Q12" s="28" t="s">
        <v>154</v>
      </c>
      <c r="R12" s="28" t="s">
        <v>109</v>
      </c>
      <c r="S12" s="28" t="s">
        <v>109</v>
      </c>
      <c r="T12" s="29" t="s">
        <v>122</v>
      </c>
      <c r="U12" s="28" t="s">
        <v>109</v>
      </c>
      <c r="V12" s="28" t="s">
        <v>2141</v>
      </c>
    </row>
    <row r="13" spans="1:22" x14ac:dyDescent="0.3">
      <c r="A13" s="28">
        <v>12</v>
      </c>
      <c r="B13" s="29" t="s">
        <v>26</v>
      </c>
      <c r="C13" s="29" t="s">
        <v>766</v>
      </c>
      <c r="D13" s="29">
        <v>40126004</v>
      </c>
      <c r="E13" s="29">
        <v>113</v>
      </c>
      <c r="F13" s="28">
        <v>277</v>
      </c>
      <c r="G13" s="28">
        <v>109</v>
      </c>
      <c r="H13" s="28" t="s">
        <v>1135</v>
      </c>
      <c r="I13" s="28" t="s">
        <v>99</v>
      </c>
      <c r="J13" s="28" t="s">
        <v>130</v>
      </c>
      <c r="K13" s="41">
        <v>0.69166666666666665</v>
      </c>
      <c r="L13" s="41">
        <v>0.81805555555555554</v>
      </c>
      <c r="M13" s="28" t="s">
        <v>109</v>
      </c>
      <c r="N13" s="29" t="s">
        <v>434</v>
      </c>
      <c r="O13" s="29" t="s">
        <v>61</v>
      </c>
      <c r="P13" s="28" t="s">
        <v>131</v>
      </c>
      <c r="Q13" s="28" t="s">
        <v>87</v>
      </c>
      <c r="R13" s="28" t="s">
        <v>109</v>
      </c>
      <c r="S13" s="28" t="s">
        <v>109</v>
      </c>
      <c r="T13" s="29" t="s">
        <v>767</v>
      </c>
      <c r="U13" s="28" t="s">
        <v>109</v>
      </c>
      <c r="V13" s="28" t="s">
        <v>2485</v>
      </c>
    </row>
    <row r="14" spans="1:22" x14ac:dyDescent="0.3">
      <c r="A14" s="28">
        <v>13</v>
      </c>
      <c r="B14" s="29" t="s">
        <v>26</v>
      </c>
      <c r="C14" s="29" t="s">
        <v>768</v>
      </c>
      <c r="D14" s="29">
        <v>40126005</v>
      </c>
      <c r="E14" s="29">
        <v>119</v>
      </c>
      <c r="F14" s="28">
        <v>223</v>
      </c>
      <c r="G14" s="28">
        <v>100</v>
      </c>
      <c r="H14" s="28" t="s">
        <v>172</v>
      </c>
      <c r="I14" s="28" t="s">
        <v>2344</v>
      </c>
      <c r="J14" s="28" t="s">
        <v>130</v>
      </c>
      <c r="K14" s="41">
        <v>0.74930555555555556</v>
      </c>
      <c r="L14" s="41">
        <v>0.85277777777777775</v>
      </c>
      <c r="M14" s="28" t="s">
        <v>109</v>
      </c>
      <c r="N14" s="29" t="s">
        <v>434</v>
      </c>
      <c r="O14" s="29" t="s">
        <v>61</v>
      </c>
      <c r="P14" s="28" t="s">
        <v>131</v>
      </c>
      <c r="Q14" s="28" t="s">
        <v>91</v>
      </c>
      <c r="R14" s="28" t="s">
        <v>109</v>
      </c>
      <c r="S14" s="28" t="s">
        <v>109</v>
      </c>
      <c r="T14" s="29" t="s">
        <v>767</v>
      </c>
      <c r="U14" s="28" t="s">
        <v>109</v>
      </c>
      <c r="V14" s="28" t="s">
        <v>2485</v>
      </c>
    </row>
    <row r="15" spans="1:22" x14ac:dyDescent="0.3">
      <c r="A15" s="28">
        <v>14</v>
      </c>
      <c r="B15" s="29" t="s">
        <v>26</v>
      </c>
      <c r="C15" s="29" t="s">
        <v>769</v>
      </c>
      <c r="D15" s="29">
        <v>40126006</v>
      </c>
      <c r="E15" s="29">
        <v>105</v>
      </c>
      <c r="F15" s="28">
        <v>46</v>
      </c>
      <c r="G15" s="28">
        <v>26</v>
      </c>
      <c r="H15" s="28" t="s">
        <v>262</v>
      </c>
      <c r="I15" s="28" t="s">
        <v>2471</v>
      </c>
      <c r="J15" s="28" t="s">
        <v>130</v>
      </c>
      <c r="K15" s="41">
        <v>0.66041666666666665</v>
      </c>
      <c r="L15" s="41">
        <v>0.69374999999999998</v>
      </c>
      <c r="M15" s="28" t="s">
        <v>109</v>
      </c>
      <c r="N15" s="29" t="s">
        <v>434</v>
      </c>
      <c r="O15" s="29" t="s">
        <v>61</v>
      </c>
      <c r="P15" s="28" t="s">
        <v>131</v>
      </c>
      <c r="Q15" s="28" t="s">
        <v>94</v>
      </c>
      <c r="R15" s="28" t="s">
        <v>109</v>
      </c>
      <c r="S15" s="28" t="s">
        <v>109</v>
      </c>
      <c r="T15" s="29" t="s">
        <v>767</v>
      </c>
      <c r="U15" s="28" t="s">
        <v>109</v>
      </c>
      <c r="V15" s="28" t="s">
        <v>291</v>
      </c>
    </row>
    <row r="16" spans="1:22" x14ac:dyDescent="0.3">
      <c r="A16" s="28">
        <v>15</v>
      </c>
      <c r="B16" s="29" t="s">
        <v>23</v>
      </c>
      <c r="C16" s="29" t="s">
        <v>1022</v>
      </c>
      <c r="D16" s="29">
        <v>51225088</v>
      </c>
      <c r="E16" s="29">
        <v>200</v>
      </c>
      <c r="F16" s="28">
        <v>331</v>
      </c>
      <c r="G16" s="28">
        <v>68</v>
      </c>
      <c r="H16" s="28" t="s">
        <v>388</v>
      </c>
      <c r="I16" s="28" t="s">
        <v>109</v>
      </c>
      <c r="J16" s="28" t="s">
        <v>130</v>
      </c>
      <c r="K16" s="28" t="s">
        <v>2533</v>
      </c>
      <c r="L16" s="28" t="s">
        <v>109</v>
      </c>
      <c r="M16" s="28" t="s">
        <v>109</v>
      </c>
      <c r="N16" s="29" t="s">
        <v>2407</v>
      </c>
      <c r="O16" s="29" t="s">
        <v>61</v>
      </c>
      <c r="P16" s="28" t="s">
        <v>131</v>
      </c>
      <c r="Q16" s="28" t="s">
        <v>69</v>
      </c>
      <c r="R16" s="28" t="s">
        <v>109</v>
      </c>
      <c r="S16" s="28" t="s">
        <v>109</v>
      </c>
      <c r="T16" s="29" t="s">
        <v>1024</v>
      </c>
      <c r="U16" s="28" t="s">
        <v>109</v>
      </c>
      <c r="V16" s="28" t="s">
        <v>2008</v>
      </c>
    </row>
    <row r="17" spans="1:22" x14ac:dyDescent="0.3">
      <c r="A17" s="28">
        <v>16</v>
      </c>
      <c r="B17" s="29" t="s">
        <v>23</v>
      </c>
      <c r="C17" s="29" t="s">
        <v>1025</v>
      </c>
      <c r="D17" s="29">
        <v>51225087</v>
      </c>
      <c r="E17" s="29">
        <v>100</v>
      </c>
      <c r="F17" s="28">
        <v>122</v>
      </c>
      <c r="G17" s="28">
        <v>47</v>
      </c>
      <c r="H17" s="7" t="s">
        <v>67</v>
      </c>
      <c r="I17" s="28" t="s">
        <v>109</v>
      </c>
      <c r="J17" s="28" t="s">
        <v>130</v>
      </c>
      <c r="K17" s="41">
        <v>1.8749999999999999E-2</v>
      </c>
      <c r="L17" s="28" t="s">
        <v>109</v>
      </c>
      <c r="M17" s="28" t="s">
        <v>109</v>
      </c>
      <c r="N17" s="29" t="s">
        <v>2407</v>
      </c>
      <c r="O17" s="29" t="s">
        <v>61</v>
      </c>
      <c r="P17" s="28" t="s">
        <v>131</v>
      </c>
      <c r="Q17" s="28" t="s">
        <v>67</v>
      </c>
      <c r="R17" s="28" t="s">
        <v>109</v>
      </c>
      <c r="S17" s="28" t="s">
        <v>109</v>
      </c>
      <c r="T17" s="29" t="s">
        <v>1024</v>
      </c>
      <c r="U17" s="28" t="s">
        <v>109</v>
      </c>
      <c r="V17" s="28" t="s">
        <v>2008</v>
      </c>
    </row>
    <row r="18" spans="1:22" x14ac:dyDescent="0.3">
      <c r="A18" s="28">
        <v>17</v>
      </c>
      <c r="B18" s="29" t="s">
        <v>23</v>
      </c>
      <c r="C18" s="29" t="s">
        <v>2411</v>
      </c>
      <c r="D18" s="29">
        <v>50226088</v>
      </c>
      <c r="E18" s="29">
        <v>75</v>
      </c>
      <c r="F18" s="28">
        <v>119</v>
      </c>
      <c r="G18" s="28">
        <v>79</v>
      </c>
      <c r="H18" s="7" t="s">
        <v>200</v>
      </c>
      <c r="I18" s="28" t="s">
        <v>109</v>
      </c>
      <c r="J18" s="28" t="s">
        <v>130</v>
      </c>
      <c r="K18" s="41">
        <v>0.90833333333333333</v>
      </c>
      <c r="L18" s="28" t="s">
        <v>109</v>
      </c>
      <c r="M18" s="28" t="s">
        <v>109</v>
      </c>
      <c r="N18" s="29" t="s">
        <v>109</v>
      </c>
      <c r="O18" s="29" t="s">
        <v>61</v>
      </c>
      <c r="P18" s="28" t="s">
        <v>131</v>
      </c>
      <c r="Q18" s="28" t="s">
        <v>200</v>
      </c>
      <c r="R18" s="28" t="s">
        <v>109</v>
      </c>
      <c r="S18" s="28" t="s">
        <v>109</v>
      </c>
      <c r="T18" s="29" t="s">
        <v>252</v>
      </c>
      <c r="U18" s="28" t="s">
        <v>109</v>
      </c>
      <c r="V18" s="28" t="s">
        <v>2485</v>
      </c>
    </row>
    <row r="19" spans="1:22" x14ac:dyDescent="0.3">
      <c r="A19" s="28">
        <v>18</v>
      </c>
      <c r="B19" s="29" t="s">
        <v>23</v>
      </c>
      <c r="C19" s="29" t="s">
        <v>2472</v>
      </c>
      <c r="D19" s="29">
        <v>50226104</v>
      </c>
      <c r="E19" s="29">
        <v>50</v>
      </c>
      <c r="F19" s="28">
        <v>91</v>
      </c>
      <c r="G19" s="28">
        <v>22</v>
      </c>
      <c r="H19" s="7" t="s">
        <v>84</v>
      </c>
      <c r="I19" s="28" t="s">
        <v>109</v>
      </c>
      <c r="J19" s="28" t="s">
        <v>130</v>
      </c>
      <c r="K19" s="41">
        <v>0.9770833333333333</v>
      </c>
      <c r="L19" s="28" t="s">
        <v>109</v>
      </c>
      <c r="M19" s="28" t="s">
        <v>109</v>
      </c>
      <c r="N19" s="29" t="s">
        <v>2407</v>
      </c>
      <c r="O19" s="29" t="s">
        <v>61</v>
      </c>
      <c r="P19" s="28" t="s">
        <v>131</v>
      </c>
      <c r="Q19" s="28" t="s">
        <v>84</v>
      </c>
      <c r="R19" s="28" t="s">
        <v>109</v>
      </c>
      <c r="S19" s="28" t="s">
        <v>109</v>
      </c>
      <c r="T19" s="29" t="s">
        <v>2473</v>
      </c>
      <c r="U19" s="28" t="s">
        <v>109</v>
      </c>
      <c r="V19" s="28" t="s">
        <v>2008</v>
      </c>
    </row>
    <row r="20" spans="1:22" x14ac:dyDescent="0.3">
      <c r="A20" s="28">
        <v>19</v>
      </c>
      <c r="B20" s="29" t="s">
        <v>23</v>
      </c>
      <c r="C20" s="29" t="s">
        <v>2474</v>
      </c>
      <c r="D20" s="29">
        <v>50226106</v>
      </c>
      <c r="E20" s="29">
        <v>75</v>
      </c>
      <c r="F20" s="28">
        <v>150</v>
      </c>
      <c r="G20" s="28">
        <v>49</v>
      </c>
      <c r="H20" s="7" t="s">
        <v>69</v>
      </c>
      <c r="I20" s="28" t="s">
        <v>109</v>
      </c>
      <c r="J20" s="28" t="s">
        <v>130</v>
      </c>
      <c r="K20" s="41">
        <v>0.65486111111111112</v>
      </c>
      <c r="L20" s="28" t="s">
        <v>109</v>
      </c>
      <c r="M20" s="28" t="s">
        <v>109</v>
      </c>
      <c r="N20" s="29" t="s">
        <v>2407</v>
      </c>
      <c r="O20" s="29" t="s">
        <v>61</v>
      </c>
      <c r="P20" s="28" t="s">
        <v>131</v>
      </c>
      <c r="Q20" s="28" t="s">
        <v>69</v>
      </c>
      <c r="R20" s="28" t="s">
        <v>109</v>
      </c>
      <c r="S20" s="28" t="s">
        <v>109</v>
      </c>
      <c r="T20" s="29" t="s">
        <v>2473</v>
      </c>
      <c r="U20" s="28" t="s">
        <v>109</v>
      </c>
      <c r="V20" s="28" t="s">
        <v>2141</v>
      </c>
    </row>
    <row r="21" spans="1:22" x14ac:dyDescent="0.3">
      <c r="A21" s="28">
        <v>20</v>
      </c>
      <c r="B21" s="29" t="s">
        <v>23</v>
      </c>
      <c r="C21" s="29" t="s">
        <v>2475</v>
      </c>
      <c r="D21" s="29">
        <v>50226103</v>
      </c>
      <c r="E21" s="29">
        <v>100</v>
      </c>
      <c r="F21" s="28">
        <v>150</v>
      </c>
      <c r="G21" s="28">
        <v>34</v>
      </c>
      <c r="H21" s="7" t="s">
        <v>65</v>
      </c>
      <c r="I21" s="28" t="s">
        <v>109</v>
      </c>
      <c r="J21" s="28" t="s">
        <v>130</v>
      </c>
      <c r="K21" s="41">
        <v>0.96736111111111112</v>
      </c>
      <c r="L21" s="28" t="s">
        <v>109</v>
      </c>
      <c r="M21" s="28" t="s">
        <v>109</v>
      </c>
      <c r="N21" s="29" t="s">
        <v>2407</v>
      </c>
      <c r="O21" s="29" t="s">
        <v>61</v>
      </c>
      <c r="P21" s="28" t="s">
        <v>131</v>
      </c>
      <c r="Q21" s="28" t="s">
        <v>65</v>
      </c>
      <c r="R21" s="28" t="s">
        <v>109</v>
      </c>
      <c r="S21" s="28" t="s">
        <v>109</v>
      </c>
      <c r="T21" s="29" t="s">
        <v>2473</v>
      </c>
      <c r="U21" s="28" t="s">
        <v>109</v>
      </c>
      <c r="V21" s="28" t="s">
        <v>291</v>
      </c>
    </row>
    <row r="22" spans="1:22" x14ac:dyDescent="0.3">
      <c r="A22" s="28">
        <v>21</v>
      </c>
      <c r="B22" s="29" t="s">
        <v>23</v>
      </c>
      <c r="C22" s="29" t="s">
        <v>2476</v>
      </c>
      <c r="D22" s="29">
        <v>50226102</v>
      </c>
      <c r="E22" s="29">
        <v>90</v>
      </c>
      <c r="F22" s="28">
        <v>130</v>
      </c>
      <c r="G22" s="28">
        <v>48</v>
      </c>
      <c r="H22" s="7" t="s">
        <v>67</v>
      </c>
      <c r="I22" s="28" t="s">
        <v>109</v>
      </c>
      <c r="J22" s="28" t="s">
        <v>130</v>
      </c>
      <c r="K22" s="41">
        <v>0.97777777777777775</v>
      </c>
      <c r="L22" s="28" t="s">
        <v>109</v>
      </c>
      <c r="M22" s="28" t="s">
        <v>109</v>
      </c>
      <c r="N22" s="29" t="s">
        <v>2407</v>
      </c>
      <c r="O22" s="29" t="s">
        <v>61</v>
      </c>
      <c r="P22" s="28" t="s">
        <v>131</v>
      </c>
      <c r="Q22" s="28" t="s">
        <v>67</v>
      </c>
      <c r="R22" s="28" t="s">
        <v>109</v>
      </c>
      <c r="S22" s="28" t="s">
        <v>109</v>
      </c>
      <c r="T22" s="29" t="s">
        <v>2473</v>
      </c>
      <c r="U22" s="28" t="s">
        <v>109</v>
      </c>
      <c r="V22" s="28" t="s">
        <v>2008</v>
      </c>
    </row>
    <row r="23" spans="1:22" x14ac:dyDescent="0.3">
      <c r="A23" s="28">
        <v>22</v>
      </c>
      <c r="B23" s="29" t="s">
        <v>23</v>
      </c>
      <c r="C23" s="29" t="s">
        <v>2477</v>
      </c>
      <c r="D23" s="29">
        <v>50226105</v>
      </c>
      <c r="E23" s="29">
        <v>150</v>
      </c>
      <c r="F23" s="28">
        <v>295</v>
      </c>
      <c r="G23" s="28">
        <v>101</v>
      </c>
      <c r="H23" s="28" t="s">
        <v>1731</v>
      </c>
      <c r="I23" s="28" t="s">
        <v>109</v>
      </c>
      <c r="J23" s="28" t="s">
        <v>130</v>
      </c>
      <c r="K23" s="28" t="s">
        <v>2521</v>
      </c>
      <c r="L23" s="28" t="s">
        <v>109</v>
      </c>
      <c r="M23" s="28" t="s">
        <v>109</v>
      </c>
      <c r="N23" s="29" t="s">
        <v>2407</v>
      </c>
      <c r="O23" s="29" t="s">
        <v>61</v>
      </c>
      <c r="P23" s="28" t="s">
        <v>131</v>
      </c>
      <c r="Q23" s="28" t="s">
        <v>241</v>
      </c>
      <c r="R23" s="28" t="s">
        <v>109</v>
      </c>
      <c r="S23" s="28" t="s">
        <v>109</v>
      </c>
      <c r="T23" s="29" t="s">
        <v>2473</v>
      </c>
      <c r="U23" s="28" t="s">
        <v>109</v>
      </c>
      <c r="V23" s="28" t="s">
        <v>2141</v>
      </c>
    </row>
    <row r="24" spans="1:22" x14ac:dyDescent="0.3">
      <c r="A24" s="28">
        <v>23</v>
      </c>
      <c r="B24" s="29" t="s">
        <v>23</v>
      </c>
      <c r="C24" s="29" t="s">
        <v>2478</v>
      </c>
      <c r="D24" s="29">
        <v>50226101</v>
      </c>
      <c r="E24" s="29">
        <v>200</v>
      </c>
      <c r="F24" s="28">
        <v>329</v>
      </c>
      <c r="G24" s="28">
        <v>162</v>
      </c>
      <c r="H24" s="28" t="s">
        <v>420</v>
      </c>
      <c r="I24" s="28" t="s">
        <v>109</v>
      </c>
      <c r="J24" s="28" t="s">
        <v>130</v>
      </c>
      <c r="K24" s="41">
        <v>0.84861111111111109</v>
      </c>
      <c r="L24" s="28" t="s">
        <v>109</v>
      </c>
      <c r="M24" s="28" t="s">
        <v>109</v>
      </c>
      <c r="N24" s="29" t="s">
        <v>2407</v>
      </c>
      <c r="O24" s="29" t="s">
        <v>61</v>
      </c>
      <c r="P24" s="28" t="s">
        <v>131</v>
      </c>
      <c r="Q24" s="28" t="s">
        <v>84</v>
      </c>
      <c r="R24" s="28" t="s">
        <v>109</v>
      </c>
      <c r="S24" s="28" t="s">
        <v>109</v>
      </c>
      <c r="T24" s="29" t="s">
        <v>2473</v>
      </c>
      <c r="U24" s="28" t="s">
        <v>109</v>
      </c>
      <c r="V24" s="28" t="s">
        <v>2141</v>
      </c>
    </row>
    <row r="25" spans="1:22" x14ac:dyDescent="0.3">
      <c r="A25" s="28">
        <v>24</v>
      </c>
      <c r="B25" s="29" t="s">
        <v>23</v>
      </c>
      <c r="C25" s="29" t="s">
        <v>2479</v>
      </c>
      <c r="D25" s="29">
        <v>50226098</v>
      </c>
      <c r="E25" s="29">
        <v>90</v>
      </c>
      <c r="F25" s="28">
        <v>66</v>
      </c>
      <c r="G25" s="28">
        <v>1</v>
      </c>
      <c r="H25" s="7" t="s">
        <v>196</v>
      </c>
      <c r="I25" s="28" t="s">
        <v>109</v>
      </c>
      <c r="J25" s="28" t="s">
        <v>130</v>
      </c>
      <c r="K25" s="41">
        <v>0.98750000000000004</v>
      </c>
      <c r="L25" s="28" t="s">
        <v>109</v>
      </c>
      <c r="M25" s="28" t="s">
        <v>109</v>
      </c>
      <c r="N25" s="29" t="s">
        <v>2407</v>
      </c>
      <c r="O25" s="29" t="s">
        <v>61</v>
      </c>
      <c r="P25" s="28" t="s">
        <v>131</v>
      </c>
      <c r="Q25" s="28" t="s">
        <v>196</v>
      </c>
      <c r="R25" s="28" t="s">
        <v>109</v>
      </c>
      <c r="S25" s="28" t="s">
        <v>109</v>
      </c>
      <c r="T25" s="29" t="s">
        <v>2473</v>
      </c>
      <c r="U25" s="28" t="s">
        <v>109</v>
      </c>
      <c r="V25" s="28" t="s">
        <v>291</v>
      </c>
    </row>
    <row r="26" spans="1:22" x14ac:dyDescent="0.3">
      <c r="A26" s="28">
        <v>25</v>
      </c>
      <c r="B26" s="29" t="s">
        <v>23</v>
      </c>
      <c r="C26" s="29" t="s">
        <v>2480</v>
      </c>
      <c r="D26" s="29">
        <v>50226097</v>
      </c>
      <c r="E26" s="29">
        <v>150</v>
      </c>
      <c r="F26" s="28">
        <v>218</v>
      </c>
      <c r="G26" s="28">
        <v>27</v>
      </c>
      <c r="H26" s="28" t="s">
        <v>2338</v>
      </c>
      <c r="I26" s="28" t="s">
        <v>109</v>
      </c>
      <c r="J26" s="28" t="s">
        <v>130</v>
      </c>
      <c r="K26" s="41">
        <v>0.71250000000000002</v>
      </c>
      <c r="L26" s="28" t="s">
        <v>109</v>
      </c>
      <c r="M26" s="28" t="s">
        <v>109</v>
      </c>
      <c r="N26" s="29" t="s">
        <v>2407</v>
      </c>
      <c r="O26" s="29" t="s">
        <v>61</v>
      </c>
      <c r="P26" s="28" t="s">
        <v>131</v>
      </c>
      <c r="Q26" s="28" t="s">
        <v>66</v>
      </c>
      <c r="R26" s="28" t="s">
        <v>109</v>
      </c>
      <c r="S26" s="28" t="s">
        <v>109</v>
      </c>
      <c r="T26" s="29" t="s">
        <v>2473</v>
      </c>
      <c r="U26" s="28" t="s">
        <v>109</v>
      </c>
      <c r="V26" s="28" t="s">
        <v>1524</v>
      </c>
    </row>
    <row r="27" spans="1:22" x14ac:dyDescent="0.3">
      <c r="A27" s="28">
        <v>26</v>
      </c>
      <c r="B27" s="29" t="s">
        <v>23</v>
      </c>
      <c r="C27" s="29" t="s">
        <v>2481</v>
      </c>
      <c r="D27" s="29">
        <v>50226096</v>
      </c>
      <c r="E27" s="29">
        <v>200</v>
      </c>
      <c r="F27" s="28">
        <v>321</v>
      </c>
      <c r="G27" s="28">
        <v>176</v>
      </c>
      <c r="H27" s="28" t="s">
        <v>375</v>
      </c>
      <c r="I27" s="28" t="s">
        <v>109</v>
      </c>
      <c r="J27" s="28" t="s">
        <v>130</v>
      </c>
      <c r="K27" s="28" t="s">
        <v>2536</v>
      </c>
      <c r="L27" s="28" t="s">
        <v>109</v>
      </c>
      <c r="M27" s="28" t="s">
        <v>109</v>
      </c>
      <c r="N27" s="29" t="s">
        <v>2407</v>
      </c>
      <c r="O27" s="29" t="s">
        <v>61</v>
      </c>
      <c r="P27" s="28" t="s">
        <v>131</v>
      </c>
      <c r="Q27" s="28" t="s">
        <v>70</v>
      </c>
      <c r="R27" s="28" t="s">
        <v>109</v>
      </c>
      <c r="S27" s="28" t="s">
        <v>109</v>
      </c>
      <c r="T27" s="29" t="s">
        <v>2473</v>
      </c>
      <c r="U27" s="28" t="s">
        <v>109</v>
      </c>
      <c r="V27" s="28" t="s">
        <v>291</v>
      </c>
    </row>
    <row r="28" spans="1:22" x14ac:dyDescent="0.3">
      <c r="A28" s="28">
        <v>27</v>
      </c>
      <c r="B28" s="29" t="s">
        <v>23</v>
      </c>
      <c r="C28" s="29" t="s">
        <v>2328</v>
      </c>
      <c r="D28" s="29">
        <v>50226079</v>
      </c>
      <c r="E28" s="29">
        <v>75</v>
      </c>
      <c r="F28" s="28">
        <v>94</v>
      </c>
      <c r="G28" s="28">
        <v>41</v>
      </c>
      <c r="H28" s="7" t="s">
        <v>84</v>
      </c>
      <c r="I28" s="28" t="s">
        <v>109</v>
      </c>
      <c r="J28" s="28" t="s">
        <v>130</v>
      </c>
      <c r="K28" s="28" t="s">
        <v>109</v>
      </c>
      <c r="L28" s="41">
        <v>6.7361111111111108E-2</v>
      </c>
      <c r="M28" s="28" t="s">
        <v>109</v>
      </c>
      <c r="N28" s="29" t="s">
        <v>109</v>
      </c>
      <c r="O28" s="29" t="s">
        <v>61</v>
      </c>
      <c r="P28" s="28" t="s">
        <v>131</v>
      </c>
      <c r="Q28" s="28" t="s">
        <v>84</v>
      </c>
      <c r="R28" s="28" t="s">
        <v>109</v>
      </c>
      <c r="S28" s="28" t="s">
        <v>109</v>
      </c>
      <c r="T28" s="29" t="s">
        <v>252</v>
      </c>
      <c r="U28" s="28" t="s">
        <v>109</v>
      </c>
      <c r="V28" s="28" t="s">
        <v>109</v>
      </c>
    </row>
    <row r="29" spans="1:22" x14ac:dyDescent="0.3">
      <c r="A29" s="28">
        <v>28</v>
      </c>
      <c r="B29" s="29" t="s">
        <v>23</v>
      </c>
      <c r="C29" s="29" t="s">
        <v>2482</v>
      </c>
      <c r="D29" s="29">
        <v>50226085</v>
      </c>
      <c r="E29" s="29">
        <v>100</v>
      </c>
      <c r="F29" s="28">
        <v>130</v>
      </c>
      <c r="G29" s="28">
        <v>100</v>
      </c>
      <c r="H29" s="7" t="s">
        <v>222</v>
      </c>
      <c r="I29" s="28" t="s">
        <v>109</v>
      </c>
      <c r="J29" s="28" t="s">
        <v>130</v>
      </c>
      <c r="K29" s="41">
        <v>0.84166666666666667</v>
      </c>
      <c r="L29" s="28" t="s">
        <v>109</v>
      </c>
      <c r="M29" s="28" t="s">
        <v>109</v>
      </c>
      <c r="N29" s="29" t="s">
        <v>109</v>
      </c>
      <c r="O29" s="29" t="s">
        <v>61</v>
      </c>
      <c r="P29" s="28" t="s">
        <v>131</v>
      </c>
      <c r="Q29" s="28" t="s">
        <v>222</v>
      </c>
      <c r="R29" s="28" t="s">
        <v>109</v>
      </c>
      <c r="S29" s="28" t="s">
        <v>109</v>
      </c>
      <c r="T29" s="29" t="s">
        <v>250</v>
      </c>
      <c r="U29" s="28" t="s">
        <v>109</v>
      </c>
      <c r="V29" s="28" t="s">
        <v>2485</v>
      </c>
    </row>
    <row r="30" spans="1:22" x14ac:dyDescent="0.3">
      <c r="A30" s="28">
        <v>29</v>
      </c>
      <c r="B30" s="29" t="s">
        <v>23</v>
      </c>
      <c r="C30" s="29" t="s">
        <v>2483</v>
      </c>
      <c r="D30" s="29">
        <v>50226086</v>
      </c>
      <c r="E30" s="29">
        <v>100</v>
      </c>
      <c r="F30" s="28">
        <v>150</v>
      </c>
      <c r="G30" s="28">
        <v>60</v>
      </c>
      <c r="H30" s="7" t="s">
        <v>241</v>
      </c>
      <c r="I30" s="28" t="s">
        <v>109</v>
      </c>
      <c r="J30" s="28" t="s">
        <v>130</v>
      </c>
      <c r="K30" s="41">
        <v>0.96875</v>
      </c>
      <c r="L30" s="28" t="s">
        <v>109</v>
      </c>
      <c r="M30" s="28" t="s">
        <v>109</v>
      </c>
      <c r="N30" s="29" t="s">
        <v>109</v>
      </c>
      <c r="O30" s="29" t="s">
        <v>61</v>
      </c>
      <c r="P30" s="28" t="s">
        <v>131</v>
      </c>
      <c r="Q30" s="28" t="s">
        <v>241</v>
      </c>
      <c r="R30" s="28" t="s">
        <v>109</v>
      </c>
      <c r="S30" s="28" t="s">
        <v>109</v>
      </c>
      <c r="T30" s="29" t="s">
        <v>250</v>
      </c>
      <c r="U30" s="28" t="s">
        <v>109</v>
      </c>
      <c r="V30" s="28" t="s">
        <v>2008</v>
      </c>
    </row>
    <row r="31" spans="1:22" x14ac:dyDescent="0.3">
      <c r="A31" s="28">
        <v>30</v>
      </c>
      <c r="B31" s="29" t="s">
        <v>23</v>
      </c>
      <c r="C31" s="29" t="s">
        <v>1860</v>
      </c>
      <c r="D31" s="29">
        <v>50226008</v>
      </c>
      <c r="E31" s="29">
        <v>30</v>
      </c>
      <c r="F31" s="28">
        <v>60</v>
      </c>
      <c r="G31" s="28">
        <v>28</v>
      </c>
      <c r="H31" s="7" t="s">
        <v>84</v>
      </c>
      <c r="I31" s="28" t="s">
        <v>109</v>
      </c>
      <c r="J31" s="28" t="s">
        <v>130</v>
      </c>
      <c r="K31" s="41">
        <v>0.87152777777777779</v>
      </c>
      <c r="L31" s="28" t="s">
        <v>109</v>
      </c>
      <c r="M31" s="28" t="s">
        <v>109</v>
      </c>
      <c r="N31" s="29" t="s">
        <v>109</v>
      </c>
      <c r="O31" s="29" t="s">
        <v>61</v>
      </c>
      <c r="P31" s="28" t="s">
        <v>131</v>
      </c>
      <c r="Q31" s="28" t="s">
        <v>84</v>
      </c>
      <c r="R31" s="28" t="s">
        <v>109</v>
      </c>
      <c r="S31" s="28" t="s">
        <v>109</v>
      </c>
      <c r="T31" s="29" t="s">
        <v>1862</v>
      </c>
      <c r="U31" s="28" t="s">
        <v>109</v>
      </c>
      <c r="V31" s="28" t="s">
        <v>2485</v>
      </c>
    </row>
    <row r="32" spans="1:22" x14ac:dyDescent="0.3">
      <c r="A32" s="28">
        <v>31</v>
      </c>
      <c r="B32" s="29" t="s">
        <v>23</v>
      </c>
      <c r="C32" s="29" t="s">
        <v>2484</v>
      </c>
      <c r="D32" s="29">
        <v>50226100</v>
      </c>
      <c r="E32" s="29">
        <v>150</v>
      </c>
      <c r="F32" s="28">
        <v>19</v>
      </c>
      <c r="G32" s="28">
        <v>5</v>
      </c>
      <c r="H32" s="28" t="s">
        <v>1752</v>
      </c>
      <c r="I32" s="28" t="s">
        <v>109</v>
      </c>
      <c r="J32" s="28" t="s">
        <v>130</v>
      </c>
      <c r="K32" s="41">
        <v>0.99027777777777781</v>
      </c>
      <c r="L32" s="28" t="s">
        <v>109</v>
      </c>
      <c r="M32" s="28" t="s">
        <v>109</v>
      </c>
      <c r="N32" s="29" t="s">
        <v>660</v>
      </c>
      <c r="O32" s="29" t="s">
        <v>61</v>
      </c>
      <c r="P32" s="28" t="s">
        <v>131</v>
      </c>
      <c r="Q32" s="28" t="s">
        <v>71</v>
      </c>
      <c r="R32" s="28" t="s">
        <v>109</v>
      </c>
      <c r="S32" s="28" t="s">
        <v>109</v>
      </c>
      <c r="T32" s="29" t="s">
        <v>1240</v>
      </c>
      <c r="U32" s="28" t="s">
        <v>109</v>
      </c>
      <c r="V32" s="28" t="s">
        <v>291</v>
      </c>
    </row>
    <row r="33" spans="1:22" x14ac:dyDescent="0.3">
      <c r="A33" s="28">
        <v>32</v>
      </c>
      <c r="B33" s="29" t="s">
        <v>23</v>
      </c>
      <c r="C33" s="29" t="s">
        <v>425</v>
      </c>
      <c r="D33" s="29">
        <v>50126025</v>
      </c>
      <c r="E33" s="29">
        <v>350</v>
      </c>
      <c r="F33" s="28">
        <v>552</v>
      </c>
      <c r="G33" s="28">
        <v>349</v>
      </c>
      <c r="H33" s="28" t="s">
        <v>332</v>
      </c>
      <c r="I33" s="28" t="s">
        <v>109</v>
      </c>
      <c r="J33" s="28" t="s">
        <v>130</v>
      </c>
      <c r="K33" s="41">
        <v>0.70138888888888884</v>
      </c>
      <c r="L33" s="28" t="s">
        <v>109</v>
      </c>
      <c r="M33" s="28" t="s">
        <v>109</v>
      </c>
      <c r="N33" s="29" t="s">
        <v>110</v>
      </c>
      <c r="O33" s="29" t="s">
        <v>61</v>
      </c>
      <c r="P33" s="28" t="s">
        <v>131</v>
      </c>
      <c r="Q33" s="28" t="s">
        <v>69</v>
      </c>
      <c r="R33" s="28" t="s">
        <v>109</v>
      </c>
      <c r="S33" s="28" t="s">
        <v>109</v>
      </c>
      <c r="T33" s="29" t="s">
        <v>424</v>
      </c>
      <c r="U33" s="28" t="s">
        <v>109</v>
      </c>
      <c r="V33" s="28" t="s">
        <v>2485</v>
      </c>
    </row>
    <row r="34" spans="1:22" x14ac:dyDescent="0.3">
      <c r="A34" s="28">
        <v>33</v>
      </c>
      <c r="B34" s="29" t="s">
        <v>23</v>
      </c>
      <c r="C34" s="29" t="s">
        <v>426</v>
      </c>
      <c r="D34" s="29">
        <v>50126023</v>
      </c>
      <c r="E34" s="29">
        <v>500</v>
      </c>
      <c r="F34" s="28">
        <v>557</v>
      </c>
      <c r="G34" s="28">
        <v>333</v>
      </c>
      <c r="H34" s="28" t="s">
        <v>2486</v>
      </c>
      <c r="I34" s="28" t="s">
        <v>109</v>
      </c>
      <c r="J34" s="28" t="s">
        <v>130</v>
      </c>
      <c r="K34" s="28" t="s">
        <v>396</v>
      </c>
      <c r="L34" s="28" t="s">
        <v>109</v>
      </c>
      <c r="M34" s="28" t="s">
        <v>109</v>
      </c>
      <c r="N34" s="29" t="s">
        <v>110</v>
      </c>
      <c r="O34" s="29" t="s">
        <v>61</v>
      </c>
      <c r="P34" s="28" t="s">
        <v>131</v>
      </c>
      <c r="Q34" s="28" t="s">
        <v>90</v>
      </c>
      <c r="R34" s="28" t="s">
        <v>109</v>
      </c>
      <c r="S34" s="28" t="s">
        <v>109</v>
      </c>
      <c r="T34" s="29" t="s">
        <v>424</v>
      </c>
      <c r="U34" s="28" t="s">
        <v>109</v>
      </c>
      <c r="V34" s="28" t="s">
        <v>291</v>
      </c>
    </row>
    <row r="35" spans="1:22" x14ac:dyDescent="0.3">
      <c r="A35" s="28">
        <v>34</v>
      </c>
      <c r="B35" s="29" t="s">
        <v>23</v>
      </c>
      <c r="C35" s="29" t="s">
        <v>428</v>
      </c>
      <c r="D35" s="29">
        <v>50126024</v>
      </c>
      <c r="E35" s="29">
        <v>850</v>
      </c>
      <c r="F35" s="28">
        <v>1414</v>
      </c>
      <c r="G35" s="28">
        <v>918</v>
      </c>
      <c r="H35" s="28" t="s">
        <v>2487</v>
      </c>
      <c r="I35" s="28" t="s">
        <v>109</v>
      </c>
      <c r="J35" s="28" t="s">
        <v>130</v>
      </c>
      <c r="K35" s="41">
        <v>0.82152777777777775</v>
      </c>
      <c r="L35" s="28" t="s">
        <v>109</v>
      </c>
      <c r="M35" s="28" t="s">
        <v>109</v>
      </c>
      <c r="N35" s="29" t="s">
        <v>110</v>
      </c>
      <c r="O35" s="29" t="s">
        <v>61</v>
      </c>
      <c r="P35" s="28" t="s">
        <v>131</v>
      </c>
      <c r="Q35" s="28" t="s">
        <v>94</v>
      </c>
      <c r="R35" s="28" t="s">
        <v>109</v>
      </c>
      <c r="S35" s="28" t="s">
        <v>109</v>
      </c>
      <c r="T35" s="29" t="s">
        <v>424</v>
      </c>
      <c r="U35" s="28" t="s">
        <v>109</v>
      </c>
      <c r="V35" s="28" t="s">
        <v>2485</v>
      </c>
    </row>
    <row r="36" spans="1:22" x14ac:dyDescent="0.3">
      <c r="A36" s="28">
        <v>35</v>
      </c>
      <c r="B36" s="29" t="s">
        <v>23</v>
      </c>
      <c r="C36" s="29" t="s">
        <v>2488</v>
      </c>
      <c r="D36" s="29">
        <v>50226109</v>
      </c>
      <c r="E36" s="29">
        <v>85</v>
      </c>
      <c r="F36" s="28">
        <v>137</v>
      </c>
      <c r="G36" s="28">
        <v>113</v>
      </c>
      <c r="H36" s="7" t="s">
        <v>241</v>
      </c>
      <c r="I36" s="28" t="s">
        <v>109</v>
      </c>
      <c r="J36" s="28" t="s">
        <v>130</v>
      </c>
      <c r="K36" s="41">
        <v>0.67291666666666672</v>
      </c>
      <c r="L36" s="28" t="s">
        <v>109</v>
      </c>
      <c r="M36" s="28" t="s">
        <v>109</v>
      </c>
      <c r="N36" s="29" t="s">
        <v>110</v>
      </c>
      <c r="O36" s="29" t="s">
        <v>61</v>
      </c>
      <c r="P36" s="28" t="s">
        <v>131</v>
      </c>
      <c r="Q36" s="28" t="s">
        <v>241</v>
      </c>
      <c r="R36" s="28" t="s">
        <v>109</v>
      </c>
      <c r="S36" s="28" t="s">
        <v>109</v>
      </c>
      <c r="T36" s="29" t="s">
        <v>424</v>
      </c>
      <c r="U36" s="28" t="s">
        <v>109</v>
      </c>
      <c r="V36" s="28" t="s">
        <v>2485</v>
      </c>
    </row>
    <row r="37" spans="1:22" x14ac:dyDescent="0.3">
      <c r="A37" s="28">
        <v>36</v>
      </c>
      <c r="B37" s="29" t="s">
        <v>23</v>
      </c>
      <c r="C37" s="29" t="s">
        <v>2489</v>
      </c>
      <c r="D37" s="29">
        <v>50226110</v>
      </c>
      <c r="E37" s="29">
        <v>65</v>
      </c>
      <c r="F37" s="28">
        <v>60</v>
      </c>
      <c r="G37" s="28">
        <v>37</v>
      </c>
      <c r="H37" s="7" t="s">
        <v>64</v>
      </c>
      <c r="I37" s="28" t="s">
        <v>109</v>
      </c>
      <c r="J37" s="28" t="s">
        <v>130</v>
      </c>
      <c r="K37" s="41">
        <v>0.6694444444444444</v>
      </c>
      <c r="L37" s="28" t="s">
        <v>109</v>
      </c>
      <c r="M37" s="28" t="s">
        <v>109</v>
      </c>
      <c r="N37" s="29" t="s">
        <v>110</v>
      </c>
      <c r="O37" s="29" t="s">
        <v>61</v>
      </c>
      <c r="P37" s="28" t="s">
        <v>131</v>
      </c>
      <c r="Q37" s="28" t="s">
        <v>64</v>
      </c>
      <c r="R37" s="28" t="s">
        <v>109</v>
      </c>
      <c r="S37" s="28" t="s">
        <v>109</v>
      </c>
      <c r="T37" s="29" t="s">
        <v>424</v>
      </c>
      <c r="U37" s="28" t="s">
        <v>109</v>
      </c>
      <c r="V37" s="28" t="s">
        <v>2485</v>
      </c>
    </row>
    <row r="38" spans="1:22" x14ac:dyDescent="0.3">
      <c r="A38" s="28">
        <v>37</v>
      </c>
      <c r="B38" s="29" t="s">
        <v>23</v>
      </c>
      <c r="C38" s="29" t="s">
        <v>2056</v>
      </c>
      <c r="D38" s="29">
        <v>50226049</v>
      </c>
      <c r="E38" s="29">
        <v>250</v>
      </c>
      <c r="F38" s="28">
        <v>298</v>
      </c>
      <c r="G38" s="28">
        <v>120</v>
      </c>
      <c r="H38" s="28" t="s">
        <v>1094</v>
      </c>
      <c r="I38" s="28" t="s">
        <v>109</v>
      </c>
      <c r="J38" s="28" t="s">
        <v>130</v>
      </c>
      <c r="K38" s="41">
        <v>0.75555555555555554</v>
      </c>
      <c r="L38" s="28" t="s">
        <v>109</v>
      </c>
      <c r="M38" s="28" t="s">
        <v>109</v>
      </c>
      <c r="N38" s="29" t="s">
        <v>2223</v>
      </c>
      <c r="O38" s="29" t="s">
        <v>61</v>
      </c>
      <c r="P38" s="28" t="s">
        <v>131</v>
      </c>
      <c r="Q38" s="28" t="s">
        <v>84</v>
      </c>
      <c r="R38" s="28" t="s">
        <v>109</v>
      </c>
      <c r="S38" s="28" t="s">
        <v>109</v>
      </c>
      <c r="T38" s="29" t="s">
        <v>2057</v>
      </c>
      <c r="U38" s="28" t="s">
        <v>109</v>
      </c>
      <c r="V38" s="28" t="s">
        <v>291</v>
      </c>
    </row>
    <row r="39" spans="1:22" x14ac:dyDescent="0.3">
      <c r="A39" s="28">
        <v>38</v>
      </c>
      <c r="B39" s="29" t="s">
        <v>23</v>
      </c>
      <c r="C39" s="29" t="s">
        <v>2058</v>
      </c>
      <c r="D39" s="29">
        <v>50226050</v>
      </c>
      <c r="E39" s="29">
        <v>86</v>
      </c>
      <c r="F39" s="28">
        <v>44</v>
      </c>
      <c r="G39" s="28">
        <v>20</v>
      </c>
      <c r="H39" s="7" t="s">
        <v>71</v>
      </c>
      <c r="I39" s="28" t="s">
        <v>109</v>
      </c>
      <c r="J39" s="28" t="s">
        <v>130</v>
      </c>
      <c r="K39" s="28" t="s">
        <v>2524</v>
      </c>
      <c r="L39" s="28" t="s">
        <v>109</v>
      </c>
      <c r="M39" s="28" t="s">
        <v>109</v>
      </c>
      <c r="N39" s="29" t="s">
        <v>2223</v>
      </c>
      <c r="O39" s="29" t="s">
        <v>61</v>
      </c>
      <c r="P39" s="28" t="s">
        <v>131</v>
      </c>
      <c r="Q39" s="28" t="s">
        <v>71</v>
      </c>
      <c r="R39" s="28" t="s">
        <v>109</v>
      </c>
      <c r="S39" s="28" t="s">
        <v>109</v>
      </c>
      <c r="T39" s="29" t="s">
        <v>2057</v>
      </c>
      <c r="U39" s="28" t="s">
        <v>109</v>
      </c>
      <c r="V39" s="28" t="s">
        <v>291</v>
      </c>
    </row>
    <row r="40" spans="1:22" x14ac:dyDescent="0.3">
      <c r="A40" s="28">
        <v>39</v>
      </c>
      <c r="B40" s="29" t="s">
        <v>23</v>
      </c>
      <c r="C40" s="29" t="s">
        <v>2418</v>
      </c>
      <c r="D40" s="29">
        <v>50226093</v>
      </c>
      <c r="E40" s="29">
        <v>20</v>
      </c>
      <c r="F40" s="28">
        <v>36</v>
      </c>
      <c r="G40" s="28">
        <v>21</v>
      </c>
      <c r="H40" s="7" t="s">
        <v>64</v>
      </c>
      <c r="I40" s="28" t="s">
        <v>109</v>
      </c>
      <c r="J40" s="28" t="s">
        <v>130</v>
      </c>
      <c r="K40" s="41">
        <v>0.69166666666666665</v>
      </c>
      <c r="L40" s="28" t="s">
        <v>109</v>
      </c>
      <c r="M40" s="28" t="s">
        <v>109</v>
      </c>
      <c r="N40" s="29" t="s">
        <v>109</v>
      </c>
      <c r="O40" s="29" t="s">
        <v>61</v>
      </c>
      <c r="P40" s="28" t="s">
        <v>131</v>
      </c>
      <c r="Q40" s="28" t="s">
        <v>64</v>
      </c>
      <c r="R40" s="28" t="s">
        <v>109</v>
      </c>
      <c r="S40" s="28" t="s">
        <v>109</v>
      </c>
      <c r="T40" s="29" t="s">
        <v>275</v>
      </c>
      <c r="U40" s="28" t="s">
        <v>109</v>
      </c>
      <c r="V40" s="28" t="s">
        <v>2485</v>
      </c>
    </row>
    <row r="41" spans="1:22" x14ac:dyDescent="0.3">
      <c r="A41" s="28">
        <v>40</v>
      </c>
      <c r="B41" s="29" t="s">
        <v>23</v>
      </c>
      <c r="C41" s="29" t="s">
        <v>1064</v>
      </c>
      <c r="D41" s="29">
        <v>50126306</v>
      </c>
      <c r="E41" s="29">
        <v>100</v>
      </c>
      <c r="F41" s="28">
        <v>120</v>
      </c>
      <c r="G41" s="28">
        <v>2</v>
      </c>
      <c r="H41" s="7" t="s">
        <v>184</v>
      </c>
      <c r="I41" s="28" t="s">
        <v>109</v>
      </c>
      <c r="J41" s="28" t="s">
        <v>130</v>
      </c>
      <c r="K41" s="28" t="s">
        <v>2525</v>
      </c>
      <c r="L41" s="28" t="s">
        <v>109</v>
      </c>
      <c r="M41" s="28" t="s">
        <v>109</v>
      </c>
      <c r="N41" s="29" t="s">
        <v>109</v>
      </c>
      <c r="O41" s="29" t="s">
        <v>61</v>
      </c>
      <c r="P41" s="28" t="s">
        <v>131</v>
      </c>
      <c r="Q41" s="28" t="s">
        <v>184</v>
      </c>
      <c r="R41" s="28" t="s">
        <v>109</v>
      </c>
      <c r="S41" s="28" t="s">
        <v>109</v>
      </c>
      <c r="T41" s="29" t="s">
        <v>1063</v>
      </c>
      <c r="U41" s="28" t="s">
        <v>109</v>
      </c>
      <c r="V41" s="28" t="s">
        <v>291</v>
      </c>
    </row>
    <row r="42" spans="1:22" x14ac:dyDescent="0.3">
      <c r="A42" s="28">
        <v>41</v>
      </c>
      <c r="B42" s="29" t="s">
        <v>23</v>
      </c>
      <c r="C42" s="29" t="s">
        <v>1065</v>
      </c>
      <c r="D42" s="29">
        <v>50126305</v>
      </c>
      <c r="E42" s="29">
        <v>100</v>
      </c>
      <c r="F42" s="28">
        <v>203</v>
      </c>
      <c r="G42" s="28">
        <v>29</v>
      </c>
      <c r="H42" s="7" t="s">
        <v>70</v>
      </c>
      <c r="I42" s="28" t="s">
        <v>109</v>
      </c>
      <c r="J42" s="28" t="s">
        <v>130</v>
      </c>
      <c r="K42" s="28" t="s">
        <v>2526</v>
      </c>
      <c r="L42" s="28" t="s">
        <v>109</v>
      </c>
      <c r="M42" s="28" t="s">
        <v>109</v>
      </c>
      <c r="N42" s="29" t="s">
        <v>109</v>
      </c>
      <c r="O42" s="29" t="s">
        <v>61</v>
      </c>
      <c r="P42" s="28" t="s">
        <v>131</v>
      </c>
      <c r="Q42" s="28" t="s">
        <v>70</v>
      </c>
      <c r="R42" s="28" t="s">
        <v>109</v>
      </c>
      <c r="S42" s="28" t="s">
        <v>109</v>
      </c>
      <c r="T42" s="29" t="s">
        <v>1063</v>
      </c>
      <c r="U42" s="28" t="s">
        <v>109</v>
      </c>
      <c r="V42" s="28" t="s">
        <v>2141</v>
      </c>
    </row>
    <row r="43" spans="1:22" x14ac:dyDescent="0.3">
      <c r="A43" s="28">
        <v>42</v>
      </c>
      <c r="B43" s="29" t="s">
        <v>23</v>
      </c>
      <c r="C43" s="29" t="s">
        <v>139</v>
      </c>
      <c r="D43" s="29">
        <v>51225032</v>
      </c>
      <c r="E43" s="29">
        <v>50</v>
      </c>
      <c r="F43" s="28">
        <v>73</v>
      </c>
      <c r="G43" s="28">
        <v>15</v>
      </c>
      <c r="H43" s="7" t="s">
        <v>65</v>
      </c>
      <c r="I43" s="28" t="s">
        <v>109</v>
      </c>
      <c r="J43" s="28" t="s">
        <v>130</v>
      </c>
      <c r="K43" s="28" t="s">
        <v>2537</v>
      </c>
      <c r="L43" s="28" t="s">
        <v>109</v>
      </c>
      <c r="M43" s="28" t="s">
        <v>109</v>
      </c>
      <c r="N43" s="29" t="s">
        <v>109</v>
      </c>
      <c r="O43" s="29" t="s">
        <v>61</v>
      </c>
      <c r="P43" s="28" t="s">
        <v>131</v>
      </c>
      <c r="Q43" s="28" t="s">
        <v>65</v>
      </c>
      <c r="R43" s="28" t="s">
        <v>109</v>
      </c>
      <c r="S43" s="28" t="s">
        <v>109</v>
      </c>
      <c r="T43" s="29" t="s">
        <v>142</v>
      </c>
      <c r="U43" s="28" t="s">
        <v>109</v>
      </c>
      <c r="V43" s="28" t="s">
        <v>2008</v>
      </c>
    </row>
    <row r="44" spans="1:22" x14ac:dyDescent="0.3">
      <c r="A44" s="28">
        <v>43</v>
      </c>
      <c r="B44" s="29" t="s">
        <v>23</v>
      </c>
      <c r="C44" s="29" t="s">
        <v>743</v>
      </c>
      <c r="D44" s="29">
        <v>50126124</v>
      </c>
      <c r="E44" s="29">
        <v>50</v>
      </c>
      <c r="F44" s="28">
        <v>56</v>
      </c>
      <c r="G44" s="28">
        <v>23</v>
      </c>
      <c r="H44" s="7" t="s">
        <v>222</v>
      </c>
      <c r="I44" s="28" t="s">
        <v>109</v>
      </c>
      <c r="J44" s="28" t="s">
        <v>130</v>
      </c>
      <c r="K44" s="41">
        <v>0.68888888888888888</v>
      </c>
      <c r="L44" s="28" t="s">
        <v>109</v>
      </c>
      <c r="M44" s="28" t="s">
        <v>109</v>
      </c>
      <c r="N44" s="29" t="s">
        <v>109</v>
      </c>
      <c r="O44" s="29" t="s">
        <v>61</v>
      </c>
      <c r="P44" s="28" t="s">
        <v>131</v>
      </c>
      <c r="Q44" s="28" t="s">
        <v>222</v>
      </c>
      <c r="R44" s="28" t="s">
        <v>109</v>
      </c>
      <c r="S44" s="28" t="s">
        <v>109</v>
      </c>
      <c r="T44" s="29" t="s">
        <v>278</v>
      </c>
      <c r="U44" s="28" t="s">
        <v>109</v>
      </c>
      <c r="V44" s="28" t="s">
        <v>1524</v>
      </c>
    </row>
    <row r="45" spans="1:22" x14ac:dyDescent="0.3">
      <c r="A45" s="28">
        <v>44</v>
      </c>
      <c r="B45" s="29" t="s">
        <v>23</v>
      </c>
      <c r="C45" s="29" t="s">
        <v>581</v>
      </c>
      <c r="D45" s="29">
        <v>51125193</v>
      </c>
      <c r="E45" s="29">
        <v>50</v>
      </c>
      <c r="F45" s="28">
        <v>92</v>
      </c>
      <c r="G45" s="28">
        <v>45</v>
      </c>
      <c r="H45" s="7" t="s">
        <v>67</v>
      </c>
      <c r="I45" s="28" t="s">
        <v>109</v>
      </c>
      <c r="J45" s="28" t="s">
        <v>130</v>
      </c>
      <c r="K45" s="41">
        <v>0.77500000000000002</v>
      </c>
      <c r="L45" s="28" t="s">
        <v>109</v>
      </c>
      <c r="M45" s="28" t="s">
        <v>109</v>
      </c>
      <c r="N45" s="29" t="s">
        <v>109</v>
      </c>
      <c r="O45" s="29" t="s">
        <v>61</v>
      </c>
      <c r="P45" s="28" t="s">
        <v>131</v>
      </c>
      <c r="Q45" s="28" t="s">
        <v>67</v>
      </c>
      <c r="R45" s="28" t="s">
        <v>109</v>
      </c>
      <c r="S45" s="28" t="s">
        <v>109</v>
      </c>
      <c r="T45" s="29" t="s">
        <v>278</v>
      </c>
      <c r="U45" s="28" t="s">
        <v>109</v>
      </c>
      <c r="V45" s="28" t="s">
        <v>2485</v>
      </c>
    </row>
    <row r="46" spans="1:22" x14ac:dyDescent="0.3">
      <c r="A46" s="28">
        <v>45</v>
      </c>
      <c r="B46" s="29" t="s">
        <v>23</v>
      </c>
      <c r="C46" s="29" t="s">
        <v>280</v>
      </c>
      <c r="D46" s="29">
        <v>51125192</v>
      </c>
      <c r="E46" s="29">
        <v>35</v>
      </c>
      <c r="F46" s="28">
        <v>7</v>
      </c>
      <c r="G46" s="28">
        <v>1</v>
      </c>
      <c r="H46" s="7" t="s">
        <v>67</v>
      </c>
      <c r="I46" s="28" t="s">
        <v>109</v>
      </c>
      <c r="J46" s="28" t="s">
        <v>130</v>
      </c>
      <c r="K46" s="41">
        <v>0.98819444444444449</v>
      </c>
      <c r="L46" s="28" t="s">
        <v>109</v>
      </c>
      <c r="M46" s="28" t="s">
        <v>109</v>
      </c>
      <c r="N46" s="29" t="s">
        <v>109</v>
      </c>
      <c r="O46" s="29" t="s">
        <v>61</v>
      </c>
      <c r="P46" s="28" t="s">
        <v>131</v>
      </c>
      <c r="Q46" s="28" t="s">
        <v>67</v>
      </c>
      <c r="R46" s="28" t="s">
        <v>109</v>
      </c>
      <c r="S46" s="28" t="s">
        <v>109</v>
      </c>
      <c r="T46" s="29" t="s">
        <v>278</v>
      </c>
      <c r="U46" s="28" t="s">
        <v>109</v>
      </c>
      <c r="V46" s="28" t="s">
        <v>291</v>
      </c>
    </row>
    <row r="47" spans="1:22" x14ac:dyDescent="0.3">
      <c r="A47" s="28">
        <v>46</v>
      </c>
      <c r="B47" s="29" t="s">
        <v>23</v>
      </c>
      <c r="C47" s="29" t="s">
        <v>1839</v>
      </c>
      <c r="D47" s="29">
        <v>50226015</v>
      </c>
      <c r="E47" s="29">
        <v>30</v>
      </c>
      <c r="F47" s="28">
        <v>86</v>
      </c>
      <c r="G47" s="28">
        <v>28</v>
      </c>
      <c r="H47" s="7" t="s">
        <v>184</v>
      </c>
      <c r="I47" s="28" t="s">
        <v>109</v>
      </c>
      <c r="J47" s="28" t="s">
        <v>130</v>
      </c>
      <c r="K47" s="28" t="s">
        <v>2531</v>
      </c>
      <c r="L47" s="28" t="s">
        <v>109</v>
      </c>
      <c r="M47" s="28" t="s">
        <v>109</v>
      </c>
      <c r="N47" s="29" t="s">
        <v>109</v>
      </c>
      <c r="O47" s="29" t="s">
        <v>61</v>
      </c>
      <c r="P47" s="28" t="s">
        <v>131</v>
      </c>
      <c r="Q47" s="28" t="s">
        <v>184</v>
      </c>
      <c r="R47" s="28" t="s">
        <v>109</v>
      </c>
      <c r="S47" s="28" t="s">
        <v>109</v>
      </c>
      <c r="T47" s="29" t="s">
        <v>278</v>
      </c>
      <c r="U47" s="28" t="s">
        <v>109</v>
      </c>
      <c r="V47" s="28" t="s">
        <v>2485</v>
      </c>
    </row>
    <row r="48" spans="1:22" x14ac:dyDescent="0.3">
      <c r="A48" s="28">
        <v>47</v>
      </c>
      <c r="B48" s="29" t="s">
        <v>23</v>
      </c>
      <c r="C48" s="29" t="s">
        <v>1840</v>
      </c>
      <c r="D48" s="29">
        <v>50226020</v>
      </c>
      <c r="E48" s="29">
        <v>30</v>
      </c>
      <c r="F48" s="28">
        <v>50</v>
      </c>
      <c r="G48" s="28">
        <v>32</v>
      </c>
      <c r="H48" s="7" t="s">
        <v>241</v>
      </c>
      <c r="I48" s="28" t="s">
        <v>109</v>
      </c>
      <c r="J48" s="28" t="s">
        <v>130</v>
      </c>
      <c r="K48" s="41">
        <v>0.93680555555555556</v>
      </c>
      <c r="L48" s="28" t="s">
        <v>109</v>
      </c>
      <c r="M48" s="28" t="s">
        <v>109</v>
      </c>
      <c r="N48" s="29" t="s">
        <v>109</v>
      </c>
      <c r="O48" s="29" t="s">
        <v>61</v>
      </c>
      <c r="P48" s="28" t="s">
        <v>131</v>
      </c>
      <c r="Q48" s="28" t="s">
        <v>241</v>
      </c>
      <c r="R48" s="28" t="s">
        <v>109</v>
      </c>
      <c r="S48" s="28" t="s">
        <v>109</v>
      </c>
      <c r="T48" s="29" t="s">
        <v>278</v>
      </c>
      <c r="U48" s="28" t="s">
        <v>109</v>
      </c>
      <c r="V48" s="28" t="s">
        <v>2485</v>
      </c>
    </row>
    <row r="49" spans="1:22" x14ac:dyDescent="0.3">
      <c r="A49" s="28">
        <v>48</v>
      </c>
      <c r="B49" s="29" t="s">
        <v>23</v>
      </c>
      <c r="C49" s="29" t="s">
        <v>2151</v>
      </c>
      <c r="D49" s="29">
        <v>50226069</v>
      </c>
      <c r="E49" s="29">
        <v>50</v>
      </c>
      <c r="F49" s="28">
        <v>100</v>
      </c>
      <c r="G49" s="28">
        <v>42</v>
      </c>
      <c r="H49" s="7" t="s">
        <v>184</v>
      </c>
      <c r="I49" s="28" t="s">
        <v>109</v>
      </c>
      <c r="J49" s="28" t="s">
        <v>130</v>
      </c>
      <c r="K49" s="28" t="s">
        <v>2534</v>
      </c>
      <c r="L49" s="28" t="s">
        <v>109</v>
      </c>
      <c r="M49" s="28" t="s">
        <v>109</v>
      </c>
      <c r="N49" s="29" t="s">
        <v>109</v>
      </c>
      <c r="O49" s="29" t="s">
        <v>61</v>
      </c>
      <c r="P49" s="28" t="s">
        <v>131</v>
      </c>
      <c r="Q49" s="28" t="s">
        <v>184</v>
      </c>
      <c r="R49" s="28" t="s">
        <v>109</v>
      </c>
      <c r="S49" s="28" t="s">
        <v>109</v>
      </c>
      <c r="T49" s="29" t="s">
        <v>270</v>
      </c>
      <c r="U49" s="28" t="s">
        <v>109</v>
      </c>
      <c r="V49" s="28" t="s">
        <v>2141</v>
      </c>
    </row>
    <row r="50" spans="1:22" x14ac:dyDescent="0.3">
      <c r="A50" s="28">
        <v>49</v>
      </c>
      <c r="B50" s="29" t="s">
        <v>23</v>
      </c>
      <c r="C50" s="29" t="s">
        <v>2417</v>
      </c>
      <c r="D50" s="29">
        <v>50226094</v>
      </c>
      <c r="E50" s="29">
        <v>10</v>
      </c>
      <c r="F50" s="28">
        <v>40</v>
      </c>
      <c r="G50" s="28">
        <v>9</v>
      </c>
      <c r="H50" s="7" t="s">
        <v>70</v>
      </c>
      <c r="I50" s="28" t="s">
        <v>109</v>
      </c>
      <c r="J50" s="28" t="s">
        <v>130</v>
      </c>
      <c r="K50" s="41">
        <v>0.64444444444444449</v>
      </c>
      <c r="L50" s="28" t="s">
        <v>109</v>
      </c>
      <c r="M50" s="28" t="s">
        <v>109</v>
      </c>
      <c r="N50" s="29" t="s">
        <v>109</v>
      </c>
      <c r="O50" s="29" t="s">
        <v>61</v>
      </c>
      <c r="P50" s="28" t="s">
        <v>131</v>
      </c>
      <c r="Q50" s="28" t="s">
        <v>70</v>
      </c>
      <c r="R50" s="28" t="s">
        <v>109</v>
      </c>
      <c r="S50" s="28" t="s">
        <v>109</v>
      </c>
      <c r="T50" s="29" t="s">
        <v>275</v>
      </c>
      <c r="U50" s="28" t="s">
        <v>109</v>
      </c>
      <c r="V50" s="28" t="s">
        <v>109</v>
      </c>
    </row>
    <row r="51" spans="1:22" x14ac:dyDescent="0.3">
      <c r="A51" s="28">
        <v>50</v>
      </c>
      <c r="B51" s="29" t="s">
        <v>1550</v>
      </c>
      <c r="C51" s="29" t="s">
        <v>1551</v>
      </c>
      <c r="D51" s="29">
        <v>40126035</v>
      </c>
      <c r="E51" s="29">
        <v>50</v>
      </c>
      <c r="F51" s="28">
        <v>90</v>
      </c>
      <c r="G51" s="28">
        <v>39</v>
      </c>
      <c r="H51" s="7" t="s">
        <v>70</v>
      </c>
      <c r="I51" s="28" t="s">
        <v>89</v>
      </c>
      <c r="J51" s="28" t="s">
        <v>130</v>
      </c>
      <c r="K51" s="41">
        <v>0.89652777777777781</v>
      </c>
      <c r="L51" s="41">
        <v>0.96319444444444446</v>
      </c>
      <c r="M51" s="28" t="s">
        <v>109</v>
      </c>
      <c r="N51" s="29" t="s">
        <v>2490</v>
      </c>
      <c r="O51" s="29" t="s">
        <v>61</v>
      </c>
      <c r="P51" s="28" t="s">
        <v>131</v>
      </c>
      <c r="Q51" s="28" t="s">
        <v>89</v>
      </c>
      <c r="R51" s="28" t="s">
        <v>109</v>
      </c>
      <c r="S51" s="28" t="s">
        <v>109</v>
      </c>
      <c r="T51" s="29" t="s">
        <v>1554</v>
      </c>
      <c r="U51" s="28" t="s">
        <v>109</v>
      </c>
      <c r="V51" s="28" t="s">
        <v>2141</v>
      </c>
    </row>
    <row r="52" spans="1:22" x14ac:dyDescent="0.3">
      <c r="A52" s="28">
        <v>51</v>
      </c>
      <c r="B52" s="29" t="s">
        <v>170</v>
      </c>
      <c r="C52" s="29" t="s">
        <v>1355</v>
      </c>
      <c r="D52" s="29">
        <v>40126027</v>
      </c>
      <c r="E52" s="29">
        <v>120</v>
      </c>
      <c r="F52" s="28">
        <v>198</v>
      </c>
      <c r="G52" s="28">
        <v>122</v>
      </c>
      <c r="H52" s="28" t="s">
        <v>229</v>
      </c>
      <c r="I52" s="28" t="s">
        <v>1127</v>
      </c>
      <c r="J52" s="28" t="s">
        <v>130</v>
      </c>
      <c r="K52" s="41">
        <v>0.80694444444444446</v>
      </c>
      <c r="L52" s="41">
        <v>0.8256944444444444</v>
      </c>
      <c r="M52" s="28" t="s">
        <v>109</v>
      </c>
      <c r="N52" s="29" t="s">
        <v>2491</v>
      </c>
      <c r="O52" s="29" t="s">
        <v>61</v>
      </c>
      <c r="P52" s="28" t="s">
        <v>131</v>
      </c>
      <c r="Q52" s="28" t="s">
        <v>93</v>
      </c>
      <c r="R52" s="28" t="s">
        <v>109</v>
      </c>
      <c r="S52" s="28" t="s">
        <v>109</v>
      </c>
      <c r="T52" s="29" t="s">
        <v>1356</v>
      </c>
      <c r="U52" s="28" t="s">
        <v>109</v>
      </c>
      <c r="V52" s="28" t="s">
        <v>2485</v>
      </c>
    </row>
    <row r="53" spans="1:22" x14ac:dyDescent="0.3">
      <c r="A53" s="28">
        <v>52</v>
      </c>
      <c r="B53" s="29" t="s">
        <v>2395</v>
      </c>
      <c r="C53" s="29" t="s">
        <v>2429</v>
      </c>
      <c r="D53" s="29">
        <v>40226009</v>
      </c>
      <c r="E53" s="29">
        <v>136</v>
      </c>
      <c r="F53" s="28" t="s">
        <v>109</v>
      </c>
      <c r="G53" s="28" t="s">
        <v>109</v>
      </c>
      <c r="H53" s="28" t="s">
        <v>296</v>
      </c>
      <c r="I53" s="28" t="s">
        <v>2492</v>
      </c>
      <c r="J53" s="28" t="s">
        <v>109</v>
      </c>
      <c r="K53" s="41">
        <v>0.89652777777777781</v>
      </c>
      <c r="L53" s="28" t="s">
        <v>109</v>
      </c>
      <c r="M53" s="28" t="s">
        <v>109</v>
      </c>
      <c r="N53" s="29" t="s">
        <v>2493</v>
      </c>
      <c r="O53" s="29" t="s">
        <v>61</v>
      </c>
      <c r="P53" s="28" t="s">
        <v>109</v>
      </c>
      <c r="Q53" s="28" t="s">
        <v>109</v>
      </c>
      <c r="R53" s="28" t="s">
        <v>109</v>
      </c>
      <c r="S53" s="28" t="s">
        <v>109</v>
      </c>
      <c r="T53" s="29" t="s">
        <v>2430</v>
      </c>
      <c r="U53" s="28" t="s">
        <v>109</v>
      </c>
      <c r="V53" s="28" t="s">
        <v>109</v>
      </c>
    </row>
    <row r="54" spans="1:22" x14ac:dyDescent="0.3">
      <c r="A54" s="28">
        <v>53</v>
      </c>
      <c r="B54" s="29" t="s">
        <v>411</v>
      </c>
      <c r="C54" s="29" t="s">
        <v>2246</v>
      </c>
      <c r="D54" s="29">
        <v>30226011</v>
      </c>
      <c r="E54" s="29">
        <v>184</v>
      </c>
      <c r="F54" s="28">
        <v>127</v>
      </c>
      <c r="G54" s="28">
        <v>29</v>
      </c>
      <c r="H54" s="28" t="s">
        <v>2494</v>
      </c>
      <c r="I54" s="28" t="s">
        <v>2495</v>
      </c>
      <c r="J54" s="28" t="s">
        <v>130</v>
      </c>
      <c r="K54" s="41">
        <v>0.76180555555555551</v>
      </c>
      <c r="L54" s="41">
        <v>0.86319444444444449</v>
      </c>
      <c r="M54" s="28" t="s">
        <v>109</v>
      </c>
      <c r="N54" s="29" t="s">
        <v>109</v>
      </c>
      <c r="O54" s="29" t="s">
        <v>61</v>
      </c>
      <c r="P54" s="28" t="s">
        <v>131</v>
      </c>
      <c r="Q54" s="28" t="s">
        <v>91</v>
      </c>
      <c r="R54" s="28" t="s">
        <v>109</v>
      </c>
      <c r="S54" s="28" t="s">
        <v>109</v>
      </c>
      <c r="T54" s="29" t="s">
        <v>2247</v>
      </c>
      <c r="U54" s="28" t="s">
        <v>109</v>
      </c>
      <c r="V54" s="28" t="s">
        <v>291</v>
      </c>
    </row>
    <row r="55" spans="1:22" x14ac:dyDescent="0.3">
      <c r="A55" s="28">
        <v>54</v>
      </c>
      <c r="B55" s="29" t="s">
        <v>414</v>
      </c>
      <c r="C55" s="29" t="s">
        <v>2496</v>
      </c>
      <c r="D55" s="29">
        <v>40226015</v>
      </c>
      <c r="E55" s="29">
        <v>7</v>
      </c>
      <c r="F55" s="28">
        <v>7</v>
      </c>
      <c r="G55" s="28">
        <v>0</v>
      </c>
      <c r="H55" s="7" t="s">
        <v>184</v>
      </c>
      <c r="I55" s="28" t="s">
        <v>94</v>
      </c>
      <c r="J55" s="28" t="s">
        <v>130</v>
      </c>
      <c r="K55" s="41">
        <v>0.94444444444444442</v>
      </c>
      <c r="L55" s="41">
        <v>0.94722222222222219</v>
      </c>
      <c r="M55" s="28" t="s">
        <v>109</v>
      </c>
      <c r="N55" s="29" t="s">
        <v>2497</v>
      </c>
      <c r="O55" s="29" t="s">
        <v>61</v>
      </c>
      <c r="P55" s="28" t="s">
        <v>131</v>
      </c>
      <c r="Q55" s="28" t="s">
        <v>94</v>
      </c>
      <c r="R55" s="28" t="s">
        <v>109</v>
      </c>
      <c r="S55" s="28" t="s">
        <v>109</v>
      </c>
      <c r="T55" s="29" t="s">
        <v>2498</v>
      </c>
      <c r="U55" s="28" t="s">
        <v>109</v>
      </c>
      <c r="V55" s="28" t="s">
        <v>291</v>
      </c>
    </row>
    <row r="56" spans="1:22" x14ac:dyDescent="0.3">
      <c r="A56" s="28">
        <v>55</v>
      </c>
      <c r="B56" s="29" t="s">
        <v>23</v>
      </c>
      <c r="C56" s="29" t="s">
        <v>1905</v>
      </c>
      <c r="D56" s="29">
        <v>50226024</v>
      </c>
      <c r="E56" s="29">
        <v>50</v>
      </c>
      <c r="F56" s="28">
        <v>97</v>
      </c>
      <c r="G56" s="28">
        <v>44</v>
      </c>
      <c r="H56" s="7" t="s">
        <v>64</v>
      </c>
      <c r="I56" s="28" t="s">
        <v>86</v>
      </c>
      <c r="J56" s="28" t="s">
        <v>130</v>
      </c>
      <c r="K56" s="28" t="s">
        <v>1140</v>
      </c>
      <c r="L56" s="41">
        <v>0.8930555555555556</v>
      </c>
      <c r="M56" s="28" t="s">
        <v>109</v>
      </c>
      <c r="N56" s="29" t="s">
        <v>109</v>
      </c>
      <c r="O56" s="29" t="s">
        <v>61</v>
      </c>
      <c r="P56" s="28" t="s">
        <v>131</v>
      </c>
      <c r="Q56" s="28" t="s">
        <v>86</v>
      </c>
      <c r="R56" s="28" t="s">
        <v>109</v>
      </c>
      <c r="S56" s="28" t="s">
        <v>109</v>
      </c>
      <c r="T56" s="29" t="s">
        <v>480</v>
      </c>
      <c r="U56" s="28" t="s">
        <v>109</v>
      </c>
      <c r="V56" s="28" t="s">
        <v>2485</v>
      </c>
    </row>
    <row r="57" spans="1:22" x14ac:dyDescent="0.3">
      <c r="A57" s="28">
        <v>56</v>
      </c>
      <c r="B57" s="29" t="s">
        <v>23</v>
      </c>
      <c r="C57" s="29" t="s">
        <v>1909</v>
      </c>
      <c r="D57" s="29">
        <v>50226025</v>
      </c>
      <c r="E57" s="29">
        <v>200</v>
      </c>
      <c r="F57" s="28">
        <v>349</v>
      </c>
      <c r="G57" s="28">
        <v>63</v>
      </c>
      <c r="H57" s="28" t="s">
        <v>2338</v>
      </c>
      <c r="I57" s="28" t="s">
        <v>109</v>
      </c>
      <c r="J57" s="28" t="s">
        <v>130</v>
      </c>
      <c r="K57" s="41">
        <v>0.97361111111111109</v>
      </c>
      <c r="L57" s="28" t="s">
        <v>109</v>
      </c>
      <c r="M57" s="28" t="s">
        <v>109</v>
      </c>
      <c r="N57" s="29" t="s">
        <v>109</v>
      </c>
      <c r="O57" s="29" t="s">
        <v>61</v>
      </c>
      <c r="P57" s="28" t="s">
        <v>109</v>
      </c>
      <c r="Q57" s="28" t="s">
        <v>109</v>
      </c>
      <c r="R57" s="28" t="s">
        <v>109</v>
      </c>
      <c r="S57" s="28" t="s">
        <v>109</v>
      </c>
      <c r="T57" s="29" t="s">
        <v>480</v>
      </c>
      <c r="U57" s="28" t="s">
        <v>109</v>
      </c>
      <c r="V57" s="28" t="s">
        <v>2008</v>
      </c>
    </row>
    <row r="58" spans="1:22" x14ac:dyDescent="0.3">
      <c r="A58" s="28">
        <v>57</v>
      </c>
      <c r="B58" s="29" t="s">
        <v>23</v>
      </c>
      <c r="C58" s="29" t="s">
        <v>2442</v>
      </c>
      <c r="D58" s="29">
        <v>50226099</v>
      </c>
      <c r="E58" s="29">
        <v>300</v>
      </c>
      <c r="F58" s="28">
        <v>403</v>
      </c>
      <c r="G58" s="28">
        <v>54</v>
      </c>
      <c r="H58" s="28" t="s">
        <v>2499</v>
      </c>
      <c r="I58" s="28" t="s">
        <v>109</v>
      </c>
      <c r="J58" s="28" t="s">
        <v>130</v>
      </c>
      <c r="K58" s="41">
        <v>3.9583333333333331E-2</v>
      </c>
      <c r="L58" s="28" t="s">
        <v>109</v>
      </c>
      <c r="M58" s="28" t="s">
        <v>109</v>
      </c>
      <c r="N58" s="29" t="s">
        <v>1621</v>
      </c>
      <c r="O58" s="29" t="s">
        <v>61</v>
      </c>
      <c r="P58" s="28" t="s">
        <v>131</v>
      </c>
      <c r="Q58" s="28" t="s">
        <v>70</v>
      </c>
      <c r="R58" s="28" t="s">
        <v>109</v>
      </c>
      <c r="S58" s="28" t="s">
        <v>109</v>
      </c>
      <c r="T58" s="29" t="s">
        <v>2446</v>
      </c>
      <c r="U58" s="28" t="s">
        <v>109</v>
      </c>
      <c r="V58" s="28" t="s">
        <v>291</v>
      </c>
    </row>
    <row r="59" spans="1:22" x14ac:dyDescent="0.3">
      <c r="A59" s="28">
        <v>58</v>
      </c>
      <c r="B59" s="29" t="s">
        <v>23</v>
      </c>
      <c r="C59" s="29" t="s">
        <v>1375</v>
      </c>
      <c r="D59" s="29">
        <v>50126345</v>
      </c>
      <c r="E59" s="29">
        <v>100</v>
      </c>
      <c r="F59" s="28">
        <v>24</v>
      </c>
      <c r="G59" s="28">
        <v>6</v>
      </c>
      <c r="H59" s="7" t="s">
        <v>64</v>
      </c>
      <c r="I59" s="28" t="s">
        <v>109</v>
      </c>
      <c r="J59" s="28" t="s">
        <v>130</v>
      </c>
      <c r="K59" s="41">
        <v>9.7222222222222224E-3</v>
      </c>
      <c r="L59" s="28" t="s">
        <v>109</v>
      </c>
      <c r="M59" s="28" t="s">
        <v>109</v>
      </c>
      <c r="N59" s="29" t="s">
        <v>109</v>
      </c>
      <c r="O59" s="29" t="s">
        <v>61</v>
      </c>
      <c r="P59" s="28" t="s">
        <v>131</v>
      </c>
      <c r="Q59" s="28" t="s">
        <v>64</v>
      </c>
      <c r="R59" s="28" t="s">
        <v>109</v>
      </c>
      <c r="S59" s="28" t="s">
        <v>109</v>
      </c>
      <c r="T59" s="29" t="s">
        <v>1377</v>
      </c>
      <c r="U59" s="28" t="s">
        <v>109</v>
      </c>
      <c r="V59" s="28" t="s">
        <v>291</v>
      </c>
    </row>
    <row r="60" spans="1:22" s="21" customFormat="1" x14ac:dyDescent="0.3">
      <c r="A60" s="76">
        <v>59</v>
      </c>
      <c r="B60" s="39" t="s">
        <v>23</v>
      </c>
      <c r="C60" s="39" t="s">
        <v>1371</v>
      </c>
      <c r="D60" s="39">
        <v>50126338</v>
      </c>
      <c r="E60" s="39">
        <v>50</v>
      </c>
      <c r="F60" s="76" t="s">
        <v>109</v>
      </c>
      <c r="G60" s="76" t="s">
        <v>109</v>
      </c>
      <c r="H60" s="18" t="s">
        <v>200</v>
      </c>
      <c r="I60" s="76" t="s">
        <v>109</v>
      </c>
      <c r="J60" s="76" t="s">
        <v>2523</v>
      </c>
      <c r="K60" s="76" t="s">
        <v>109</v>
      </c>
      <c r="L60" s="76" t="s">
        <v>109</v>
      </c>
      <c r="M60" s="76" t="s">
        <v>109</v>
      </c>
      <c r="N60" s="39" t="s">
        <v>109</v>
      </c>
      <c r="O60" s="39" t="s">
        <v>61</v>
      </c>
      <c r="P60" s="76" t="s">
        <v>109</v>
      </c>
      <c r="Q60" s="76" t="s">
        <v>109</v>
      </c>
      <c r="R60" s="76" t="s">
        <v>109</v>
      </c>
      <c r="S60" s="76" t="s">
        <v>109</v>
      </c>
      <c r="T60" s="39" t="s">
        <v>1365</v>
      </c>
      <c r="U60" s="76" t="s">
        <v>109</v>
      </c>
      <c r="V60" s="76" t="s">
        <v>109</v>
      </c>
    </row>
    <row r="61" spans="1:22" x14ac:dyDescent="0.3">
      <c r="A61" s="28">
        <v>60</v>
      </c>
      <c r="B61" s="29" t="s">
        <v>23</v>
      </c>
      <c r="C61" s="29" t="s">
        <v>1369</v>
      </c>
      <c r="D61" s="29">
        <v>50126339</v>
      </c>
      <c r="E61" s="29">
        <v>50</v>
      </c>
      <c r="F61" s="28">
        <v>91</v>
      </c>
      <c r="G61" s="28">
        <v>14</v>
      </c>
      <c r="H61" s="7" t="s">
        <v>65</v>
      </c>
      <c r="I61" s="28" t="s">
        <v>109</v>
      </c>
      <c r="J61" s="28" t="s">
        <v>130</v>
      </c>
      <c r="K61" s="28" t="s">
        <v>2535</v>
      </c>
      <c r="L61" s="28" t="s">
        <v>109</v>
      </c>
      <c r="M61" s="28" t="s">
        <v>109</v>
      </c>
      <c r="N61" s="29" t="s">
        <v>109</v>
      </c>
      <c r="O61" s="29" t="s">
        <v>61</v>
      </c>
      <c r="P61" s="28" t="s">
        <v>131</v>
      </c>
      <c r="Q61" s="28" t="s">
        <v>65</v>
      </c>
      <c r="R61" s="28" t="s">
        <v>109</v>
      </c>
      <c r="S61" s="28" t="s">
        <v>109</v>
      </c>
      <c r="T61" s="29" t="s">
        <v>1365</v>
      </c>
      <c r="U61" s="28" t="s">
        <v>109</v>
      </c>
      <c r="V61" s="28" t="s">
        <v>2141</v>
      </c>
    </row>
    <row r="62" spans="1:22" x14ac:dyDescent="0.3">
      <c r="A62" s="28">
        <v>61</v>
      </c>
      <c r="B62" s="29" t="s">
        <v>23</v>
      </c>
      <c r="C62" s="29" t="s">
        <v>1368</v>
      </c>
      <c r="D62" s="29">
        <v>50126340</v>
      </c>
      <c r="E62" s="29">
        <v>50</v>
      </c>
      <c r="F62" s="28">
        <v>38</v>
      </c>
      <c r="G62" s="28">
        <v>1</v>
      </c>
      <c r="H62" s="7" t="s">
        <v>84</v>
      </c>
      <c r="I62" s="28" t="s">
        <v>109</v>
      </c>
      <c r="J62" s="28" t="s">
        <v>130</v>
      </c>
      <c r="K62" s="41">
        <v>1.7361111111111112E-2</v>
      </c>
      <c r="L62" s="28" t="s">
        <v>109</v>
      </c>
      <c r="M62" s="28" t="s">
        <v>109</v>
      </c>
      <c r="N62" s="29" t="s">
        <v>109</v>
      </c>
      <c r="O62" s="29" t="s">
        <v>61</v>
      </c>
      <c r="P62" s="28" t="s">
        <v>131</v>
      </c>
      <c r="Q62" s="28" t="s">
        <v>84</v>
      </c>
      <c r="R62" s="28" t="s">
        <v>109</v>
      </c>
      <c r="S62" s="28" t="s">
        <v>109</v>
      </c>
      <c r="T62" s="29" t="s">
        <v>1365</v>
      </c>
      <c r="U62" s="28" t="s">
        <v>109</v>
      </c>
      <c r="V62" s="28" t="s">
        <v>291</v>
      </c>
    </row>
    <row r="63" spans="1:22" x14ac:dyDescent="0.3">
      <c r="A63" s="28">
        <v>62</v>
      </c>
      <c r="B63" s="29" t="s">
        <v>23</v>
      </c>
      <c r="C63" s="29" t="s">
        <v>1364</v>
      </c>
      <c r="D63" s="29">
        <v>50126341</v>
      </c>
      <c r="E63" s="29">
        <v>50</v>
      </c>
      <c r="F63" s="28">
        <v>114</v>
      </c>
      <c r="G63" s="28">
        <v>20</v>
      </c>
      <c r="H63" s="7" t="s">
        <v>70</v>
      </c>
      <c r="I63" s="28" t="s">
        <v>109</v>
      </c>
      <c r="J63" s="28" t="s">
        <v>130</v>
      </c>
      <c r="K63" s="41">
        <v>0.83472222222222225</v>
      </c>
      <c r="L63" s="28" t="s">
        <v>109</v>
      </c>
      <c r="M63" s="28" t="s">
        <v>109</v>
      </c>
      <c r="N63" s="29" t="s">
        <v>109</v>
      </c>
      <c r="O63" s="29" t="s">
        <v>61</v>
      </c>
      <c r="P63" s="28" t="s">
        <v>131</v>
      </c>
      <c r="Q63" s="28" t="s">
        <v>70</v>
      </c>
      <c r="R63" s="28" t="s">
        <v>109</v>
      </c>
      <c r="S63" s="28" t="s">
        <v>109</v>
      </c>
      <c r="T63" s="29" t="s">
        <v>1365</v>
      </c>
      <c r="U63" s="28" t="s">
        <v>109</v>
      </c>
      <c r="V63" s="28" t="s">
        <v>2141</v>
      </c>
    </row>
    <row r="64" spans="1:22" x14ac:dyDescent="0.3">
      <c r="A64" s="28">
        <v>63</v>
      </c>
      <c r="B64" s="29" t="s">
        <v>23</v>
      </c>
      <c r="C64" s="29" t="s">
        <v>1370</v>
      </c>
      <c r="D64" s="29">
        <v>50126342</v>
      </c>
      <c r="E64" s="29">
        <v>50</v>
      </c>
      <c r="F64" s="28">
        <v>100</v>
      </c>
      <c r="G64" s="28">
        <v>36</v>
      </c>
      <c r="H64" s="7" t="s">
        <v>241</v>
      </c>
      <c r="I64" s="28" t="s">
        <v>109</v>
      </c>
      <c r="J64" s="28" t="s">
        <v>130</v>
      </c>
      <c r="K64" s="41">
        <v>0.76249999999999996</v>
      </c>
      <c r="L64" s="28" t="s">
        <v>109</v>
      </c>
      <c r="M64" s="28" t="s">
        <v>109</v>
      </c>
      <c r="N64" s="29" t="s">
        <v>109</v>
      </c>
      <c r="O64" s="29" t="s">
        <v>61</v>
      </c>
      <c r="P64" s="28" t="s">
        <v>131</v>
      </c>
      <c r="Q64" s="28" t="s">
        <v>241</v>
      </c>
      <c r="R64" s="28" t="s">
        <v>109</v>
      </c>
      <c r="S64" s="28" t="s">
        <v>109</v>
      </c>
      <c r="T64" s="29" t="s">
        <v>1365</v>
      </c>
      <c r="U64" s="28" t="s">
        <v>109</v>
      </c>
      <c r="V64" s="28" t="s">
        <v>2141</v>
      </c>
    </row>
    <row r="65" spans="1:22" x14ac:dyDescent="0.3">
      <c r="A65" s="28">
        <v>64</v>
      </c>
      <c r="B65" s="29" t="s">
        <v>23</v>
      </c>
      <c r="C65" s="29" t="s">
        <v>2500</v>
      </c>
      <c r="D65" s="29">
        <v>50226111</v>
      </c>
      <c r="E65" s="29">
        <v>200</v>
      </c>
      <c r="F65" s="28">
        <v>312</v>
      </c>
      <c r="G65" s="28">
        <v>119</v>
      </c>
      <c r="H65" s="28" t="s">
        <v>262</v>
      </c>
      <c r="I65" s="28" t="s">
        <v>109</v>
      </c>
      <c r="J65" s="28" t="s">
        <v>130</v>
      </c>
      <c r="K65" s="41">
        <v>0.87152777777777779</v>
      </c>
      <c r="L65" s="28" t="s">
        <v>109</v>
      </c>
      <c r="M65" s="28" t="s">
        <v>109</v>
      </c>
      <c r="N65" s="29" t="s">
        <v>109</v>
      </c>
      <c r="O65" s="29" t="s">
        <v>61</v>
      </c>
      <c r="P65" s="28" t="s">
        <v>131</v>
      </c>
      <c r="Q65" s="28" t="s">
        <v>222</v>
      </c>
      <c r="R65" s="28" t="s">
        <v>109</v>
      </c>
      <c r="S65" s="28" t="s">
        <v>109</v>
      </c>
      <c r="T65" s="29" t="s">
        <v>2446</v>
      </c>
      <c r="U65" s="28" t="s">
        <v>109</v>
      </c>
      <c r="V65" s="28" t="s">
        <v>291</v>
      </c>
    </row>
    <row r="66" spans="1:22" x14ac:dyDescent="0.3">
      <c r="A66" s="28">
        <v>65</v>
      </c>
      <c r="B66" s="29" t="s">
        <v>23</v>
      </c>
      <c r="C66" s="29" t="s">
        <v>210</v>
      </c>
      <c r="D66" s="29">
        <v>50925063</v>
      </c>
      <c r="E66" s="29">
        <v>50</v>
      </c>
      <c r="F66" s="28">
        <v>71</v>
      </c>
      <c r="G66" s="28">
        <v>52</v>
      </c>
      <c r="H66" s="7" t="s">
        <v>71</v>
      </c>
      <c r="I66" s="28" t="s">
        <v>109</v>
      </c>
      <c r="J66" s="28" t="s">
        <v>130</v>
      </c>
      <c r="K66" s="28" t="s">
        <v>2527</v>
      </c>
      <c r="L66" s="28" t="s">
        <v>109</v>
      </c>
      <c r="M66" s="28" t="s">
        <v>109</v>
      </c>
      <c r="N66" s="29" t="s">
        <v>109</v>
      </c>
      <c r="O66" s="29" t="s">
        <v>61</v>
      </c>
      <c r="P66" s="28" t="s">
        <v>131</v>
      </c>
      <c r="Q66" s="28" t="s">
        <v>71</v>
      </c>
      <c r="R66" s="28" t="s">
        <v>109</v>
      </c>
      <c r="S66" s="28" t="s">
        <v>109</v>
      </c>
      <c r="T66" s="29" t="s">
        <v>197</v>
      </c>
      <c r="U66" s="28" t="s">
        <v>109</v>
      </c>
      <c r="V66" s="28" t="s">
        <v>2485</v>
      </c>
    </row>
    <row r="67" spans="1:22" x14ac:dyDescent="0.3">
      <c r="A67" s="28">
        <v>66</v>
      </c>
      <c r="B67" s="29" t="s">
        <v>23</v>
      </c>
      <c r="C67" s="29" t="s">
        <v>198</v>
      </c>
      <c r="D67" s="29">
        <v>50925062</v>
      </c>
      <c r="E67" s="29">
        <v>50</v>
      </c>
      <c r="F67" s="28">
        <v>91</v>
      </c>
      <c r="G67" s="28">
        <v>44</v>
      </c>
      <c r="H67" s="7" t="s">
        <v>67</v>
      </c>
      <c r="I67" s="28" t="s">
        <v>109</v>
      </c>
      <c r="J67" s="28" t="s">
        <v>130</v>
      </c>
      <c r="K67" s="41">
        <v>0.7104166666666667</v>
      </c>
      <c r="L67" s="28" t="s">
        <v>109</v>
      </c>
      <c r="M67" s="28" t="s">
        <v>109</v>
      </c>
      <c r="N67" s="29" t="s">
        <v>109</v>
      </c>
      <c r="O67" s="29" t="s">
        <v>61</v>
      </c>
      <c r="P67" s="28" t="s">
        <v>131</v>
      </c>
      <c r="Q67" s="28" t="s">
        <v>67</v>
      </c>
      <c r="R67" s="28" t="s">
        <v>109</v>
      </c>
      <c r="S67" s="28" t="s">
        <v>109</v>
      </c>
      <c r="T67" s="29" t="s">
        <v>197</v>
      </c>
      <c r="U67" s="28" t="s">
        <v>109</v>
      </c>
      <c r="V67" s="28" t="s">
        <v>2485</v>
      </c>
    </row>
    <row r="68" spans="1:22" x14ac:dyDescent="0.3">
      <c r="A68" s="28">
        <v>67</v>
      </c>
      <c r="B68" s="29" t="s">
        <v>23</v>
      </c>
      <c r="C68" s="29" t="s">
        <v>586</v>
      </c>
      <c r="D68" s="29">
        <v>50126061</v>
      </c>
      <c r="E68" s="29">
        <v>50</v>
      </c>
      <c r="F68" s="28">
        <v>81</v>
      </c>
      <c r="G68" s="28">
        <v>52</v>
      </c>
      <c r="H68" s="7" t="s">
        <v>196</v>
      </c>
      <c r="I68" s="28" t="s">
        <v>109</v>
      </c>
      <c r="J68" s="28" t="s">
        <v>130</v>
      </c>
      <c r="K68" s="41">
        <v>0.84861111111111109</v>
      </c>
      <c r="L68" s="28" t="s">
        <v>109</v>
      </c>
      <c r="M68" s="28" t="s">
        <v>109</v>
      </c>
      <c r="N68" s="29" t="s">
        <v>109</v>
      </c>
      <c r="O68" s="29" t="s">
        <v>61</v>
      </c>
      <c r="P68" s="28" t="s">
        <v>131</v>
      </c>
      <c r="Q68" s="28" t="s">
        <v>196</v>
      </c>
      <c r="R68" s="28" t="s">
        <v>109</v>
      </c>
      <c r="S68" s="28" t="s">
        <v>109</v>
      </c>
      <c r="T68" s="29" t="s">
        <v>610</v>
      </c>
      <c r="U68" s="28" t="s">
        <v>109</v>
      </c>
      <c r="V68" s="28" t="s">
        <v>2485</v>
      </c>
    </row>
    <row r="69" spans="1:22" x14ac:dyDescent="0.3">
      <c r="A69" s="28">
        <v>68</v>
      </c>
      <c r="B69" s="29" t="s">
        <v>23</v>
      </c>
      <c r="C69" s="29" t="s">
        <v>591</v>
      </c>
      <c r="D69" s="29">
        <v>50126066</v>
      </c>
      <c r="E69" s="29">
        <v>100</v>
      </c>
      <c r="F69" s="28">
        <v>2</v>
      </c>
      <c r="G69" s="28">
        <v>0</v>
      </c>
      <c r="H69" s="7" t="s">
        <v>200</v>
      </c>
      <c r="I69" s="28" t="s">
        <v>109</v>
      </c>
      <c r="J69" s="28" t="s">
        <v>130</v>
      </c>
      <c r="K69" s="41">
        <v>0.99791666666666667</v>
      </c>
      <c r="L69" s="28" t="s">
        <v>109</v>
      </c>
      <c r="M69" s="28" t="s">
        <v>109</v>
      </c>
      <c r="N69" s="29" t="s">
        <v>109</v>
      </c>
      <c r="O69" s="29" t="s">
        <v>61</v>
      </c>
      <c r="P69" s="28" t="s">
        <v>131</v>
      </c>
      <c r="Q69" s="28" t="s">
        <v>200</v>
      </c>
      <c r="R69" s="28" t="s">
        <v>109</v>
      </c>
      <c r="S69" s="28" t="s">
        <v>109</v>
      </c>
      <c r="T69" s="29" t="s">
        <v>610</v>
      </c>
      <c r="U69" s="28" t="s">
        <v>109</v>
      </c>
      <c r="V69" s="28" t="s">
        <v>291</v>
      </c>
    </row>
    <row r="70" spans="1:22" x14ac:dyDescent="0.3">
      <c r="A70" s="28">
        <v>69</v>
      </c>
      <c r="B70" s="29" t="s">
        <v>143</v>
      </c>
      <c r="C70" s="29" t="s">
        <v>2359</v>
      </c>
      <c r="D70" s="29">
        <v>10226038</v>
      </c>
      <c r="E70" s="29">
        <v>300</v>
      </c>
      <c r="F70" s="28">
        <v>462</v>
      </c>
      <c r="G70" s="28">
        <v>137</v>
      </c>
      <c r="H70" s="28" t="s">
        <v>2501</v>
      </c>
      <c r="I70" s="28" t="s">
        <v>2502</v>
      </c>
      <c r="J70" s="28" t="s">
        <v>130</v>
      </c>
      <c r="K70" s="41">
        <v>0.90763888888888888</v>
      </c>
      <c r="L70" s="41">
        <v>9.0277777777777769E-3</v>
      </c>
      <c r="M70" s="28" t="s">
        <v>109</v>
      </c>
      <c r="N70" s="29" t="s">
        <v>2503</v>
      </c>
      <c r="O70" s="29" t="s">
        <v>61</v>
      </c>
      <c r="P70" s="28" t="s">
        <v>131</v>
      </c>
      <c r="Q70" s="28" t="s">
        <v>93</v>
      </c>
      <c r="R70" s="28" t="s">
        <v>109</v>
      </c>
      <c r="S70" s="28" t="s">
        <v>109</v>
      </c>
      <c r="T70" s="29" t="s">
        <v>402</v>
      </c>
      <c r="U70" s="28" t="s">
        <v>109</v>
      </c>
      <c r="V70" s="28" t="s">
        <v>2008</v>
      </c>
    </row>
    <row r="71" spans="1:22" x14ac:dyDescent="0.3">
      <c r="A71" s="28">
        <v>70</v>
      </c>
      <c r="B71" s="29" t="s">
        <v>143</v>
      </c>
      <c r="C71" s="29" t="s">
        <v>1667</v>
      </c>
      <c r="D71" s="29">
        <v>10126048</v>
      </c>
      <c r="E71" s="29">
        <v>75</v>
      </c>
      <c r="F71" s="28">
        <v>4</v>
      </c>
      <c r="G71" s="28">
        <v>2</v>
      </c>
      <c r="H71" s="7" t="s">
        <v>241</v>
      </c>
      <c r="I71" s="28" t="s">
        <v>154</v>
      </c>
      <c r="J71" s="28" t="s">
        <v>130</v>
      </c>
      <c r="K71" s="28" t="s">
        <v>495</v>
      </c>
      <c r="L71" s="41">
        <v>0.97847222222222219</v>
      </c>
      <c r="M71" s="28" t="s">
        <v>109</v>
      </c>
      <c r="N71" s="29" t="s">
        <v>109</v>
      </c>
      <c r="O71" s="29" t="s">
        <v>61</v>
      </c>
      <c r="P71" s="28" t="s">
        <v>131</v>
      </c>
      <c r="Q71" s="28" t="s">
        <v>154</v>
      </c>
      <c r="R71" s="28" t="s">
        <v>109</v>
      </c>
      <c r="S71" s="28" t="s">
        <v>109</v>
      </c>
      <c r="T71" s="29" t="s">
        <v>402</v>
      </c>
      <c r="U71" s="28" t="s">
        <v>109</v>
      </c>
      <c r="V71" s="28" t="s">
        <v>291</v>
      </c>
    </row>
    <row r="72" spans="1:22" x14ac:dyDescent="0.3">
      <c r="A72" s="28">
        <v>71</v>
      </c>
      <c r="B72" s="29" t="s">
        <v>143</v>
      </c>
      <c r="C72" s="29" t="s">
        <v>2331</v>
      </c>
      <c r="D72" s="29">
        <v>10226031</v>
      </c>
      <c r="E72" s="29">
        <v>50</v>
      </c>
      <c r="F72" s="28">
        <v>105</v>
      </c>
      <c r="G72" s="28">
        <v>29</v>
      </c>
      <c r="H72" s="7" t="s">
        <v>68</v>
      </c>
      <c r="I72" s="28" t="s">
        <v>95</v>
      </c>
      <c r="J72" s="28" t="s">
        <v>130</v>
      </c>
      <c r="K72" s="41">
        <v>0.97083333333333333</v>
      </c>
      <c r="L72" s="41">
        <v>0.97916666666666663</v>
      </c>
      <c r="M72" s="28" t="s">
        <v>109</v>
      </c>
      <c r="N72" s="29" t="s">
        <v>109</v>
      </c>
      <c r="O72" s="29" t="s">
        <v>61</v>
      </c>
      <c r="P72" s="28" t="s">
        <v>131</v>
      </c>
      <c r="Q72" s="28" t="s">
        <v>95</v>
      </c>
      <c r="R72" s="28" t="s">
        <v>109</v>
      </c>
      <c r="S72" s="28" t="s">
        <v>109</v>
      </c>
      <c r="T72" s="29" t="s">
        <v>121</v>
      </c>
      <c r="U72" s="28" t="s">
        <v>109</v>
      </c>
      <c r="V72" s="28" t="s">
        <v>2141</v>
      </c>
    </row>
    <row r="73" spans="1:22" x14ac:dyDescent="0.3">
      <c r="A73" s="28">
        <v>72</v>
      </c>
      <c r="B73" s="29" t="s">
        <v>143</v>
      </c>
      <c r="C73" s="29" t="s">
        <v>2333</v>
      </c>
      <c r="D73" s="29">
        <v>10226028</v>
      </c>
      <c r="E73" s="29">
        <v>60</v>
      </c>
      <c r="F73" s="28">
        <v>98</v>
      </c>
      <c r="G73" s="28">
        <v>64</v>
      </c>
      <c r="H73" s="7" t="s">
        <v>222</v>
      </c>
      <c r="I73" s="28" t="s">
        <v>94</v>
      </c>
      <c r="J73" s="28" t="s">
        <v>130</v>
      </c>
      <c r="K73" s="41">
        <v>0.72847222222222219</v>
      </c>
      <c r="L73" s="41">
        <v>0.83472222222222225</v>
      </c>
      <c r="M73" s="28" t="s">
        <v>109</v>
      </c>
      <c r="N73" s="29" t="s">
        <v>109</v>
      </c>
      <c r="O73" s="29" t="s">
        <v>61</v>
      </c>
      <c r="P73" s="28" t="s">
        <v>131</v>
      </c>
      <c r="Q73" s="28" t="s">
        <v>94</v>
      </c>
      <c r="R73" s="28" t="s">
        <v>109</v>
      </c>
      <c r="S73" s="28" t="s">
        <v>109</v>
      </c>
      <c r="T73" s="29" t="s">
        <v>121</v>
      </c>
      <c r="U73" s="28" t="s">
        <v>109</v>
      </c>
      <c r="V73" s="28" t="s">
        <v>2485</v>
      </c>
    </row>
    <row r="74" spans="1:22" x14ac:dyDescent="0.3">
      <c r="A74" s="28">
        <v>73</v>
      </c>
      <c r="B74" s="29" t="s">
        <v>143</v>
      </c>
      <c r="C74" s="29" t="s">
        <v>2363</v>
      </c>
      <c r="D74" s="29">
        <v>10226033</v>
      </c>
      <c r="E74" s="29">
        <v>30</v>
      </c>
      <c r="F74" s="28">
        <v>48</v>
      </c>
      <c r="G74" s="28">
        <v>34</v>
      </c>
      <c r="H74" s="7" t="s">
        <v>71</v>
      </c>
      <c r="I74" s="28" t="s">
        <v>91</v>
      </c>
      <c r="J74" s="28" t="s">
        <v>130</v>
      </c>
      <c r="K74" s="28" t="s">
        <v>2504</v>
      </c>
      <c r="L74" s="41">
        <v>0.76041666666666663</v>
      </c>
      <c r="M74" s="28" t="s">
        <v>109</v>
      </c>
      <c r="N74" s="29" t="s">
        <v>109</v>
      </c>
      <c r="O74" s="29" t="s">
        <v>61</v>
      </c>
      <c r="P74" s="28" t="s">
        <v>131</v>
      </c>
      <c r="Q74" s="28" t="s">
        <v>91</v>
      </c>
      <c r="R74" s="28" t="s">
        <v>109</v>
      </c>
      <c r="S74" s="28" t="s">
        <v>109</v>
      </c>
      <c r="T74" s="29" t="s">
        <v>121</v>
      </c>
      <c r="U74" s="28" t="s">
        <v>109</v>
      </c>
      <c r="V74" s="28" t="s">
        <v>2485</v>
      </c>
    </row>
    <row r="75" spans="1:22" x14ac:dyDescent="0.3">
      <c r="A75" s="28">
        <v>74</v>
      </c>
      <c r="B75" s="29" t="s">
        <v>143</v>
      </c>
      <c r="C75" s="29" t="s">
        <v>2364</v>
      </c>
      <c r="D75" s="29">
        <v>10226035</v>
      </c>
      <c r="E75" s="29">
        <v>40</v>
      </c>
      <c r="F75" s="28">
        <v>66</v>
      </c>
      <c r="G75" s="28">
        <v>42</v>
      </c>
      <c r="H75" s="7" t="s">
        <v>196</v>
      </c>
      <c r="I75" s="28" t="s">
        <v>87</v>
      </c>
      <c r="J75" s="28" t="s">
        <v>130</v>
      </c>
      <c r="K75" s="41">
        <v>0.65972222222222221</v>
      </c>
      <c r="L75" s="41">
        <v>0.6958333333333333</v>
      </c>
      <c r="M75" s="28" t="s">
        <v>109</v>
      </c>
      <c r="N75" s="29" t="s">
        <v>109</v>
      </c>
      <c r="O75" s="29" t="s">
        <v>61</v>
      </c>
      <c r="P75" s="28" t="s">
        <v>131</v>
      </c>
      <c r="Q75" s="28" t="s">
        <v>87</v>
      </c>
      <c r="R75" s="28" t="s">
        <v>109</v>
      </c>
      <c r="S75" s="28" t="s">
        <v>109</v>
      </c>
      <c r="T75" s="29" t="s">
        <v>121</v>
      </c>
      <c r="U75" s="28" t="s">
        <v>109</v>
      </c>
      <c r="V75" s="28" t="s">
        <v>2485</v>
      </c>
    </row>
    <row r="76" spans="1:22" x14ac:dyDescent="0.3">
      <c r="A76" s="28">
        <v>75</v>
      </c>
      <c r="B76" s="29" t="s">
        <v>143</v>
      </c>
      <c r="C76" s="29" t="s">
        <v>1598</v>
      </c>
      <c r="D76" s="29">
        <v>10126044</v>
      </c>
      <c r="E76" s="29">
        <v>60</v>
      </c>
      <c r="F76" s="28">
        <v>120</v>
      </c>
      <c r="G76" s="28">
        <v>26</v>
      </c>
      <c r="H76" s="7" t="s">
        <v>196</v>
      </c>
      <c r="I76" s="28" t="s">
        <v>87</v>
      </c>
      <c r="J76" s="28" t="s">
        <v>130</v>
      </c>
      <c r="K76" s="41">
        <v>0.74861111111111112</v>
      </c>
      <c r="L76" s="41">
        <v>0.78541666666666665</v>
      </c>
      <c r="M76" s="28" t="s">
        <v>109</v>
      </c>
      <c r="N76" s="29" t="s">
        <v>109</v>
      </c>
      <c r="O76" s="29" t="s">
        <v>61</v>
      </c>
      <c r="P76" s="28" t="s">
        <v>131</v>
      </c>
      <c r="Q76" s="28" t="s">
        <v>87</v>
      </c>
      <c r="R76" s="28" t="s">
        <v>109</v>
      </c>
      <c r="S76" s="28" t="s">
        <v>109</v>
      </c>
      <c r="T76" s="29" t="s">
        <v>480</v>
      </c>
      <c r="U76" s="28" t="s">
        <v>109</v>
      </c>
      <c r="V76" s="28" t="s">
        <v>2141</v>
      </c>
    </row>
    <row r="77" spans="1:22" x14ac:dyDescent="0.3">
      <c r="A77" s="28">
        <v>76</v>
      </c>
      <c r="B77" s="29" t="s">
        <v>143</v>
      </c>
      <c r="C77" s="29" t="s">
        <v>1599</v>
      </c>
      <c r="D77" s="29">
        <v>10126043</v>
      </c>
      <c r="E77" s="29">
        <v>60</v>
      </c>
      <c r="F77" s="28">
        <v>100</v>
      </c>
      <c r="G77" s="28">
        <v>16</v>
      </c>
      <c r="H77" s="7" t="s">
        <v>241</v>
      </c>
      <c r="I77" s="28" t="s">
        <v>154</v>
      </c>
      <c r="J77" s="28" t="s">
        <v>130</v>
      </c>
      <c r="K77" s="41">
        <v>0.8520833333333333</v>
      </c>
      <c r="L77" s="41">
        <v>0.86944444444444446</v>
      </c>
      <c r="M77" s="28" t="s">
        <v>109</v>
      </c>
      <c r="N77" s="29" t="s">
        <v>109</v>
      </c>
      <c r="O77" s="29" t="s">
        <v>61</v>
      </c>
      <c r="P77" s="28" t="s">
        <v>131</v>
      </c>
      <c r="Q77" s="28" t="s">
        <v>154</v>
      </c>
      <c r="R77" s="28" t="s">
        <v>109</v>
      </c>
      <c r="S77" s="28" t="s">
        <v>109</v>
      </c>
      <c r="T77" s="29" t="s">
        <v>480</v>
      </c>
      <c r="U77" s="28" t="s">
        <v>109</v>
      </c>
      <c r="V77" s="28" t="s">
        <v>291</v>
      </c>
    </row>
    <row r="78" spans="1:22" x14ac:dyDescent="0.3">
      <c r="A78" s="28">
        <v>77</v>
      </c>
      <c r="B78" s="29" t="s">
        <v>143</v>
      </c>
      <c r="C78" s="29" t="s">
        <v>2505</v>
      </c>
      <c r="D78" s="29">
        <v>10226045</v>
      </c>
      <c r="E78" s="29">
        <v>25</v>
      </c>
      <c r="F78" s="28">
        <v>51</v>
      </c>
      <c r="G78" s="28">
        <v>43</v>
      </c>
      <c r="H78" s="7" t="s">
        <v>2532</v>
      </c>
      <c r="I78" s="28" t="s">
        <v>87</v>
      </c>
      <c r="J78" s="28" t="s">
        <v>130</v>
      </c>
      <c r="K78" s="41">
        <v>0.8520833333333333</v>
      </c>
      <c r="L78" s="28" t="s">
        <v>2522</v>
      </c>
      <c r="M78" s="28" t="s">
        <v>109</v>
      </c>
      <c r="N78" s="29" t="s">
        <v>109</v>
      </c>
      <c r="O78" s="29" t="s">
        <v>61</v>
      </c>
      <c r="P78" s="28" t="s">
        <v>131</v>
      </c>
      <c r="Q78" s="28" t="s">
        <v>87</v>
      </c>
      <c r="R78" s="28" t="s">
        <v>109</v>
      </c>
      <c r="S78" s="28" t="s">
        <v>109</v>
      </c>
      <c r="T78" s="29" t="s">
        <v>121</v>
      </c>
      <c r="U78" s="28" t="s">
        <v>109</v>
      </c>
      <c r="V78" s="28" t="s">
        <v>2485</v>
      </c>
    </row>
    <row r="79" spans="1:22" x14ac:dyDescent="0.3">
      <c r="A79" s="28">
        <v>78</v>
      </c>
      <c r="B79" s="29" t="s">
        <v>143</v>
      </c>
      <c r="C79" s="29" t="s">
        <v>2506</v>
      </c>
      <c r="D79" s="29">
        <v>10226048</v>
      </c>
      <c r="E79" s="29">
        <v>45</v>
      </c>
      <c r="F79" s="28">
        <v>12</v>
      </c>
      <c r="G79" s="28">
        <v>2</v>
      </c>
      <c r="H79" s="7" t="s">
        <v>68</v>
      </c>
      <c r="I79" s="28" t="s">
        <v>86</v>
      </c>
      <c r="J79" s="28" t="s">
        <v>130</v>
      </c>
      <c r="K79" s="41">
        <v>0.83402777777777781</v>
      </c>
      <c r="L79" s="41">
        <v>0.84027777777777779</v>
      </c>
      <c r="M79" s="28" t="s">
        <v>109</v>
      </c>
      <c r="N79" s="29" t="s">
        <v>109</v>
      </c>
      <c r="O79" s="29" t="s">
        <v>61</v>
      </c>
      <c r="P79" s="28" t="s">
        <v>131</v>
      </c>
      <c r="Q79" s="28" t="s">
        <v>86</v>
      </c>
      <c r="R79" s="28" t="s">
        <v>109</v>
      </c>
      <c r="S79" s="28" t="s">
        <v>109</v>
      </c>
      <c r="T79" s="29" t="s">
        <v>121</v>
      </c>
      <c r="U79" s="28" t="s">
        <v>109</v>
      </c>
      <c r="V79" s="28" t="s">
        <v>291</v>
      </c>
    </row>
    <row r="80" spans="1:22" x14ac:dyDescent="0.3">
      <c r="A80" s="28">
        <v>79</v>
      </c>
      <c r="B80" s="29" t="s">
        <v>143</v>
      </c>
      <c r="C80" s="29" t="s">
        <v>2256</v>
      </c>
      <c r="D80" s="29">
        <v>10226016</v>
      </c>
      <c r="E80" s="29">
        <v>200</v>
      </c>
      <c r="F80" s="28">
        <v>404</v>
      </c>
      <c r="G80" s="28">
        <v>163</v>
      </c>
      <c r="H80" s="28" t="s">
        <v>2507</v>
      </c>
      <c r="I80" s="28" t="s">
        <v>2508</v>
      </c>
      <c r="J80" s="28" t="s">
        <v>130</v>
      </c>
      <c r="K80" s="41">
        <v>0.89375000000000004</v>
      </c>
      <c r="L80" s="41">
        <v>1.8055555555555554E-2</v>
      </c>
      <c r="M80" s="28" t="s">
        <v>109</v>
      </c>
      <c r="N80" s="29" t="s">
        <v>109</v>
      </c>
      <c r="O80" s="29" t="s">
        <v>61</v>
      </c>
      <c r="P80" s="28" t="s">
        <v>131</v>
      </c>
      <c r="Q80" s="28" t="s">
        <v>154</v>
      </c>
      <c r="R80" s="28" t="s">
        <v>109</v>
      </c>
      <c r="S80" s="28" t="s">
        <v>109</v>
      </c>
      <c r="T80" s="29" t="s">
        <v>2253</v>
      </c>
      <c r="U80" s="28" t="s">
        <v>109</v>
      </c>
      <c r="V80" s="28" t="s">
        <v>2141</v>
      </c>
    </row>
    <row r="81" spans="1:22" x14ac:dyDescent="0.3">
      <c r="A81" s="28">
        <v>80</v>
      </c>
      <c r="B81" s="29" t="s">
        <v>143</v>
      </c>
      <c r="C81" s="29" t="s">
        <v>1514</v>
      </c>
      <c r="D81" s="29">
        <v>10126035</v>
      </c>
      <c r="E81" s="29">
        <v>25</v>
      </c>
      <c r="F81" s="28">
        <v>100</v>
      </c>
      <c r="G81" s="28">
        <v>25</v>
      </c>
      <c r="H81" s="7" t="s">
        <v>69</v>
      </c>
      <c r="I81" s="28" t="s">
        <v>90</v>
      </c>
      <c r="J81" s="28" t="s">
        <v>130</v>
      </c>
      <c r="K81" s="41">
        <v>0.75347222222222221</v>
      </c>
      <c r="L81" s="41">
        <v>0.77777777777777779</v>
      </c>
      <c r="M81" s="28" t="s">
        <v>109</v>
      </c>
      <c r="N81" s="29" t="s">
        <v>2509</v>
      </c>
      <c r="O81" s="29" t="s">
        <v>61</v>
      </c>
      <c r="P81" s="28" t="s">
        <v>131</v>
      </c>
      <c r="Q81" s="28" t="s">
        <v>90</v>
      </c>
      <c r="R81" s="28" t="s">
        <v>109</v>
      </c>
      <c r="S81" s="28" t="s">
        <v>109</v>
      </c>
      <c r="T81" s="29" t="s">
        <v>398</v>
      </c>
      <c r="U81" s="28" t="s">
        <v>109</v>
      </c>
      <c r="V81" s="28" t="s">
        <v>2485</v>
      </c>
    </row>
    <row r="82" spans="1:22" x14ac:dyDescent="0.3">
      <c r="A82" s="28">
        <v>81</v>
      </c>
      <c r="B82" s="29" t="s">
        <v>143</v>
      </c>
      <c r="C82" s="29" t="s">
        <v>2510</v>
      </c>
      <c r="D82" s="29">
        <v>10226049</v>
      </c>
      <c r="E82" s="29">
        <v>150</v>
      </c>
      <c r="F82" s="28">
        <v>253</v>
      </c>
      <c r="G82" s="28">
        <v>132</v>
      </c>
      <c r="H82" s="28" t="s">
        <v>1195</v>
      </c>
      <c r="I82" s="28" t="s">
        <v>2511</v>
      </c>
      <c r="J82" s="28" t="s">
        <v>130</v>
      </c>
      <c r="K82" s="41">
        <v>0.87013888888888891</v>
      </c>
      <c r="L82" s="28" t="s">
        <v>1881</v>
      </c>
      <c r="M82" s="28" t="s">
        <v>109</v>
      </c>
      <c r="N82" s="29" t="s">
        <v>109</v>
      </c>
      <c r="O82" s="29" t="s">
        <v>61</v>
      </c>
      <c r="P82" s="28" t="s">
        <v>131</v>
      </c>
      <c r="Q82" s="28" t="s">
        <v>90</v>
      </c>
      <c r="R82" s="28" t="s">
        <v>109</v>
      </c>
      <c r="S82" s="28" t="s">
        <v>109</v>
      </c>
      <c r="T82" s="29" t="s">
        <v>398</v>
      </c>
      <c r="U82" s="28" t="s">
        <v>109</v>
      </c>
      <c r="V82" s="28" t="s">
        <v>2485</v>
      </c>
    </row>
    <row r="83" spans="1:22" x14ac:dyDescent="0.3">
      <c r="A83" s="28">
        <v>82</v>
      </c>
      <c r="B83" s="29" t="s">
        <v>143</v>
      </c>
      <c r="C83" s="29" t="s">
        <v>2512</v>
      </c>
      <c r="D83" s="29">
        <v>10226047</v>
      </c>
      <c r="E83" s="29">
        <v>95</v>
      </c>
      <c r="F83" s="28">
        <v>160</v>
      </c>
      <c r="G83" s="28">
        <v>1</v>
      </c>
      <c r="H83" s="7" t="s">
        <v>66</v>
      </c>
      <c r="I83" s="28" t="s">
        <v>93</v>
      </c>
      <c r="J83" s="28" t="s">
        <v>130</v>
      </c>
      <c r="K83" s="41">
        <v>0.81319444444444444</v>
      </c>
      <c r="L83" s="28" t="s">
        <v>2210</v>
      </c>
      <c r="M83" s="28" t="s">
        <v>109</v>
      </c>
      <c r="N83" s="29" t="s">
        <v>109</v>
      </c>
      <c r="O83" s="29" t="s">
        <v>61</v>
      </c>
      <c r="P83" s="28" t="s">
        <v>131</v>
      </c>
      <c r="Q83" s="28" t="s">
        <v>93</v>
      </c>
      <c r="R83" s="28" t="s">
        <v>109</v>
      </c>
      <c r="S83" s="28" t="s">
        <v>109</v>
      </c>
      <c r="T83" s="29" t="s">
        <v>398</v>
      </c>
      <c r="U83" s="28" t="s">
        <v>109</v>
      </c>
      <c r="V83" s="28" t="s">
        <v>291</v>
      </c>
    </row>
    <row r="84" spans="1:22" x14ac:dyDescent="0.3">
      <c r="A84" s="28">
        <v>83</v>
      </c>
      <c r="B84" s="29" t="s">
        <v>143</v>
      </c>
      <c r="C84" s="29" t="s">
        <v>2513</v>
      </c>
      <c r="D84" s="29">
        <v>10226046</v>
      </c>
      <c r="E84" s="29">
        <v>125</v>
      </c>
      <c r="F84" s="28">
        <v>172</v>
      </c>
      <c r="G84" s="28">
        <v>34</v>
      </c>
      <c r="H84" s="28" t="s">
        <v>2514</v>
      </c>
      <c r="I84" s="28" t="s">
        <v>97</v>
      </c>
      <c r="J84" s="28" t="s">
        <v>130</v>
      </c>
      <c r="K84" s="41">
        <v>0.83888888888888891</v>
      </c>
      <c r="L84" s="28" t="s">
        <v>2530</v>
      </c>
      <c r="M84" s="28" t="s">
        <v>109</v>
      </c>
      <c r="N84" s="29" t="s">
        <v>109</v>
      </c>
      <c r="O84" s="29" t="s">
        <v>61</v>
      </c>
      <c r="P84" s="28" t="s">
        <v>131</v>
      </c>
      <c r="Q84" s="28" t="s">
        <v>89</v>
      </c>
      <c r="R84" s="28" t="s">
        <v>109</v>
      </c>
      <c r="S84" s="28" t="s">
        <v>109</v>
      </c>
      <c r="T84" s="29" t="s">
        <v>398</v>
      </c>
      <c r="U84" s="28" t="s">
        <v>109</v>
      </c>
      <c r="V84" s="28" t="s">
        <v>291</v>
      </c>
    </row>
    <row r="85" spans="1:22" x14ac:dyDescent="0.3">
      <c r="A85" s="28">
        <v>84</v>
      </c>
      <c r="B85" s="29" t="s">
        <v>143</v>
      </c>
      <c r="C85" s="29" t="s">
        <v>2334</v>
      </c>
      <c r="D85" s="29">
        <v>10226029</v>
      </c>
      <c r="E85" s="29">
        <v>50</v>
      </c>
      <c r="F85" s="28">
        <v>102</v>
      </c>
      <c r="G85" s="28">
        <v>10</v>
      </c>
      <c r="H85" s="7" t="s">
        <v>66</v>
      </c>
      <c r="I85" s="28" t="s">
        <v>209</v>
      </c>
      <c r="J85" s="28" t="s">
        <v>130</v>
      </c>
      <c r="K85" s="41">
        <v>0.67986111111111114</v>
      </c>
      <c r="L85" s="41">
        <v>0.75624999999999998</v>
      </c>
      <c r="M85" s="28" t="s">
        <v>109</v>
      </c>
      <c r="N85" s="29" t="s">
        <v>109</v>
      </c>
      <c r="O85" s="29" t="s">
        <v>61</v>
      </c>
      <c r="P85" s="28" t="s">
        <v>131</v>
      </c>
      <c r="Q85" s="28" t="s">
        <v>209</v>
      </c>
      <c r="R85" s="28" t="s">
        <v>109</v>
      </c>
      <c r="S85" s="28" t="s">
        <v>109</v>
      </c>
      <c r="T85" s="29" t="s">
        <v>121</v>
      </c>
      <c r="U85" s="28" t="s">
        <v>109</v>
      </c>
      <c r="V85" s="28" t="s">
        <v>109</v>
      </c>
    </row>
    <row r="86" spans="1:22" x14ac:dyDescent="0.3">
      <c r="A86" s="28">
        <v>85</v>
      </c>
      <c r="B86" s="28" t="s">
        <v>170</v>
      </c>
      <c r="C86" s="28" t="s">
        <v>171</v>
      </c>
      <c r="D86" s="28">
        <v>41125019</v>
      </c>
      <c r="E86" s="28">
        <v>125</v>
      </c>
      <c r="F86" s="28">
        <v>205</v>
      </c>
      <c r="G86" s="28">
        <v>25</v>
      </c>
      <c r="H86" s="28" t="s">
        <v>302</v>
      </c>
      <c r="I86" s="28" t="s">
        <v>97</v>
      </c>
      <c r="J86" s="28" t="s">
        <v>130</v>
      </c>
      <c r="K86" s="28" t="s">
        <v>2539</v>
      </c>
      <c r="L86" s="28" t="s">
        <v>2540</v>
      </c>
      <c r="M86" s="28" t="s">
        <v>109</v>
      </c>
      <c r="N86" s="28" t="s">
        <v>2515</v>
      </c>
      <c r="O86" s="29" t="s">
        <v>61</v>
      </c>
      <c r="P86" s="28" t="s">
        <v>131</v>
      </c>
      <c r="Q86" s="28" t="s">
        <v>89</v>
      </c>
      <c r="R86" s="28" t="s">
        <v>109</v>
      </c>
      <c r="S86" s="28" t="s">
        <v>109</v>
      </c>
      <c r="T86" s="28" t="s">
        <v>175</v>
      </c>
      <c r="U86" s="28" t="s">
        <v>109</v>
      </c>
      <c r="V86" s="28" t="s">
        <v>109</v>
      </c>
    </row>
    <row r="87" spans="1:22" x14ac:dyDescent="0.3">
      <c r="A87" s="28">
        <v>86</v>
      </c>
      <c r="B87" s="29" t="s">
        <v>26</v>
      </c>
      <c r="C87" s="90" t="s">
        <v>770</v>
      </c>
      <c r="D87" s="29">
        <v>40126003</v>
      </c>
      <c r="E87" s="29">
        <v>162</v>
      </c>
      <c r="F87" s="28">
        <v>292</v>
      </c>
      <c r="G87" s="28">
        <v>81</v>
      </c>
      <c r="H87" s="28" t="s">
        <v>1333</v>
      </c>
      <c r="I87" s="28" t="s">
        <v>2516</v>
      </c>
      <c r="J87" s="28" t="s">
        <v>130</v>
      </c>
      <c r="K87" s="41">
        <v>0.95763888888888893</v>
      </c>
      <c r="L87" s="41">
        <v>3.0555555555555555E-2</v>
      </c>
      <c r="M87" s="28" t="s">
        <v>109</v>
      </c>
      <c r="N87" s="29" t="s">
        <v>2517</v>
      </c>
      <c r="O87" s="29" t="s">
        <v>61</v>
      </c>
      <c r="P87" s="28" t="s">
        <v>131</v>
      </c>
      <c r="Q87" s="28" t="s">
        <v>86</v>
      </c>
      <c r="R87" s="28" t="s">
        <v>109</v>
      </c>
      <c r="S87" s="28" t="s">
        <v>109</v>
      </c>
      <c r="T87" s="29" t="s">
        <v>767</v>
      </c>
      <c r="U87" s="28" t="s">
        <v>109</v>
      </c>
      <c r="V87" s="28" t="s">
        <v>2141</v>
      </c>
    </row>
    <row r="88" spans="1:22" x14ac:dyDescent="0.3">
      <c r="A88" s="28">
        <v>87</v>
      </c>
      <c r="B88" s="29" t="s">
        <v>26</v>
      </c>
      <c r="C88" s="90" t="s">
        <v>773</v>
      </c>
      <c r="D88" s="29">
        <v>40126002</v>
      </c>
      <c r="E88" s="29">
        <v>126</v>
      </c>
      <c r="F88" s="28">
        <v>182</v>
      </c>
      <c r="G88" s="28">
        <v>139</v>
      </c>
      <c r="H88" s="28" t="s">
        <v>1855</v>
      </c>
      <c r="I88" s="28" t="s">
        <v>109</v>
      </c>
      <c r="J88" s="28" t="s">
        <v>130</v>
      </c>
      <c r="K88" s="41">
        <v>0.90833333333333333</v>
      </c>
      <c r="L88" s="28" t="s">
        <v>109</v>
      </c>
      <c r="M88" s="28" t="s">
        <v>109</v>
      </c>
      <c r="N88" s="29" t="s">
        <v>2517</v>
      </c>
      <c r="O88" s="29" t="s">
        <v>61</v>
      </c>
      <c r="P88" s="28" t="s">
        <v>131</v>
      </c>
      <c r="Q88" s="28" t="s">
        <v>94</v>
      </c>
      <c r="R88" s="28" t="s">
        <v>109</v>
      </c>
      <c r="S88" s="28" t="s">
        <v>109</v>
      </c>
      <c r="T88" s="29" t="s">
        <v>767</v>
      </c>
      <c r="U88" s="28" t="s">
        <v>109</v>
      </c>
      <c r="V88" s="28" t="s">
        <v>2485</v>
      </c>
    </row>
    <row r="89" spans="1:22" x14ac:dyDescent="0.3">
      <c r="A89" s="28">
        <v>88</v>
      </c>
      <c r="B89" s="29" t="s">
        <v>26</v>
      </c>
      <c r="C89" s="90" t="s">
        <v>774</v>
      </c>
      <c r="D89" s="29">
        <v>40126001</v>
      </c>
      <c r="E89" s="29">
        <v>130</v>
      </c>
      <c r="F89" s="28">
        <v>221</v>
      </c>
      <c r="G89" s="28">
        <v>149</v>
      </c>
      <c r="H89" s="28" t="s">
        <v>187</v>
      </c>
      <c r="I89" s="28" t="s">
        <v>109</v>
      </c>
      <c r="J89" s="28" t="s">
        <v>130</v>
      </c>
      <c r="K89" s="41">
        <v>0.7944444444444444</v>
      </c>
      <c r="L89" s="28" t="s">
        <v>109</v>
      </c>
      <c r="M89" s="28" t="s">
        <v>109</v>
      </c>
      <c r="N89" s="29" t="s">
        <v>2517</v>
      </c>
      <c r="O89" s="29" t="s">
        <v>61</v>
      </c>
      <c r="P89" s="28" t="s">
        <v>131</v>
      </c>
      <c r="Q89" s="28" t="s">
        <v>95</v>
      </c>
      <c r="R89" s="28" t="s">
        <v>109</v>
      </c>
      <c r="S89" s="28" t="s">
        <v>109</v>
      </c>
      <c r="T89" s="29" t="s">
        <v>767</v>
      </c>
      <c r="U89" s="28" t="s">
        <v>109</v>
      </c>
      <c r="V89" s="28" t="s">
        <v>2485</v>
      </c>
    </row>
    <row r="90" spans="1:22" x14ac:dyDescent="0.3">
      <c r="A90" s="28">
        <v>86</v>
      </c>
      <c r="B90" s="29" t="s">
        <v>23</v>
      </c>
      <c r="C90" s="90" t="s">
        <v>2518</v>
      </c>
      <c r="D90" s="29">
        <v>50226108</v>
      </c>
      <c r="E90" s="28">
        <v>50</v>
      </c>
      <c r="F90" s="28">
        <v>97</v>
      </c>
      <c r="G90" s="28">
        <v>56</v>
      </c>
      <c r="H90" s="28" t="s">
        <v>89</v>
      </c>
      <c r="I90" s="28" t="s">
        <v>109</v>
      </c>
      <c r="J90" s="28" t="s">
        <v>130</v>
      </c>
      <c r="K90" s="41">
        <v>0.98472222222222228</v>
      </c>
      <c r="L90" s="28" t="s">
        <v>109</v>
      </c>
      <c r="M90" s="28" t="s">
        <v>109</v>
      </c>
      <c r="N90" s="28" t="s">
        <v>109</v>
      </c>
      <c r="O90" s="29" t="s">
        <v>61</v>
      </c>
      <c r="P90" s="28" t="s">
        <v>131</v>
      </c>
      <c r="Q90" s="28" t="s">
        <v>89</v>
      </c>
      <c r="R90" s="28" t="s">
        <v>109</v>
      </c>
      <c r="S90" s="28" t="s">
        <v>109</v>
      </c>
      <c r="T90" s="28" t="s">
        <v>109</v>
      </c>
      <c r="U90" s="28" t="s">
        <v>109</v>
      </c>
      <c r="V90" s="28" t="s">
        <v>2485</v>
      </c>
    </row>
    <row r="91" spans="1:22" x14ac:dyDescent="0.3">
      <c r="A91" s="28">
        <v>90</v>
      </c>
      <c r="B91" s="29" t="s">
        <v>23</v>
      </c>
      <c r="C91" s="90" t="s">
        <v>2519</v>
      </c>
      <c r="D91" s="29">
        <v>50226107</v>
      </c>
      <c r="E91" s="28">
        <v>100</v>
      </c>
      <c r="F91" s="28">
        <v>124</v>
      </c>
      <c r="G91" s="28">
        <v>109</v>
      </c>
      <c r="H91" s="28" t="s">
        <v>91</v>
      </c>
      <c r="I91" s="28" t="s">
        <v>109</v>
      </c>
      <c r="J91" s="28" t="s">
        <v>130</v>
      </c>
      <c r="K91" s="41">
        <v>0.96250000000000002</v>
      </c>
      <c r="L91" s="28" t="s">
        <v>109</v>
      </c>
      <c r="M91" s="28" t="s">
        <v>109</v>
      </c>
      <c r="N91" s="28" t="s">
        <v>109</v>
      </c>
      <c r="O91" s="29" t="s">
        <v>61</v>
      </c>
      <c r="P91" s="28" t="s">
        <v>131</v>
      </c>
      <c r="Q91" s="28" t="s">
        <v>91</v>
      </c>
      <c r="R91" s="28" t="s">
        <v>109</v>
      </c>
      <c r="S91" s="28" t="s">
        <v>109</v>
      </c>
      <c r="T91" s="28" t="s">
        <v>109</v>
      </c>
      <c r="U91" s="28" t="s">
        <v>109</v>
      </c>
      <c r="V91" s="28" t="s">
        <v>2485</v>
      </c>
    </row>
    <row r="92" spans="1:22" x14ac:dyDescent="0.3">
      <c r="A92" s="28">
        <v>91</v>
      </c>
      <c r="B92" s="29" t="s">
        <v>170</v>
      </c>
      <c r="C92" s="29" t="s">
        <v>2528</v>
      </c>
      <c r="D92" s="29">
        <v>40226017</v>
      </c>
      <c r="E92" s="29">
        <v>96</v>
      </c>
      <c r="F92" s="28">
        <v>197</v>
      </c>
      <c r="G92" s="28">
        <v>37</v>
      </c>
      <c r="H92" s="28" t="s">
        <v>86</v>
      </c>
      <c r="I92" s="28" t="s">
        <v>109</v>
      </c>
      <c r="J92" s="28" t="s">
        <v>130</v>
      </c>
      <c r="K92" s="28" t="s">
        <v>2538</v>
      </c>
      <c r="L92" s="28" t="s">
        <v>109</v>
      </c>
      <c r="M92" s="28" t="s">
        <v>109</v>
      </c>
      <c r="N92" s="28" t="s">
        <v>109</v>
      </c>
      <c r="O92" s="29" t="s">
        <v>61</v>
      </c>
      <c r="P92" s="28" t="s">
        <v>131</v>
      </c>
      <c r="Q92" s="28" t="s">
        <v>86</v>
      </c>
      <c r="R92" s="28" t="s">
        <v>109</v>
      </c>
      <c r="S92" s="28" t="s">
        <v>109</v>
      </c>
      <c r="T92" s="28" t="s">
        <v>109</v>
      </c>
      <c r="U92" s="28" t="s">
        <v>109</v>
      </c>
      <c r="V92" s="28" t="s">
        <v>2141</v>
      </c>
    </row>
    <row r="93" spans="1:22" x14ac:dyDescent="0.3">
      <c r="A93" s="28">
        <v>92</v>
      </c>
      <c r="B93" s="29" t="s">
        <v>170</v>
      </c>
      <c r="C93" s="29" t="s">
        <v>2529</v>
      </c>
      <c r="D93" s="29">
        <v>40226016</v>
      </c>
      <c r="E93" s="29">
        <v>89</v>
      </c>
      <c r="F93" s="28">
        <v>140</v>
      </c>
      <c r="G93" s="28">
        <v>76</v>
      </c>
      <c r="H93" s="28" t="s">
        <v>90</v>
      </c>
      <c r="I93" s="28" t="s">
        <v>109</v>
      </c>
      <c r="J93" s="28" t="s">
        <v>130</v>
      </c>
      <c r="K93" s="41">
        <v>2.9166666666666667E-2</v>
      </c>
      <c r="L93" s="28" t="s">
        <v>109</v>
      </c>
      <c r="M93" s="28" t="s">
        <v>109</v>
      </c>
      <c r="N93" s="28" t="s">
        <v>109</v>
      </c>
      <c r="O93" s="29" t="s">
        <v>61</v>
      </c>
      <c r="P93" s="28" t="s">
        <v>131</v>
      </c>
      <c r="Q93" s="28" t="s">
        <v>90</v>
      </c>
      <c r="R93" s="28" t="s">
        <v>109</v>
      </c>
      <c r="S93" s="28" t="s">
        <v>109</v>
      </c>
      <c r="T93" s="28" t="s">
        <v>109</v>
      </c>
      <c r="U93" s="28" t="s">
        <v>109</v>
      </c>
      <c r="V93" s="28" t="s">
        <v>2485</v>
      </c>
    </row>
  </sheetData>
  <conditionalFormatting sqref="D1">
    <cfRule type="duplicateValues" dxfId="60" priority="1"/>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4E862-10A0-4F43-817B-0C06FE9750F8}">
  <sheetPr codeName="Sheet38"/>
  <dimension ref="A1:V66"/>
  <sheetViews>
    <sheetView topLeftCell="H1" workbookViewId="0">
      <pane ySplit="1" topLeftCell="A2" activePane="bottomLeft" state="frozen"/>
      <selection pane="bottomLeft" activeCell="U2" sqref="U2"/>
    </sheetView>
  </sheetViews>
  <sheetFormatPr defaultRowHeight="14.4" x14ac:dyDescent="0.3"/>
  <cols>
    <col min="3" max="3" width="39.5546875" customWidth="1"/>
    <col min="4" max="4" width="22" customWidth="1"/>
    <col min="8" max="8" width="31.109375" customWidth="1"/>
    <col min="9" max="9" width="22" customWidth="1"/>
    <col min="13" max="13" width="18.109375" customWidth="1"/>
    <col min="22" max="22" width="26.88671875" customWidth="1"/>
  </cols>
  <sheetData>
    <row r="1" spans="1:22"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21</v>
      </c>
    </row>
    <row r="2" spans="1:22" x14ac:dyDescent="0.3">
      <c r="A2" s="28">
        <v>1</v>
      </c>
      <c r="B2" s="28" t="s">
        <v>292</v>
      </c>
      <c r="C2" s="28" t="s">
        <v>1883</v>
      </c>
      <c r="D2" s="28">
        <v>40126037</v>
      </c>
      <c r="E2" s="28">
        <v>224</v>
      </c>
      <c r="F2" s="28">
        <v>68</v>
      </c>
      <c r="G2" s="28">
        <v>41</v>
      </c>
      <c r="H2" s="28" t="s">
        <v>222</v>
      </c>
      <c r="I2" s="28" t="s">
        <v>2541</v>
      </c>
      <c r="J2" s="28" t="s">
        <v>130</v>
      </c>
      <c r="K2" s="41">
        <v>0.96875</v>
      </c>
      <c r="L2" s="41">
        <v>0.98750000000000004</v>
      </c>
      <c r="M2" s="28" t="s">
        <v>109</v>
      </c>
      <c r="N2" s="28" t="s">
        <v>434</v>
      </c>
      <c r="O2" s="29" t="s">
        <v>61</v>
      </c>
      <c r="P2" s="28" t="s">
        <v>131</v>
      </c>
      <c r="Q2" s="28" t="s">
        <v>1082</v>
      </c>
      <c r="R2" s="28" t="s">
        <v>63</v>
      </c>
      <c r="S2" s="28" t="s">
        <v>123</v>
      </c>
      <c r="T2" s="28" t="s">
        <v>117</v>
      </c>
      <c r="U2" s="108">
        <f t="shared" ref="U2:U63" si="0">G2/E2</f>
        <v>0.18303571428571427</v>
      </c>
      <c r="V2" s="28" t="s">
        <v>612</v>
      </c>
    </row>
    <row r="3" spans="1:22" x14ac:dyDescent="0.3">
      <c r="A3" s="28">
        <v>2</v>
      </c>
      <c r="B3" s="28" t="s">
        <v>24</v>
      </c>
      <c r="C3" s="28" t="s">
        <v>2542</v>
      </c>
      <c r="D3" s="28">
        <v>60226026</v>
      </c>
      <c r="E3" s="28">
        <v>25</v>
      </c>
      <c r="F3" s="28">
        <v>25</v>
      </c>
      <c r="G3" s="28">
        <v>4</v>
      </c>
      <c r="H3" s="28" t="s">
        <v>274</v>
      </c>
      <c r="I3" s="28" t="s">
        <v>91</v>
      </c>
      <c r="J3" s="28" t="s">
        <v>130</v>
      </c>
      <c r="K3" s="41">
        <v>0.85486111111111107</v>
      </c>
      <c r="L3" s="41">
        <v>0.95763888888888893</v>
      </c>
      <c r="M3" s="28" t="s">
        <v>109</v>
      </c>
      <c r="N3" s="28" t="s">
        <v>109</v>
      </c>
      <c r="O3" s="29" t="s">
        <v>61</v>
      </c>
      <c r="P3" s="28" t="s">
        <v>131</v>
      </c>
      <c r="Q3" s="28" t="s">
        <v>91</v>
      </c>
      <c r="R3" s="28" t="s">
        <v>63</v>
      </c>
      <c r="S3" s="28" t="s">
        <v>123</v>
      </c>
      <c r="T3" s="28" t="s">
        <v>2543</v>
      </c>
      <c r="U3" s="108">
        <f t="shared" si="0"/>
        <v>0.16</v>
      </c>
      <c r="V3" s="28" t="s">
        <v>612</v>
      </c>
    </row>
    <row r="4" spans="1:22" x14ac:dyDescent="0.3">
      <c r="A4" s="28">
        <v>3</v>
      </c>
      <c r="B4" s="28" t="s">
        <v>24</v>
      </c>
      <c r="C4" s="28" t="s">
        <v>2544</v>
      </c>
      <c r="D4" s="28">
        <v>60226025</v>
      </c>
      <c r="E4" s="28">
        <v>34</v>
      </c>
      <c r="F4" s="28">
        <v>34</v>
      </c>
      <c r="G4" s="28">
        <v>15</v>
      </c>
      <c r="H4" s="28" t="s">
        <v>70</v>
      </c>
      <c r="I4" s="28" t="s">
        <v>94</v>
      </c>
      <c r="J4" s="28" t="s">
        <v>130</v>
      </c>
      <c r="K4" s="41">
        <v>0.63958333333333328</v>
      </c>
      <c r="L4" s="41">
        <v>0.68194444444444446</v>
      </c>
      <c r="M4" s="28" t="s">
        <v>109</v>
      </c>
      <c r="N4" s="28" t="s">
        <v>109</v>
      </c>
      <c r="O4" s="29" t="s">
        <v>61</v>
      </c>
      <c r="P4" s="28" t="s">
        <v>131</v>
      </c>
      <c r="Q4" s="28" t="s">
        <v>94</v>
      </c>
      <c r="R4" s="28" t="s">
        <v>63</v>
      </c>
      <c r="S4" s="28" t="s">
        <v>123</v>
      </c>
      <c r="T4" s="28" t="s">
        <v>2543</v>
      </c>
      <c r="U4" s="108">
        <f t="shared" si="0"/>
        <v>0.44117647058823528</v>
      </c>
      <c r="V4" s="28" t="s">
        <v>612</v>
      </c>
    </row>
    <row r="5" spans="1:22" x14ac:dyDescent="0.3">
      <c r="A5" s="28">
        <v>4</v>
      </c>
      <c r="B5" s="28" t="s">
        <v>24</v>
      </c>
      <c r="C5" s="28" t="s">
        <v>1832</v>
      </c>
      <c r="D5" s="28">
        <v>60226011</v>
      </c>
      <c r="E5" s="28">
        <v>141</v>
      </c>
      <c r="F5" s="28" t="s">
        <v>109</v>
      </c>
      <c r="G5" s="28" t="s">
        <v>109</v>
      </c>
      <c r="H5" s="28" t="s">
        <v>1333</v>
      </c>
      <c r="I5" s="28" t="s">
        <v>294</v>
      </c>
      <c r="J5" s="28" t="s">
        <v>85</v>
      </c>
      <c r="K5" s="28" t="s">
        <v>109</v>
      </c>
      <c r="L5" s="28" t="s">
        <v>109</v>
      </c>
      <c r="M5" s="28" t="s">
        <v>109</v>
      </c>
      <c r="N5" s="28" t="s">
        <v>2339</v>
      </c>
      <c r="O5" s="29" t="s">
        <v>61</v>
      </c>
      <c r="P5" s="28" t="s">
        <v>109</v>
      </c>
      <c r="Q5" s="28" t="s">
        <v>109</v>
      </c>
      <c r="R5" s="28" t="s">
        <v>63</v>
      </c>
      <c r="S5" s="28" t="s">
        <v>123</v>
      </c>
      <c r="T5" s="28" t="s">
        <v>117</v>
      </c>
      <c r="U5" s="108" t="e">
        <f t="shared" si="0"/>
        <v>#VALUE!</v>
      </c>
      <c r="V5" s="28" t="s">
        <v>109</v>
      </c>
    </row>
    <row r="6" spans="1:22" x14ac:dyDescent="0.3">
      <c r="A6" s="28">
        <v>5</v>
      </c>
      <c r="B6" s="28" t="s">
        <v>24</v>
      </c>
      <c r="C6" s="28" t="s">
        <v>1834</v>
      </c>
      <c r="D6" s="28">
        <v>60226012</v>
      </c>
      <c r="E6" s="28">
        <v>143</v>
      </c>
      <c r="F6" s="28">
        <v>257</v>
      </c>
      <c r="G6" s="28">
        <v>149</v>
      </c>
      <c r="H6" s="28" t="s">
        <v>1052</v>
      </c>
      <c r="I6" s="28" t="s">
        <v>764</v>
      </c>
      <c r="J6" s="28" t="s">
        <v>130</v>
      </c>
      <c r="K6" s="41">
        <v>0.73541666666666672</v>
      </c>
      <c r="L6" s="41">
        <v>0.75486111111111109</v>
      </c>
      <c r="M6" s="28" t="s">
        <v>109</v>
      </c>
      <c r="N6" s="28" t="s">
        <v>2339</v>
      </c>
      <c r="O6" s="29" t="s">
        <v>61</v>
      </c>
      <c r="P6" s="28" t="s">
        <v>131</v>
      </c>
      <c r="Q6" s="28" t="s">
        <v>94</v>
      </c>
      <c r="R6" s="28" t="s">
        <v>63</v>
      </c>
      <c r="S6" s="28" t="s">
        <v>123</v>
      </c>
      <c r="T6" s="28" t="s">
        <v>117</v>
      </c>
      <c r="U6" s="108">
        <f t="shared" si="0"/>
        <v>1.0419580419580419</v>
      </c>
      <c r="V6" s="28" t="s">
        <v>1941</v>
      </c>
    </row>
    <row r="7" spans="1:22" x14ac:dyDescent="0.3">
      <c r="A7" s="28">
        <v>6</v>
      </c>
      <c r="B7" s="28" t="s">
        <v>24</v>
      </c>
      <c r="C7" s="28" t="s">
        <v>897</v>
      </c>
      <c r="D7" s="28">
        <v>60126007</v>
      </c>
      <c r="E7" s="28">
        <v>289</v>
      </c>
      <c r="F7" s="28">
        <v>424</v>
      </c>
      <c r="G7" s="28">
        <v>288</v>
      </c>
      <c r="H7" s="28" t="s">
        <v>2545</v>
      </c>
      <c r="I7" s="28" t="s">
        <v>2546</v>
      </c>
      <c r="J7" s="28" t="s">
        <v>130</v>
      </c>
      <c r="K7" s="28" t="s">
        <v>109</v>
      </c>
      <c r="L7" s="41">
        <v>0.86736111111111114</v>
      </c>
      <c r="M7" s="28" t="s">
        <v>109</v>
      </c>
      <c r="N7" s="28" t="s">
        <v>109</v>
      </c>
      <c r="O7" s="29" t="s">
        <v>61</v>
      </c>
      <c r="P7" s="28" t="s">
        <v>131</v>
      </c>
      <c r="Q7" s="28" t="s">
        <v>1082</v>
      </c>
      <c r="R7" s="28" t="s">
        <v>63</v>
      </c>
      <c r="S7" s="28" t="s">
        <v>123</v>
      </c>
      <c r="T7" s="28" t="s">
        <v>891</v>
      </c>
      <c r="U7" s="108">
        <f t="shared" si="0"/>
        <v>0.9965397923875432</v>
      </c>
      <c r="V7" s="28" t="s">
        <v>1941</v>
      </c>
    </row>
    <row r="8" spans="1:22" x14ac:dyDescent="0.3">
      <c r="A8" s="28">
        <v>7</v>
      </c>
      <c r="B8" s="28" t="s">
        <v>26</v>
      </c>
      <c r="C8" s="28" t="s">
        <v>2460</v>
      </c>
      <c r="D8" s="28">
        <v>40226013</v>
      </c>
      <c r="E8" s="28">
        <v>56</v>
      </c>
      <c r="F8" s="28">
        <v>33</v>
      </c>
      <c r="G8" s="28">
        <v>10</v>
      </c>
      <c r="H8" s="28" t="s">
        <v>71</v>
      </c>
      <c r="I8" s="28" t="s">
        <v>87</v>
      </c>
      <c r="J8" s="28" t="s">
        <v>130</v>
      </c>
      <c r="K8" s="41">
        <v>0.70347222222222228</v>
      </c>
      <c r="L8" s="41">
        <v>0.71388888888888891</v>
      </c>
      <c r="M8" s="28" t="s">
        <v>109</v>
      </c>
      <c r="N8" s="28" t="s">
        <v>109</v>
      </c>
      <c r="O8" s="29" t="s">
        <v>61</v>
      </c>
      <c r="P8" s="28" t="s">
        <v>131</v>
      </c>
      <c r="Q8" s="28" t="s">
        <v>87</v>
      </c>
      <c r="R8" s="28" t="s">
        <v>62</v>
      </c>
      <c r="S8" s="28" t="s">
        <v>123</v>
      </c>
      <c r="T8" s="28" t="s">
        <v>122</v>
      </c>
      <c r="U8" s="108">
        <f t="shared" si="0"/>
        <v>0.17857142857142858</v>
      </c>
      <c r="V8" s="28" t="s">
        <v>612</v>
      </c>
    </row>
    <row r="9" spans="1:22" x14ac:dyDescent="0.3">
      <c r="A9" s="28">
        <v>8</v>
      </c>
      <c r="B9" s="28" t="s">
        <v>26</v>
      </c>
      <c r="C9" s="28" t="s">
        <v>2462</v>
      </c>
      <c r="D9" s="28">
        <v>40226014</v>
      </c>
      <c r="E9" s="28">
        <v>358</v>
      </c>
      <c r="F9" s="28">
        <v>615</v>
      </c>
      <c r="G9" s="28">
        <v>123</v>
      </c>
      <c r="H9" s="28" t="s">
        <v>2547</v>
      </c>
      <c r="I9" s="28" t="s">
        <v>2548</v>
      </c>
      <c r="J9" s="28" t="s">
        <v>130</v>
      </c>
      <c r="K9" s="41">
        <v>0.84930555555555554</v>
      </c>
      <c r="L9" s="41">
        <v>0.91874999999999996</v>
      </c>
      <c r="M9" s="28" t="s">
        <v>109</v>
      </c>
      <c r="N9" s="28" t="s">
        <v>109</v>
      </c>
      <c r="O9" s="29" t="s">
        <v>61</v>
      </c>
      <c r="P9" s="28" t="s">
        <v>131</v>
      </c>
      <c r="Q9" s="28" t="s">
        <v>154</v>
      </c>
      <c r="R9" s="28" t="s">
        <v>62</v>
      </c>
      <c r="S9" s="28" t="s">
        <v>123</v>
      </c>
      <c r="T9" s="28" t="s">
        <v>122</v>
      </c>
      <c r="U9" s="108">
        <f t="shared" si="0"/>
        <v>0.34357541899441341</v>
      </c>
      <c r="V9" s="28" t="s">
        <v>2574</v>
      </c>
    </row>
    <row r="10" spans="1:22" x14ac:dyDescent="0.3">
      <c r="A10" s="28">
        <v>9</v>
      </c>
      <c r="B10" s="28" t="s">
        <v>26</v>
      </c>
      <c r="C10" s="28" t="s">
        <v>2468</v>
      </c>
      <c r="D10" s="28">
        <v>40226012</v>
      </c>
      <c r="E10" s="28">
        <v>433</v>
      </c>
      <c r="F10" s="28">
        <v>692</v>
      </c>
      <c r="G10" s="28">
        <v>57</v>
      </c>
      <c r="H10" s="28" t="s">
        <v>1016</v>
      </c>
      <c r="I10" s="28" t="s">
        <v>2549</v>
      </c>
      <c r="J10" s="28" t="s">
        <v>130</v>
      </c>
      <c r="K10" s="41">
        <v>0.79097222222222219</v>
      </c>
      <c r="L10" s="41">
        <v>0.8305555555555556</v>
      </c>
      <c r="M10" s="28" t="s">
        <v>109</v>
      </c>
      <c r="N10" s="28" t="s">
        <v>109</v>
      </c>
      <c r="O10" s="29" t="s">
        <v>61</v>
      </c>
      <c r="P10" s="28" t="s">
        <v>131</v>
      </c>
      <c r="Q10" s="28" t="s">
        <v>93</v>
      </c>
      <c r="R10" s="28" t="s">
        <v>62</v>
      </c>
      <c r="S10" s="28" t="s">
        <v>123</v>
      </c>
      <c r="T10" s="28" t="s">
        <v>122</v>
      </c>
      <c r="U10" s="108">
        <f t="shared" si="0"/>
        <v>0.13163972286374134</v>
      </c>
      <c r="V10" s="28" t="s">
        <v>2391</v>
      </c>
    </row>
    <row r="11" spans="1:22" x14ac:dyDescent="0.3">
      <c r="A11" s="28">
        <v>10</v>
      </c>
      <c r="B11" s="28" t="s">
        <v>26</v>
      </c>
      <c r="C11" s="28" t="s">
        <v>766</v>
      </c>
      <c r="D11" s="28">
        <v>40126004</v>
      </c>
      <c r="E11" s="28">
        <v>22</v>
      </c>
      <c r="F11" s="28">
        <v>16</v>
      </c>
      <c r="G11" s="28">
        <v>2</v>
      </c>
      <c r="H11" s="28" t="s">
        <v>222</v>
      </c>
      <c r="I11" s="28" t="s">
        <v>88</v>
      </c>
      <c r="J11" s="28" t="s">
        <v>130</v>
      </c>
      <c r="K11" s="41">
        <v>0.73263888888888884</v>
      </c>
      <c r="L11" s="41">
        <v>0.75624999999999998</v>
      </c>
      <c r="M11" s="28" t="s">
        <v>109</v>
      </c>
      <c r="N11" s="28" t="s">
        <v>109</v>
      </c>
      <c r="O11" s="29" t="s">
        <v>61</v>
      </c>
      <c r="P11" s="28" t="s">
        <v>131</v>
      </c>
      <c r="Q11" s="28" t="s">
        <v>88</v>
      </c>
      <c r="R11" s="28" t="s">
        <v>63</v>
      </c>
      <c r="S11" s="28" t="s">
        <v>123</v>
      </c>
      <c r="T11" s="28" t="s">
        <v>767</v>
      </c>
      <c r="U11" s="108">
        <f t="shared" si="0"/>
        <v>9.0909090909090912E-2</v>
      </c>
      <c r="V11" s="28" t="s">
        <v>612</v>
      </c>
    </row>
    <row r="12" spans="1:22" x14ac:dyDescent="0.3">
      <c r="A12" s="28">
        <v>11</v>
      </c>
      <c r="B12" s="28" t="s">
        <v>26</v>
      </c>
      <c r="C12" s="28" t="s">
        <v>768</v>
      </c>
      <c r="D12" s="28">
        <v>40126005</v>
      </c>
      <c r="E12" s="28">
        <v>116</v>
      </c>
      <c r="F12" s="28">
        <v>119</v>
      </c>
      <c r="G12" s="28">
        <v>59</v>
      </c>
      <c r="H12" s="28" t="s">
        <v>200</v>
      </c>
      <c r="I12" s="28" t="s">
        <v>87</v>
      </c>
      <c r="J12" s="28" t="s">
        <v>130</v>
      </c>
      <c r="K12" s="41">
        <v>0.86875000000000002</v>
      </c>
      <c r="L12" s="41">
        <v>0.94166666666666665</v>
      </c>
      <c r="M12" s="28" t="s">
        <v>109</v>
      </c>
      <c r="N12" s="28" t="s">
        <v>109</v>
      </c>
      <c r="O12" s="29" t="s">
        <v>61</v>
      </c>
      <c r="P12" s="28" t="s">
        <v>131</v>
      </c>
      <c r="Q12" s="28" t="s">
        <v>87</v>
      </c>
      <c r="R12" s="28" t="s">
        <v>63</v>
      </c>
      <c r="S12" s="28" t="s">
        <v>123</v>
      </c>
      <c r="T12" s="28" t="s">
        <v>767</v>
      </c>
      <c r="U12" s="108">
        <f t="shared" si="0"/>
        <v>0.50862068965517238</v>
      </c>
      <c r="V12" s="28" t="s">
        <v>612</v>
      </c>
    </row>
    <row r="13" spans="1:22" x14ac:dyDescent="0.3">
      <c r="A13" s="28">
        <v>12</v>
      </c>
      <c r="B13" s="28" t="s">
        <v>23</v>
      </c>
      <c r="C13" s="28" t="s">
        <v>2418</v>
      </c>
      <c r="D13" s="28">
        <v>50226093</v>
      </c>
      <c r="E13" s="28">
        <v>30</v>
      </c>
      <c r="F13" s="28">
        <v>60</v>
      </c>
      <c r="G13" s="28">
        <v>10</v>
      </c>
      <c r="H13" s="28" t="s">
        <v>71</v>
      </c>
      <c r="I13" s="28" t="s">
        <v>109</v>
      </c>
      <c r="J13" s="28" t="s">
        <v>130</v>
      </c>
      <c r="K13" s="41">
        <v>0.68333333333333335</v>
      </c>
      <c r="L13" s="28" t="s">
        <v>109</v>
      </c>
      <c r="M13" s="28" t="s">
        <v>109</v>
      </c>
      <c r="N13" s="28" t="s">
        <v>109</v>
      </c>
      <c r="O13" s="29" t="s">
        <v>61</v>
      </c>
      <c r="P13" s="28" t="s">
        <v>131</v>
      </c>
      <c r="Q13" s="28" t="s">
        <v>71</v>
      </c>
      <c r="R13" s="28" t="s">
        <v>62</v>
      </c>
      <c r="S13" s="28" t="s">
        <v>123</v>
      </c>
      <c r="T13" s="28" t="s">
        <v>275</v>
      </c>
      <c r="U13" s="108">
        <f t="shared" si="0"/>
        <v>0.33333333333333331</v>
      </c>
      <c r="V13" s="28" t="s">
        <v>2574</v>
      </c>
    </row>
    <row r="14" spans="1:22" x14ac:dyDescent="0.3">
      <c r="A14" s="28">
        <v>13</v>
      </c>
      <c r="B14" s="28" t="s">
        <v>23</v>
      </c>
      <c r="C14" s="28" t="s">
        <v>1065</v>
      </c>
      <c r="D14" s="28">
        <v>50126305</v>
      </c>
      <c r="E14" s="28">
        <v>100</v>
      </c>
      <c r="F14" s="28">
        <v>91</v>
      </c>
      <c r="G14" s="28">
        <v>10</v>
      </c>
      <c r="H14" s="28" t="s">
        <v>184</v>
      </c>
      <c r="I14" s="28" t="s">
        <v>109</v>
      </c>
      <c r="J14" s="28" t="s">
        <v>130</v>
      </c>
      <c r="K14" s="41">
        <v>0.95486111111111116</v>
      </c>
      <c r="L14" s="28" t="s">
        <v>109</v>
      </c>
      <c r="M14" s="28" t="s">
        <v>109</v>
      </c>
      <c r="N14" s="28" t="s">
        <v>109</v>
      </c>
      <c r="O14" s="29" t="s">
        <v>61</v>
      </c>
      <c r="P14" s="28" t="s">
        <v>131</v>
      </c>
      <c r="Q14" s="28" t="s">
        <v>184</v>
      </c>
      <c r="R14" s="28" t="s">
        <v>62</v>
      </c>
      <c r="S14" s="28" t="s">
        <v>123</v>
      </c>
      <c r="T14" s="28" t="s">
        <v>1063</v>
      </c>
      <c r="U14" s="108">
        <f t="shared" si="0"/>
        <v>0.1</v>
      </c>
      <c r="V14" s="28" t="s">
        <v>612</v>
      </c>
    </row>
    <row r="15" spans="1:22" x14ac:dyDescent="0.3">
      <c r="A15" s="28">
        <v>14</v>
      </c>
      <c r="B15" s="28" t="s">
        <v>23</v>
      </c>
      <c r="C15" s="28" t="s">
        <v>139</v>
      </c>
      <c r="D15" s="28">
        <v>51225032</v>
      </c>
      <c r="E15" s="28">
        <v>50</v>
      </c>
      <c r="F15" s="28">
        <v>100</v>
      </c>
      <c r="G15" s="28">
        <v>48</v>
      </c>
      <c r="H15" s="28" t="s">
        <v>68</v>
      </c>
      <c r="I15" s="28" t="s">
        <v>109</v>
      </c>
      <c r="J15" s="28" t="s">
        <v>130</v>
      </c>
      <c r="K15" s="41">
        <v>0.95833333333333337</v>
      </c>
      <c r="L15" s="28" t="s">
        <v>109</v>
      </c>
      <c r="M15" s="28" t="s">
        <v>109</v>
      </c>
      <c r="N15" s="28" t="s">
        <v>109</v>
      </c>
      <c r="O15" s="29" t="s">
        <v>61</v>
      </c>
      <c r="P15" s="28" t="s">
        <v>131</v>
      </c>
      <c r="Q15" s="28" t="s">
        <v>68</v>
      </c>
      <c r="R15" s="28" t="s">
        <v>62</v>
      </c>
      <c r="S15" s="28" t="s">
        <v>123</v>
      </c>
      <c r="T15" s="28" t="s">
        <v>142</v>
      </c>
      <c r="U15" s="108">
        <f t="shared" si="0"/>
        <v>0.96</v>
      </c>
      <c r="V15" s="28" t="s">
        <v>1941</v>
      </c>
    </row>
    <row r="16" spans="1:22" x14ac:dyDescent="0.3">
      <c r="A16" s="28">
        <v>15</v>
      </c>
      <c r="B16" s="28" t="s">
        <v>23</v>
      </c>
      <c r="C16" s="28" t="s">
        <v>479</v>
      </c>
      <c r="D16" s="28">
        <v>50126013</v>
      </c>
      <c r="E16" s="28">
        <v>50</v>
      </c>
      <c r="F16" s="28">
        <v>71</v>
      </c>
      <c r="G16" s="28">
        <v>29</v>
      </c>
      <c r="H16" s="28" t="s">
        <v>184</v>
      </c>
      <c r="I16" s="28" t="s">
        <v>93</v>
      </c>
      <c r="J16" s="28" t="s">
        <v>130</v>
      </c>
      <c r="K16" s="41">
        <v>0.91319444444444442</v>
      </c>
      <c r="L16" s="41">
        <v>0.97986111111111107</v>
      </c>
      <c r="M16" s="28" t="s">
        <v>109</v>
      </c>
      <c r="N16" s="28" t="s">
        <v>109</v>
      </c>
      <c r="O16" s="29" t="s">
        <v>61</v>
      </c>
      <c r="P16" s="28" t="s">
        <v>131</v>
      </c>
      <c r="Q16" s="28" t="s">
        <v>93</v>
      </c>
      <c r="R16" s="28" t="s">
        <v>62</v>
      </c>
      <c r="S16" s="28" t="s">
        <v>123</v>
      </c>
      <c r="T16" s="28" t="s">
        <v>480</v>
      </c>
      <c r="U16" s="108">
        <f t="shared" si="0"/>
        <v>0.57999999999999996</v>
      </c>
      <c r="V16" s="28" t="s">
        <v>612</v>
      </c>
    </row>
    <row r="17" spans="1:22" x14ac:dyDescent="0.3">
      <c r="A17" s="28">
        <v>16</v>
      </c>
      <c r="B17" s="28" t="s">
        <v>23</v>
      </c>
      <c r="C17" s="28" t="s">
        <v>2488</v>
      </c>
      <c r="D17" s="28">
        <v>50226109</v>
      </c>
      <c r="E17" s="28">
        <v>100</v>
      </c>
      <c r="F17" s="28">
        <v>189</v>
      </c>
      <c r="G17" s="28">
        <v>110</v>
      </c>
      <c r="H17" s="28" t="s">
        <v>93</v>
      </c>
      <c r="I17" s="28" t="s">
        <v>109</v>
      </c>
      <c r="J17" s="28" t="s">
        <v>130</v>
      </c>
      <c r="K17" s="28" t="s">
        <v>109</v>
      </c>
      <c r="L17" s="41">
        <v>0.72222222222222221</v>
      </c>
      <c r="M17" s="28" t="s">
        <v>109</v>
      </c>
      <c r="N17" s="28" t="s">
        <v>2352</v>
      </c>
      <c r="O17" s="29" t="s">
        <v>61</v>
      </c>
      <c r="P17" s="28" t="s">
        <v>131</v>
      </c>
      <c r="Q17" s="28" t="s">
        <v>93</v>
      </c>
      <c r="R17" s="28" t="s">
        <v>62</v>
      </c>
      <c r="S17" s="28" t="s">
        <v>123</v>
      </c>
      <c r="T17" s="28" t="s">
        <v>424</v>
      </c>
      <c r="U17" s="108">
        <f t="shared" si="0"/>
        <v>1.1000000000000001</v>
      </c>
      <c r="V17" s="28" t="s">
        <v>1941</v>
      </c>
    </row>
    <row r="18" spans="1:22" x14ac:dyDescent="0.3">
      <c r="A18" s="28">
        <v>17</v>
      </c>
      <c r="B18" s="28" t="s">
        <v>23</v>
      </c>
      <c r="C18" s="28" t="s">
        <v>426</v>
      </c>
      <c r="D18" s="28">
        <v>50126023</v>
      </c>
      <c r="E18" s="28">
        <v>50</v>
      </c>
      <c r="F18" s="28">
        <v>96</v>
      </c>
      <c r="G18" s="28">
        <v>52</v>
      </c>
      <c r="H18" s="28" t="s">
        <v>154</v>
      </c>
      <c r="I18" s="28" t="s">
        <v>109</v>
      </c>
      <c r="J18" s="28" t="s">
        <v>130</v>
      </c>
      <c r="K18" s="28" t="s">
        <v>109</v>
      </c>
      <c r="L18" s="41">
        <v>0.71666666666666667</v>
      </c>
      <c r="M18" s="28" t="s">
        <v>109</v>
      </c>
      <c r="N18" s="28" t="s">
        <v>2352</v>
      </c>
      <c r="O18" s="29" t="s">
        <v>61</v>
      </c>
      <c r="P18" s="28" t="s">
        <v>131</v>
      </c>
      <c r="Q18" s="28" t="s">
        <v>154</v>
      </c>
      <c r="R18" s="28" t="s">
        <v>62</v>
      </c>
      <c r="S18" s="28" t="s">
        <v>123</v>
      </c>
      <c r="T18" s="28" t="s">
        <v>424</v>
      </c>
      <c r="U18" s="108">
        <f t="shared" si="0"/>
        <v>1.04</v>
      </c>
      <c r="V18" s="28" t="s">
        <v>1941</v>
      </c>
    </row>
    <row r="19" spans="1:22" x14ac:dyDescent="0.3">
      <c r="A19" s="28">
        <v>18</v>
      </c>
      <c r="B19" s="28" t="s">
        <v>23</v>
      </c>
      <c r="C19" s="28" t="s">
        <v>2489</v>
      </c>
      <c r="D19" s="28">
        <v>50226110</v>
      </c>
      <c r="E19" s="28">
        <v>100</v>
      </c>
      <c r="F19" s="28">
        <v>144</v>
      </c>
      <c r="G19" s="28">
        <v>85</v>
      </c>
      <c r="H19" s="28" t="s">
        <v>91</v>
      </c>
      <c r="I19" s="28" t="s">
        <v>109</v>
      </c>
      <c r="J19" s="28" t="s">
        <v>130</v>
      </c>
      <c r="K19" s="28" t="s">
        <v>109</v>
      </c>
      <c r="L19" s="41">
        <v>0.72152777777777777</v>
      </c>
      <c r="M19" s="28" t="s">
        <v>109</v>
      </c>
      <c r="N19" s="28" t="s">
        <v>2352</v>
      </c>
      <c r="O19" s="29" t="s">
        <v>61</v>
      </c>
      <c r="P19" s="28" t="s">
        <v>131</v>
      </c>
      <c r="Q19" s="28" t="s">
        <v>91</v>
      </c>
      <c r="R19" s="28" t="s">
        <v>62</v>
      </c>
      <c r="S19" s="28" t="s">
        <v>123</v>
      </c>
      <c r="T19" s="28" t="s">
        <v>424</v>
      </c>
      <c r="U19" s="108">
        <f t="shared" si="0"/>
        <v>0.85</v>
      </c>
      <c r="V19" s="28" t="s">
        <v>1941</v>
      </c>
    </row>
    <row r="20" spans="1:22" x14ac:dyDescent="0.3">
      <c r="A20" s="28">
        <v>19</v>
      </c>
      <c r="B20" s="28" t="s">
        <v>143</v>
      </c>
      <c r="C20" s="28" t="s">
        <v>2359</v>
      </c>
      <c r="D20" s="28">
        <v>10226038</v>
      </c>
      <c r="E20" s="28">
        <v>150</v>
      </c>
      <c r="F20" s="28">
        <v>245</v>
      </c>
      <c r="G20" s="28">
        <v>138</v>
      </c>
      <c r="H20" s="28" t="s">
        <v>79</v>
      </c>
      <c r="I20" s="28" t="s">
        <v>2550</v>
      </c>
      <c r="J20" s="28" t="s">
        <v>130</v>
      </c>
      <c r="K20" s="41">
        <v>0.81458333333333333</v>
      </c>
      <c r="L20" s="41">
        <v>0.84375</v>
      </c>
      <c r="M20" s="28" t="s">
        <v>109</v>
      </c>
      <c r="N20" s="28" t="s">
        <v>109</v>
      </c>
      <c r="O20" s="29" t="s">
        <v>61</v>
      </c>
      <c r="P20" s="28" t="s">
        <v>131</v>
      </c>
      <c r="Q20" s="28" t="s">
        <v>1082</v>
      </c>
      <c r="R20" s="28" t="s">
        <v>62</v>
      </c>
      <c r="S20" s="28" t="s">
        <v>123</v>
      </c>
      <c r="T20" s="28" t="s">
        <v>402</v>
      </c>
      <c r="U20" s="108">
        <f t="shared" si="0"/>
        <v>0.92</v>
      </c>
      <c r="V20" s="28" t="s">
        <v>1941</v>
      </c>
    </row>
    <row r="21" spans="1:22" x14ac:dyDescent="0.3">
      <c r="A21" s="28">
        <v>20</v>
      </c>
      <c r="B21" s="28" t="s">
        <v>143</v>
      </c>
      <c r="C21" s="28" t="s">
        <v>1667</v>
      </c>
      <c r="D21" s="28">
        <v>10126048</v>
      </c>
      <c r="E21" s="28">
        <v>90</v>
      </c>
      <c r="F21" s="28">
        <v>31</v>
      </c>
      <c r="G21" s="28">
        <v>9</v>
      </c>
      <c r="H21" s="28" t="s">
        <v>69</v>
      </c>
      <c r="I21" s="28" t="s">
        <v>94</v>
      </c>
      <c r="J21" s="28" t="s">
        <v>130</v>
      </c>
      <c r="K21" s="41">
        <v>0.80347222222222225</v>
      </c>
      <c r="L21" s="41">
        <v>0.83680555555555558</v>
      </c>
      <c r="M21" s="28" t="s">
        <v>109</v>
      </c>
      <c r="N21" s="28" t="s">
        <v>109</v>
      </c>
      <c r="O21" s="29" t="s">
        <v>61</v>
      </c>
      <c r="P21" s="28" t="s">
        <v>131</v>
      </c>
      <c r="Q21" s="28" t="s">
        <v>94</v>
      </c>
      <c r="R21" s="28" t="s">
        <v>62</v>
      </c>
      <c r="S21" s="28" t="s">
        <v>123</v>
      </c>
      <c r="T21" s="28" t="s">
        <v>402</v>
      </c>
      <c r="U21" s="108">
        <f t="shared" si="0"/>
        <v>0.1</v>
      </c>
      <c r="V21" s="28" t="s">
        <v>612</v>
      </c>
    </row>
    <row r="22" spans="1:22" x14ac:dyDescent="0.3">
      <c r="A22" s="28">
        <v>21</v>
      </c>
      <c r="B22" s="28" t="s">
        <v>143</v>
      </c>
      <c r="C22" s="28" t="s">
        <v>2332</v>
      </c>
      <c r="D22" s="28">
        <v>10226030</v>
      </c>
      <c r="E22" s="28">
        <v>50</v>
      </c>
      <c r="F22" s="28">
        <v>12</v>
      </c>
      <c r="G22" s="28">
        <v>4</v>
      </c>
      <c r="H22" s="28" t="s">
        <v>241</v>
      </c>
      <c r="I22" s="28" t="s">
        <v>93</v>
      </c>
      <c r="J22" s="28" t="s">
        <v>130</v>
      </c>
      <c r="K22" s="41">
        <v>0.87361111111111112</v>
      </c>
      <c r="L22" s="41">
        <v>0.88124999999999998</v>
      </c>
      <c r="M22" s="28" t="s">
        <v>109</v>
      </c>
      <c r="N22" s="28" t="s">
        <v>109</v>
      </c>
      <c r="O22" s="29" t="s">
        <v>61</v>
      </c>
      <c r="P22" s="28" t="s">
        <v>131</v>
      </c>
      <c r="Q22" s="28" t="s">
        <v>93</v>
      </c>
      <c r="R22" s="28" t="s">
        <v>62</v>
      </c>
      <c r="S22" s="28" t="s">
        <v>123</v>
      </c>
      <c r="T22" s="28" t="s">
        <v>121</v>
      </c>
      <c r="U22" s="108">
        <f t="shared" si="0"/>
        <v>0.08</v>
      </c>
      <c r="V22" s="28" t="s">
        <v>612</v>
      </c>
    </row>
    <row r="23" spans="1:22" x14ac:dyDescent="0.3">
      <c r="A23" s="28">
        <v>22</v>
      </c>
      <c r="B23" s="28" t="s">
        <v>143</v>
      </c>
      <c r="C23" s="28" t="s">
        <v>2366</v>
      </c>
      <c r="D23" s="28">
        <v>10226040</v>
      </c>
      <c r="E23" s="28">
        <v>150</v>
      </c>
      <c r="F23" s="28">
        <v>272</v>
      </c>
      <c r="G23" s="28">
        <v>156</v>
      </c>
      <c r="H23" s="28" t="s">
        <v>1051</v>
      </c>
      <c r="I23" s="28" t="s">
        <v>2551</v>
      </c>
      <c r="J23" s="28" t="s">
        <v>130</v>
      </c>
      <c r="K23" s="41">
        <v>0.78541666666666665</v>
      </c>
      <c r="L23" s="41">
        <v>0.82291666666666663</v>
      </c>
      <c r="M23" s="28" t="s">
        <v>109</v>
      </c>
      <c r="N23" s="28" t="s">
        <v>109</v>
      </c>
      <c r="O23" s="29" t="s">
        <v>61</v>
      </c>
      <c r="P23" s="28" t="s">
        <v>131</v>
      </c>
      <c r="Q23" s="28" t="s">
        <v>179</v>
      </c>
      <c r="R23" s="28" t="s">
        <v>62</v>
      </c>
      <c r="S23" s="28" t="s">
        <v>123</v>
      </c>
      <c r="T23" s="28" t="s">
        <v>334</v>
      </c>
      <c r="U23" s="108">
        <f t="shared" si="0"/>
        <v>1.04</v>
      </c>
      <c r="V23" s="28" t="s">
        <v>1941</v>
      </c>
    </row>
    <row r="24" spans="1:22" x14ac:dyDescent="0.3">
      <c r="A24" s="28">
        <v>23</v>
      </c>
      <c r="B24" s="28" t="s">
        <v>143</v>
      </c>
      <c r="C24" s="28" t="s">
        <v>1598</v>
      </c>
      <c r="D24" s="28">
        <v>10126044</v>
      </c>
      <c r="E24" s="28">
        <v>150</v>
      </c>
      <c r="F24" s="28">
        <v>283</v>
      </c>
      <c r="G24" s="28">
        <v>51</v>
      </c>
      <c r="H24" s="28" t="s">
        <v>1710</v>
      </c>
      <c r="I24" s="28" t="s">
        <v>294</v>
      </c>
      <c r="J24" s="28" t="s">
        <v>130</v>
      </c>
      <c r="K24" s="41">
        <v>0.85</v>
      </c>
      <c r="L24" s="41">
        <v>0.88194444444444442</v>
      </c>
      <c r="M24" s="28" t="s">
        <v>109</v>
      </c>
      <c r="N24" s="28" t="s">
        <v>109</v>
      </c>
      <c r="O24" s="29" t="s">
        <v>61</v>
      </c>
      <c r="P24" s="28" t="s">
        <v>131</v>
      </c>
      <c r="Q24" s="28" t="s">
        <v>88</v>
      </c>
      <c r="R24" s="28" t="s">
        <v>62</v>
      </c>
      <c r="S24" s="28" t="s">
        <v>123</v>
      </c>
      <c r="T24" s="28" t="s">
        <v>480</v>
      </c>
      <c r="U24" s="108">
        <f t="shared" si="0"/>
        <v>0.34</v>
      </c>
      <c r="V24" s="28" t="s">
        <v>2574</v>
      </c>
    </row>
    <row r="25" spans="1:22" x14ac:dyDescent="0.3">
      <c r="A25" s="28">
        <v>24</v>
      </c>
      <c r="B25" s="28" t="s">
        <v>143</v>
      </c>
      <c r="C25" s="28" t="s">
        <v>1599</v>
      </c>
      <c r="D25" s="28">
        <v>10126043</v>
      </c>
      <c r="E25" s="28" t="s">
        <v>287</v>
      </c>
      <c r="F25" s="28">
        <v>89</v>
      </c>
      <c r="G25" s="28">
        <v>10</v>
      </c>
      <c r="H25" s="28" t="s">
        <v>70</v>
      </c>
      <c r="I25" s="28" t="s">
        <v>94</v>
      </c>
      <c r="J25" s="28" t="s">
        <v>130</v>
      </c>
      <c r="K25" s="41">
        <v>0.68333333333333335</v>
      </c>
      <c r="L25" s="41">
        <v>0.69305555555555554</v>
      </c>
      <c r="M25" s="28" t="s">
        <v>109</v>
      </c>
      <c r="N25" s="28" t="s">
        <v>109</v>
      </c>
      <c r="O25" s="29" t="s">
        <v>61</v>
      </c>
      <c r="P25" s="28" t="s">
        <v>131</v>
      </c>
      <c r="Q25" s="28" t="s">
        <v>94</v>
      </c>
      <c r="R25" s="28" t="s">
        <v>62</v>
      </c>
      <c r="S25" s="28" t="s">
        <v>123</v>
      </c>
      <c r="T25" s="28" t="s">
        <v>480</v>
      </c>
      <c r="U25" s="108" t="e">
        <f t="shared" si="0"/>
        <v>#VALUE!</v>
      </c>
      <c r="V25" s="28" t="s">
        <v>612</v>
      </c>
    </row>
    <row r="26" spans="1:22" x14ac:dyDescent="0.3">
      <c r="A26" s="28">
        <v>25</v>
      </c>
      <c r="B26" s="28" t="s">
        <v>143</v>
      </c>
      <c r="C26" s="28" t="s">
        <v>2552</v>
      </c>
      <c r="D26" s="28">
        <v>10226051</v>
      </c>
      <c r="E26" s="28">
        <v>30</v>
      </c>
      <c r="F26" s="28">
        <v>66</v>
      </c>
      <c r="G26" s="28">
        <v>42</v>
      </c>
      <c r="H26" s="28" t="s">
        <v>200</v>
      </c>
      <c r="I26" s="28" t="s">
        <v>91</v>
      </c>
      <c r="J26" s="28" t="s">
        <v>130</v>
      </c>
      <c r="K26" s="41">
        <v>0.8979166666666667</v>
      </c>
      <c r="L26" s="41">
        <v>0.96597222222222223</v>
      </c>
      <c r="M26" s="28" t="s">
        <v>109</v>
      </c>
      <c r="N26" s="28" t="s">
        <v>109</v>
      </c>
      <c r="O26" s="29" t="s">
        <v>61</v>
      </c>
      <c r="P26" s="28" t="s">
        <v>131</v>
      </c>
      <c r="Q26" s="28" t="s">
        <v>91</v>
      </c>
      <c r="R26" s="28" t="s">
        <v>62</v>
      </c>
      <c r="S26" s="28" t="s">
        <v>123</v>
      </c>
      <c r="T26" s="28" t="s">
        <v>121</v>
      </c>
      <c r="U26" s="108">
        <f t="shared" si="0"/>
        <v>1.4</v>
      </c>
      <c r="V26" s="28" t="s">
        <v>2574</v>
      </c>
    </row>
    <row r="27" spans="1:22" x14ac:dyDescent="0.3">
      <c r="A27" s="28">
        <v>26</v>
      </c>
      <c r="B27" s="28" t="s">
        <v>143</v>
      </c>
      <c r="C27" s="28" t="s">
        <v>2553</v>
      </c>
      <c r="D27" s="28">
        <v>10226050</v>
      </c>
      <c r="E27" s="28">
        <v>45</v>
      </c>
      <c r="F27" s="28">
        <v>19</v>
      </c>
      <c r="G27" s="28">
        <v>6</v>
      </c>
      <c r="H27" s="28" t="s">
        <v>69</v>
      </c>
      <c r="I27" s="28" t="s">
        <v>93</v>
      </c>
      <c r="J27" s="28" t="s">
        <v>130</v>
      </c>
      <c r="K27" s="41">
        <v>0.65069444444444446</v>
      </c>
      <c r="L27" s="41">
        <v>0.68125000000000002</v>
      </c>
      <c r="M27" s="28" t="s">
        <v>109</v>
      </c>
      <c r="N27" s="28" t="s">
        <v>109</v>
      </c>
      <c r="O27" s="29" t="s">
        <v>61</v>
      </c>
      <c r="P27" s="28" t="s">
        <v>131</v>
      </c>
      <c r="Q27" s="28" t="s">
        <v>93</v>
      </c>
      <c r="R27" s="28" t="s">
        <v>62</v>
      </c>
      <c r="S27" s="28" t="s">
        <v>123</v>
      </c>
      <c r="T27" s="28" t="s">
        <v>121</v>
      </c>
      <c r="U27" s="108">
        <f t="shared" si="0"/>
        <v>0.13333333333333333</v>
      </c>
      <c r="V27" s="28" t="s">
        <v>612</v>
      </c>
    </row>
    <row r="28" spans="1:22" x14ac:dyDescent="0.3">
      <c r="A28" s="28">
        <v>27</v>
      </c>
      <c r="B28" s="28" t="s">
        <v>143</v>
      </c>
      <c r="C28" s="28" t="s">
        <v>2427</v>
      </c>
      <c r="D28" s="28">
        <v>10226041</v>
      </c>
      <c r="E28" s="28">
        <v>65</v>
      </c>
      <c r="F28" s="28">
        <v>130</v>
      </c>
      <c r="G28" s="28">
        <v>44</v>
      </c>
      <c r="H28" s="28" t="s">
        <v>66</v>
      </c>
      <c r="I28" s="28" t="s">
        <v>95</v>
      </c>
      <c r="J28" s="28" t="s">
        <v>130</v>
      </c>
      <c r="K28" s="41">
        <v>0.68888888888888888</v>
      </c>
      <c r="L28" s="41">
        <v>0.71666666666666667</v>
      </c>
      <c r="M28" s="28" t="s">
        <v>109</v>
      </c>
      <c r="N28" s="28" t="s">
        <v>109</v>
      </c>
      <c r="O28" s="29" t="s">
        <v>61</v>
      </c>
      <c r="P28" s="28" t="s">
        <v>131</v>
      </c>
      <c r="Q28" s="28" t="s">
        <v>95</v>
      </c>
      <c r="R28" s="28" t="s">
        <v>62</v>
      </c>
      <c r="S28" s="28" t="s">
        <v>123</v>
      </c>
      <c r="T28" s="28" t="s">
        <v>1603</v>
      </c>
      <c r="U28" s="108">
        <f t="shared" si="0"/>
        <v>0.67692307692307696</v>
      </c>
      <c r="V28" s="28" t="s">
        <v>2574</v>
      </c>
    </row>
    <row r="29" spans="1:22" x14ac:dyDescent="0.3">
      <c r="A29" s="28">
        <v>28</v>
      </c>
      <c r="B29" s="28" t="s">
        <v>143</v>
      </c>
      <c r="C29" s="28" t="s">
        <v>2256</v>
      </c>
      <c r="D29" s="28">
        <v>10226016</v>
      </c>
      <c r="E29" s="28">
        <v>200</v>
      </c>
      <c r="F29" s="28">
        <v>404</v>
      </c>
      <c r="G29" s="28">
        <v>131</v>
      </c>
      <c r="H29" s="28" t="s">
        <v>229</v>
      </c>
      <c r="I29" s="28" t="s">
        <v>1071</v>
      </c>
      <c r="J29" s="28" t="s">
        <v>130</v>
      </c>
      <c r="K29" s="41">
        <v>0.87638888888888888</v>
      </c>
      <c r="L29" s="41">
        <v>0.90625</v>
      </c>
      <c r="M29" s="28" t="s">
        <v>109</v>
      </c>
      <c r="N29" s="28" t="s">
        <v>109</v>
      </c>
      <c r="O29" s="29" t="s">
        <v>61</v>
      </c>
      <c r="P29" s="28" t="s">
        <v>131</v>
      </c>
      <c r="Q29" s="28" t="s">
        <v>95</v>
      </c>
      <c r="R29" s="28" t="s">
        <v>62</v>
      </c>
      <c r="S29" s="28" t="s">
        <v>123</v>
      </c>
      <c r="T29" s="28" t="s">
        <v>2253</v>
      </c>
      <c r="U29" s="108">
        <f t="shared" si="0"/>
        <v>0.65500000000000003</v>
      </c>
      <c r="V29" s="28" t="s">
        <v>2574</v>
      </c>
    </row>
    <row r="30" spans="1:22" x14ac:dyDescent="0.3">
      <c r="A30" s="28">
        <v>29</v>
      </c>
      <c r="B30" s="28" t="s">
        <v>23</v>
      </c>
      <c r="C30" s="28" t="s">
        <v>2554</v>
      </c>
      <c r="D30" s="28">
        <v>50226112</v>
      </c>
      <c r="E30" s="28">
        <v>40</v>
      </c>
      <c r="F30" s="28">
        <v>50</v>
      </c>
      <c r="G30" s="28">
        <v>17</v>
      </c>
      <c r="H30" s="28" t="s">
        <v>82</v>
      </c>
      <c r="I30" s="28" t="s">
        <v>109</v>
      </c>
      <c r="J30" s="28" t="s">
        <v>130</v>
      </c>
      <c r="K30" s="41">
        <v>0.68055555555555558</v>
      </c>
      <c r="L30" s="28" t="s">
        <v>109</v>
      </c>
      <c r="M30" s="28" t="s">
        <v>109</v>
      </c>
      <c r="N30" s="28" t="s">
        <v>2223</v>
      </c>
      <c r="O30" s="29" t="s">
        <v>61</v>
      </c>
      <c r="P30" s="28" t="s">
        <v>131</v>
      </c>
      <c r="Q30" s="28" t="s">
        <v>82</v>
      </c>
      <c r="R30" s="28" t="s">
        <v>62</v>
      </c>
      <c r="S30" s="28" t="s">
        <v>123</v>
      </c>
      <c r="T30" s="28" t="s">
        <v>2555</v>
      </c>
      <c r="U30" s="108">
        <f t="shared" si="0"/>
        <v>0.42499999999999999</v>
      </c>
      <c r="V30" s="28" t="s">
        <v>612</v>
      </c>
    </row>
    <row r="31" spans="1:22" x14ac:dyDescent="0.3">
      <c r="A31" s="28">
        <v>30</v>
      </c>
      <c r="B31" s="28" t="s">
        <v>23</v>
      </c>
      <c r="C31" s="28" t="s">
        <v>2556</v>
      </c>
      <c r="D31" s="28">
        <v>50226113</v>
      </c>
      <c r="E31" s="28">
        <v>50</v>
      </c>
      <c r="F31" s="28">
        <v>51</v>
      </c>
      <c r="G31" s="28">
        <v>21</v>
      </c>
      <c r="H31" s="28" t="s">
        <v>68</v>
      </c>
      <c r="I31" s="28" t="s">
        <v>109</v>
      </c>
      <c r="J31" s="28" t="s">
        <v>130</v>
      </c>
      <c r="K31" s="41">
        <v>0.77430555555555558</v>
      </c>
      <c r="L31" s="28" t="s">
        <v>109</v>
      </c>
      <c r="M31" s="28" t="s">
        <v>109</v>
      </c>
      <c r="N31" s="28" t="s">
        <v>2223</v>
      </c>
      <c r="O31" s="29" t="s">
        <v>61</v>
      </c>
      <c r="P31" s="28" t="s">
        <v>131</v>
      </c>
      <c r="Q31" s="28" t="s">
        <v>68</v>
      </c>
      <c r="R31" s="28" t="s">
        <v>62</v>
      </c>
      <c r="S31" s="28" t="s">
        <v>123</v>
      </c>
      <c r="T31" s="28" t="s">
        <v>2555</v>
      </c>
      <c r="U31" s="108">
        <f t="shared" si="0"/>
        <v>0.42</v>
      </c>
      <c r="V31" s="28" t="s">
        <v>612</v>
      </c>
    </row>
    <row r="32" spans="1:22" x14ac:dyDescent="0.3">
      <c r="A32" s="28">
        <v>31</v>
      </c>
      <c r="B32" s="28" t="s">
        <v>23</v>
      </c>
      <c r="C32" s="28" t="s">
        <v>1022</v>
      </c>
      <c r="D32" s="28">
        <v>51225088</v>
      </c>
      <c r="E32" s="28">
        <v>150</v>
      </c>
      <c r="F32" s="28">
        <v>237</v>
      </c>
      <c r="G32" s="28">
        <v>100</v>
      </c>
      <c r="H32" s="28" t="s">
        <v>2557</v>
      </c>
      <c r="I32" s="28" t="s">
        <v>109</v>
      </c>
      <c r="J32" s="28" t="s">
        <v>130</v>
      </c>
      <c r="K32" s="41">
        <v>0.74583333333333335</v>
      </c>
      <c r="L32" s="28" t="s">
        <v>109</v>
      </c>
      <c r="M32" s="28" t="s">
        <v>109</v>
      </c>
      <c r="N32" s="28" t="s">
        <v>2407</v>
      </c>
      <c r="O32" s="29" t="s">
        <v>61</v>
      </c>
      <c r="P32" s="28" t="s">
        <v>131</v>
      </c>
      <c r="Q32" s="28" t="s">
        <v>184</v>
      </c>
      <c r="R32" s="28" t="s">
        <v>62</v>
      </c>
      <c r="S32" s="28" t="s">
        <v>123</v>
      </c>
      <c r="T32" s="28" t="s">
        <v>1024</v>
      </c>
      <c r="U32" s="108">
        <f t="shared" si="0"/>
        <v>0.66666666666666663</v>
      </c>
      <c r="V32" s="28" t="s">
        <v>2576</v>
      </c>
    </row>
    <row r="33" spans="1:22" x14ac:dyDescent="0.3">
      <c r="A33" s="28">
        <v>32</v>
      </c>
      <c r="B33" s="28" t="s">
        <v>23</v>
      </c>
      <c r="C33" s="28" t="s">
        <v>1025</v>
      </c>
      <c r="D33" s="28">
        <v>51225087</v>
      </c>
      <c r="E33" s="28">
        <v>100</v>
      </c>
      <c r="F33" s="28">
        <v>19</v>
      </c>
      <c r="G33" s="28">
        <v>7</v>
      </c>
      <c r="H33" s="28" t="s">
        <v>68</v>
      </c>
      <c r="I33" s="28" t="s">
        <v>109</v>
      </c>
      <c r="J33" s="28" t="s">
        <v>130</v>
      </c>
      <c r="K33" s="41">
        <v>0.96666666666666667</v>
      </c>
      <c r="L33" s="28" t="s">
        <v>109</v>
      </c>
      <c r="M33" s="28" t="s">
        <v>109</v>
      </c>
      <c r="N33" s="28" t="s">
        <v>2407</v>
      </c>
      <c r="O33" s="29" t="s">
        <v>61</v>
      </c>
      <c r="P33" s="28" t="s">
        <v>131</v>
      </c>
      <c r="Q33" s="28" t="s">
        <v>68</v>
      </c>
      <c r="R33" s="28" t="s">
        <v>62</v>
      </c>
      <c r="S33" s="28" t="s">
        <v>123</v>
      </c>
      <c r="T33" s="28" t="s">
        <v>1024</v>
      </c>
      <c r="U33" s="108">
        <f t="shared" si="0"/>
        <v>7.0000000000000007E-2</v>
      </c>
      <c r="V33" s="28" t="s">
        <v>612</v>
      </c>
    </row>
    <row r="34" spans="1:22" x14ac:dyDescent="0.3">
      <c r="A34" s="28">
        <v>33</v>
      </c>
      <c r="B34" s="28" t="s">
        <v>23</v>
      </c>
      <c r="C34" s="28" t="s">
        <v>2068</v>
      </c>
      <c r="D34" s="28">
        <v>50226010</v>
      </c>
      <c r="E34" s="28">
        <v>50</v>
      </c>
      <c r="F34" s="28">
        <v>46</v>
      </c>
      <c r="G34" s="28">
        <v>21</v>
      </c>
      <c r="H34" s="28" t="s">
        <v>241</v>
      </c>
      <c r="I34" s="28" t="s">
        <v>109</v>
      </c>
      <c r="J34" s="28" t="s">
        <v>130</v>
      </c>
      <c r="K34" s="41">
        <v>0.96666666666666667</v>
      </c>
      <c r="L34" s="28" t="s">
        <v>109</v>
      </c>
      <c r="M34" s="28" t="s">
        <v>109</v>
      </c>
      <c r="N34" s="28" t="s">
        <v>2407</v>
      </c>
      <c r="O34" s="29" t="s">
        <v>61</v>
      </c>
      <c r="P34" s="28" t="s">
        <v>131</v>
      </c>
      <c r="Q34" s="28" t="s">
        <v>241</v>
      </c>
      <c r="R34" s="28" t="s">
        <v>62</v>
      </c>
      <c r="S34" s="28" t="s">
        <v>123</v>
      </c>
      <c r="T34" s="28" t="s">
        <v>1862</v>
      </c>
      <c r="U34" s="108">
        <f t="shared" si="0"/>
        <v>0.42</v>
      </c>
      <c r="V34" s="28" t="s">
        <v>612</v>
      </c>
    </row>
    <row r="35" spans="1:22" x14ac:dyDescent="0.3">
      <c r="A35" s="28">
        <v>34</v>
      </c>
      <c r="B35" s="28" t="s">
        <v>23</v>
      </c>
      <c r="C35" s="28" t="s">
        <v>1863</v>
      </c>
      <c r="D35" s="28">
        <v>50226007</v>
      </c>
      <c r="E35" s="28">
        <v>70</v>
      </c>
      <c r="F35" s="28">
        <v>120</v>
      </c>
      <c r="G35" s="28">
        <v>73</v>
      </c>
      <c r="H35" s="28" t="s">
        <v>70</v>
      </c>
      <c r="I35" s="28" t="s">
        <v>109</v>
      </c>
      <c r="J35" s="28" t="s">
        <v>130</v>
      </c>
      <c r="K35" s="41">
        <v>0.80347222222222225</v>
      </c>
      <c r="L35" s="28" t="s">
        <v>109</v>
      </c>
      <c r="M35" s="28" t="s">
        <v>109</v>
      </c>
      <c r="N35" s="28" t="s">
        <v>2407</v>
      </c>
      <c r="O35" s="29" t="s">
        <v>61</v>
      </c>
      <c r="P35" s="28" t="s">
        <v>131</v>
      </c>
      <c r="Q35" s="28" t="s">
        <v>70</v>
      </c>
      <c r="R35" s="28" t="s">
        <v>62</v>
      </c>
      <c r="S35" s="28" t="s">
        <v>123</v>
      </c>
      <c r="T35" s="28" t="s">
        <v>1862</v>
      </c>
      <c r="U35" s="108">
        <f t="shared" si="0"/>
        <v>1.0428571428571429</v>
      </c>
      <c r="V35" s="28" t="s">
        <v>1941</v>
      </c>
    </row>
    <row r="36" spans="1:22" x14ac:dyDescent="0.3">
      <c r="A36" s="28">
        <v>35</v>
      </c>
      <c r="B36" s="28" t="s">
        <v>23</v>
      </c>
      <c r="C36" s="28" t="s">
        <v>1746</v>
      </c>
      <c r="D36" s="28">
        <v>50126397</v>
      </c>
      <c r="E36" s="28">
        <v>30</v>
      </c>
      <c r="F36" s="28">
        <v>61</v>
      </c>
      <c r="G36" s="28">
        <v>33</v>
      </c>
      <c r="H36" s="28" t="s">
        <v>64</v>
      </c>
      <c r="I36" s="28" t="s">
        <v>109</v>
      </c>
      <c r="J36" s="28" t="s">
        <v>130</v>
      </c>
      <c r="K36" s="41">
        <v>0.92708333333333337</v>
      </c>
      <c r="L36" s="28" t="s">
        <v>109</v>
      </c>
      <c r="M36" s="28" t="s">
        <v>109</v>
      </c>
      <c r="N36" s="28" t="s">
        <v>2407</v>
      </c>
      <c r="O36" s="29" t="s">
        <v>61</v>
      </c>
      <c r="P36" s="28" t="s">
        <v>131</v>
      </c>
      <c r="Q36" s="28" t="s">
        <v>64</v>
      </c>
      <c r="R36" s="28" t="s">
        <v>62</v>
      </c>
      <c r="S36" s="28" t="s">
        <v>123</v>
      </c>
      <c r="T36" s="28" t="s">
        <v>310</v>
      </c>
      <c r="U36" s="108">
        <f t="shared" si="0"/>
        <v>1.1000000000000001</v>
      </c>
      <c r="V36" s="28" t="s">
        <v>1941</v>
      </c>
    </row>
    <row r="37" spans="1:22" x14ac:dyDescent="0.3">
      <c r="A37" s="28">
        <v>36</v>
      </c>
      <c r="B37" s="28" t="s">
        <v>23</v>
      </c>
      <c r="C37" s="28" t="s">
        <v>1748</v>
      </c>
      <c r="D37" s="28">
        <v>50126396</v>
      </c>
      <c r="E37" s="28">
        <v>100</v>
      </c>
      <c r="F37" s="28">
        <v>202</v>
      </c>
      <c r="G37" s="28">
        <v>30</v>
      </c>
      <c r="H37" s="28" t="s">
        <v>214</v>
      </c>
      <c r="I37" s="28" t="s">
        <v>109</v>
      </c>
      <c r="J37" s="28" t="s">
        <v>130</v>
      </c>
      <c r="K37" s="41">
        <v>0.9194444444444444</v>
      </c>
      <c r="L37" s="28" t="s">
        <v>109</v>
      </c>
      <c r="M37" s="28" t="s">
        <v>109</v>
      </c>
      <c r="N37" s="28" t="s">
        <v>2407</v>
      </c>
      <c r="O37" s="29" t="s">
        <v>61</v>
      </c>
      <c r="P37" s="28" t="s">
        <v>131</v>
      </c>
      <c r="Q37" s="28" t="s">
        <v>214</v>
      </c>
      <c r="R37" s="28" t="s">
        <v>62</v>
      </c>
      <c r="S37" s="28" t="s">
        <v>123</v>
      </c>
      <c r="T37" s="28" t="s">
        <v>310</v>
      </c>
      <c r="U37" s="108">
        <f t="shared" si="0"/>
        <v>0.3</v>
      </c>
      <c r="V37" s="28" t="s">
        <v>2574</v>
      </c>
    </row>
    <row r="38" spans="1:22" x14ac:dyDescent="0.3">
      <c r="A38" s="28">
        <v>37</v>
      </c>
      <c r="B38" s="28" t="s">
        <v>23</v>
      </c>
      <c r="C38" s="28" t="s">
        <v>1750</v>
      </c>
      <c r="D38" s="28">
        <v>50126393</v>
      </c>
      <c r="E38" s="28">
        <v>60</v>
      </c>
      <c r="F38" s="28">
        <v>121</v>
      </c>
      <c r="G38" s="28">
        <v>44</v>
      </c>
      <c r="H38" s="28" t="s">
        <v>64</v>
      </c>
      <c r="I38" s="28" t="s">
        <v>109</v>
      </c>
      <c r="J38" s="28" t="s">
        <v>130</v>
      </c>
      <c r="K38" s="41">
        <v>0.93055555555555558</v>
      </c>
      <c r="L38" s="28" t="s">
        <v>109</v>
      </c>
      <c r="M38" s="28" t="s">
        <v>109</v>
      </c>
      <c r="N38" s="28" t="s">
        <v>2407</v>
      </c>
      <c r="O38" s="29" t="s">
        <v>61</v>
      </c>
      <c r="P38" s="28" t="s">
        <v>131</v>
      </c>
      <c r="Q38" s="28" t="s">
        <v>64</v>
      </c>
      <c r="R38" s="28" t="s">
        <v>62</v>
      </c>
      <c r="S38" s="28" t="s">
        <v>123</v>
      </c>
      <c r="T38" s="28" t="s">
        <v>310</v>
      </c>
      <c r="U38" s="108">
        <f t="shared" si="0"/>
        <v>0.73333333333333328</v>
      </c>
      <c r="V38" s="28" t="s">
        <v>2574</v>
      </c>
    </row>
    <row r="39" spans="1:22" x14ac:dyDescent="0.3">
      <c r="A39" s="28">
        <v>38</v>
      </c>
      <c r="B39" s="28" t="s">
        <v>23</v>
      </c>
      <c r="C39" s="28" t="s">
        <v>1754</v>
      </c>
      <c r="D39" s="28">
        <v>50126395</v>
      </c>
      <c r="E39" s="28">
        <v>75</v>
      </c>
      <c r="F39" s="28">
        <v>155</v>
      </c>
      <c r="G39" s="28">
        <v>24</v>
      </c>
      <c r="H39" s="28" t="s">
        <v>82</v>
      </c>
      <c r="I39" s="28" t="s">
        <v>109</v>
      </c>
      <c r="J39" s="28" t="s">
        <v>130</v>
      </c>
      <c r="K39" s="41">
        <v>0.89236111111111116</v>
      </c>
      <c r="L39" s="28" t="s">
        <v>109</v>
      </c>
      <c r="M39" s="28" t="s">
        <v>109</v>
      </c>
      <c r="N39" s="28" t="s">
        <v>2407</v>
      </c>
      <c r="O39" s="29" t="s">
        <v>61</v>
      </c>
      <c r="P39" s="28" t="s">
        <v>131</v>
      </c>
      <c r="Q39" s="28" t="s">
        <v>82</v>
      </c>
      <c r="R39" s="28" t="s">
        <v>62</v>
      </c>
      <c r="S39" s="28" t="s">
        <v>123</v>
      </c>
      <c r="T39" s="28" t="s">
        <v>310</v>
      </c>
      <c r="U39" s="108">
        <f t="shared" si="0"/>
        <v>0.32</v>
      </c>
      <c r="V39" s="28" t="s">
        <v>2574</v>
      </c>
    </row>
    <row r="40" spans="1:22" x14ac:dyDescent="0.3">
      <c r="A40" s="28">
        <v>39</v>
      </c>
      <c r="B40" s="28" t="s">
        <v>23</v>
      </c>
      <c r="C40" s="28" t="s">
        <v>1755</v>
      </c>
      <c r="D40" s="28">
        <v>50126394</v>
      </c>
      <c r="E40" s="28">
        <v>90</v>
      </c>
      <c r="F40" s="28">
        <v>150</v>
      </c>
      <c r="G40" s="28">
        <v>63</v>
      </c>
      <c r="H40" s="28" t="s">
        <v>241</v>
      </c>
      <c r="I40" s="28" t="s">
        <v>109</v>
      </c>
      <c r="J40" s="28" t="s">
        <v>130</v>
      </c>
      <c r="K40" s="41">
        <v>6.9444444444444441E-3</v>
      </c>
      <c r="L40" s="28" t="s">
        <v>109</v>
      </c>
      <c r="M40" s="28" t="s">
        <v>109</v>
      </c>
      <c r="N40" s="28" t="s">
        <v>2407</v>
      </c>
      <c r="O40" s="29" t="s">
        <v>61</v>
      </c>
      <c r="P40" s="28" t="s">
        <v>131</v>
      </c>
      <c r="Q40" s="28" t="s">
        <v>241</v>
      </c>
      <c r="R40" s="28" t="s">
        <v>62</v>
      </c>
      <c r="S40" s="28" t="s">
        <v>123</v>
      </c>
      <c r="T40" s="28" t="s">
        <v>310</v>
      </c>
      <c r="U40" s="108">
        <f t="shared" si="0"/>
        <v>0.7</v>
      </c>
      <c r="V40" s="28" t="s">
        <v>1941</v>
      </c>
    </row>
    <row r="41" spans="1:22" x14ac:dyDescent="0.3">
      <c r="A41" s="28">
        <v>40</v>
      </c>
      <c r="B41" s="28" t="s">
        <v>1550</v>
      </c>
      <c r="C41" s="28" t="s">
        <v>1551</v>
      </c>
      <c r="D41" s="28">
        <v>40126035</v>
      </c>
      <c r="E41" s="28">
        <v>50</v>
      </c>
      <c r="F41" s="28">
        <v>108</v>
      </c>
      <c r="G41" s="28">
        <v>34</v>
      </c>
      <c r="H41" s="28" t="s">
        <v>67</v>
      </c>
      <c r="I41" s="28" t="s">
        <v>95</v>
      </c>
      <c r="J41" s="28" t="s">
        <v>130</v>
      </c>
      <c r="K41" s="41">
        <v>0.7368055555555556</v>
      </c>
      <c r="L41" s="41">
        <v>0.74513888888888891</v>
      </c>
      <c r="M41" s="28" t="s">
        <v>109</v>
      </c>
      <c r="N41" s="28" t="s">
        <v>2490</v>
      </c>
      <c r="O41" s="29" t="s">
        <v>61</v>
      </c>
      <c r="P41" s="28" t="s">
        <v>131</v>
      </c>
      <c r="Q41" s="28" t="s">
        <v>95</v>
      </c>
      <c r="R41" s="28" t="s">
        <v>1640</v>
      </c>
      <c r="S41" s="28" t="s">
        <v>123</v>
      </c>
      <c r="T41" s="28" t="s">
        <v>1554</v>
      </c>
      <c r="U41" s="108">
        <f t="shared" si="0"/>
        <v>0.68</v>
      </c>
      <c r="V41" s="28" t="s">
        <v>2574</v>
      </c>
    </row>
    <row r="42" spans="1:22" x14ac:dyDescent="0.3">
      <c r="A42" s="28">
        <v>41</v>
      </c>
      <c r="B42" s="28" t="s">
        <v>170</v>
      </c>
      <c r="C42" s="28" t="s">
        <v>1355</v>
      </c>
      <c r="D42" s="28">
        <v>40126027</v>
      </c>
      <c r="E42" s="28">
        <v>150</v>
      </c>
      <c r="F42" s="28">
        <v>177</v>
      </c>
      <c r="G42" s="28">
        <v>82</v>
      </c>
      <c r="H42" s="28" t="s">
        <v>574</v>
      </c>
      <c r="I42" s="28" t="s">
        <v>764</v>
      </c>
      <c r="J42" s="28" t="s">
        <v>130</v>
      </c>
      <c r="K42" s="41">
        <v>0.9145833333333333</v>
      </c>
      <c r="L42" s="41">
        <v>0.95972222222222225</v>
      </c>
      <c r="M42" s="28" t="s">
        <v>109</v>
      </c>
      <c r="N42" s="28" t="s">
        <v>2558</v>
      </c>
      <c r="O42" s="29" t="s">
        <v>61</v>
      </c>
      <c r="P42" s="28" t="s">
        <v>131</v>
      </c>
      <c r="Q42" s="28" t="s">
        <v>94</v>
      </c>
      <c r="R42" s="28" t="s">
        <v>62</v>
      </c>
      <c r="S42" s="28" t="s">
        <v>123</v>
      </c>
      <c r="T42" s="28" t="s">
        <v>1356</v>
      </c>
      <c r="U42" s="108">
        <f t="shared" si="0"/>
        <v>0.54666666666666663</v>
      </c>
      <c r="V42" s="28" t="s">
        <v>612</v>
      </c>
    </row>
    <row r="43" spans="1:22" x14ac:dyDescent="0.3">
      <c r="A43" s="28">
        <v>42</v>
      </c>
      <c r="B43" s="28" t="s">
        <v>135</v>
      </c>
      <c r="C43" s="28" t="s">
        <v>2559</v>
      </c>
      <c r="D43" s="28">
        <v>21025012</v>
      </c>
      <c r="E43" s="28">
        <v>30</v>
      </c>
      <c r="F43" s="28">
        <v>13</v>
      </c>
      <c r="G43" s="28">
        <v>9</v>
      </c>
      <c r="H43" s="28" t="s">
        <v>66</v>
      </c>
      <c r="I43" s="28" t="s">
        <v>88</v>
      </c>
      <c r="J43" s="28" t="s">
        <v>130</v>
      </c>
      <c r="K43" s="41">
        <v>0.65138888888888891</v>
      </c>
      <c r="L43" s="41">
        <v>0.69513888888888886</v>
      </c>
      <c r="M43" s="28" t="s">
        <v>109</v>
      </c>
      <c r="N43" s="28" t="s">
        <v>409</v>
      </c>
      <c r="O43" s="29" t="s">
        <v>409</v>
      </c>
      <c r="P43" s="28" t="s">
        <v>131</v>
      </c>
      <c r="Q43" s="28" t="s">
        <v>88</v>
      </c>
      <c r="R43" s="28" t="s">
        <v>62</v>
      </c>
      <c r="S43" s="28" t="s">
        <v>123</v>
      </c>
      <c r="T43" s="28" t="s">
        <v>2193</v>
      </c>
      <c r="U43" s="108">
        <f t="shared" si="0"/>
        <v>0.3</v>
      </c>
      <c r="V43" s="28" t="s">
        <v>2575</v>
      </c>
    </row>
    <row r="44" spans="1:22" x14ac:dyDescent="0.3">
      <c r="A44" s="28">
        <v>43</v>
      </c>
      <c r="B44" s="28" t="s">
        <v>135</v>
      </c>
      <c r="C44" s="28" t="s">
        <v>2560</v>
      </c>
      <c r="D44" s="28">
        <v>21025014</v>
      </c>
      <c r="E44" s="28">
        <v>55</v>
      </c>
      <c r="F44" s="28">
        <v>58</v>
      </c>
      <c r="G44" s="28">
        <v>31</v>
      </c>
      <c r="H44" s="28" t="s">
        <v>84</v>
      </c>
      <c r="I44" s="28" t="s">
        <v>179</v>
      </c>
      <c r="J44" s="28" t="s">
        <v>130</v>
      </c>
      <c r="K44" s="41">
        <v>0.84722222222222221</v>
      </c>
      <c r="L44" s="41">
        <v>0.90208333333333335</v>
      </c>
      <c r="M44" s="28" t="s">
        <v>109</v>
      </c>
      <c r="N44" s="28" t="s">
        <v>409</v>
      </c>
      <c r="O44" s="29" t="s">
        <v>409</v>
      </c>
      <c r="P44" s="28" t="s">
        <v>131</v>
      </c>
      <c r="Q44" s="28" t="s">
        <v>179</v>
      </c>
      <c r="R44" s="28" t="s">
        <v>62</v>
      </c>
      <c r="S44" s="28" t="s">
        <v>123</v>
      </c>
      <c r="T44" s="28" t="s">
        <v>2193</v>
      </c>
      <c r="U44" s="108">
        <f t="shared" si="0"/>
        <v>0.5636363636363636</v>
      </c>
      <c r="V44" s="28" t="s">
        <v>2579</v>
      </c>
    </row>
    <row r="45" spans="1:22" x14ac:dyDescent="0.3">
      <c r="A45" s="28">
        <v>44</v>
      </c>
      <c r="B45" s="28" t="s">
        <v>170</v>
      </c>
      <c r="C45" s="28" t="s">
        <v>2528</v>
      </c>
      <c r="D45" s="28">
        <v>40226017</v>
      </c>
      <c r="E45" s="28">
        <v>57</v>
      </c>
      <c r="F45" s="28">
        <v>48</v>
      </c>
      <c r="G45" s="28">
        <v>19</v>
      </c>
      <c r="H45" s="28" t="s">
        <v>200</v>
      </c>
      <c r="I45" s="28" t="s">
        <v>91</v>
      </c>
      <c r="J45" s="28" t="s">
        <v>130</v>
      </c>
      <c r="K45" s="41">
        <v>0.66736111111111107</v>
      </c>
      <c r="L45" s="41">
        <v>0.73333333333333328</v>
      </c>
      <c r="M45" s="28" t="s">
        <v>109</v>
      </c>
      <c r="N45" s="28" t="s">
        <v>109</v>
      </c>
      <c r="O45" s="29" t="s">
        <v>61</v>
      </c>
      <c r="P45" s="28" t="s">
        <v>131</v>
      </c>
      <c r="Q45" s="28" t="s">
        <v>91</v>
      </c>
      <c r="R45" s="28" t="s">
        <v>62</v>
      </c>
      <c r="S45" s="28" t="s">
        <v>123</v>
      </c>
      <c r="T45" s="28" t="s">
        <v>2561</v>
      </c>
      <c r="U45" s="108">
        <f t="shared" si="0"/>
        <v>0.33333333333333331</v>
      </c>
      <c r="V45" s="28" t="s">
        <v>612</v>
      </c>
    </row>
    <row r="46" spans="1:22" x14ac:dyDescent="0.3">
      <c r="A46" s="28">
        <v>45</v>
      </c>
      <c r="B46" s="28" t="s">
        <v>170</v>
      </c>
      <c r="C46" s="28" t="s">
        <v>2529</v>
      </c>
      <c r="D46" s="28">
        <v>40226016</v>
      </c>
      <c r="E46" s="28">
        <v>50</v>
      </c>
      <c r="F46" s="28">
        <v>11</v>
      </c>
      <c r="G46" s="28">
        <v>3</v>
      </c>
      <c r="H46" s="28" t="s">
        <v>65</v>
      </c>
      <c r="I46" s="28" t="s">
        <v>209</v>
      </c>
      <c r="J46" s="28" t="s">
        <v>130</v>
      </c>
      <c r="K46" s="41">
        <v>0.72152777777777777</v>
      </c>
      <c r="L46" s="41">
        <v>0.72638888888888886</v>
      </c>
      <c r="M46" s="28" t="s">
        <v>109</v>
      </c>
      <c r="N46" s="28" t="s">
        <v>109</v>
      </c>
      <c r="O46" s="29" t="s">
        <v>61</v>
      </c>
      <c r="P46" s="28" t="s">
        <v>131</v>
      </c>
      <c r="Q46" s="28" t="s">
        <v>209</v>
      </c>
      <c r="R46" s="28" t="s">
        <v>62</v>
      </c>
      <c r="S46" s="28" t="s">
        <v>123</v>
      </c>
      <c r="T46" s="28" t="s">
        <v>2561</v>
      </c>
      <c r="U46" s="108">
        <f t="shared" si="0"/>
        <v>0.06</v>
      </c>
      <c r="V46" s="28" t="s">
        <v>612</v>
      </c>
    </row>
    <row r="47" spans="1:22" x14ac:dyDescent="0.3">
      <c r="A47" s="28">
        <v>46</v>
      </c>
      <c r="B47" s="28" t="s">
        <v>135</v>
      </c>
      <c r="C47" s="28" t="s">
        <v>2562</v>
      </c>
      <c r="D47" s="28">
        <v>20226009</v>
      </c>
      <c r="E47" s="28">
        <v>120</v>
      </c>
      <c r="F47" s="28">
        <v>187</v>
      </c>
      <c r="G47" s="28">
        <v>39</v>
      </c>
      <c r="H47" s="28" t="s">
        <v>64</v>
      </c>
      <c r="I47" s="28" t="s">
        <v>86</v>
      </c>
      <c r="J47" s="28" t="s">
        <v>130</v>
      </c>
      <c r="K47" s="41">
        <v>0.81736111111111109</v>
      </c>
      <c r="L47" s="41">
        <v>0.84236111111111112</v>
      </c>
      <c r="M47" s="28" t="s">
        <v>109</v>
      </c>
      <c r="N47" s="28" t="s">
        <v>109</v>
      </c>
      <c r="O47" s="29" t="s">
        <v>61</v>
      </c>
      <c r="P47" s="28" t="s">
        <v>131</v>
      </c>
      <c r="Q47" s="28" t="s">
        <v>86</v>
      </c>
      <c r="R47" s="28" t="s">
        <v>63</v>
      </c>
      <c r="S47" s="28" t="s">
        <v>123</v>
      </c>
      <c r="T47" s="28" t="s">
        <v>2563</v>
      </c>
      <c r="U47" s="108">
        <f t="shared" si="0"/>
        <v>0.32500000000000001</v>
      </c>
      <c r="V47" s="28" t="s">
        <v>612</v>
      </c>
    </row>
    <row r="48" spans="1:22" x14ac:dyDescent="0.3">
      <c r="A48" s="28">
        <v>47</v>
      </c>
      <c r="B48" s="28" t="s">
        <v>135</v>
      </c>
      <c r="C48" s="28" t="s">
        <v>2564</v>
      </c>
      <c r="D48" s="28">
        <v>20226010</v>
      </c>
      <c r="E48" s="28">
        <v>110</v>
      </c>
      <c r="F48" s="28">
        <v>154</v>
      </c>
      <c r="G48" s="28">
        <v>105</v>
      </c>
      <c r="H48" s="28" t="s">
        <v>71</v>
      </c>
      <c r="I48" s="28" t="s">
        <v>86</v>
      </c>
      <c r="J48" s="28" t="s">
        <v>130</v>
      </c>
      <c r="K48" s="41">
        <v>0.92152777777777772</v>
      </c>
      <c r="L48" s="41">
        <v>0.95208333333333328</v>
      </c>
      <c r="M48" s="28" t="s">
        <v>109</v>
      </c>
      <c r="N48" s="28" t="s">
        <v>109</v>
      </c>
      <c r="O48" s="29" t="s">
        <v>61</v>
      </c>
      <c r="P48" s="28" t="s">
        <v>131</v>
      </c>
      <c r="Q48" s="28" t="s">
        <v>86</v>
      </c>
      <c r="R48" s="28" t="s">
        <v>63</v>
      </c>
      <c r="S48" s="28" t="s">
        <v>123</v>
      </c>
      <c r="T48" s="28" t="s">
        <v>2563</v>
      </c>
      <c r="U48" s="108">
        <f t="shared" si="0"/>
        <v>0.95454545454545459</v>
      </c>
      <c r="V48" s="28" t="s">
        <v>1941</v>
      </c>
    </row>
    <row r="49" spans="1:22" x14ac:dyDescent="0.3">
      <c r="A49" s="28">
        <v>48</v>
      </c>
      <c r="B49" s="28" t="s">
        <v>135</v>
      </c>
      <c r="C49" s="28" t="s">
        <v>2565</v>
      </c>
      <c r="D49" s="28">
        <v>20226011</v>
      </c>
      <c r="E49" s="28">
        <v>150</v>
      </c>
      <c r="F49" s="28">
        <v>272</v>
      </c>
      <c r="G49" s="28">
        <v>137</v>
      </c>
      <c r="H49" s="28" t="s">
        <v>2566</v>
      </c>
      <c r="I49" s="28" t="s">
        <v>2260</v>
      </c>
      <c r="J49" s="28" t="s">
        <v>130</v>
      </c>
      <c r="K49" s="41">
        <v>0.90069444444444446</v>
      </c>
      <c r="L49" s="41">
        <v>0.96805555555555556</v>
      </c>
      <c r="M49" s="28" t="s">
        <v>109</v>
      </c>
      <c r="N49" s="28" t="s">
        <v>109</v>
      </c>
      <c r="O49" s="29" t="s">
        <v>61</v>
      </c>
      <c r="P49" s="28" t="s">
        <v>131</v>
      </c>
      <c r="Q49" s="28" t="s">
        <v>93</v>
      </c>
      <c r="R49" s="28" t="s">
        <v>63</v>
      </c>
      <c r="S49" s="28" t="s">
        <v>123</v>
      </c>
      <c r="T49" s="28" t="s">
        <v>2563</v>
      </c>
      <c r="U49" s="108">
        <f t="shared" si="0"/>
        <v>0.91333333333333333</v>
      </c>
      <c r="V49" s="28" t="s">
        <v>1941</v>
      </c>
    </row>
    <row r="50" spans="1:22" x14ac:dyDescent="0.3">
      <c r="A50" s="28">
        <v>49</v>
      </c>
      <c r="B50" s="28" t="s">
        <v>411</v>
      </c>
      <c r="C50" s="28" t="s">
        <v>2567</v>
      </c>
      <c r="D50" s="28">
        <v>30226016</v>
      </c>
      <c r="E50" s="28">
        <v>25</v>
      </c>
      <c r="F50" s="28">
        <v>94</v>
      </c>
      <c r="G50" s="28">
        <v>6</v>
      </c>
      <c r="H50" s="28" t="s">
        <v>196</v>
      </c>
      <c r="I50" s="28" t="s">
        <v>87</v>
      </c>
      <c r="J50" s="28" t="s">
        <v>130</v>
      </c>
      <c r="K50" s="41">
        <v>0.86111111111111116</v>
      </c>
      <c r="L50" s="41">
        <v>0.88680555555555551</v>
      </c>
      <c r="M50" s="28" t="s">
        <v>109</v>
      </c>
      <c r="N50" s="28" t="s">
        <v>109</v>
      </c>
      <c r="O50" s="29" t="s">
        <v>61</v>
      </c>
      <c r="P50" s="28" t="s">
        <v>131</v>
      </c>
      <c r="Q50" s="28" t="s">
        <v>87</v>
      </c>
      <c r="R50" s="28" t="s">
        <v>62</v>
      </c>
      <c r="S50" s="28" t="s">
        <v>123</v>
      </c>
      <c r="T50" s="28" t="s">
        <v>1359</v>
      </c>
      <c r="U50" s="108">
        <f t="shared" si="0"/>
        <v>0.24</v>
      </c>
      <c r="V50" s="28" t="s">
        <v>612</v>
      </c>
    </row>
    <row r="51" spans="1:22" x14ac:dyDescent="0.3">
      <c r="A51" s="28">
        <v>50</v>
      </c>
      <c r="B51" s="28" t="s">
        <v>411</v>
      </c>
      <c r="C51" s="28" t="s">
        <v>2568</v>
      </c>
      <c r="D51" s="28">
        <v>30226017</v>
      </c>
      <c r="E51" s="28">
        <v>210</v>
      </c>
      <c r="F51" s="28">
        <v>405</v>
      </c>
      <c r="G51" s="28">
        <v>171</v>
      </c>
      <c r="H51" s="28" t="s">
        <v>1409</v>
      </c>
      <c r="I51" s="28" t="s">
        <v>2550</v>
      </c>
      <c r="J51" s="28" t="s">
        <v>130</v>
      </c>
      <c r="K51" s="41">
        <v>1.3888888888888888E-2</v>
      </c>
      <c r="L51" s="41">
        <v>1.3888888888888888E-2</v>
      </c>
      <c r="M51" s="28" t="s">
        <v>109</v>
      </c>
      <c r="N51" s="28" t="s">
        <v>109</v>
      </c>
      <c r="O51" s="29" t="s">
        <v>61</v>
      </c>
      <c r="P51" s="28" t="s">
        <v>131</v>
      </c>
      <c r="Q51" s="28" t="s">
        <v>95</v>
      </c>
      <c r="R51" s="28" t="s">
        <v>62</v>
      </c>
      <c r="S51" s="28" t="s">
        <v>123</v>
      </c>
      <c r="T51" s="28" t="s">
        <v>1359</v>
      </c>
      <c r="U51" s="108">
        <f t="shared" si="0"/>
        <v>0.81428571428571428</v>
      </c>
      <c r="V51" s="28" t="s">
        <v>2574</v>
      </c>
    </row>
    <row r="52" spans="1:22" x14ac:dyDescent="0.3">
      <c r="A52" s="28">
        <v>51</v>
      </c>
      <c r="B52" s="28" t="s">
        <v>411</v>
      </c>
      <c r="C52" s="28" t="s">
        <v>2569</v>
      </c>
      <c r="D52" s="28">
        <v>30226013</v>
      </c>
      <c r="E52" s="28">
        <v>108</v>
      </c>
      <c r="F52" s="28">
        <v>116</v>
      </c>
      <c r="G52" s="28">
        <v>32</v>
      </c>
      <c r="H52" s="28" t="s">
        <v>196</v>
      </c>
      <c r="I52" s="28" t="s">
        <v>86</v>
      </c>
      <c r="J52" s="28" t="s">
        <v>130</v>
      </c>
      <c r="K52" s="41">
        <v>0.89166666666666672</v>
      </c>
      <c r="L52" s="41">
        <v>0.93194444444444446</v>
      </c>
      <c r="M52" s="28" t="s">
        <v>109</v>
      </c>
      <c r="N52" s="28" t="s">
        <v>109</v>
      </c>
      <c r="O52" s="29" t="s">
        <v>61</v>
      </c>
      <c r="P52" s="28" t="s">
        <v>131</v>
      </c>
      <c r="Q52" s="28" t="s">
        <v>86</v>
      </c>
      <c r="R52" s="28" t="s">
        <v>62</v>
      </c>
      <c r="S52" s="28" t="s">
        <v>123</v>
      </c>
      <c r="T52" s="28" t="s">
        <v>1359</v>
      </c>
      <c r="U52" s="108">
        <f t="shared" si="0"/>
        <v>0.29629629629629628</v>
      </c>
      <c r="V52" s="28" t="s">
        <v>612</v>
      </c>
    </row>
    <row r="53" spans="1:22" x14ac:dyDescent="0.3">
      <c r="A53" s="28">
        <v>52</v>
      </c>
      <c r="B53" s="28" t="s">
        <v>411</v>
      </c>
      <c r="C53" s="28" t="s">
        <v>2570</v>
      </c>
      <c r="D53" s="28">
        <v>30226012</v>
      </c>
      <c r="E53" s="28">
        <v>230</v>
      </c>
      <c r="F53" s="28">
        <v>378</v>
      </c>
      <c r="G53" s="28">
        <v>226</v>
      </c>
      <c r="H53" s="28" t="s">
        <v>330</v>
      </c>
      <c r="I53" s="28" t="s">
        <v>2571</v>
      </c>
      <c r="J53" s="28" t="s">
        <v>130</v>
      </c>
      <c r="K53" s="41">
        <v>0.84513888888888888</v>
      </c>
      <c r="L53" s="41">
        <v>0.89652777777777781</v>
      </c>
      <c r="M53" s="28" t="s">
        <v>109</v>
      </c>
      <c r="N53" s="28" t="s">
        <v>109</v>
      </c>
      <c r="O53" s="29" t="s">
        <v>61</v>
      </c>
      <c r="P53" s="28" t="s">
        <v>131</v>
      </c>
      <c r="Q53" s="28" t="s">
        <v>154</v>
      </c>
      <c r="R53" s="28" t="s">
        <v>62</v>
      </c>
      <c r="S53" s="28" t="s">
        <v>123</v>
      </c>
      <c r="T53" s="28" t="s">
        <v>1359</v>
      </c>
      <c r="U53" s="108">
        <f t="shared" si="0"/>
        <v>0.9826086956521739</v>
      </c>
      <c r="V53" s="28" t="s">
        <v>1941</v>
      </c>
    </row>
    <row r="54" spans="1:22" x14ac:dyDescent="0.3">
      <c r="A54" s="28">
        <v>53</v>
      </c>
      <c r="B54" s="28" t="s">
        <v>411</v>
      </c>
      <c r="C54" s="28" t="s">
        <v>2572</v>
      </c>
      <c r="D54" s="28">
        <v>30226014</v>
      </c>
      <c r="E54" s="28">
        <v>20</v>
      </c>
      <c r="F54" s="28">
        <v>74</v>
      </c>
      <c r="G54" s="28">
        <v>11</v>
      </c>
      <c r="H54" s="28" t="s">
        <v>214</v>
      </c>
      <c r="I54" s="28" t="s">
        <v>209</v>
      </c>
      <c r="J54" s="28" t="s">
        <v>130</v>
      </c>
      <c r="K54" s="41">
        <v>1.3194444444444444E-2</v>
      </c>
      <c r="L54" s="41">
        <v>3.6111111111111108E-2</v>
      </c>
      <c r="M54" s="28" t="s">
        <v>109</v>
      </c>
      <c r="N54" s="28" t="s">
        <v>109</v>
      </c>
      <c r="O54" s="29" t="s">
        <v>61</v>
      </c>
      <c r="P54" s="28" t="s">
        <v>131</v>
      </c>
      <c r="Q54" s="28" t="s">
        <v>209</v>
      </c>
      <c r="R54" s="28" t="s">
        <v>62</v>
      </c>
      <c r="S54" s="28" t="s">
        <v>123</v>
      </c>
      <c r="T54" s="28" t="s">
        <v>1359</v>
      </c>
      <c r="U54" s="108">
        <f t="shared" si="0"/>
        <v>0.55000000000000004</v>
      </c>
      <c r="V54" s="28" t="s">
        <v>2574</v>
      </c>
    </row>
    <row r="55" spans="1:22" x14ac:dyDescent="0.3">
      <c r="A55" s="28">
        <v>54</v>
      </c>
      <c r="B55" s="28" t="s">
        <v>23</v>
      </c>
      <c r="C55" s="28" t="s">
        <v>1370</v>
      </c>
      <c r="D55" s="28">
        <v>50126342</v>
      </c>
      <c r="E55" s="28">
        <v>100</v>
      </c>
      <c r="F55" s="28">
        <v>45</v>
      </c>
      <c r="G55" s="28">
        <v>22</v>
      </c>
      <c r="H55" s="28" t="s">
        <v>67</v>
      </c>
      <c r="I55" s="28" t="s">
        <v>109</v>
      </c>
      <c r="J55" s="28" t="s">
        <v>130</v>
      </c>
      <c r="K55" s="41">
        <v>0.88124999999999998</v>
      </c>
      <c r="L55" s="28" t="s">
        <v>109</v>
      </c>
      <c r="M55" s="28" t="s">
        <v>109</v>
      </c>
      <c r="N55" s="28" t="s">
        <v>109</v>
      </c>
      <c r="O55" s="29" t="s">
        <v>61</v>
      </c>
      <c r="P55" s="28" t="s">
        <v>131</v>
      </c>
      <c r="Q55" s="28" t="s">
        <v>67</v>
      </c>
      <c r="R55" s="28" t="s">
        <v>62</v>
      </c>
      <c r="S55" s="28" t="s">
        <v>123</v>
      </c>
      <c r="T55" s="28" t="s">
        <v>1365</v>
      </c>
      <c r="U55" s="108">
        <f t="shared" si="0"/>
        <v>0.22</v>
      </c>
      <c r="V55" s="28" t="s">
        <v>612</v>
      </c>
    </row>
    <row r="56" spans="1:22" x14ac:dyDescent="0.3">
      <c r="A56" s="28">
        <v>55</v>
      </c>
      <c r="B56" s="28" t="s">
        <v>23</v>
      </c>
      <c r="C56" s="28" t="s">
        <v>1366</v>
      </c>
      <c r="D56" s="28">
        <v>50126343</v>
      </c>
      <c r="E56" s="28">
        <v>200</v>
      </c>
      <c r="F56" s="28">
        <v>339</v>
      </c>
      <c r="G56" s="28">
        <v>58</v>
      </c>
      <c r="H56" s="28" t="s">
        <v>368</v>
      </c>
      <c r="I56" s="28" t="s">
        <v>109</v>
      </c>
      <c r="J56" s="28" t="s">
        <v>130</v>
      </c>
      <c r="K56" s="41">
        <v>0.86250000000000004</v>
      </c>
      <c r="L56" s="28" t="s">
        <v>109</v>
      </c>
      <c r="M56" s="28" t="s">
        <v>109</v>
      </c>
      <c r="N56" s="28" t="s">
        <v>109</v>
      </c>
      <c r="O56" s="29" t="s">
        <v>61</v>
      </c>
      <c r="P56" s="28" t="s">
        <v>131</v>
      </c>
      <c r="Q56" s="28" t="s">
        <v>65</v>
      </c>
      <c r="R56" s="28" t="s">
        <v>62</v>
      </c>
      <c r="S56" s="28" t="s">
        <v>123</v>
      </c>
      <c r="T56" s="28" t="s">
        <v>1365</v>
      </c>
      <c r="U56" s="108">
        <f t="shared" si="0"/>
        <v>0.28999999999999998</v>
      </c>
      <c r="V56" s="28" t="s">
        <v>2391</v>
      </c>
    </row>
    <row r="57" spans="1:22" x14ac:dyDescent="0.3">
      <c r="A57" s="28">
        <v>56</v>
      </c>
      <c r="B57" s="28" t="s">
        <v>23</v>
      </c>
      <c r="C57" s="28" t="s">
        <v>2199</v>
      </c>
      <c r="D57" s="28">
        <v>50226057</v>
      </c>
      <c r="E57" s="28">
        <v>100</v>
      </c>
      <c r="F57" s="28">
        <v>142</v>
      </c>
      <c r="G57" s="28">
        <v>106</v>
      </c>
      <c r="H57" s="28" t="s">
        <v>222</v>
      </c>
      <c r="I57" s="28" t="s">
        <v>109</v>
      </c>
      <c r="J57" s="28" t="s">
        <v>130</v>
      </c>
      <c r="K57" s="41">
        <v>0.70486111111111116</v>
      </c>
      <c r="L57" s="28" t="s">
        <v>109</v>
      </c>
      <c r="M57" s="28" t="s">
        <v>109</v>
      </c>
      <c r="N57" s="28" t="s">
        <v>109</v>
      </c>
      <c r="O57" s="29" t="s">
        <v>61</v>
      </c>
      <c r="P57" s="28" t="s">
        <v>131</v>
      </c>
      <c r="Q57" s="28" t="s">
        <v>222</v>
      </c>
      <c r="R57" s="28" t="s">
        <v>62</v>
      </c>
      <c r="S57" s="28" t="s">
        <v>123</v>
      </c>
      <c r="T57" s="28" t="s">
        <v>289</v>
      </c>
      <c r="U57" s="108">
        <f t="shared" si="0"/>
        <v>1.06</v>
      </c>
      <c r="V57" s="28" t="s">
        <v>1941</v>
      </c>
    </row>
    <row r="58" spans="1:22" x14ac:dyDescent="0.3">
      <c r="A58" s="28">
        <v>57</v>
      </c>
      <c r="B58" s="28" t="s">
        <v>23</v>
      </c>
      <c r="C58" s="28" t="s">
        <v>2500</v>
      </c>
      <c r="D58" s="28">
        <v>50226111</v>
      </c>
      <c r="E58" s="28">
        <v>300</v>
      </c>
      <c r="F58" s="28">
        <v>866</v>
      </c>
      <c r="G58" s="28">
        <v>213</v>
      </c>
      <c r="H58" s="28" t="s">
        <v>2573</v>
      </c>
      <c r="I58" s="28" t="s">
        <v>109</v>
      </c>
      <c r="J58" s="28" t="s">
        <v>130</v>
      </c>
      <c r="K58" s="41">
        <v>0.91597222222222219</v>
      </c>
      <c r="L58" s="28" t="s">
        <v>109</v>
      </c>
      <c r="M58" s="28" t="s">
        <v>109</v>
      </c>
      <c r="N58" s="28" t="s">
        <v>1621</v>
      </c>
      <c r="O58" s="29" t="s">
        <v>61</v>
      </c>
      <c r="P58" s="28" t="s">
        <v>131</v>
      </c>
      <c r="Q58" s="28" t="s">
        <v>69</v>
      </c>
      <c r="R58" s="28" t="s">
        <v>62</v>
      </c>
      <c r="S58" s="28" t="s">
        <v>123</v>
      </c>
      <c r="T58" s="28" t="s">
        <v>2446</v>
      </c>
      <c r="U58" s="108">
        <f t="shared" si="0"/>
        <v>0.71</v>
      </c>
      <c r="V58" s="28" t="s">
        <v>2574</v>
      </c>
    </row>
    <row r="59" spans="1:22" x14ac:dyDescent="0.3">
      <c r="A59" s="28">
        <v>58</v>
      </c>
      <c r="B59" s="28" t="s">
        <v>23</v>
      </c>
      <c r="C59" s="28" t="s">
        <v>591</v>
      </c>
      <c r="D59" s="28">
        <v>50126066</v>
      </c>
      <c r="E59" s="28">
        <v>20</v>
      </c>
      <c r="F59" s="28">
        <v>14</v>
      </c>
      <c r="G59" s="28">
        <v>2</v>
      </c>
      <c r="H59" s="28" t="s">
        <v>67</v>
      </c>
      <c r="I59" s="28" t="s">
        <v>109</v>
      </c>
      <c r="J59" s="28" t="s">
        <v>130</v>
      </c>
      <c r="K59" s="41">
        <v>0.81944444444444442</v>
      </c>
      <c r="L59" s="28" t="s">
        <v>109</v>
      </c>
      <c r="M59" s="28" t="s">
        <v>109</v>
      </c>
      <c r="N59" s="28" t="s">
        <v>110</v>
      </c>
      <c r="O59" s="29" t="s">
        <v>61</v>
      </c>
      <c r="P59" s="28" t="s">
        <v>131</v>
      </c>
      <c r="Q59" s="28" t="s">
        <v>67</v>
      </c>
      <c r="R59" s="28" t="s">
        <v>62</v>
      </c>
      <c r="S59" s="28" t="s">
        <v>123</v>
      </c>
      <c r="T59" s="28" t="s">
        <v>610</v>
      </c>
      <c r="U59" s="108">
        <f t="shared" si="0"/>
        <v>0.1</v>
      </c>
      <c r="V59" s="28" t="s">
        <v>612</v>
      </c>
    </row>
    <row r="60" spans="1:22" x14ac:dyDescent="0.3">
      <c r="A60" s="28">
        <v>59</v>
      </c>
      <c r="B60" s="28" t="s">
        <v>23</v>
      </c>
      <c r="C60" s="28" t="s">
        <v>2075</v>
      </c>
      <c r="D60" s="28">
        <v>50226051</v>
      </c>
      <c r="E60" s="28">
        <v>300</v>
      </c>
      <c r="F60" s="28">
        <v>505</v>
      </c>
      <c r="G60" s="28">
        <v>209</v>
      </c>
      <c r="H60" s="28" t="s">
        <v>2076</v>
      </c>
      <c r="I60" s="28" t="s">
        <v>109</v>
      </c>
      <c r="J60" s="28" t="s">
        <v>130</v>
      </c>
      <c r="K60" s="41">
        <v>0.72847222222222219</v>
      </c>
      <c r="L60" s="28" t="s">
        <v>109</v>
      </c>
      <c r="M60" s="28" t="s">
        <v>109</v>
      </c>
      <c r="N60" s="28" t="s">
        <v>109</v>
      </c>
      <c r="O60" s="29" t="s">
        <v>61</v>
      </c>
      <c r="P60" s="28" t="s">
        <v>131</v>
      </c>
      <c r="Q60" s="28" t="s">
        <v>274</v>
      </c>
      <c r="R60" s="28" t="s">
        <v>62</v>
      </c>
      <c r="S60" s="28" t="s">
        <v>123</v>
      </c>
      <c r="T60" s="28" t="s">
        <v>289</v>
      </c>
      <c r="U60" s="108">
        <f t="shared" si="0"/>
        <v>0.69666666666666666</v>
      </c>
      <c r="V60" s="28" t="s">
        <v>2574</v>
      </c>
    </row>
    <row r="61" spans="1:22" x14ac:dyDescent="0.3">
      <c r="A61" s="28">
        <v>60</v>
      </c>
      <c r="B61" s="28" t="s">
        <v>23</v>
      </c>
      <c r="C61" s="28" t="s">
        <v>2433</v>
      </c>
      <c r="D61" s="28">
        <v>50226090</v>
      </c>
      <c r="E61" s="28">
        <v>50</v>
      </c>
      <c r="F61" s="28">
        <v>81</v>
      </c>
      <c r="G61" s="28">
        <v>60</v>
      </c>
      <c r="H61" s="28" t="s">
        <v>274</v>
      </c>
      <c r="I61" s="28" t="s">
        <v>109</v>
      </c>
      <c r="J61" s="28" t="s">
        <v>130</v>
      </c>
      <c r="K61" s="41">
        <v>0.92986111111111114</v>
      </c>
      <c r="L61" s="28" t="s">
        <v>109</v>
      </c>
      <c r="M61" s="28" t="s">
        <v>109</v>
      </c>
      <c r="N61" s="28" t="s">
        <v>109</v>
      </c>
      <c r="O61" s="29" t="s">
        <v>61</v>
      </c>
      <c r="P61" s="28" t="s">
        <v>131</v>
      </c>
      <c r="Q61" s="28" t="s">
        <v>274</v>
      </c>
      <c r="R61" s="28" t="s">
        <v>62</v>
      </c>
      <c r="S61" s="28" t="s">
        <v>123</v>
      </c>
      <c r="T61" s="28" t="s">
        <v>1365</v>
      </c>
      <c r="U61" s="108">
        <f t="shared" si="0"/>
        <v>1.2</v>
      </c>
      <c r="V61" s="28" t="s">
        <v>1941</v>
      </c>
    </row>
    <row r="62" spans="1:22" x14ac:dyDescent="0.3">
      <c r="A62" s="28">
        <v>61</v>
      </c>
      <c r="B62" s="28" t="s">
        <v>23</v>
      </c>
      <c r="C62" s="28" t="s">
        <v>1729</v>
      </c>
      <c r="D62" s="28">
        <v>50126400</v>
      </c>
      <c r="E62" s="28">
        <v>100</v>
      </c>
      <c r="F62" s="28" t="s">
        <v>109</v>
      </c>
      <c r="G62" s="28" t="s">
        <v>109</v>
      </c>
      <c r="H62" s="28" t="s">
        <v>274</v>
      </c>
      <c r="I62" s="28" t="s">
        <v>109</v>
      </c>
      <c r="J62" s="28" t="s">
        <v>85</v>
      </c>
      <c r="K62" s="28" t="s">
        <v>109</v>
      </c>
      <c r="L62" s="28" t="s">
        <v>109</v>
      </c>
      <c r="M62" s="28" t="s">
        <v>109</v>
      </c>
      <c r="N62" s="28" t="s">
        <v>109</v>
      </c>
      <c r="O62" s="29" t="s">
        <v>61</v>
      </c>
      <c r="P62" s="28" t="s">
        <v>109</v>
      </c>
      <c r="Q62" s="28" t="s">
        <v>109</v>
      </c>
      <c r="R62" s="28" t="s">
        <v>62</v>
      </c>
      <c r="S62" s="28" t="s">
        <v>123</v>
      </c>
      <c r="T62" s="28" t="s">
        <v>362</v>
      </c>
      <c r="U62" s="108" t="e">
        <f t="shared" si="0"/>
        <v>#VALUE!</v>
      </c>
      <c r="V62" s="28" t="s">
        <v>109</v>
      </c>
    </row>
    <row r="63" spans="1:22" x14ac:dyDescent="0.3">
      <c r="A63" s="28">
        <v>62</v>
      </c>
      <c r="B63" s="28" t="s">
        <v>414</v>
      </c>
      <c r="C63" s="28" t="s">
        <v>2496</v>
      </c>
      <c r="D63" s="28">
        <v>40226015</v>
      </c>
      <c r="E63" s="28">
        <v>7</v>
      </c>
      <c r="F63" s="28">
        <v>7</v>
      </c>
      <c r="G63" s="28">
        <v>0</v>
      </c>
      <c r="H63" s="28" t="s">
        <v>84</v>
      </c>
      <c r="I63" s="28" t="s">
        <v>179</v>
      </c>
      <c r="J63" s="28" t="s">
        <v>130</v>
      </c>
      <c r="K63" s="41">
        <v>0.6958333333333333</v>
      </c>
      <c r="L63" s="41">
        <v>0.70486111111111116</v>
      </c>
      <c r="M63" s="28" t="s">
        <v>109</v>
      </c>
      <c r="N63" s="28" t="s">
        <v>109</v>
      </c>
      <c r="O63" s="29" t="s">
        <v>61</v>
      </c>
      <c r="P63" s="28" t="s">
        <v>109</v>
      </c>
      <c r="Q63" s="28" t="s">
        <v>109</v>
      </c>
      <c r="R63" s="28" t="s">
        <v>62</v>
      </c>
      <c r="S63" s="28" t="s">
        <v>136</v>
      </c>
      <c r="T63" s="28" t="s">
        <v>2498</v>
      </c>
      <c r="U63" s="108">
        <f t="shared" si="0"/>
        <v>0</v>
      </c>
      <c r="V63" s="28" t="s">
        <v>612</v>
      </c>
    </row>
    <row r="64" spans="1:22" x14ac:dyDescent="0.3">
      <c r="A64" s="28">
        <v>63</v>
      </c>
      <c r="B64" s="28" t="s">
        <v>23</v>
      </c>
      <c r="C64" s="28" t="s">
        <v>1371</v>
      </c>
      <c r="D64" s="28">
        <v>50126338</v>
      </c>
      <c r="E64" s="28">
        <v>200</v>
      </c>
      <c r="F64" s="28">
        <v>424</v>
      </c>
      <c r="G64" s="28">
        <v>159</v>
      </c>
      <c r="H64" s="28" t="s">
        <v>2577</v>
      </c>
      <c r="I64" s="28" t="s">
        <v>109</v>
      </c>
      <c r="J64" s="28" t="s">
        <v>130</v>
      </c>
      <c r="K64" s="41">
        <v>2.1527777777777778E-2</v>
      </c>
      <c r="L64" s="28" t="s">
        <v>109</v>
      </c>
      <c r="M64" s="28" t="s">
        <v>109</v>
      </c>
      <c r="N64" s="28" t="s">
        <v>2578</v>
      </c>
      <c r="O64" s="29" t="s">
        <v>61</v>
      </c>
      <c r="P64" s="28" t="s">
        <v>131</v>
      </c>
      <c r="Q64" s="28" t="s">
        <v>82</v>
      </c>
      <c r="R64" s="28" t="s">
        <v>62</v>
      </c>
      <c r="S64" s="28" t="s">
        <v>1273</v>
      </c>
      <c r="T64" s="28" t="s">
        <v>1365</v>
      </c>
      <c r="U64" s="108">
        <f t="shared" ref="U64" si="1">G64/E64</f>
        <v>0.79500000000000004</v>
      </c>
      <c r="V64" s="28" t="s">
        <v>2574</v>
      </c>
    </row>
    <row r="65" spans="1:22" x14ac:dyDescent="0.3">
      <c r="A65" s="28">
        <v>64</v>
      </c>
      <c r="B65" s="28" t="s">
        <v>883</v>
      </c>
      <c r="C65" s="28" t="s">
        <v>893</v>
      </c>
      <c r="D65" s="28">
        <v>60126004</v>
      </c>
      <c r="E65" s="28">
        <v>65</v>
      </c>
      <c r="F65" s="28">
        <v>37</v>
      </c>
      <c r="G65" s="28">
        <v>8</v>
      </c>
      <c r="H65" s="28" t="s">
        <v>65</v>
      </c>
      <c r="I65" s="28" t="s">
        <v>209</v>
      </c>
      <c r="J65" s="28" t="s">
        <v>130</v>
      </c>
      <c r="K65" s="41">
        <v>0.96597222222222223</v>
      </c>
      <c r="L65" s="41">
        <v>0.9770833333333333</v>
      </c>
      <c r="M65" s="28" t="s">
        <v>109</v>
      </c>
      <c r="N65" s="28" t="s">
        <v>109</v>
      </c>
      <c r="O65" s="29" t="s">
        <v>409</v>
      </c>
      <c r="P65" s="28" t="s">
        <v>131</v>
      </c>
      <c r="Q65" s="28" t="s">
        <v>209</v>
      </c>
      <c r="R65" s="28" t="s">
        <v>62</v>
      </c>
      <c r="S65" s="28" t="s">
        <v>2091</v>
      </c>
      <c r="T65" s="28" t="s">
        <v>891</v>
      </c>
      <c r="U65" s="108">
        <f t="shared" ref="U65" si="2">G65/E65</f>
        <v>0.12307692307692308</v>
      </c>
      <c r="V65" s="28" t="s">
        <v>2575</v>
      </c>
    </row>
    <row r="66" spans="1:22" x14ac:dyDescent="0.3">
      <c r="A66" s="28">
        <v>65</v>
      </c>
      <c r="B66" s="28" t="s">
        <v>883</v>
      </c>
      <c r="C66" s="28" t="s">
        <v>2580</v>
      </c>
      <c r="D66" s="28">
        <v>60126005</v>
      </c>
      <c r="E66" s="28">
        <v>65</v>
      </c>
      <c r="F66" s="28">
        <v>61</v>
      </c>
      <c r="G66" s="28">
        <v>16</v>
      </c>
      <c r="H66" s="28" t="s">
        <v>184</v>
      </c>
      <c r="I66" s="28" t="s">
        <v>179</v>
      </c>
      <c r="J66" s="28" t="s">
        <v>130</v>
      </c>
      <c r="K66" s="41">
        <v>0.99027777777777781</v>
      </c>
      <c r="L66" s="41">
        <v>2.7777777777777779E-3</v>
      </c>
      <c r="M66" s="28" t="s">
        <v>109</v>
      </c>
      <c r="N66" s="28" t="s">
        <v>109</v>
      </c>
      <c r="O66" s="29" t="s">
        <v>409</v>
      </c>
      <c r="P66" s="28" t="s">
        <v>131</v>
      </c>
      <c r="Q66" s="28" t="s">
        <v>179</v>
      </c>
      <c r="R66" s="28" t="s">
        <v>62</v>
      </c>
      <c r="S66" s="28" t="s">
        <v>2091</v>
      </c>
      <c r="T66" s="28" t="s">
        <v>891</v>
      </c>
      <c r="U66" s="108">
        <f t="shared" ref="U66" si="3">G66/E66</f>
        <v>0.24615384615384617</v>
      </c>
      <c r="V66" s="28" t="s">
        <v>2575</v>
      </c>
    </row>
  </sheetData>
  <autoFilter ref="A1:V1" xr:uid="{9CD4E862-10A0-4F43-817B-0C06FE9750F8}"/>
  <conditionalFormatting sqref="D1">
    <cfRule type="duplicateValues" dxfId="59" priority="1"/>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0E1A4-0345-49F6-8963-BDA9491362A8}">
  <dimension ref="A1:V69"/>
  <sheetViews>
    <sheetView topLeftCell="G1" workbookViewId="0">
      <pane ySplit="1" topLeftCell="A2" activePane="bottomLeft" state="frozen"/>
      <selection pane="bottomLeft" activeCell="U2" sqref="U2"/>
    </sheetView>
  </sheetViews>
  <sheetFormatPr defaultRowHeight="14.4" x14ac:dyDescent="0.3"/>
  <cols>
    <col min="1" max="1" width="3.109375" bestFit="1" customWidth="1"/>
    <col min="2" max="2" width="8.6640625" bestFit="1" customWidth="1"/>
    <col min="3" max="3" width="14.5546875" bestFit="1" customWidth="1"/>
    <col min="4" max="4" width="10.44140625" bestFit="1" customWidth="1"/>
    <col min="5" max="5" width="13.88671875" bestFit="1" customWidth="1"/>
    <col min="6" max="6" width="15.109375" bestFit="1" customWidth="1"/>
    <col min="7" max="7" width="8.5546875" bestFit="1" customWidth="1"/>
    <col min="8" max="8" width="7.33203125" bestFit="1" customWidth="1"/>
    <col min="9" max="9" width="15.88671875" bestFit="1" customWidth="1"/>
    <col min="10" max="10" width="6.21875" bestFit="1" customWidth="1"/>
    <col min="11" max="11" width="16.21875" style="31" bestFit="1" customWidth="1"/>
    <col min="12" max="12" width="16.21875" bestFit="1" customWidth="1"/>
    <col min="13" max="13" width="12.5546875" bestFit="1" customWidth="1"/>
    <col min="14" max="14" width="8.21875" bestFit="1" customWidth="1"/>
    <col min="15" max="15" width="6.77734375" bestFit="1" customWidth="1"/>
    <col min="16" max="16" width="14.33203125" bestFit="1" customWidth="1"/>
    <col min="17" max="17" width="11.77734375" bestFit="1" customWidth="1"/>
    <col min="18" max="18" width="14.33203125" bestFit="1" customWidth="1"/>
    <col min="19" max="19" width="12.21875" bestFit="1" customWidth="1"/>
    <col min="20" max="20" width="5.77734375" bestFit="1" customWidth="1"/>
    <col min="21" max="21" width="37.44140625" bestFit="1" customWidth="1"/>
    <col min="22" max="22" width="10.109375" bestFit="1" customWidth="1"/>
  </cols>
  <sheetData>
    <row r="1" spans="1:22" s="21" customFormat="1" x14ac:dyDescent="0.3">
      <c r="A1" s="1" t="s">
        <v>0</v>
      </c>
      <c r="B1" s="1" t="s">
        <v>1</v>
      </c>
      <c r="C1" s="1" t="s">
        <v>2</v>
      </c>
      <c r="D1" s="1" t="s">
        <v>3</v>
      </c>
      <c r="E1" s="1" t="s">
        <v>4</v>
      </c>
      <c r="F1" s="1" t="s">
        <v>5</v>
      </c>
      <c r="G1" s="1" t="s">
        <v>6</v>
      </c>
      <c r="H1" s="1" t="s">
        <v>7</v>
      </c>
      <c r="I1" s="1" t="s">
        <v>8</v>
      </c>
      <c r="J1" s="1" t="s">
        <v>9</v>
      </c>
      <c r="K1" s="2" t="s">
        <v>2218</v>
      </c>
      <c r="L1" s="2" t="s">
        <v>2219</v>
      </c>
      <c r="M1" s="3" t="s">
        <v>2281</v>
      </c>
      <c r="N1" s="4" t="s">
        <v>13</v>
      </c>
      <c r="O1" s="1" t="s">
        <v>14</v>
      </c>
      <c r="P1" s="1" t="s">
        <v>15</v>
      </c>
      <c r="Q1" s="1" t="s">
        <v>16</v>
      </c>
      <c r="R1" s="1" t="s">
        <v>17</v>
      </c>
      <c r="S1" s="127" t="s">
        <v>2282</v>
      </c>
      <c r="T1" s="1" t="s">
        <v>19</v>
      </c>
      <c r="U1" s="1" t="s">
        <v>20</v>
      </c>
      <c r="V1" s="1" t="s">
        <v>21</v>
      </c>
    </row>
    <row r="2" spans="1:22" x14ac:dyDescent="0.3">
      <c r="A2" s="7">
        <v>1</v>
      </c>
      <c r="B2" s="29" t="s">
        <v>25</v>
      </c>
      <c r="C2" s="29" t="s">
        <v>1085</v>
      </c>
      <c r="D2" s="29">
        <v>40126019</v>
      </c>
      <c r="E2" s="91">
        <v>150</v>
      </c>
      <c r="F2" s="7">
        <v>190</v>
      </c>
      <c r="G2" s="7">
        <v>72</v>
      </c>
      <c r="H2" s="7" t="s">
        <v>2358</v>
      </c>
      <c r="I2" s="7" t="s">
        <v>2581</v>
      </c>
      <c r="J2" s="7" t="s">
        <v>130</v>
      </c>
      <c r="K2" s="11">
        <v>0.73888888888888893</v>
      </c>
      <c r="L2" s="11">
        <v>0.77430555555555558</v>
      </c>
      <c r="M2" s="7" t="s">
        <v>109</v>
      </c>
      <c r="N2" s="29" t="s">
        <v>109</v>
      </c>
      <c r="O2" s="29" t="s">
        <v>61</v>
      </c>
      <c r="P2" s="7" t="s">
        <v>131</v>
      </c>
      <c r="Q2" s="7" t="s">
        <v>89</v>
      </c>
      <c r="R2" s="7" t="s">
        <v>62</v>
      </c>
      <c r="S2" s="7" t="s">
        <v>109</v>
      </c>
      <c r="T2" s="29" t="s">
        <v>762</v>
      </c>
      <c r="U2" s="108">
        <v>0.48</v>
      </c>
      <c r="V2" s="7" t="s">
        <v>152</v>
      </c>
    </row>
    <row r="3" spans="1:22" x14ac:dyDescent="0.3">
      <c r="A3" s="7">
        <v>2</v>
      </c>
      <c r="B3" s="29" t="s">
        <v>25</v>
      </c>
      <c r="C3" s="29" t="s">
        <v>760</v>
      </c>
      <c r="D3" s="29">
        <v>40126016</v>
      </c>
      <c r="E3" s="91">
        <v>266</v>
      </c>
      <c r="F3" s="7">
        <v>449</v>
      </c>
      <c r="G3" s="7">
        <v>232</v>
      </c>
      <c r="H3" s="53" t="s">
        <v>2582</v>
      </c>
      <c r="I3" s="7" t="s">
        <v>2583</v>
      </c>
      <c r="J3" s="7" t="s">
        <v>130</v>
      </c>
      <c r="K3" s="11">
        <v>0.84375</v>
      </c>
      <c r="L3" s="11">
        <v>0.90833333333333333</v>
      </c>
      <c r="M3" s="7" t="s">
        <v>109</v>
      </c>
      <c r="N3" s="29" t="s">
        <v>109</v>
      </c>
      <c r="O3" s="29" t="s">
        <v>61</v>
      </c>
      <c r="P3" s="7" t="s">
        <v>131</v>
      </c>
      <c r="Q3" s="7" t="s">
        <v>90</v>
      </c>
      <c r="R3" s="7" t="s">
        <v>62</v>
      </c>
      <c r="S3" s="7" t="s">
        <v>109</v>
      </c>
      <c r="T3" s="29" t="s">
        <v>762</v>
      </c>
      <c r="U3" s="108">
        <v>0.8721804511278195</v>
      </c>
      <c r="V3" s="7" t="s">
        <v>1945</v>
      </c>
    </row>
    <row r="4" spans="1:22" x14ac:dyDescent="0.3">
      <c r="A4" s="7">
        <v>3</v>
      </c>
      <c r="B4" s="29" t="s">
        <v>292</v>
      </c>
      <c r="C4" s="29" t="s">
        <v>1883</v>
      </c>
      <c r="D4" s="29">
        <v>40126037</v>
      </c>
      <c r="E4" s="91">
        <v>199</v>
      </c>
      <c r="F4" s="7">
        <v>279</v>
      </c>
      <c r="G4" s="7">
        <v>86</v>
      </c>
      <c r="H4" s="7" t="s">
        <v>1305</v>
      </c>
      <c r="I4" s="7" t="s">
        <v>979</v>
      </c>
      <c r="J4" s="7" t="s">
        <v>130</v>
      </c>
      <c r="K4" s="11">
        <v>0.77986111111111112</v>
      </c>
      <c r="L4" s="11">
        <v>0.80763888888888891</v>
      </c>
      <c r="M4" s="7" t="s">
        <v>109</v>
      </c>
      <c r="N4" s="32" t="s">
        <v>2584</v>
      </c>
      <c r="O4" s="29" t="s">
        <v>61</v>
      </c>
      <c r="P4" s="7" t="s">
        <v>131</v>
      </c>
      <c r="Q4" s="7" t="s">
        <v>154</v>
      </c>
      <c r="R4" s="7" t="s">
        <v>63</v>
      </c>
      <c r="S4" s="7" t="s">
        <v>109</v>
      </c>
      <c r="T4" s="29" t="s">
        <v>117</v>
      </c>
      <c r="U4" s="108">
        <v>0.43216080402010049</v>
      </c>
      <c r="V4" s="7" t="s">
        <v>152</v>
      </c>
    </row>
    <row r="5" spans="1:22" x14ac:dyDescent="0.3">
      <c r="A5" s="7">
        <v>4</v>
      </c>
      <c r="B5" s="29" t="s">
        <v>292</v>
      </c>
      <c r="C5" s="29" t="s">
        <v>2386</v>
      </c>
      <c r="D5" s="29">
        <v>40226005</v>
      </c>
      <c r="E5" s="91">
        <v>150</v>
      </c>
      <c r="F5" s="7">
        <v>262</v>
      </c>
      <c r="G5" s="7">
        <v>113</v>
      </c>
      <c r="H5" s="53" t="s">
        <v>2585</v>
      </c>
      <c r="I5" s="53" t="s">
        <v>2586</v>
      </c>
      <c r="J5" s="7" t="s">
        <v>130</v>
      </c>
      <c r="K5" s="11">
        <v>0.77638888888888891</v>
      </c>
      <c r="L5" s="11">
        <v>0.82708333333333328</v>
      </c>
      <c r="M5" s="7" t="s">
        <v>109</v>
      </c>
      <c r="N5" s="32" t="s">
        <v>2587</v>
      </c>
      <c r="O5" s="29" t="s">
        <v>61</v>
      </c>
      <c r="P5" s="7" t="s">
        <v>131</v>
      </c>
      <c r="Q5" s="7" t="s">
        <v>94</v>
      </c>
      <c r="R5" s="7" t="s">
        <v>63</v>
      </c>
      <c r="S5" s="7" t="s">
        <v>109</v>
      </c>
      <c r="T5" s="29" t="s">
        <v>295</v>
      </c>
      <c r="U5" s="108">
        <v>0.7533333333333333</v>
      </c>
      <c r="V5" s="7" t="s">
        <v>1313</v>
      </c>
    </row>
    <row r="6" spans="1:22" x14ac:dyDescent="0.3">
      <c r="A6" s="7">
        <v>5</v>
      </c>
      <c r="B6" s="29" t="s">
        <v>24</v>
      </c>
      <c r="C6" s="29" t="s">
        <v>2287</v>
      </c>
      <c r="D6" s="29">
        <v>60226019</v>
      </c>
      <c r="E6" s="91">
        <v>32</v>
      </c>
      <c r="F6" s="7">
        <v>29</v>
      </c>
      <c r="G6" s="7">
        <v>15</v>
      </c>
      <c r="H6" s="53" t="s">
        <v>67</v>
      </c>
      <c r="I6" s="7" t="s">
        <v>89</v>
      </c>
      <c r="J6" s="7" t="s">
        <v>130</v>
      </c>
      <c r="K6" s="11">
        <v>0.7416666666666667</v>
      </c>
      <c r="L6" s="11">
        <v>0.7583333333333333</v>
      </c>
      <c r="M6" s="7" t="s">
        <v>109</v>
      </c>
      <c r="N6" s="32" t="s">
        <v>110</v>
      </c>
      <c r="O6" s="29" t="s">
        <v>61</v>
      </c>
      <c r="P6" s="7" t="s">
        <v>131</v>
      </c>
      <c r="Q6" s="7" t="s">
        <v>89</v>
      </c>
      <c r="R6" s="7" t="s">
        <v>63</v>
      </c>
      <c r="S6" s="7" t="s">
        <v>109</v>
      </c>
      <c r="T6" s="29" t="s">
        <v>2288</v>
      </c>
      <c r="U6" s="108">
        <v>0.46875</v>
      </c>
      <c r="V6" s="7" t="s">
        <v>152</v>
      </c>
    </row>
    <row r="7" spans="1:22" x14ac:dyDescent="0.3">
      <c r="A7" s="7">
        <v>6</v>
      </c>
      <c r="B7" s="29" t="s">
        <v>24</v>
      </c>
      <c r="C7" s="29" t="s">
        <v>2289</v>
      </c>
      <c r="D7" s="29">
        <v>60226020</v>
      </c>
      <c r="E7" s="91">
        <v>30</v>
      </c>
      <c r="F7" s="7">
        <v>27</v>
      </c>
      <c r="G7" s="7">
        <v>11</v>
      </c>
      <c r="H7" s="53" t="s">
        <v>66</v>
      </c>
      <c r="I7" s="53" t="s">
        <v>209</v>
      </c>
      <c r="J7" s="7" t="s">
        <v>130</v>
      </c>
      <c r="K7" s="11">
        <v>0.65625</v>
      </c>
      <c r="L7" s="11">
        <v>0.67708333333333337</v>
      </c>
      <c r="M7" s="7" t="s">
        <v>109</v>
      </c>
      <c r="N7" s="29" t="s">
        <v>109</v>
      </c>
      <c r="O7" s="29" t="s">
        <v>61</v>
      </c>
      <c r="P7" s="7" t="s">
        <v>131</v>
      </c>
      <c r="Q7" s="7" t="s">
        <v>209</v>
      </c>
      <c r="R7" s="7" t="s">
        <v>63</v>
      </c>
      <c r="S7" s="7" t="s">
        <v>109</v>
      </c>
      <c r="T7" s="29" t="s">
        <v>2288</v>
      </c>
      <c r="U7" s="108">
        <v>0.36666666666666664</v>
      </c>
      <c r="V7" s="7" t="s">
        <v>152</v>
      </c>
    </row>
    <row r="8" spans="1:22" x14ac:dyDescent="0.3">
      <c r="A8" s="7">
        <v>7</v>
      </c>
      <c r="B8" s="29" t="s">
        <v>26</v>
      </c>
      <c r="C8" s="29" t="s">
        <v>1388</v>
      </c>
      <c r="D8" s="29">
        <v>40126024</v>
      </c>
      <c r="E8" s="91">
        <v>317</v>
      </c>
      <c r="F8" s="7">
        <v>615</v>
      </c>
      <c r="G8" s="7">
        <v>138</v>
      </c>
      <c r="H8" s="53" t="s">
        <v>2588</v>
      </c>
      <c r="I8" s="53" t="s">
        <v>2589</v>
      </c>
      <c r="J8" s="7" t="s">
        <v>130</v>
      </c>
      <c r="K8" s="11">
        <v>0.84583333333333333</v>
      </c>
      <c r="L8" s="11">
        <v>0.87222222222222223</v>
      </c>
      <c r="M8" s="7" t="s">
        <v>109</v>
      </c>
      <c r="N8" s="29" t="s">
        <v>109</v>
      </c>
      <c r="O8" s="29" t="s">
        <v>61</v>
      </c>
      <c r="P8" s="7" t="s">
        <v>131</v>
      </c>
      <c r="Q8" s="7" t="s">
        <v>91</v>
      </c>
      <c r="R8" s="7" t="s">
        <v>62</v>
      </c>
      <c r="S8" s="7" t="s">
        <v>109</v>
      </c>
      <c r="T8" s="29" t="s">
        <v>121</v>
      </c>
      <c r="U8" s="108">
        <v>0.43533123028391169</v>
      </c>
      <c r="V8" s="7" t="s">
        <v>1313</v>
      </c>
    </row>
    <row r="9" spans="1:22" x14ac:dyDescent="0.3">
      <c r="A9" s="7">
        <v>8</v>
      </c>
      <c r="B9" s="29" t="s">
        <v>26</v>
      </c>
      <c r="C9" s="29" t="s">
        <v>1389</v>
      </c>
      <c r="D9" s="29">
        <v>40126028</v>
      </c>
      <c r="E9" s="91">
        <v>204</v>
      </c>
      <c r="F9" s="7">
        <v>302</v>
      </c>
      <c r="G9" s="7">
        <v>130</v>
      </c>
      <c r="H9" s="53" t="s">
        <v>2590</v>
      </c>
      <c r="I9" s="7" t="s">
        <v>979</v>
      </c>
      <c r="J9" s="7" t="s">
        <v>130</v>
      </c>
      <c r="K9" s="11">
        <v>0.99861111111111112</v>
      </c>
      <c r="L9" s="11">
        <v>1.6666666666666666E-2</v>
      </c>
      <c r="M9" s="7" t="s">
        <v>109</v>
      </c>
      <c r="N9" s="29" t="s">
        <v>109</v>
      </c>
      <c r="O9" s="29" t="s">
        <v>61</v>
      </c>
      <c r="P9" s="7" t="s">
        <v>131</v>
      </c>
      <c r="Q9" s="7" t="s">
        <v>154</v>
      </c>
      <c r="R9" s="7" t="s">
        <v>62</v>
      </c>
      <c r="S9" s="7" t="s">
        <v>109</v>
      </c>
      <c r="T9" s="29" t="s">
        <v>121</v>
      </c>
      <c r="U9" s="108">
        <v>0.63725490196078427</v>
      </c>
      <c r="V9" s="7" t="s">
        <v>2391</v>
      </c>
    </row>
    <row r="10" spans="1:22" x14ac:dyDescent="0.3">
      <c r="A10" s="7">
        <v>9</v>
      </c>
      <c r="B10" s="29" t="s">
        <v>26</v>
      </c>
      <c r="C10" s="29" t="s">
        <v>2462</v>
      </c>
      <c r="D10" s="29">
        <v>40226014</v>
      </c>
      <c r="E10" s="91">
        <v>301</v>
      </c>
      <c r="F10" s="7">
        <v>432</v>
      </c>
      <c r="G10" s="7">
        <v>118</v>
      </c>
      <c r="H10" s="53" t="s">
        <v>2591</v>
      </c>
      <c r="I10" s="7" t="s">
        <v>2592</v>
      </c>
      <c r="J10" s="7" t="s">
        <v>130</v>
      </c>
      <c r="K10" s="11">
        <v>0.87083333333333335</v>
      </c>
      <c r="L10" s="11">
        <v>0.90555555555555556</v>
      </c>
      <c r="M10" s="7" t="s">
        <v>109</v>
      </c>
      <c r="N10" s="32" t="s">
        <v>110</v>
      </c>
      <c r="O10" s="29" t="s">
        <v>61</v>
      </c>
      <c r="P10" s="7" t="s">
        <v>131</v>
      </c>
      <c r="Q10" s="7" t="s">
        <v>94</v>
      </c>
      <c r="R10" s="7" t="s">
        <v>62</v>
      </c>
      <c r="S10" s="7" t="s">
        <v>109</v>
      </c>
      <c r="T10" s="29" t="s">
        <v>122</v>
      </c>
      <c r="U10" s="108">
        <v>0.39202657807308972</v>
      </c>
      <c r="V10" s="7" t="s">
        <v>152</v>
      </c>
    </row>
    <row r="11" spans="1:22" x14ac:dyDescent="0.3">
      <c r="A11" s="7">
        <v>10</v>
      </c>
      <c r="B11" s="29" t="s">
        <v>26</v>
      </c>
      <c r="C11" s="29" t="s">
        <v>2465</v>
      </c>
      <c r="D11" s="29">
        <v>40226011</v>
      </c>
      <c r="E11" s="91">
        <v>123</v>
      </c>
      <c r="F11" s="7">
        <v>93</v>
      </c>
      <c r="G11" s="7">
        <v>8</v>
      </c>
      <c r="H11" s="53" t="s">
        <v>1282</v>
      </c>
      <c r="I11" s="7" t="s">
        <v>989</v>
      </c>
      <c r="J11" s="7" t="s">
        <v>130</v>
      </c>
      <c r="K11" s="11">
        <v>0.80902777777777779</v>
      </c>
      <c r="L11" s="11">
        <v>0.82361111111111107</v>
      </c>
      <c r="M11" s="7" t="s">
        <v>109</v>
      </c>
      <c r="N11" s="32" t="s">
        <v>110</v>
      </c>
      <c r="O11" s="29" t="s">
        <v>61</v>
      </c>
      <c r="P11" s="7" t="s">
        <v>131</v>
      </c>
      <c r="Q11" s="7" t="s">
        <v>89</v>
      </c>
      <c r="R11" s="7" t="s">
        <v>62</v>
      </c>
      <c r="S11" s="7" t="s">
        <v>109</v>
      </c>
      <c r="T11" s="29" t="s">
        <v>122</v>
      </c>
      <c r="U11" s="108">
        <v>6.5040650406504072E-2</v>
      </c>
      <c r="V11" s="7" t="s">
        <v>152</v>
      </c>
    </row>
    <row r="12" spans="1:22" x14ac:dyDescent="0.3">
      <c r="A12" s="7">
        <v>11</v>
      </c>
      <c r="B12" s="29" t="s">
        <v>26</v>
      </c>
      <c r="C12" s="29" t="s">
        <v>2468</v>
      </c>
      <c r="D12" s="29">
        <v>40226012</v>
      </c>
      <c r="E12" s="91">
        <v>372</v>
      </c>
      <c r="F12" s="7">
        <v>360</v>
      </c>
      <c r="G12" s="7">
        <v>44</v>
      </c>
      <c r="H12" s="53" t="s">
        <v>2593</v>
      </c>
      <c r="I12" s="7" t="s">
        <v>2594</v>
      </c>
      <c r="J12" s="7" t="s">
        <v>130</v>
      </c>
      <c r="K12" s="11">
        <v>0.72291666666666665</v>
      </c>
      <c r="L12" s="11">
        <v>0.76875000000000004</v>
      </c>
      <c r="M12" s="7" t="s">
        <v>109</v>
      </c>
      <c r="N12" s="32" t="s">
        <v>110</v>
      </c>
      <c r="O12" s="29" t="s">
        <v>61</v>
      </c>
      <c r="P12" s="7" t="s">
        <v>131</v>
      </c>
      <c r="Q12" s="7" t="s">
        <v>209</v>
      </c>
      <c r="R12" s="7" t="s">
        <v>62</v>
      </c>
      <c r="S12" s="7" t="s">
        <v>109</v>
      </c>
      <c r="T12" s="29" t="s">
        <v>122</v>
      </c>
      <c r="U12" s="108">
        <v>0.11827956989247312</v>
      </c>
      <c r="V12" s="7" t="s">
        <v>152</v>
      </c>
    </row>
    <row r="13" spans="1:22" x14ac:dyDescent="0.3">
      <c r="A13" s="7">
        <v>12</v>
      </c>
      <c r="B13" s="29" t="s">
        <v>23</v>
      </c>
      <c r="C13" s="29" t="s">
        <v>1366</v>
      </c>
      <c r="D13" s="29">
        <v>50126343</v>
      </c>
      <c r="E13" s="29">
        <v>100</v>
      </c>
      <c r="F13" s="7">
        <v>215</v>
      </c>
      <c r="G13" s="7">
        <v>43</v>
      </c>
      <c r="H13" s="53" t="s">
        <v>200</v>
      </c>
      <c r="I13" s="7" t="s">
        <v>109</v>
      </c>
      <c r="J13" s="7" t="s">
        <v>130</v>
      </c>
      <c r="K13" s="11">
        <v>0.72916666666666663</v>
      </c>
      <c r="L13" s="11">
        <v>0.72916666666666663</v>
      </c>
      <c r="M13" s="7" t="s">
        <v>109</v>
      </c>
      <c r="N13" s="29" t="s">
        <v>109</v>
      </c>
      <c r="O13" s="29" t="s">
        <v>61</v>
      </c>
      <c r="P13" s="7" t="s">
        <v>131</v>
      </c>
      <c r="Q13" s="7" t="s">
        <v>200</v>
      </c>
      <c r="R13" s="7" t="s">
        <v>62</v>
      </c>
      <c r="S13" s="7" t="s">
        <v>109</v>
      </c>
      <c r="T13" s="29" t="s">
        <v>1365</v>
      </c>
      <c r="U13" s="108">
        <v>0.43</v>
      </c>
      <c r="V13" s="7" t="s">
        <v>1313</v>
      </c>
    </row>
    <row r="14" spans="1:22" x14ac:dyDescent="0.3">
      <c r="A14" s="7">
        <v>13</v>
      </c>
      <c r="B14" s="29" t="s">
        <v>23</v>
      </c>
      <c r="C14" s="29" t="s">
        <v>2500</v>
      </c>
      <c r="D14" s="29">
        <v>50226111</v>
      </c>
      <c r="E14" s="29">
        <v>200</v>
      </c>
      <c r="F14" s="7">
        <v>339</v>
      </c>
      <c r="G14" s="7">
        <v>15</v>
      </c>
      <c r="H14" s="7" t="s">
        <v>2595</v>
      </c>
      <c r="I14" s="7" t="s">
        <v>109</v>
      </c>
      <c r="J14" s="7" t="s">
        <v>130</v>
      </c>
      <c r="K14" s="11">
        <v>0.97777777777777775</v>
      </c>
      <c r="L14" s="7" t="s">
        <v>109</v>
      </c>
      <c r="M14" s="7" t="s">
        <v>109</v>
      </c>
      <c r="N14" s="29" t="s">
        <v>109</v>
      </c>
      <c r="O14" s="29" t="s">
        <v>61</v>
      </c>
      <c r="P14" s="7" t="s">
        <v>131</v>
      </c>
      <c r="Q14" s="7" t="s">
        <v>69</v>
      </c>
      <c r="R14" s="7" t="s">
        <v>62</v>
      </c>
      <c r="S14" s="7" t="s">
        <v>109</v>
      </c>
      <c r="T14" s="29" t="s">
        <v>2446</v>
      </c>
      <c r="U14" s="108">
        <v>7.4999999999999997E-2</v>
      </c>
      <c r="V14" s="7" t="s">
        <v>152</v>
      </c>
    </row>
    <row r="15" spans="1:22" x14ac:dyDescent="0.3">
      <c r="A15" s="7">
        <v>14</v>
      </c>
      <c r="B15" s="29" t="s">
        <v>23</v>
      </c>
      <c r="C15" s="29" t="s">
        <v>1729</v>
      </c>
      <c r="D15" s="29">
        <v>50126400</v>
      </c>
      <c r="E15" s="29">
        <v>100</v>
      </c>
      <c r="F15" s="7">
        <v>204</v>
      </c>
      <c r="G15" s="7">
        <v>28</v>
      </c>
      <c r="H15" s="53" t="s">
        <v>2630</v>
      </c>
      <c r="I15" s="7" t="s">
        <v>109</v>
      </c>
      <c r="J15" s="7" t="s">
        <v>130</v>
      </c>
      <c r="K15" s="11">
        <v>3.6805555555555557E-2</v>
      </c>
      <c r="L15" s="7" t="s">
        <v>109</v>
      </c>
      <c r="M15" s="7" t="s">
        <v>109</v>
      </c>
      <c r="N15" s="29" t="s">
        <v>109</v>
      </c>
      <c r="O15" s="29" t="s">
        <v>61</v>
      </c>
      <c r="P15" s="7" t="s">
        <v>131</v>
      </c>
      <c r="Q15" s="7" t="s">
        <v>2631</v>
      </c>
      <c r="R15" s="7" t="s">
        <v>62</v>
      </c>
      <c r="S15" s="7" t="s">
        <v>109</v>
      </c>
      <c r="T15" s="29" t="s">
        <v>362</v>
      </c>
      <c r="U15" s="108">
        <v>0.28000000000000003</v>
      </c>
      <c r="V15" s="7" t="s">
        <v>2391</v>
      </c>
    </row>
    <row r="16" spans="1:22" x14ac:dyDescent="0.3">
      <c r="A16" s="7">
        <v>15</v>
      </c>
      <c r="B16" s="29" t="s">
        <v>23</v>
      </c>
      <c r="C16" s="29" t="s">
        <v>752</v>
      </c>
      <c r="D16" s="29">
        <v>50126141</v>
      </c>
      <c r="E16" s="91">
        <v>100</v>
      </c>
      <c r="F16" s="7">
        <v>21</v>
      </c>
      <c r="G16" s="7">
        <v>8</v>
      </c>
      <c r="H16" s="53" t="s">
        <v>69</v>
      </c>
      <c r="I16" s="7" t="s">
        <v>94</v>
      </c>
      <c r="J16" s="7" t="s">
        <v>130</v>
      </c>
      <c r="K16" s="11">
        <v>0.80277777777777781</v>
      </c>
      <c r="L16" s="11">
        <v>0.89166666666666672</v>
      </c>
      <c r="M16" s="7" t="s">
        <v>109</v>
      </c>
      <c r="N16" s="29" t="s">
        <v>109</v>
      </c>
      <c r="O16" s="29" t="s">
        <v>61</v>
      </c>
      <c r="P16" s="7" t="s">
        <v>131</v>
      </c>
      <c r="Q16" s="7" t="s">
        <v>94</v>
      </c>
      <c r="R16" s="7" t="s">
        <v>62</v>
      </c>
      <c r="S16" s="7" t="s">
        <v>109</v>
      </c>
      <c r="T16" s="29" t="s">
        <v>480</v>
      </c>
      <c r="U16" s="108">
        <v>0.08</v>
      </c>
      <c r="V16" s="7" t="s">
        <v>152</v>
      </c>
    </row>
    <row r="17" spans="1:22" x14ac:dyDescent="0.3">
      <c r="A17" s="7">
        <v>16</v>
      </c>
      <c r="B17" s="29" t="s">
        <v>23</v>
      </c>
      <c r="C17" s="29" t="s">
        <v>1906</v>
      </c>
      <c r="D17" s="29">
        <v>50226027</v>
      </c>
      <c r="E17" s="91">
        <v>200</v>
      </c>
      <c r="F17" s="7">
        <v>357</v>
      </c>
      <c r="G17" s="7">
        <v>141</v>
      </c>
      <c r="H17" s="53" t="s">
        <v>2596</v>
      </c>
      <c r="I17" s="7" t="s">
        <v>2597</v>
      </c>
      <c r="J17" s="7" t="s">
        <v>130</v>
      </c>
      <c r="K17" s="11">
        <v>0.80208333333333337</v>
      </c>
      <c r="L17" s="11">
        <v>0.82013888888888886</v>
      </c>
      <c r="M17" s="7" t="s">
        <v>109</v>
      </c>
      <c r="N17" s="29" t="s">
        <v>109</v>
      </c>
      <c r="O17" s="29" t="s">
        <v>61</v>
      </c>
      <c r="P17" s="7" t="s">
        <v>131</v>
      </c>
      <c r="Q17" s="7" t="s">
        <v>95</v>
      </c>
      <c r="R17" s="7" t="s">
        <v>62</v>
      </c>
      <c r="S17" s="7" t="s">
        <v>109</v>
      </c>
      <c r="T17" s="29" t="s">
        <v>480</v>
      </c>
      <c r="U17" s="108">
        <v>0.70499999999999996</v>
      </c>
      <c r="V17" s="7" t="s">
        <v>1313</v>
      </c>
    </row>
    <row r="18" spans="1:22" x14ac:dyDescent="0.3">
      <c r="A18" s="7">
        <v>17</v>
      </c>
      <c r="B18" s="29" t="s">
        <v>23</v>
      </c>
      <c r="C18" s="29" t="s">
        <v>1909</v>
      </c>
      <c r="D18" s="29">
        <v>50226025</v>
      </c>
      <c r="E18" s="91">
        <v>200</v>
      </c>
      <c r="F18" s="7">
        <v>400</v>
      </c>
      <c r="G18" s="7">
        <v>180</v>
      </c>
      <c r="H18" s="53" t="s">
        <v>2598</v>
      </c>
      <c r="I18" s="53" t="s">
        <v>2599</v>
      </c>
      <c r="J18" s="7" t="s">
        <v>130</v>
      </c>
      <c r="K18" s="11">
        <v>0.94305555555555554</v>
      </c>
      <c r="L18" s="11">
        <v>1.2500000000000001E-2</v>
      </c>
      <c r="M18" s="7" t="s">
        <v>109</v>
      </c>
      <c r="N18" s="29" t="s">
        <v>109</v>
      </c>
      <c r="O18" s="29" t="s">
        <v>61</v>
      </c>
      <c r="P18" s="7" t="s">
        <v>131</v>
      </c>
      <c r="Q18" s="7" t="s">
        <v>93</v>
      </c>
      <c r="R18" s="7" t="s">
        <v>62</v>
      </c>
      <c r="S18" s="7" t="s">
        <v>109</v>
      </c>
      <c r="T18" s="29" t="s">
        <v>480</v>
      </c>
      <c r="U18" s="108">
        <v>0.9</v>
      </c>
      <c r="V18" s="7" t="s">
        <v>1945</v>
      </c>
    </row>
    <row r="19" spans="1:22" x14ac:dyDescent="0.3">
      <c r="A19" s="7">
        <v>18</v>
      </c>
      <c r="B19" s="29" t="s">
        <v>23</v>
      </c>
      <c r="C19" s="29" t="s">
        <v>2600</v>
      </c>
      <c r="D19" s="29">
        <v>50226114</v>
      </c>
      <c r="E19" s="29">
        <v>100</v>
      </c>
      <c r="F19" s="7">
        <v>125</v>
      </c>
      <c r="G19" s="7">
        <v>97</v>
      </c>
      <c r="H19" s="53" t="s">
        <v>241</v>
      </c>
      <c r="I19" s="7" t="s">
        <v>109</v>
      </c>
      <c r="J19" s="7" t="s">
        <v>130</v>
      </c>
      <c r="K19" s="11">
        <v>0.95972222222222225</v>
      </c>
      <c r="L19" s="7" t="s">
        <v>109</v>
      </c>
      <c r="M19" s="7" t="s">
        <v>109</v>
      </c>
      <c r="N19" s="29" t="s">
        <v>109</v>
      </c>
      <c r="O19" s="29" t="s">
        <v>61</v>
      </c>
      <c r="P19" s="7" t="s">
        <v>131</v>
      </c>
      <c r="Q19" s="7" t="s">
        <v>241</v>
      </c>
      <c r="R19" s="7" t="s">
        <v>62</v>
      </c>
      <c r="S19" s="7" t="s">
        <v>109</v>
      </c>
      <c r="T19" s="29" t="s">
        <v>115</v>
      </c>
      <c r="U19" s="108">
        <v>0.97</v>
      </c>
      <c r="V19" s="7" t="s">
        <v>1945</v>
      </c>
    </row>
    <row r="20" spans="1:22" x14ac:dyDescent="0.3">
      <c r="A20" s="7">
        <v>19</v>
      </c>
      <c r="B20" s="29" t="s">
        <v>23</v>
      </c>
      <c r="C20" s="29" t="s">
        <v>2480</v>
      </c>
      <c r="D20" s="29">
        <v>50226097</v>
      </c>
      <c r="E20" s="29">
        <v>150</v>
      </c>
      <c r="F20" s="7">
        <v>279</v>
      </c>
      <c r="G20" s="7">
        <v>136</v>
      </c>
      <c r="H20" s="53" t="s">
        <v>933</v>
      </c>
      <c r="I20" s="7" t="s">
        <v>109</v>
      </c>
      <c r="J20" s="7" t="s">
        <v>130</v>
      </c>
      <c r="K20" s="11">
        <v>0.9770833333333333</v>
      </c>
      <c r="L20" s="7" t="s">
        <v>109</v>
      </c>
      <c r="M20" s="7" t="s">
        <v>109</v>
      </c>
      <c r="N20" s="32" t="s">
        <v>2407</v>
      </c>
      <c r="O20" s="29" t="s">
        <v>61</v>
      </c>
      <c r="P20" s="7" t="s">
        <v>131</v>
      </c>
      <c r="Q20" s="7" t="s">
        <v>82</v>
      </c>
      <c r="R20" s="7" t="s">
        <v>62</v>
      </c>
      <c r="S20" s="7" t="s">
        <v>109</v>
      </c>
      <c r="T20" s="29" t="s">
        <v>2473</v>
      </c>
      <c r="U20" s="108">
        <v>0.90666666666666662</v>
      </c>
      <c r="V20" s="7" t="s">
        <v>1945</v>
      </c>
    </row>
    <row r="21" spans="1:22" x14ac:dyDescent="0.3">
      <c r="A21" s="7">
        <v>20</v>
      </c>
      <c r="B21" s="29" t="s">
        <v>23</v>
      </c>
      <c r="C21" s="29" t="s">
        <v>2068</v>
      </c>
      <c r="D21" s="29">
        <v>50226010</v>
      </c>
      <c r="E21" s="29">
        <v>70</v>
      </c>
      <c r="F21" s="7">
        <v>89</v>
      </c>
      <c r="G21" s="7">
        <v>54</v>
      </c>
      <c r="H21" s="7" t="s">
        <v>274</v>
      </c>
      <c r="I21" s="7" t="s">
        <v>109</v>
      </c>
      <c r="J21" s="7" t="s">
        <v>130</v>
      </c>
      <c r="K21" s="11">
        <v>0.72013888888888888</v>
      </c>
      <c r="L21" s="7" t="s">
        <v>109</v>
      </c>
      <c r="M21" s="7" t="s">
        <v>109</v>
      </c>
      <c r="N21" s="32" t="s">
        <v>2407</v>
      </c>
      <c r="O21" s="29" t="s">
        <v>61</v>
      </c>
      <c r="P21" s="7" t="s">
        <v>131</v>
      </c>
      <c r="Q21" s="7" t="s">
        <v>274</v>
      </c>
      <c r="R21" s="7" t="s">
        <v>62</v>
      </c>
      <c r="S21" s="7" t="s">
        <v>109</v>
      </c>
      <c r="T21" s="29" t="s">
        <v>1862</v>
      </c>
      <c r="U21" s="108">
        <v>0.77142857142857146</v>
      </c>
      <c r="V21" s="7" t="s">
        <v>152</v>
      </c>
    </row>
    <row r="22" spans="1:22" x14ac:dyDescent="0.3">
      <c r="A22" s="7">
        <v>21</v>
      </c>
      <c r="B22" s="29" t="s">
        <v>23</v>
      </c>
      <c r="C22" s="29" t="s">
        <v>2479</v>
      </c>
      <c r="D22" s="29">
        <v>50226098</v>
      </c>
      <c r="E22" s="29">
        <v>100</v>
      </c>
      <c r="F22" s="7">
        <v>182</v>
      </c>
      <c r="G22" s="7">
        <v>79</v>
      </c>
      <c r="H22" s="53" t="s">
        <v>67</v>
      </c>
      <c r="I22" s="7" t="s">
        <v>109</v>
      </c>
      <c r="J22" s="7" t="s">
        <v>130</v>
      </c>
      <c r="K22" s="11">
        <v>0.90763888888888888</v>
      </c>
      <c r="L22" s="7" t="s">
        <v>109</v>
      </c>
      <c r="M22" s="7" t="s">
        <v>109</v>
      </c>
      <c r="N22" s="32" t="s">
        <v>2407</v>
      </c>
      <c r="O22" s="29" t="s">
        <v>61</v>
      </c>
      <c r="P22" s="7" t="s">
        <v>131</v>
      </c>
      <c r="Q22" s="7" t="s">
        <v>67</v>
      </c>
      <c r="R22" s="7" t="s">
        <v>62</v>
      </c>
      <c r="S22" s="7" t="s">
        <v>109</v>
      </c>
      <c r="T22" s="29" t="s">
        <v>2473</v>
      </c>
      <c r="U22" s="108">
        <v>0.79</v>
      </c>
      <c r="V22" s="7" t="s">
        <v>1313</v>
      </c>
    </row>
    <row r="23" spans="1:22" x14ac:dyDescent="0.3">
      <c r="A23" s="7">
        <v>22</v>
      </c>
      <c r="B23" s="29" t="s">
        <v>23</v>
      </c>
      <c r="C23" s="29" t="s">
        <v>2472</v>
      </c>
      <c r="D23" s="29">
        <v>50226104</v>
      </c>
      <c r="E23" s="29">
        <v>25</v>
      </c>
      <c r="F23" s="7">
        <v>63</v>
      </c>
      <c r="G23" s="7">
        <v>11</v>
      </c>
      <c r="H23" s="53" t="s">
        <v>82</v>
      </c>
      <c r="I23" s="7" t="s">
        <v>109</v>
      </c>
      <c r="J23" s="7" t="s">
        <v>130</v>
      </c>
      <c r="K23" s="11">
        <v>0.91249999999999998</v>
      </c>
      <c r="L23" s="7" t="s">
        <v>109</v>
      </c>
      <c r="M23" s="7" t="s">
        <v>109</v>
      </c>
      <c r="N23" s="32" t="s">
        <v>2407</v>
      </c>
      <c r="O23" s="29" t="s">
        <v>61</v>
      </c>
      <c r="P23" s="7" t="s">
        <v>131</v>
      </c>
      <c r="Q23" s="7" t="s">
        <v>82</v>
      </c>
      <c r="R23" s="7" t="s">
        <v>62</v>
      </c>
      <c r="S23" s="7" t="s">
        <v>109</v>
      </c>
      <c r="T23" s="29" t="s">
        <v>2473</v>
      </c>
      <c r="U23" s="108">
        <v>0.44</v>
      </c>
      <c r="V23" s="7" t="s">
        <v>152</v>
      </c>
    </row>
    <row r="24" spans="1:22" x14ac:dyDescent="0.3">
      <c r="A24" s="7">
        <v>23</v>
      </c>
      <c r="B24" s="29" t="s">
        <v>23</v>
      </c>
      <c r="C24" s="29" t="s">
        <v>2475</v>
      </c>
      <c r="D24" s="29">
        <v>50226103</v>
      </c>
      <c r="E24" s="29">
        <v>100</v>
      </c>
      <c r="F24" s="7">
        <v>201</v>
      </c>
      <c r="G24" s="7">
        <v>77</v>
      </c>
      <c r="H24" s="53" t="s">
        <v>196</v>
      </c>
      <c r="I24" s="7" t="s">
        <v>109</v>
      </c>
      <c r="J24" s="7" t="s">
        <v>130</v>
      </c>
      <c r="K24" s="11">
        <v>0.83819444444444446</v>
      </c>
      <c r="L24" s="7" t="s">
        <v>109</v>
      </c>
      <c r="M24" s="7" t="s">
        <v>109</v>
      </c>
      <c r="N24" s="32" t="s">
        <v>2407</v>
      </c>
      <c r="O24" s="29" t="s">
        <v>61</v>
      </c>
      <c r="P24" s="7" t="s">
        <v>131</v>
      </c>
      <c r="Q24" s="7" t="s">
        <v>196</v>
      </c>
      <c r="R24" s="7" t="s">
        <v>62</v>
      </c>
      <c r="S24" s="7" t="s">
        <v>109</v>
      </c>
      <c r="T24" s="29" t="s">
        <v>2473</v>
      </c>
      <c r="U24" s="108">
        <v>0.77</v>
      </c>
      <c r="V24" s="7" t="s">
        <v>1313</v>
      </c>
    </row>
    <row r="25" spans="1:22" x14ac:dyDescent="0.3">
      <c r="A25" s="7">
        <v>24</v>
      </c>
      <c r="B25" s="29" t="s">
        <v>23</v>
      </c>
      <c r="C25" s="29" t="s">
        <v>2477</v>
      </c>
      <c r="D25" s="29">
        <v>50226105</v>
      </c>
      <c r="E25" s="29">
        <v>40</v>
      </c>
      <c r="F25" s="7">
        <v>51</v>
      </c>
      <c r="G25" s="7">
        <v>14</v>
      </c>
      <c r="H25" s="53" t="s">
        <v>68</v>
      </c>
      <c r="I25" s="7" t="s">
        <v>109</v>
      </c>
      <c r="J25" s="7" t="s">
        <v>130</v>
      </c>
      <c r="K25" s="11">
        <v>0.91597222222222219</v>
      </c>
      <c r="L25" s="7" t="s">
        <v>109</v>
      </c>
      <c r="M25" s="7" t="s">
        <v>109</v>
      </c>
      <c r="N25" s="32" t="s">
        <v>2407</v>
      </c>
      <c r="O25" s="29" t="s">
        <v>61</v>
      </c>
      <c r="P25" s="7" t="s">
        <v>131</v>
      </c>
      <c r="Q25" s="7" t="s">
        <v>68</v>
      </c>
      <c r="R25" s="7" t="s">
        <v>62</v>
      </c>
      <c r="S25" s="7" t="s">
        <v>109</v>
      </c>
      <c r="T25" s="29" t="s">
        <v>2473</v>
      </c>
      <c r="U25" s="108">
        <v>0.35</v>
      </c>
      <c r="V25" s="7" t="s">
        <v>152</v>
      </c>
    </row>
    <row r="26" spans="1:22" x14ac:dyDescent="0.3">
      <c r="A26" s="7">
        <v>25</v>
      </c>
      <c r="B26" s="29" t="s">
        <v>23</v>
      </c>
      <c r="C26" s="29" t="s">
        <v>2478</v>
      </c>
      <c r="D26" s="29">
        <v>50226101</v>
      </c>
      <c r="E26" s="29">
        <v>200</v>
      </c>
      <c r="F26" s="7">
        <v>401</v>
      </c>
      <c r="G26" s="7">
        <v>171</v>
      </c>
      <c r="H26" s="53" t="s">
        <v>2601</v>
      </c>
      <c r="I26" s="7" t="s">
        <v>109</v>
      </c>
      <c r="J26" s="7" t="s">
        <v>130</v>
      </c>
      <c r="K26" s="11">
        <v>0.9819444444444444</v>
      </c>
      <c r="L26" s="7" t="s">
        <v>109</v>
      </c>
      <c r="M26" s="7" t="s">
        <v>109</v>
      </c>
      <c r="N26" s="32" t="s">
        <v>2407</v>
      </c>
      <c r="O26" s="29" t="s">
        <v>61</v>
      </c>
      <c r="P26" s="7" t="s">
        <v>131</v>
      </c>
      <c r="Q26" s="7" t="s">
        <v>274</v>
      </c>
      <c r="R26" s="7" t="s">
        <v>62</v>
      </c>
      <c r="S26" s="7" t="s">
        <v>109</v>
      </c>
      <c r="T26" s="29" t="s">
        <v>2473</v>
      </c>
      <c r="U26" s="108">
        <v>0.85499999999999998</v>
      </c>
      <c r="V26" s="7" t="s">
        <v>1313</v>
      </c>
    </row>
    <row r="27" spans="1:22" x14ac:dyDescent="0.3">
      <c r="A27" s="7">
        <v>26</v>
      </c>
      <c r="B27" s="29" t="s">
        <v>23</v>
      </c>
      <c r="C27" s="29" t="s">
        <v>2481</v>
      </c>
      <c r="D27" s="29">
        <v>50226096</v>
      </c>
      <c r="E27" s="29">
        <v>250</v>
      </c>
      <c r="F27" s="7">
        <v>460</v>
      </c>
      <c r="G27" s="7">
        <v>197</v>
      </c>
      <c r="H27" s="7" t="s">
        <v>2602</v>
      </c>
      <c r="I27" s="7" t="s">
        <v>109</v>
      </c>
      <c r="J27" s="7" t="s">
        <v>130</v>
      </c>
      <c r="K27" s="11">
        <v>0.90486111111111112</v>
      </c>
      <c r="L27" s="7" t="s">
        <v>109</v>
      </c>
      <c r="M27" s="7" t="s">
        <v>109</v>
      </c>
      <c r="N27" s="32" t="s">
        <v>2407</v>
      </c>
      <c r="O27" s="29" t="s">
        <v>61</v>
      </c>
      <c r="P27" s="7" t="s">
        <v>131</v>
      </c>
      <c r="Q27" s="7" t="s">
        <v>200</v>
      </c>
      <c r="R27" s="7" t="s">
        <v>62</v>
      </c>
      <c r="S27" s="7" t="s">
        <v>109</v>
      </c>
      <c r="T27" s="29" t="s">
        <v>2473</v>
      </c>
      <c r="U27" s="108">
        <v>0.78800000000000003</v>
      </c>
      <c r="V27" s="7" t="s">
        <v>1313</v>
      </c>
    </row>
    <row r="28" spans="1:22" x14ac:dyDescent="0.3">
      <c r="A28" s="7">
        <v>27</v>
      </c>
      <c r="B28" s="29" t="s">
        <v>23</v>
      </c>
      <c r="C28" s="29" t="s">
        <v>2326</v>
      </c>
      <c r="D28" s="29">
        <v>50226078</v>
      </c>
      <c r="E28" s="29">
        <v>50</v>
      </c>
      <c r="F28" s="7">
        <v>91</v>
      </c>
      <c r="G28" s="7">
        <v>46</v>
      </c>
      <c r="H28" s="53" t="s">
        <v>196</v>
      </c>
      <c r="I28" s="7" t="s">
        <v>109</v>
      </c>
      <c r="J28" s="7" t="s">
        <v>130</v>
      </c>
      <c r="K28" s="11">
        <v>0.93541666666666667</v>
      </c>
      <c r="L28" s="7" t="s">
        <v>109</v>
      </c>
      <c r="M28" s="7" t="s">
        <v>109</v>
      </c>
      <c r="N28" s="29" t="s">
        <v>109</v>
      </c>
      <c r="O28" s="29" t="s">
        <v>61</v>
      </c>
      <c r="P28" s="7" t="s">
        <v>131</v>
      </c>
      <c r="Q28" s="7" t="s">
        <v>196</v>
      </c>
      <c r="R28" s="7" t="s">
        <v>62</v>
      </c>
      <c r="S28" s="7" t="s">
        <v>109</v>
      </c>
      <c r="T28" s="29" t="s">
        <v>252</v>
      </c>
      <c r="U28" s="108">
        <v>0.92</v>
      </c>
      <c r="V28" s="7" t="s">
        <v>1945</v>
      </c>
    </row>
    <row r="29" spans="1:22" x14ac:dyDescent="0.3">
      <c r="A29" s="7">
        <v>28</v>
      </c>
      <c r="B29" s="29" t="s">
        <v>23</v>
      </c>
      <c r="C29" s="29" t="s">
        <v>2484</v>
      </c>
      <c r="D29" s="29">
        <v>50226100</v>
      </c>
      <c r="E29" s="29">
        <v>150</v>
      </c>
      <c r="F29" s="7">
        <v>70</v>
      </c>
      <c r="G29" s="7">
        <v>19</v>
      </c>
      <c r="H29" s="53" t="s">
        <v>2603</v>
      </c>
      <c r="I29" s="7" t="s">
        <v>109</v>
      </c>
      <c r="J29" s="7" t="s">
        <v>130</v>
      </c>
      <c r="K29" s="11">
        <v>0.79722222222222228</v>
      </c>
      <c r="L29" s="7" t="s">
        <v>109</v>
      </c>
      <c r="M29" s="7" t="s">
        <v>109</v>
      </c>
      <c r="N29" s="32" t="s">
        <v>660</v>
      </c>
      <c r="O29" s="29" t="s">
        <v>61</v>
      </c>
      <c r="P29" s="7" t="s">
        <v>131</v>
      </c>
      <c r="Q29" s="7" t="s">
        <v>70</v>
      </c>
      <c r="R29" s="7" t="s">
        <v>62</v>
      </c>
      <c r="S29" s="7" t="s">
        <v>109</v>
      </c>
      <c r="T29" s="29" t="s">
        <v>1240</v>
      </c>
      <c r="U29" s="108">
        <v>0.12666666666666668</v>
      </c>
      <c r="V29" s="7" t="s">
        <v>152</v>
      </c>
    </row>
    <row r="30" spans="1:22" x14ac:dyDescent="0.3">
      <c r="A30" s="7">
        <v>29</v>
      </c>
      <c r="B30" s="29" t="s">
        <v>23</v>
      </c>
      <c r="C30" s="29" t="s">
        <v>2604</v>
      </c>
      <c r="D30" s="29">
        <v>50226115</v>
      </c>
      <c r="E30" s="29">
        <v>30</v>
      </c>
      <c r="F30" s="7">
        <v>35</v>
      </c>
      <c r="G30" s="7">
        <v>8</v>
      </c>
      <c r="H30" s="53" t="s">
        <v>184</v>
      </c>
      <c r="I30" s="7" t="s">
        <v>109</v>
      </c>
      <c r="J30" s="7" t="s">
        <v>130</v>
      </c>
      <c r="K30" s="11">
        <v>0.94027777777777777</v>
      </c>
      <c r="L30" s="7" t="s">
        <v>109</v>
      </c>
      <c r="M30" s="7" t="s">
        <v>109</v>
      </c>
      <c r="N30" s="29" t="s">
        <v>109</v>
      </c>
      <c r="O30" s="29" t="s">
        <v>61</v>
      </c>
      <c r="P30" s="7" t="s">
        <v>131</v>
      </c>
      <c r="Q30" s="7" t="s">
        <v>184</v>
      </c>
      <c r="R30" s="7" t="s">
        <v>62</v>
      </c>
      <c r="S30" s="7" t="s">
        <v>109</v>
      </c>
      <c r="T30" s="29" t="s">
        <v>252</v>
      </c>
      <c r="U30" s="108">
        <v>0.26666666666666666</v>
      </c>
      <c r="V30" s="7" t="s">
        <v>152</v>
      </c>
    </row>
    <row r="31" spans="1:22" x14ac:dyDescent="0.3">
      <c r="A31" s="7">
        <v>30</v>
      </c>
      <c r="B31" s="29" t="s">
        <v>23</v>
      </c>
      <c r="C31" s="29" t="s">
        <v>2151</v>
      </c>
      <c r="D31" s="29">
        <v>50226069</v>
      </c>
      <c r="E31" s="29">
        <v>75</v>
      </c>
      <c r="F31" s="7">
        <v>132</v>
      </c>
      <c r="G31" s="7">
        <v>77</v>
      </c>
      <c r="H31" s="53" t="s">
        <v>68</v>
      </c>
      <c r="I31" s="7" t="s">
        <v>109</v>
      </c>
      <c r="J31" s="7" t="s">
        <v>130</v>
      </c>
      <c r="K31" s="11">
        <v>0.85763888888888884</v>
      </c>
      <c r="L31" s="7" t="s">
        <v>109</v>
      </c>
      <c r="M31" s="7" t="s">
        <v>109</v>
      </c>
      <c r="N31" s="29" t="s">
        <v>109</v>
      </c>
      <c r="O31" s="29" t="s">
        <v>61</v>
      </c>
      <c r="P31" s="7" t="s">
        <v>131</v>
      </c>
      <c r="Q31" s="7" t="s">
        <v>68</v>
      </c>
      <c r="R31" s="7" t="s">
        <v>62</v>
      </c>
      <c r="S31" s="7" t="s">
        <v>109</v>
      </c>
      <c r="T31" s="29" t="s">
        <v>270</v>
      </c>
      <c r="U31" s="108">
        <v>1.0266666666666666</v>
      </c>
      <c r="V31" s="7" t="s">
        <v>1945</v>
      </c>
    </row>
    <row r="32" spans="1:22" x14ac:dyDescent="0.3">
      <c r="A32" s="7">
        <v>31</v>
      </c>
      <c r="B32" s="29" t="s">
        <v>23</v>
      </c>
      <c r="C32" s="29" t="s">
        <v>534</v>
      </c>
      <c r="D32" s="29">
        <v>50126079</v>
      </c>
      <c r="E32" s="29">
        <v>120</v>
      </c>
      <c r="F32" s="7">
        <v>152</v>
      </c>
      <c r="G32" s="7">
        <v>115</v>
      </c>
      <c r="H32" s="53" t="s">
        <v>86</v>
      </c>
      <c r="I32" s="7" t="s">
        <v>109</v>
      </c>
      <c r="J32" s="7" t="s">
        <v>130</v>
      </c>
      <c r="K32" s="11">
        <v>0.80138888888888893</v>
      </c>
      <c r="L32" s="7" t="s">
        <v>109</v>
      </c>
      <c r="M32" s="7" t="s">
        <v>109</v>
      </c>
      <c r="N32" s="32" t="s">
        <v>2605</v>
      </c>
      <c r="O32" s="29" t="s">
        <v>61</v>
      </c>
      <c r="P32" s="7" t="s">
        <v>131</v>
      </c>
      <c r="Q32" s="7" t="s">
        <v>86</v>
      </c>
      <c r="R32" s="7" t="s">
        <v>62</v>
      </c>
      <c r="S32" s="7" t="s">
        <v>109</v>
      </c>
      <c r="T32" s="29" t="s">
        <v>424</v>
      </c>
      <c r="U32" s="108">
        <v>0.95833333333333337</v>
      </c>
      <c r="V32" s="7" t="s">
        <v>1945</v>
      </c>
    </row>
    <row r="33" spans="1:22" x14ac:dyDescent="0.3">
      <c r="A33" s="7">
        <v>32</v>
      </c>
      <c r="B33" s="29" t="s">
        <v>23</v>
      </c>
      <c r="C33" s="29" t="s">
        <v>426</v>
      </c>
      <c r="D33" s="29">
        <v>50126023</v>
      </c>
      <c r="E33" s="29">
        <v>250</v>
      </c>
      <c r="F33" s="7">
        <v>300</v>
      </c>
      <c r="G33" s="7">
        <v>155</v>
      </c>
      <c r="H33" s="53" t="s">
        <v>2606</v>
      </c>
      <c r="I33" s="7" t="s">
        <v>109</v>
      </c>
      <c r="J33" s="7" t="s">
        <v>130</v>
      </c>
      <c r="K33" s="11">
        <v>0.72083333333333333</v>
      </c>
      <c r="L33" s="7" t="s">
        <v>109</v>
      </c>
      <c r="M33" s="7" t="s">
        <v>109</v>
      </c>
      <c r="N33" s="32" t="s">
        <v>110</v>
      </c>
      <c r="O33" s="29" t="s">
        <v>61</v>
      </c>
      <c r="P33" s="7" t="s">
        <v>131</v>
      </c>
      <c r="Q33" s="7" t="s">
        <v>91</v>
      </c>
      <c r="R33" s="7" t="s">
        <v>62</v>
      </c>
      <c r="S33" s="7" t="s">
        <v>109</v>
      </c>
      <c r="T33" s="29" t="s">
        <v>424</v>
      </c>
      <c r="U33" s="108">
        <v>0.62</v>
      </c>
      <c r="V33" s="7" t="s">
        <v>152</v>
      </c>
    </row>
    <row r="34" spans="1:22" x14ac:dyDescent="0.3">
      <c r="A34" s="7">
        <v>33</v>
      </c>
      <c r="B34" s="29" t="s">
        <v>23</v>
      </c>
      <c r="C34" s="29" t="s">
        <v>524</v>
      </c>
      <c r="D34" s="29">
        <v>50126055</v>
      </c>
      <c r="E34" s="29">
        <v>100</v>
      </c>
      <c r="F34" s="7">
        <v>156</v>
      </c>
      <c r="G34" s="7">
        <v>65</v>
      </c>
      <c r="H34" s="53" t="s">
        <v>89</v>
      </c>
      <c r="I34" s="7" t="s">
        <v>109</v>
      </c>
      <c r="J34" s="7" t="s">
        <v>130</v>
      </c>
      <c r="K34" s="11">
        <v>0.73402777777777772</v>
      </c>
      <c r="L34" s="7" t="s">
        <v>109</v>
      </c>
      <c r="M34" s="7" t="s">
        <v>109</v>
      </c>
      <c r="N34" s="32" t="s">
        <v>110</v>
      </c>
      <c r="O34" s="29" t="s">
        <v>61</v>
      </c>
      <c r="P34" s="7" t="s">
        <v>131</v>
      </c>
      <c r="Q34" s="7" t="s">
        <v>89</v>
      </c>
      <c r="R34" s="7" t="s">
        <v>62</v>
      </c>
      <c r="S34" s="7" t="s">
        <v>109</v>
      </c>
      <c r="T34" s="29" t="s">
        <v>424</v>
      </c>
      <c r="U34" s="108">
        <v>0.65</v>
      </c>
      <c r="V34" s="7" t="s">
        <v>152</v>
      </c>
    </row>
    <row r="35" spans="1:22" x14ac:dyDescent="0.3">
      <c r="A35" s="7">
        <v>34</v>
      </c>
      <c r="B35" s="29" t="s">
        <v>23</v>
      </c>
      <c r="C35" s="29" t="s">
        <v>903</v>
      </c>
      <c r="D35" s="29">
        <v>50126242</v>
      </c>
      <c r="E35" s="29">
        <v>85</v>
      </c>
      <c r="F35" s="7">
        <v>128</v>
      </c>
      <c r="G35" s="7">
        <v>90</v>
      </c>
      <c r="H35" s="53" t="s">
        <v>93</v>
      </c>
      <c r="I35" s="7" t="s">
        <v>109</v>
      </c>
      <c r="J35" s="7" t="s">
        <v>130</v>
      </c>
      <c r="K35" s="11">
        <v>0.72569444444444442</v>
      </c>
      <c r="L35" s="7" t="s">
        <v>109</v>
      </c>
      <c r="M35" s="7" t="s">
        <v>109</v>
      </c>
      <c r="N35" s="32" t="s">
        <v>110</v>
      </c>
      <c r="O35" s="29" t="s">
        <v>61</v>
      </c>
      <c r="P35" s="7" t="s">
        <v>131</v>
      </c>
      <c r="Q35" s="7" t="s">
        <v>93</v>
      </c>
      <c r="R35" s="7" t="s">
        <v>62</v>
      </c>
      <c r="S35" s="7" t="s">
        <v>109</v>
      </c>
      <c r="T35" s="29" t="s">
        <v>424</v>
      </c>
      <c r="U35" s="108">
        <v>1.0588235294117647</v>
      </c>
      <c r="V35" s="7" t="s">
        <v>1945</v>
      </c>
    </row>
    <row r="36" spans="1:22" x14ac:dyDescent="0.3">
      <c r="A36" s="7">
        <v>35</v>
      </c>
      <c r="B36" s="29" t="s">
        <v>23</v>
      </c>
      <c r="C36" s="29" t="s">
        <v>814</v>
      </c>
      <c r="D36" s="29">
        <v>50126228</v>
      </c>
      <c r="E36" s="29">
        <v>85</v>
      </c>
      <c r="F36" s="7">
        <v>130</v>
      </c>
      <c r="G36" s="7">
        <v>91</v>
      </c>
      <c r="H36" s="53" t="s">
        <v>95</v>
      </c>
      <c r="I36" s="7" t="s">
        <v>109</v>
      </c>
      <c r="J36" s="7" t="s">
        <v>130</v>
      </c>
      <c r="K36" s="11">
        <v>0.68541666666666667</v>
      </c>
      <c r="L36" s="7" t="s">
        <v>109</v>
      </c>
      <c r="M36" s="7" t="s">
        <v>109</v>
      </c>
      <c r="N36" s="32" t="s">
        <v>110</v>
      </c>
      <c r="O36" s="29" t="s">
        <v>61</v>
      </c>
      <c r="P36" s="7" t="s">
        <v>131</v>
      </c>
      <c r="Q36" s="7" t="s">
        <v>95</v>
      </c>
      <c r="R36" s="7" t="s">
        <v>62</v>
      </c>
      <c r="S36" s="7" t="s">
        <v>109</v>
      </c>
      <c r="T36" s="29" t="s">
        <v>424</v>
      </c>
      <c r="U36" s="108">
        <v>1.0705882352941176</v>
      </c>
      <c r="V36" s="7" t="s">
        <v>1945</v>
      </c>
    </row>
    <row r="37" spans="1:22" x14ac:dyDescent="0.3">
      <c r="A37" s="7">
        <v>36</v>
      </c>
      <c r="B37" s="29" t="s">
        <v>23</v>
      </c>
      <c r="C37" s="29" t="s">
        <v>819</v>
      </c>
      <c r="D37" s="29">
        <v>50126227</v>
      </c>
      <c r="E37" s="29">
        <v>100</v>
      </c>
      <c r="F37" s="7">
        <v>139</v>
      </c>
      <c r="G37" s="7">
        <v>59</v>
      </c>
      <c r="H37" s="53" t="s">
        <v>154</v>
      </c>
      <c r="I37" s="7" t="s">
        <v>109</v>
      </c>
      <c r="J37" s="7" t="s">
        <v>130</v>
      </c>
      <c r="K37" s="11">
        <v>0.90763888888888888</v>
      </c>
      <c r="L37" s="7" t="s">
        <v>109</v>
      </c>
      <c r="M37" s="7" t="s">
        <v>109</v>
      </c>
      <c r="N37" s="32" t="s">
        <v>110</v>
      </c>
      <c r="O37" s="29" t="s">
        <v>61</v>
      </c>
      <c r="P37" s="7" t="s">
        <v>131</v>
      </c>
      <c r="Q37" s="7" t="s">
        <v>154</v>
      </c>
      <c r="R37" s="7" t="s">
        <v>62</v>
      </c>
      <c r="S37" s="7" t="s">
        <v>109</v>
      </c>
      <c r="T37" s="29" t="s">
        <v>424</v>
      </c>
      <c r="U37" s="108">
        <v>0.59</v>
      </c>
      <c r="V37" s="7" t="s">
        <v>152</v>
      </c>
    </row>
    <row r="38" spans="1:22" x14ac:dyDescent="0.3">
      <c r="A38" s="7">
        <v>37</v>
      </c>
      <c r="B38" s="29" t="s">
        <v>23</v>
      </c>
      <c r="C38" s="29" t="s">
        <v>733</v>
      </c>
      <c r="D38" s="29">
        <v>50126129</v>
      </c>
      <c r="E38" s="29">
        <v>120</v>
      </c>
      <c r="F38" s="7">
        <v>137</v>
      </c>
      <c r="G38" s="7">
        <v>21</v>
      </c>
      <c r="H38" s="53" t="s">
        <v>90</v>
      </c>
      <c r="I38" s="7" t="s">
        <v>109</v>
      </c>
      <c r="J38" s="7" t="s">
        <v>130</v>
      </c>
      <c r="K38" s="11">
        <v>0.77222222222222225</v>
      </c>
      <c r="L38" s="7" t="s">
        <v>109</v>
      </c>
      <c r="M38" s="7" t="s">
        <v>109</v>
      </c>
      <c r="N38" s="32" t="s">
        <v>110</v>
      </c>
      <c r="O38" s="29" t="s">
        <v>61</v>
      </c>
      <c r="P38" s="7" t="s">
        <v>131</v>
      </c>
      <c r="Q38" s="7" t="s">
        <v>90</v>
      </c>
      <c r="R38" s="7" t="s">
        <v>62</v>
      </c>
      <c r="S38" s="7" t="s">
        <v>109</v>
      </c>
      <c r="T38" s="29" t="s">
        <v>424</v>
      </c>
      <c r="U38" s="108">
        <v>0.17499999999999999</v>
      </c>
      <c r="V38" s="7" t="s">
        <v>152</v>
      </c>
    </row>
    <row r="39" spans="1:22" x14ac:dyDescent="0.3">
      <c r="A39" s="7">
        <v>38</v>
      </c>
      <c r="B39" s="29" t="s">
        <v>23</v>
      </c>
      <c r="C39" s="29" t="s">
        <v>735</v>
      </c>
      <c r="D39" s="29">
        <v>50126130</v>
      </c>
      <c r="E39" s="29">
        <v>85</v>
      </c>
      <c r="F39" s="7">
        <v>161</v>
      </c>
      <c r="G39" s="7">
        <v>38</v>
      </c>
      <c r="H39" s="53" t="s">
        <v>94</v>
      </c>
      <c r="I39" s="7" t="s">
        <v>109</v>
      </c>
      <c r="J39" s="7" t="s">
        <v>130</v>
      </c>
      <c r="K39" s="11">
        <v>0.7993055555555556</v>
      </c>
      <c r="L39" s="7" t="s">
        <v>109</v>
      </c>
      <c r="M39" s="7" t="s">
        <v>109</v>
      </c>
      <c r="N39" s="32" t="s">
        <v>110</v>
      </c>
      <c r="O39" s="29" t="s">
        <v>61</v>
      </c>
      <c r="P39" s="7" t="s">
        <v>131</v>
      </c>
      <c r="Q39" s="7" t="s">
        <v>94</v>
      </c>
      <c r="R39" s="7" t="s">
        <v>62</v>
      </c>
      <c r="S39" s="7" t="s">
        <v>109</v>
      </c>
      <c r="T39" s="29" t="s">
        <v>424</v>
      </c>
      <c r="U39" s="108">
        <v>0.44705882352941179</v>
      </c>
      <c r="V39" s="7" t="s">
        <v>1313</v>
      </c>
    </row>
    <row r="40" spans="1:22" x14ac:dyDescent="0.3">
      <c r="A40" s="7">
        <v>39</v>
      </c>
      <c r="B40" s="29" t="s">
        <v>23</v>
      </c>
      <c r="C40" s="29" t="s">
        <v>829</v>
      </c>
      <c r="D40" s="29">
        <v>50126176</v>
      </c>
      <c r="E40" s="29">
        <v>95</v>
      </c>
      <c r="F40" s="7">
        <v>150</v>
      </c>
      <c r="G40" s="7">
        <v>81</v>
      </c>
      <c r="H40" s="53" t="s">
        <v>87</v>
      </c>
      <c r="I40" s="7" t="s">
        <v>109</v>
      </c>
      <c r="J40" s="7" t="s">
        <v>130</v>
      </c>
      <c r="K40" s="11">
        <v>0.75069444444444444</v>
      </c>
      <c r="L40" s="7" t="s">
        <v>109</v>
      </c>
      <c r="M40" s="7" t="s">
        <v>109</v>
      </c>
      <c r="N40" s="32" t="s">
        <v>110</v>
      </c>
      <c r="O40" s="29" t="s">
        <v>61</v>
      </c>
      <c r="P40" s="7" t="s">
        <v>131</v>
      </c>
      <c r="Q40" s="7" t="s">
        <v>87</v>
      </c>
      <c r="R40" s="7" t="s">
        <v>62</v>
      </c>
      <c r="S40" s="7" t="s">
        <v>109</v>
      </c>
      <c r="T40" s="29" t="s">
        <v>424</v>
      </c>
      <c r="U40" s="108">
        <v>0.85263157894736841</v>
      </c>
      <c r="V40" s="7" t="s">
        <v>1945</v>
      </c>
    </row>
    <row r="41" spans="1:22" x14ac:dyDescent="0.3">
      <c r="A41" s="7">
        <v>40</v>
      </c>
      <c r="B41" s="29" t="s">
        <v>23</v>
      </c>
      <c r="C41" s="29" t="s">
        <v>2488</v>
      </c>
      <c r="D41" s="29">
        <v>50226109</v>
      </c>
      <c r="E41" s="29">
        <v>50</v>
      </c>
      <c r="F41" s="7">
        <v>60</v>
      </c>
      <c r="G41" s="7">
        <v>47</v>
      </c>
      <c r="H41" s="53" t="s">
        <v>69</v>
      </c>
      <c r="I41" s="7" t="s">
        <v>109</v>
      </c>
      <c r="J41" s="7" t="s">
        <v>130</v>
      </c>
      <c r="K41" s="11">
        <v>0.7680555555555556</v>
      </c>
      <c r="L41" s="7" t="s">
        <v>109</v>
      </c>
      <c r="M41" s="7" t="s">
        <v>109</v>
      </c>
      <c r="N41" s="29" t="s">
        <v>109</v>
      </c>
      <c r="O41" s="29" t="s">
        <v>61</v>
      </c>
      <c r="P41" s="7" t="s">
        <v>131</v>
      </c>
      <c r="Q41" s="7" t="s">
        <v>69</v>
      </c>
      <c r="R41" s="7" t="s">
        <v>62</v>
      </c>
      <c r="S41" s="7" t="s">
        <v>109</v>
      </c>
      <c r="T41" s="29" t="s">
        <v>424</v>
      </c>
      <c r="U41" s="108">
        <v>0.94</v>
      </c>
      <c r="V41" s="7" t="s">
        <v>1945</v>
      </c>
    </row>
    <row r="42" spans="1:22" x14ac:dyDescent="0.3">
      <c r="A42" s="7">
        <v>41</v>
      </c>
      <c r="B42" s="29" t="s">
        <v>23</v>
      </c>
      <c r="C42" s="29" t="s">
        <v>2489</v>
      </c>
      <c r="D42" s="29">
        <v>50226110</v>
      </c>
      <c r="E42" s="29">
        <v>50</v>
      </c>
      <c r="F42" s="7">
        <v>100</v>
      </c>
      <c r="G42" s="7">
        <v>54</v>
      </c>
      <c r="H42" s="53" t="s">
        <v>214</v>
      </c>
      <c r="I42" s="7" t="s">
        <v>109</v>
      </c>
      <c r="J42" s="7" t="s">
        <v>130</v>
      </c>
      <c r="K42" s="11">
        <v>0.91805555555555551</v>
      </c>
      <c r="L42" s="7" t="s">
        <v>109</v>
      </c>
      <c r="M42" s="7" t="s">
        <v>109</v>
      </c>
      <c r="N42" s="29" t="s">
        <v>109</v>
      </c>
      <c r="O42" s="29" t="s">
        <v>61</v>
      </c>
      <c r="P42" s="7" t="s">
        <v>131</v>
      </c>
      <c r="Q42" s="7" t="s">
        <v>214</v>
      </c>
      <c r="R42" s="7" t="s">
        <v>62</v>
      </c>
      <c r="S42" s="7" t="s">
        <v>109</v>
      </c>
      <c r="T42" s="29" t="s">
        <v>424</v>
      </c>
      <c r="U42" s="108">
        <v>1.08</v>
      </c>
      <c r="V42" s="7" t="s">
        <v>1945</v>
      </c>
    </row>
    <row r="43" spans="1:22" x14ac:dyDescent="0.3">
      <c r="A43" s="7">
        <v>42</v>
      </c>
      <c r="B43" s="29" t="s">
        <v>23</v>
      </c>
      <c r="C43" s="29" t="s">
        <v>521</v>
      </c>
      <c r="D43" s="29">
        <v>50126052</v>
      </c>
      <c r="E43" s="29">
        <v>25</v>
      </c>
      <c r="F43" s="7">
        <v>33</v>
      </c>
      <c r="G43" s="7">
        <v>28</v>
      </c>
      <c r="H43" s="53" t="s">
        <v>241</v>
      </c>
      <c r="I43" s="7" t="s">
        <v>109</v>
      </c>
      <c r="J43" s="7" t="s">
        <v>130</v>
      </c>
      <c r="K43" s="11">
        <v>1.6666666666666666E-2</v>
      </c>
      <c r="L43" s="7" t="s">
        <v>109</v>
      </c>
      <c r="M43" s="7" t="s">
        <v>109</v>
      </c>
      <c r="N43" s="29" t="s">
        <v>109</v>
      </c>
      <c r="O43" s="29" t="s">
        <v>61</v>
      </c>
      <c r="P43" s="7" t="s">
        <v>131</v>
      </c>
      <c r="Q43" s="7" t="s">
        <v>241</v>
      </c>
      <c r="R43" s="7" t="s">
        <v>62</v>
      </c>
      <c r="S43" s="7" t="s">
        <v>109</v>
      </c>
      <c r="T43" s="29" t="s">
        <v>424</v>
      </c>
      <c r="U43" s="108">
        <v>1.1200000000000001</v>
      </c>
      <c r="V43" s="7" t="s">
        <v>1945</v>
      </c>
    </row>
    <row r="44" spans="1:22" x14ac:dyDescent="0.3">
      <c r="A44" s="7">
        <v>43</v>
      </c>
      <c r="B44" s="29" t="s">
        <v>23</v>
      </c>
      <c r="C44" s="29" t="s">
        <v>526</v>
      </c>
      <c r="D44" s="29">
        <v>50126080</v>
      </c>
      <c r="E44" s="29">
        <v>30</v>
      </c>
      <c r="F44" s="7">
        <v>38</v>
      </c>
      <c r="G44" s="7">
        <v>34</v>
      </c>
      <c r="H44" s="53" t="s">
        <v>64</v>
      </c>
      <c r="I44" s="7" t="s">
        <v>109</v>
      </c>
      <c r="J44" s="7" t="s">
        <v>130</v>
      </c>
      <c r="K44" s="11">
        <v>0.93125000000000002</v>
      </c>
      <c r="L44" s="7" t="s">
        <v>109</v>
      </c>
      <c r="M44" s="7" t="s">
        <v>109</v>
      </c>
      <c r="N44" s="29" t="s">
        <v>109</v>
      </c>
      <c r="O44" s="29" t="s">
        <v>61</v>
      </c>
      <c r="P44" s="7" t="s">
        <v>131</v>
      </c>
      <c r="Q44" s="7" t="s">
        <v>64</v>
      </c>
      <c r="R44" s="7" t="s">
        <v>62</v>
      </c>
      <c r="S44" s="7" t="s">
        <v>109</v>
      </c>
      <c r="T44" s="29" t="s">
        <v>424</v>
      </c>
      <c r="U44" s="108">
        <v>1.1333333333333333</v>
      </c>
      <c r="V44" s="7" t="s">
        <v>1945</v>
      </c>
    </row>
    <row r="45" spans="1:22" x14ac:dyDescent="0.3">
      <c r="A45" s="7">
        <v>44</v>
      </c>
      <c r="B45" s="29" t="s">
        <v>143</v>
      </c>
      <c r="C45" s="29" t="s">
        <v>1667</v>
      </c>
      <c r="D45" s="29">
        <v>10126048</v>
      </c>
      <c r="E45" s="91">
        <v>125</v>
      </c>
      <c r="F45" s="7">
        <v>34</v>
      </c>
      <c r="G45" s="7">
        <v>2</v>
      </c>
      <c r="H45" s="7" t="s">
        <v>1785</v>
      </c>
      <c r="I45" s="7" t="s">
        <v>970</v>
      </c>
      <c r="J45" s="7" t="s">
        <v>130</v>
      </c>
      <c r="K45" s="11">
        <v>0.74652777777777779</v>
      </c>
      <c r="L45" s="11">
        <v>0.76388888888888884</v>
      </c>
      <c r="M45" s="7" t="s">
        <v>109</v>
      </c>
      <c r="N45" s="29" t="s">
        <v>109</v>
      </c>
      <c r="O45" s="29" t="s">
        <v>61</v>
      </c>
      <c r="P45" s="7" t="s">
        <v>131</v>
      </c>
      <c r="Q45" s="7" t="s">
        <v>87</v>
      </c>
      <c r="R45" s="7" t="s">
        <v>62</v>
      </c>
      <c r="S45" s="7" t="s">
        <v>109</v>
      </c>
      <c r="T45" s="29" t="s">
        <v>402</v>
      </c>
      <c r="U45" s="108">
        <v>1.6E-2</v>
      </c>
      <c r="V45" s="7" t="s">
        <v>152</v>
      </c>
    </row>
    <row r="46" spans="1:22" x14ac:dyDescent="0.3">
      <c r="A46" s="7">
        <v>45</v>
      </c>
      <c r="B46" s="29" t="s">
        <v>143</v>
      </c>
      <c r="C46" s="29" t="s">
        <v>2331</v>
      </c>
      <c r="D46" s="29">
        <v>10226031</v>
      </c>
      <c r="E46" s="91">
        <v>122</v>
      </c>
      <c r="F46" s="7">
        <v>151</v>
      </c>
      <c r="G46" s="7">
        <v>13</v>
      </c>
      <c r="H46" s="7" t="s">
        <v>2607</v>
      </c>
      <c r="I46" s="7" t="s">
        <v>2608</v>
      </c>
      <c r="J46" s="7" t="s">
        <v>130</v>
      </c>
      <c r="K46" s="11">
        <v>0.74236111111111114</v>
      </c>
      <c r="L46" s="11">
        <v>0.81388888888888888</v>
      </c>
      <c r="M46" s="7" t="s">
        <v>109</v>
      </c>
      <c r="N46" s="29" t="s">
        <v>109</v>
      </c>
      <c r="O46" s="29" t="s">
        <v>61</v>
      </c>
      <c r="P46" s="7" t="s">
        <v>131</v>
      </c>
      <c r="Q46" s="7" t="s">
        <v>87</v>
      </c>
      <c r="R46" s="7" t="s">
        <v>62</v>
      </c>
      <c r="S46" s="7" t="s">
        <v>109</v>
      </c>
      <c r="T46" s="29" t="s">
        <v>121</v>
      </c>
      <c r="U46" s="108">
        <v>0.10655737704918032</v>
      </c>
      <c r="V46" s="7" t="s">
        <v>152</v>
      </c>
    </row>
    <row r="47" spans="1:22" x14ac:dyDescent="0.3">
      <c r="A47" s="7">
        <v>46</v>
      </c>
      <c r="B47" s="29" t="s">
        <v>143</v>
      </c>
      <c r="C47" s="29" t="s">
        <v>2360</v>
      </c>
      <c r="D47" s="29">
        <v>10226037</v>
      </c>
      <c r="E47" s="91" t="s">
        <v>287</v>
      </c>
      <c r="F47" s="7">
        <v>95</v>
      </c>
      <c r="G47" s="7">
        <v>24</v>
      </c>
      <c r="H47" s="53" t="s">
        <v>241</v>
      </c>
      <c r="I47" s="7" t="s">
        <v>154</v>
      </c>
      <c r="J47" s="7" t="s">
        <v>130</v>
      </c>
      <c r="K47" s="11">
        <v>0.88402777777777775</v>
      </c>
      <c r="L47" s="11">
        <v>0.91388888888888886</v>
      </c>
      <c r="M47" s="7" t="s">
        <v>109</v>
      </c>
      <c r="N47" s="29" t="s">
        <v>109</v>
      </c>
      <c r="O47" s="29" t="s">
        <v>61</v>
      </c>
      <c r="P47" s="7" t="s">
        <v>131</v>
      </c>
      <c r="Q47" s="7" t="s">
        <v>241</v>
      </c>
      <c r="R47" s="7" t="s">
        <v>62</v>
      </c>
      <c r="S47" s="7" t="s">
        <v>109</v>
      </c>
      <c r="T47" s="29" t="s">
        <v>121</v>
      </c>
      <c r="U47" s="108" t="e">
        <v>#VALUE!</v>
      </c>
      <c r="V47" s="7" t="s">
        <v>152</v>
      </c>
    </row>
    <row r="48" spans="1:22" x14ac:dyDescent="0.3">
      <c r="A48" s="7">
        <v>47</v>
      </c>
      <c r="B48" s="29" t="s">
        <v>143</v>
      </c>
      <c r="C48" s="29" t="s">
        <v>2361</v>
      </c>
      <c r="D48" s="29">
        <v>10226039</v>
      </c>
      <c r="E48" s="91" t="s">
        <v>287</v>
      </c>
      <c r="F48" s="7">
        <v>4</v>
      </c>
      <c r="G48" s="7">
        <v>1</v>
      </c>
      <c r="H48" s="53" t="s">
        <v>82</v>
      </c>
      <c r="I48" s="7" t="s">
        <v>89</v>
      </c>
      <c r="J48" s="7" t="s">
        <v>130</v>
      </c>
      <c r="K48" s="11">
        <v>0.98472222222222228</v>
      </c>
      <c r="L48" s="11">
        <v>0.98541666666666672</v>
      </c>
      <c r="M48" s="7" t="s">
        <v>109</v>
      </c>
      <c r="N48" s="29" t="s">
        <v>109</v>
      </c>
      <c r="O48" s="29" t="s">
        <v>61</v>
      </c>
      <c r="P48" s="7" t="s">
        <v>131</v>
      </c>
      <c r="Q48" s="7" t="s">
        <v>89</v>
      </c>
      <c r="R48" s="7" t="s">
        <v>62</v>
      </c>
      <c r="S48" s="7" t="s">
        <v>109</v>
      </c>
      <c r="T48" s="29" t="s">
        <v>121</v>
      </c>
      <c r="U48" s="108" t="e">
        <v>#VALUE!</v>
      </c>
      <c r="V48" s="7" t="s">
        <v>152</v>
      </c>
    </row>
    <row r="49" spans="1:22" x14ac:dyDescent="0.3">
      <c r="A49" s="7">
        <v>48</v>
      </c>
      <c r="B49" s="29" t="s">
        <v>143</v>
      </c>
      <c r="C49" s="29" t="s">
        <v>2333</v>
      </c>
      <c r="D49" s="29">
        <v>10226028</v>
      </c>
      <c r="E49" s="91">
        <v>65</v>
      </c>
      <c r="F49" s="7">
        <v>97</v>
      </c>
      <c r="G49" s="7">
        <v>54</v>
      </c>
      <c r="H49" s="53" t="s">
        <v>274</v>
      </c>
      <c r="I49" s="53" t="s">
        <v>93</v>
      </c>
      <c r="J49" s="7" t="s">
        <v>130</v>
      </c>
      <c r="K49" s="11">
        <v>1.1805555555555555E-2</v>
      </c>
      <c r="L49" s="11">
        <v>2.7777777777777776E-2</v>
      </c>
      <c r="M49" s="7" t="s">
        <v>109</v>
      </c>
      <c r="N49" s="29" t="s">
        <v>109</v>
      </c>
      <c r="O49" s="29" t="s">
        <v>61</v>
      </c>
      <c r="P49" s="7" t="s">
        <v>131</v>
      </c>
      <c r="Q49" s="7" t="s">
        <v>93</v>
      </c>
      <c r="R49" s="7" t="s">
        <v>62</v>
      </c>
      <c r="S49" s="7" t="s">
        <v>109</v>
      </c>
      <c r="T49" s="29" t="s">
        <v>121</v>
      </c>
      <c r="U49" s="108">
        <v>0.83076923076923082</v>
      </c>
      <c r="V49" s="7" t="s">
        <v>1313</v>
      </c>
    </row>
    <row r="50" spans="1:22" x14ac:dyDescent="0.3">
      <c r="A50" s="7">
        <v>49</v>
      </c>
      <c r="B50" s="29" t="s">
        <v>143</v>
      </c>
      <c r="C50" s="29" t="s">
        <v>2363</v>
      </c>
      <c r="D50" s="29">
        <v>10226033</v>
      </c>
      <c r="E50" s="91">
        <v>25</v>
      </c>
      <c r="F50" s="7">
        <v>38</v>
      </c>
      <c r="G50" s="7">
        <v>26</v>
      </c>
      <c r="H50" s="53" t="s">
        <v>68</v>
      </c>
      <c r="I50" s="7" t="s">
        <v>86</v>
      </c>
      <c r="J50" s="7" t="s">
        <v>130</v>
      </c>
      <c r="K50" s="11">
        <v>0.96666666666666667</v>
      </c>
      <c r="L50" s="11">
        <v>0.97499999999999998</v>
      </c>
      <c r="M50" s="7" t="s">
        <v>109</v>
      </c>
      <c r="N50" s="29" t="s">
        <v>109</v>
      </c>
      <c r="O50" s="29" t="s">
        <v>61</v>
      </c>
      <c r="P50" s="7" t="s">
        <v>131</v>
      </c>
      <c r="Q50" s="7" t="s">
        <v>86</v>
      </c>
      <c r="R50" s="7" t="s">
        <v>62</v>
      </c>
      <c r="S50" s="7" t="s">
        <v>109</v>
      </c>
      <c r="T50" s="29" t="s">
        <v>121</v>
      </c>
      <c r="U50" s="108">
        <v>1.04</v>
      </c>
      <c r="V50" s="7" t="s">
        <v>1945</v>
      </c>
    </row>
    <row r="51" spans="1:22" x14ac:dyDescent="0.3">
      <c r="A51" s="7">
        <v>50</v>
      </c>
      <c r="B51" s="29" t="s">
        <v>143</v>
      </c>
      <c r="C51" s="29" t="s">
        <v>2364</v>
      </c>
      <c r="D51" s="29">
        <v>10226035</v>
      </c>
      <c r="E51" s="91">
        <v>20</v>
      </c>
      <c r="F51" s="7">
        <v>88</v>
      </c>
      <c r="G51" s="7">
        <v>22</v>
      </c>
      <c r="H51" s="53" t="s">
        <v>70</v>
      </c>
      <c r="I51" s="7" t="s">
        <v>90</v>
      </c>
      <c r="J51" s="7" t="s">
        <v>130</v>
      </c>
      <c r="K51" s="11">
        <v>0.80347222222222225</v>
      </c>
      <c r="L51" s="11">
        <v>0.81041666666666667</v>
      </c>
      <c r="M51" s="7" t="s">
        <v>109</v>
      </c>
      <c r="N51" s="29" t="s">
        <v>109</v>
      </c>
      <c r="O51" s="29" t="s">
        <v>61</v>
      </c>
      <c r="P51" s="7" t="s">
        <v>131</v>
      </c>
      <c r="Q51" s="7" t="s">
        <v>90</v>
      </c>
      <c r="R51" s="7" t="s">
        <v>62</v>
      </c>
      <c r="S51" s="7" t="s">
        <v>109</v>
      </c>
      <c r="T51" s="29" t="s">
        <v>121</v>
      </c>
      <c r="U51" s="108">
        <v>1.1000000000000001</v>
      </c>
      <c r="V51" s="7" t="s">
        <v>1945</v>
      </c>
    </row>
    <row r="52" spans="1:22" x14ac:dyDescent="0.3">
      <c r="A52" s="7">
        <v>51</v>
      </c>
      <c r="B52" s="29" t="s">
        <v>143</v>
      </c>
      <c r="C52" s="29" t="s">
        <v>2609</v>
      </c>
      <c r="D52" s="29">
        <v>10226024</v>
      </c>
      <c r="E52" s="91" t="s">
        <v>287</v>
      </c>
      <c r="F52" s="7">
        <v>7</v>
      </c>
      <c r="G52" s="7">
        <v>2</v>
      </c>
      <c r="H52" s="53" t="s">
        <v>214</v>
      </c>
      <c r="I52" s="7" t="s">
        <v>209</v>
      </c>
      <c r="J52" s="7" t="s">
        <v>130</v>
      </c>
      <c r="K52" s="11">
        <v>0.70486111111111116</v>
      </c>
      <c r="L52" s="11">
        <v>0.77777777777777779</v>
      </c>
      <c r="M52" s="7" t="s">
        <v>109</v>
      </c>
      <c r="N52" s="29" t="s">
        <v>109</v>
      </c>
      <c r="O52" s="29" t="s">
        <v>61</v>
      </c>
      <c r="P52" s="7" t="s">
        <v>131</v>
      </c>
      <c r="Q52" s="7" t="s">
        <v>209</v>
      </c>
      <c r="R52" s="7" t="s">
        <v>62</v>
      </c>
      <c r="S52" s="7" t="s">
        <v>109</v>
      </c>
      <c r="T52" s="29" t="s">
        <v>1665</v>
      </c>
      <c r="U52" s="108" t="e">
        <v>#VALUE!</v>
      </c>
      <c r="V52" s="7" t="s">
        <v>152</v>
      </c>
    </row>
    <row r="53" spans="1:22" x14ac:dyDescent="0.3">
      <c r="A53" s="7">
        <v>52</v>
      </c>
      <c r="B53" s="29" t="s">
        <v>143</v>
      </c>
      <c r="C53" s="29" t="s">
        <v>1598</v>
      </c>
      <c r="D53" s="29">
        <v>10126044</v>
      </c>
      <c r="E53" s="91">
        <v>100</v>
      </c>
      <c r="F53" s="7">
        <f>166+70</f>
        <v>236</v>
      </c>
      <c r="G53" s="7">
        <f>25+7</f>
        <v>32</v>
      </c>
      <c r="H53" s="53" t="s">
        <v>222</v>
      </c>
      <c r="I53" s="7" t="s">
        <v>91</v>
      </c>
      <c r="J53" s="7" t="s">
        <v>130</v>
      </c>
      <c r="K53" s="11">
        <v>0.96458333333333335</v>
      </c>
      <c r="L53" s="11">
        <v>0.97638888888888886</v>
      </c>
      <c r="M53" s="7" t="s">
        <v>109</v>
      </c>
      <c r="N53" s="29" t="s">
        <v>109</v>
      </c>
      <c r="O53" s="29" t="s">
        <v>61</v>
      </c>
      <c r="P53" s="7" t="s">
        <v>131</v>
      </c>
      <c r="Q53" s="7" t="s">
        <v>91</v>
      </c>
      <c r="R53" s="7" t="s">
        <v>62</v>
      </c>
      <c r="S53" s="7" t="s">
        <v>109</v>
      </c>
      <c r="T53" s="29" t="s">
        <v>480</v>
      </c>
      <c r="U53" s="108">
        <v>0.32</v>
      </c>
      <c r="V53" s="7" t="s">
        <v>2391</v>
      </c>
    </row>
    <row r="54" spans="1:22" x14ac:dyDescent="0.3">
      <c r="A54" s="7">
        <v>53</v>
      </c>
      <c r="B54" s="29" t="s">
        <v>143</v>
      </c>
      <c r="C54" s="29" t="s">
        <v>2610</v>
      </c>
      <c r="D54" s="135">
        <v>10226054</v>
      </c>
      <c r="E54" s="91">
        <v>55</v>
      </c>
      <c r="F54" s="7">
        <v>19</v>
      </c>
      <c r="G54" s="7">
        <v>8</v>
      </c>
      <c r="H54" s="53" t="s">
        <v>222</v>
      </c>
      <c r="I54" s="7" t="s">
        <v>154</v>
      </c>
      <c r="J54" s="7" t="s">
        <v>130</v>
      </c>
      <c r="K54" s="11">
        <v>0.94374999999999998</v>
      </c>
      <c r="L54" s="11">
        <v>0.96180555555555558</v>
      </c>
      <c r="M54" s="7" t="s">
        <v>109</v>
      </c>
      <c r="N54" s="29" t="s">
        <v>109</v>
      </c>
      <c r="O54" s="29" t="s">
        <v>61</v>
      </c>
      <c r="P54" s="7" t="s">
        <v>131</v>
      </c>
      <c r="Q54" s="7" t="s">
        <v>154</v>
      </c>
      <c r="R54" s="7" t="s">
        <v>62</v>
      </c>
      <c r="S54" s="7" t="s">
        <v>109</v>
      </c>
      <c r="T54" s="29" t="s">
        <v>121</v>
      </c>
      <c r="U54" s="108">
        <v>0.14545454545454545</v>
      </c>
      <c r="V54" s="7" t="s">
        <v>152</v>
      </c>
    </row>
    <row r="55" spans="1:22" x14ac:dyDescent="0.3">
      <c r="A55" s="7">
        <v>54</v>
      </c>
      <c r="B55" s="29" t="s">
        <v>143</v>
      </c>
      <c r="C55" s="29" t="s">
        <v>2510</v>
      </c>
      <c r="D55" s="29">
        <v>10226049</v>
      </c>
      <c r="E55" s="91">
        <v>95</v>
      </c>
      <c r="F55" s="7">
        <v>188</v>
      </c>
      <c r="G55" s="7">
        <v>67</v>
      </c>
      <c r="H55" s="7" t="s">
        <v>1292</v>
      </c>
      <c r="I55" s="7" t="s">
        <v>2627</v>
      </c>
      <c r="J55" s="7" t="s">
        <v>130</v>
      </c>
      <c r="K55" s="11">
        <v>0.93333333333333335</v>
      </c>
      <c r="L55" s="11">
        <v>2.7777777777777779E-3</v>
      </c>
      <c r="M55" s="7" t="s">
        <v>109</v>
      </c>
      <c r="N55" s="29" t="s">
        <v>109</v>
      </c>
      <c r="O55" s="29" t="s">
        <v>61</v>
      </c>
      <c r="P55" s="7" t="s">
        <v>131</v>
      </c>
      <c r="Q55" s="7" t="s">
        <v>209</v>
      </c>
      <c r="R55" s="7" t="s">
        <v>62</v>
      </c>
      <c r="S55" s="7" t="s">
        <v>109</v>
      </c>
      <c r="T55" s="29" t="s">
        <v>398</v>
      </c>
      <c r="U55" s="108">
        <v>0.70526315789473681</v>
      </c>
      <c r="V55" s="7" t="s">
        <v>1313</v>
      </c>
    </row>
    <row r="56" spans="1:22" x14ac:dyDescent="0.3">
      <c r="A56" s="7">
        <v>55</v>
      </c>
      <c r="B56" s="29" t="s">
        <v>143</v>
      </c>
      <c r="C56" s="29" t="s">
        <v>2512</v>
      </c>
      <c r="D56" s="29">
        <v>10226047</v>
      </c>
      <c r="E56" s="91">
        <v>100</v>
      </c>
      <c r="F56" s="7">
        <v>253</v>
      </c>
      <c r="G56" s="7">
        <v>47</v>
      </c>
      <c r="H56" s="53" t="s">
        <v>2595</v>
      </c>
      <c r="I56" s="7" t="s">
        <v>1549</v>
      </c>
      <c r="J56" s="7" t="s">
        <v>130</v>
      </c>
      <c r="K56" s="11">
        <v>0.93472222222222223</v>
      </c>
      <c r="L56" s="11">
        <v>1.7361111111111112E-2</v>
      </c>
      <c r="M56" s="7" t="s">
        <v>109</v>
      </c>
      <c r="N56" s="29" t="s">
        <v>109</v>
      </c>
      <c r="O56" s="29" t="s">
        <v>61</v>
      </c>
      <c r="P56" s="7" t="s">
        <v>131</v>
      </c>
      <c r="Q56" s="7" t="s">
        <v>94</v>
      </c>
      <c r="R56" s="7" t="s">
        <v>62</v>
      </c>
      <c r="S56" s="7" t="s">
        <v>109</v>
      </c>
      <c r="T56" s="29" t="s">
        <v>398</v>
      </c>
      <c r="U56" s="108">
        <v>0.47</v>
      </c>
      <c r="V56" s="7" t="s">
        <v>1313</v>
      </c>
    </row>
    <row r="57" spans="1:22" x14ac:dyDescent="0.3">
      <c r="A57" s="7">
        <v>56</v>
      </c>
      <c r="B57" s="29" t="s">
        <v>143</v>
      </c>
      <c r="C57" s="29" t="s">
        <v>2611</v>
      </c>
      <c r="D57" s="29">
        <v>10226052</v>
      </c>
      <c r="E57" s="91">
        <v>90</v>
      </c>
      <c r="F57" s="7">
        <v>127</v>
      </c>
      <c r="G57" s="7">
        <v>106</v>
      </c>
      <c r="H57" s="53" t="s">
        <v>82</v>
      </c>
      <c r="I57" s="7" t="s">
        <v>95</v>
      </c>
      <c r="J57" s="7" t="s">
        <v>130</v>
      </c>
      <c r="K57" s="11">
        <v>0.81874999999999998</v>
      </c>
      <c r="L57" s="11">
        <v>0.84305555555555556</v>
      </c>
      <c r="M57" s="7" t="s">
        <v>109</v>
      </c>
      <c r="N57" s="29" t="s">
        <v>109</v>
      </c>
      <c r="O57" s="29" t="s">
        <v>61</v>
      </c>
      <c r="P57" s="7" t="s">
        <v>131</v>
      </c>
      <c r="Q57" s="7" t="s">
        <v>95</v>
      </c>
      <c r="R57" s="7" t="s">
        <v>62</v>
      </c>
      <c r="S57" s="7" t="s">
        <v>109</v>
      </c>
      <c r="T57" s="29" t="s">
        <v>2612</v>
      </c>
      <c r="U57" s="108">
        <v>1.1777777777777778</v>
      </c>
      <c r="V57" s="7" t="s">
        <v>1945</v>
      </c>
    </row>
    <row r="58" spans="1:22" x14ac:dyDescent="0.3">
      <c r="A58" s="7">
        <v>57</v>
      </c>
      <c r="B58" s="29" t="s">
        <v>143</v>
      </c>
      <c r="C58" s="29" t="s">
        <v>2613</v>
      </c>
      <c r="D58" s="29">
        <v>10226053</v>
      </c>
      <c r="E58" s="91">
        <v>60</v>
      </c>
      <c r="F58" s="7">
        <v>80</v>
      </c>
      <c r="G58" s="7">
        <v>59</v>
      </c>
      <c r="H58" s="53" t="s">
        <v>200</v>
      </c>
      <c r="I58" s="7" t="s">
        <v>87</v>
      </c>
      <c r="J58" s="7" t="s">
        <v>130</v>
      </c>
      <c r="K58" s="11">
        <v>0.76944444444444449</v>
      </c>
      <c r="L58" s="11">
        <v>0.83402777777777781</v>
      </c>
      <c r="M58" s="7" t="s">
        <v>109</v>
      </c>
      <c r="N58" s="29" t="s">
        <v>109</v>
      </c>
      <c r="O58" s="29" t="s">
        <v>61</v>
      </c>
      <c r="P58" s="7" t="s">
        <v>131</v>
      </c>
      <c r="Q58" s="7" t="s">
        <v>87</v>
      </c>
      <c r="R58" s="7" t="s">
        <v>62</v>
      </c>
      <c r="S58" s="7" t="s">
        <v>109</v>
      </c>
      <c r="T58" s="29" t="s">
        <v>2612</v>
      </c>
      <c r="U58" s="108">
        <v>0.98333333333333328</v>
      </c>
      <c r="V58" s="7" t="s">
        <v>1945</v>
      </c>
    </row>
    <row r="59" spans="1:22" x14ac:dyDescent="0.3">
      <c r="A59" s="7">
        <v>58</v>
      </c>
      <c r="B59" s="29" t="s">
        <v>143</v>
      </c>
      <c r="C59" s="29" t="s">
        <v>2614</v>
      </c>
      <c r="D59" s="135">
        <v>10226055</v>
      </c>
      <c r="E59" s="91">
        <v>50</v>
      </c>
      <c r="F59" s="7">
        <v>30</v>
      </c>
      <c r="G59" s="7">
        <v>14</v>
      </c>
      <c r="H59" s="53" t="s">
        <v>274</v>
      </c>
      <c r="I59" s="7" t="s">
        <v>91</v>
      </c>
      <c r="J59" s="7" t="s">
        <v>130</v>
      </c>
      <c r="K59" s="11">
        <v>0.78611111111111109</v>
      </c>
      <c r="L59" s="11">
        <v>0.82222222222222219</v>
      </c>
      <c r="M59" s="7" t="s">
        <v>109</v>
      </c>
      <c r="N59" s="29" t="s">
        <v>109</v>
      </c>
      <c r="O59" s="29" t="s">
        <v>61</v>
      </c>
      <c r="P59" s="7" t="s">
        <v>131</v>
      </c>
      <c r="Q59" s="7" t="s">
        <v>603</v>
      </c>
      <c r="R59" s="7" t="s">
        <v>62</v>
      </c>
      <c r="S59" s="7" t="s">
        <v>109</v>
      </c>
      <c r="T59" s="29" t="s">
        <v>398</v>
      </c>
      <c r="U59" s="108">
        <v>0.28000000000000003</v>
      </c>
      <c r="V59" s="7" t="s">
        <v>152</v>
      </c>
    </row>
    <row r="60" spans="1:22" x14ac:dyDescent="0.3">
      <c r="A60" s="7">
        <v>59</v>
      </c>
      <c r="B60" s="29" t="s">
        <v>411</v>
      </c>
      <c r="C60" s="29" t="s">
        <v>2567</v>
      </c>
      <c r="D60" s="29">
        <v>30226016</v>
      </c>
      <c r="E60" s="91">
        <v>176</v>
      </c>
      <c r="F60" s="7">
        <v>34</v>
      </c>
      <c r="G60" s="7">
        <v>5</v>
      </c>
      <c r="H60" s="53" t="s">
        <v>2615</v>
      </c>
      <c r="I60" s="7" t="s">
        <v>2616</v>
      </c>
      <c r="J60" s="7" t="s">
        <v>130</v>
      </c>
      <c r="K60" s="11">
        <v>0.74097222222222225</v>
      </c>
      <c r="L60" s="11">
        <v>0.81527777777777777</v>
      </c>
      <c r="M60" s="7" t="s">
        <v>109</v>
      </c>
      <c r="N60" s="32" t="s">
        <v>2617</v>
      </c>
      <c r="O60" s="29" t="s">
        <v>61</v>
      </c>
      <c r="P60" s="7" t="s">
        <v>131</v>
      </c>
      <c r="Q60" s="7" t="s">
        <v>93</v>
      </c>
      <c r="R60" s="7" t="s">
        <v>62</v>
      </c>
      <c r="S60" s="7" t="s">
        <v>109</v>
      </c>
      <c r="T60" s="29" t="s">
        <v>1359</v>
      </c>
      <c r="U60" s="108">
        <v>2.8409090909090908E-2</v>
      </c>
      <c r="V60" s="7" t="s">
        <v>152</v>
      </c>
    </row>
    <row r="61" spans="1:22" x14ac:dyDescent="0.3">
      <c r="A61" s="7">
        <v>60</v>
      </c>
      <c r="B61" s="29" t="s">
        <v>411</v>
      </c>
      <c r="C61" s="29" t="s">
        <v>2618</v>
      </c>
      <c r="D61" s="29">
        <v>30226015</v>
      </c>
      <c r="E61" s="91">
        <v>100</v>
      </c>
      <c r="F61" s="7">
        <v>3</v>
      </c>
      <c r="G61" s="7">
        <v>0</v>
      </c>
      <c r="H61" s="53" t="s">
        <v>70</v>
      </c>
      <c r="I61" s="53" t="s">
        <v>90</v>
      </c>
      <c r="J61" s="7" t="s">
        <v>130</v>
      </c>
      <c r="K61" s="11">
        <v>0.82013888888888886</v>
      </c>
      <c r="L61" s="11">
        <v>0.8256944444444444</v>
      </c>
      <c r="M61" s="7" t="s">
        <v>109</v>
      </c>
      <c r="N61" s="32" t="s">
        <v>2617</v>
      </c>
      <c r="O61" s="29" t="s">
        <v>61</v>
      </c>
      <c r="P61" s="7" t="s">
        <v>131</v>
      </c>
      <c r="Q61" s="7" t="s">
        <v>90</v>
      </c>
      <c r="R61" s="7" t="s">
        <v>62</v>
      </c>
      <c r="S61" s="7" t="s">
        <v>109</v>
      </c>
      <c r="T61" s="29" t="s">
        <v>1359</v>
      </c>
      <c r="U61" s="108">
        <v>0</v>
      </c>
      <c r="V61" s="7" t="s">
        <v>152</v>
      </c>
    </row>
    <row r="62" spans="1:22" x14ac:dyDescent="0.3">
      <c r="A62" s="7">
        <v>61</v>
      </c>
      <c r="B62" s="29" t="s">
        <v>411</v>
      </c>
      <c r="C62" s="29" t="s">
        <v>2572</v>
      </c>
      <c r="D62" s="29">
        <v>30226014</v>
      </c>
      <c r="E62" s="91">
        <v>250</v>
      </c>
      <c r="F62" s="7">
        <v>31</v>
      </c>
      <c r="G62" s="7">
        <v>9</v>
      </c>
      <c r="H62" s="53" t="s">
        <v>64</v>
      </c>
      <c r="I62" s="53" t="s">
        <v>86</v>
      </c>
      <c r="J62" s="7" t="s">
        <v>130</v>
      </c>
      <c r="K62" s="11">
        <v>9.7222222222222224E-3</v>
      </c>
      <c r="L62" s="11">
        <v>2.0833333333333332E-2</v>
      </c>
      <c r="M62" s="7" t="s">
        <v>109</v>
      </c>
      <c r="N62" s="32" t="s">
        <v>2617</v>
      </c>
      <c r="O62" s="29" t="s">
        <v>61</v>
      </c>
      <c r="P62" s="7" t="s">
        <v>131</v>
      </c>
      <c r="Q62" s="7" t="s">
        <v>86</v>
      </c>
      <c r="R62" s="7" t="s">
        <v>62</v>
      </c>
      <c r="S62" s="7" t="s">
        <v>109</v>
      </c>
      <c r="T62" s="29" t="s">
        <v>1359</v>
      </c>
      <c r="U62" s="108">
        <v>3.5999999999999997E-2</v>
      </c>
      <c r="V62" s="7" t="s">
        <v>152</v>
      </c>
    </row>
    <row r="63" spans="1:22" x14ac:dyDescent="0.3">
      <c r="A63" s="7">
        <v>62</v>
      </c>
      <c r="B63" s="29" t="s">
        <v>411</v>
      </c>
      <c r="C63" s="29" t="s">
        <v>2619</v>
      </c>
      <c r="D63" s="29">
        <v>30226018</v>
      </c>
      <c r="E63" s="91">
        <v>265</v>
      </c>
      <c r="F63" s="7">
        <v>471</v>
      </c>
      <c r="G63" s="7">
        <v>208</v>
      </c>
      <c r="H63" s="53" t="s">
        <v>2620</v>
      </c>
      <c r="I63" s="7" t="s">
        <v>2621</v>
      </c>
      <c r="J63" s="7" t="s">
        <v>130</v>
      </c>
      <c r="K63" s="11">
        <v>0.92777777777777781</v>
      </c>
      <c r="L63" s="11">
        <v>0.96666666666666667</v>
      </c>
      <c r="M63" s="7" t="s">
        <v>109</v>
      </c>
      <c r="N63" s="29" t="s">
        <v>109</v>
      </c>
      <c r="O63" s="29" t="s">
        <v>61</v>
      </c>
      <c r="P63" s="7" t="s">
        <v>131</v>
      </c>
      <c r="Q63" s="7" t="s">
        <v>89</v>
      </c>
      <c r="R63" s="7" t="s">
        <v>62</v>
      </c>
      <c r="S63" s="7" t="s">
        <v>109</v>
      </c>
      <c r="T63" s="29" t="s">
        <v>295</v>
      </c>
      <c r="U63" s="108">
        <v>0.78490566037735854</v>
      </c>
      <c r="V63" s="7" t="s">
        <v>1313</v>
      </c>
    </row>
    <row r="64" spans="1:22" x14ac:dyDescent="0.3">
      <c r="A64" s="7">
        <v>63</v>
      </c>
      <c r="B64" s="29" t="s">
        <v>411</v>
      </c>
      <c r="C64" s="29" t="s">
        <v>2622</v>
      </c>
      <c r="D64" s="29">
        <v>30226019</v>
      </c>
      <c r="E64" s="91">
        <v>215</v>
      </c>
      <c r="F64" s="7">
        <v>466</v>
      </c>
      <c r="G64" s="7">
        <v>79</v>
      </c>
      <c r="H64" s="7" t="s">
        <v>2623</v>
      </c>
      <c r="I64" s="7" t="s">
        <v>2624</v>
      </c>
      <c r="J64" s="7" t="s">
        <v>130</v>
      </c>
      <c r="K64" s="11">
        <v>0.76875000000000004</v>
      </c>
      <c r="L64" s="11">
        <v>0.80347222222222225</v>
      </c>
      <c r="M64" s="7" t="s">
        <v>109</v>
      </c>
      <c r="N64" s="29" t="s">
        <v>109</v>
      </c>
      <c r="O64" s="29" t="s">
        <v>61</v>
      </c>
      <c r="P64" s="7" t="s">
        <v>131</v>
      </c>
      <c r="Q64" s="7" t="s">
        <v>89</v>
      </c>
      <c r="R64" s="7" t="s">
        <v>62</v>
      </c>
      <c r="S64" s="7" t="s">
        <v>109</v>
      </c>
      <c r="T64" s="29" t="s">
        <v>295</v>
      </c>
      <c r="U64" s="108">
        <v>0.36744186046511629</v>
      </c>
      <c r="V64" s="7" t="s">
        <v>1313</v>
      </c>
    </row>
    <row r="65" spans="1:22" x14ac:dyDescent="0.3">
      <c r="A65" s="7">
        <v>64</v>
      </c>
      <c r="B65" s="29" t="s">
        <v>411</v>
      </c>
      <c r="C65" s="29" t="s">
        <v>2625</v>
      </c>
      <c r="D65" s="29">
        <v>30226020</v>
      </c>
      <c r="E65" s="29">
        <v>38</v>
      </c>
      <c r="F65" s="7">
        <v>24</v>
      </c>
      <c r="G65" s="7">
        <v>12</v>
      </c>
      <c r="H65" s="53" t="s">
        <v>67</v>
      </c>
      <c r="I65" s="53" t="s">
        <v>95</v>
      </c>
      <c r="J65" s="7" t="s">
        <v>130</v>
      </c>
      <c r="K65" s="11">
        <v>0.95</v>
      </c>
      <c r="L65" s="11">
        <v>4.8611111111111112E-3</v>
      </c>
      <c r="M65" s="7" t="s">
        <v>109</v>
      </c>
      <c r="N65" s="7" t="s">
        <v>109</v>
      </c>
      <c r="O65" s="29" t="s">
        <v>61</v>
      </c>
      <c r="P65" s="7" t="s">
        <v>131</v>
      </c>
      <c r="Q65" s="7" t="s">
        <v>95</v>
      </c>
      <c r="R65" s="7" t="s">
        <v>62</v>
      </c>
      <c r="S65" s="7" t="s">
        <v>109</v>
      </c>
      <c r="T65" s="29" t="s">
        <v>1562</v>
      </c>
      <c r="U65" s="108">
        <v>0.31578947368421051</v>
      </c>
      <c r="V65" s="7" t="s">
        <v>152</v>
      </c>
    </row>
    <row r="66" spans="1:22" x14ac:dyDescent="0.3">
      <c r="A66" s="7">
        <v>65</v>
      </c>
      <c r="B66" s="29" t="s">
        <v>411</v>
      </c>
      <c r="C66" s="29" t="s">
        <v>2626</v>
      </c>
      <c r="D66" s="29">
        <v>30226022</v>
      </c>
      <c r="E66" s="29">
        <v>66</v>
      </c>
      <c r="F66" s="7">
        <v>117</v>
      </c>
      <c r="G66" s="7">
        <v>18</v>
      </c>
      <c r="H66" s="53" t="s">
        <v>64</v>
      </c>
      <c r="I66" s="53" t="s">
        <v>86</v>
      </c>
      <c r="J66" s="7" t="s">
        <v>130</v>
      </c>
      <c r="K66" s="11">
        <v>0.84722222222222221</v>
      </c>
      <c r="L66" s="11">
        <v>0.92569444444444449</v>
      </c>
      <c r="M66" s="7" t="s">
        <v>109</v>
      </c>
      <c r="N66" s="7" t="s">
        <v>109</v>
      </c>
      <c r="O66" s="29" t="s">
        <v>61</v>
      </c>
      <c r="P66" s="7" t="s">
        <v>131</v>
      </c>
      <c r="Q66" s="7" t="s">
        <v>86</v>
      </c>
      <c r="R66" s="7" t="s">
        <v>62</v>
      </c>
      <c r="S66" s="7" t="s">
        <v>109</v>
      </c>
      <c r="T66" s="29" t="s">
        <v>1562</v>
      </c>
      <c r="U66" s="108">
        <v>0.27272727272727271</v>
      </c>
      <c r="V66" s="7" t="s">
        <v>152</v>
      </c>
    </row>
    <row r="67" spans="1:22" x14ac:dyDescent="0.3">
      <c r="A67" s="7">
        <v>66</v>
      </c>
      <c r="B67" s="29" t="s">
        <v>23</v>
      </c>
      <c r="C67" s="29" t="s">
        <v>2115</v>
      </c>
      <c r="D67" s="29">
        <v>50226055</v>
      </c>
      <c r="E67" s="91">
        <v>125</v>
      </c>
      <c r="F67" s="7">
        <v>201</v>
      </c>
      <c r="G67" s="7">
        <v>126</v>
      </c>
      <c r="H67" s="7" t="s">
        <v>2628</v>
      </c>
      <c r="I67" s="7" t="s">
        <v>109</v>
      </c>
      <c r="J67" s="7" t="s">
        <v>130</v>
      </c>
      <c r="K67" s="11">
        <v>0.9916666666666667</v>
      </c>
      <c r="L67" s="7" t="s">
        <v>109</v>
      </c>
      <c r="M67" s="7" t="s">
        <v>109</v>
      </c>
      <c r="N67" s="7" t="s">
        <v>110</v>
      </c>
      <c r="O67" s="29" t="s">
        <v>61</v>
      </c>
      <c r="P67" s="7" t="s">
        <v>131</v>
      </c>
      <c r="Q67" s="7" t="s">
        <v>200</v>
      </c>
      <c r="R67" s="7" t="s">
        <v>62</v>
      </c>
      <c r="S67" s="7" t="s">
        <v>109</v>
      </c>
      <c r="T67" s="74" t="s">
        <v>289</v>
      </c>
      <c r="U67" s="108">
        <v>1.008</v>
      </c>
      <c r="V67" s="7" t="s">
        <v>1945</v>
      </c>
    </row>
    <row r="68" spans="1:22" x14ac:dyDescent="0.3">
      <c r="A68" s="7">
        <v>67</v>
      </c>
      <c r="B68" s="29" t="s">
        <v>23</v>
      </c>
      <c r="C68" s="7" t="s">
        <v>918</v>
      </c>
      <c r="D68" s="7">
        <v>50126256</v>
      </c>
      <c r="E68" s="7">
        <v>49</v>
      </c>
      <c r="F68" s="7">
        <v>19</v>
      </c>
      <c r="G68" s="7">
        <v>17</v>
      </c>
      <c r="H68" s="53" t="s">
        <v>87</v>
      </c>
      <c r="I68" s="7" t="s">
        <v>109</v>
      </c>
      <c r="J68" s="7" t="s">
        <v>130</v>
      </c>
      <c r="K68" s="11">
        <v>0.97013888888888888</v>
      </c>
      <c r="L68" s="7" t="s">
        <v>109</v>
      </c>
      <c r="M68" s="7" t="s">
        <v>109</v>
      </c>
      <c r="N68" s="7" t="s">
        <v>109</v>
      </c>
      <c r="O68" s="7" t="s">
        <v>145</v>
      </c>
      <c r="P68" s="7" t="s">
        <v>131</v>
      </c>
      <c r="Q68" s="7" t="s">
        <v>87</v>
      </c>
      <c r="R68" s="7" t="s">
        <v>62</v>
      </c>
      <c r="S68" s="7" t="s">
        <v>109</v>
      </c>
      <c r="T68" s="7" t="s">
        <v>424</v>
      </c>
      <c r="U68" s="108">
        <v>0.34693877551020408</v>
      </c>
      <c r="V68" s="7" t="s">
        <v>2629</v>
      </c>
    </row>
    <row r="69" spans="1:22" x14ac:dyDescent="0.3">
      <c r="A69" s="7">
        <v>68</v>
      </c>
      <c r="B69" s="7" t="s">
        <v>23</v>
      </c>
      <c r="C69" s="29" t="s">
        <v>581</v>
      </c>
      <c r="D69" s="7">
        <v>51125193</v>
      </c>
      <c r="E69" s="7">
        <v>28</v>
      </c>
      <c r="F69" s="7">
        <v>28</v>
      </c>
      <c r="G69" s="7">
        <v>16</v>
      </c>
      <c r="H69" s="7" t="s">
        <v>91</v>
      </c>
      <c r="I69" s="7" t="s">
        <v>109</v>
      </c>
      <c r="J69" s="7" t="s">
        <v>130</v>
      </c>
      <c r="K69" s="11">
        <v>1.5972222222222221E-2</v>
      </c>
      <c r="L69" s="7" t="s">
        <v>109</v>
      </c>
      <c r="M69" s="7" t="s">
        <v>109</v>
      </c>
      <c r="N69" s="7" t="s">
        <v>109</v>
      </c>
      <c r="O69" s="7" t="s">
        <v>145</v>
      </c>
      <c r="P69" s="7" t="s">
        <v>131</v>
      </c>
      <c r="Q69" s="7" t="s">
        <v>91</v>
      </c>
      <c r="R69" s="7" t="s">
        <v>62</v>
      </c>
      <c r="S69" s="7" t="s">
        <v>109</v>
      </c>
      <c r="T69" s="7" t="s">
        <v>278</v>
      </c>
      <c r="U69" s="108">
        <v>0.5714285714285714</v>
      </c>
      <c r="V69" s="7" t="s">
        <v>2629</v>
      </c>
    </row>
  </sheetData>
  <conditionalFormatting sqref="D1">
    <cfRule type="duplicateValues" dxfId="58" priority="2"/>
  </conditionalFormatting>
  <conditionalFormatting sqref="D1:D67 D70:D1048576">
    <cfRule type="duplicateValues" dxfId="57" priority="1"/>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8EF52-B129-43EF-95EE-57A8C6ED75A1}">
  <dimension ref="A1:V74"/>
  <sheetViews>
    <sheetView topLeftCell="L1" workbookViewId="0">
      <pane ySplit="1" topLeftCell="A2" activePane="bottomLeft" state="frozen"/>
      <selection pane="bottomLeft" activeCell="V4" sqref="V4"/>
    </sheetView>
  </sheetViews>
  <sheetFormatPr defaultRowHeight="14.4" x14ac:dyDescent="0.3"/>
  <cols>
    <col min="1" max="1" width="3.109375" bestFit="1" customWidth="1"/>
    <col min="2" max="2" width="11.21875" bestFit="1" customWidth="1"/>
    <col min="3" max="3" width="89.77734375" bestFit="1" customWidth="1"/>
    <col min="4" max="4" width="10.44140625" bestFit="1" customWidth="1"/>
    <col min="5" max="5" width="13.88671875" bestFit="1" customWidth="1"/>
    <col min="6" max="6" width="15.109375" bestFit="1" customWidth="1"/>
    <col min="7" max="7" width="8.5546875" bestFit="1" customWidth="1"/>
    <col min="8" max="8" width="47.77734375" bestFit="1" customWidth="1"/>
    <col min="9" max="9" width="23.5546875" bestFit="1" customWidth="1"/>
    <col min="10" max="10" width="6.44140625" bestFit="1" customWidth="1"/>
    <col min="11" max="12" width="16.21875" bestFit="1" customWidth="1"/>
    <col min="13" max="13" width="12.5546875" bestFit="1" customWidth="1"/>
    <col min="14" max="14" width="47.44140625" bestFit="1" customWidth="1"/>
    <col min="15" max="15" width="8.6640625" bestFit="1" customWidth="1"/>
    <col min="16" max="16" width="14.33203125" bestFit="1" customWidth="1"/>
    <col min="17" max="17" width="11.77734375" bestFit="1" customWidth="1"/>
    <col min="18" max="18" width="14.33203125" bestFit="1" customWidth="1"/>
    <col min="19" max="19" width="12.21875" bestFit="1" customWidth="1"/>
    <col min="20" max="20" width="17.5546875" bestFit="1" customWidth="1"/>
    <col min="21" max="21" width="37.44140625" bestFit="1" customWidth="1"/>
    <col min="22" max="22" width="13.77734375" bestFit="1" customWidth="1"/>
  </cols>
  <sheetData>
    <row r="1" spans="1:22" x14ac:dyDescent="0.3">
      <c r="A1" s="1" t="s">
        <v>0</v>
      </c>
      <c r="B1" s="1" t="s">
        <v>1</v>
      </c>
      <c r="C1" s="1" t="s">
        <v>2</v>
      </c>
      <c r="D1" s="1" t="s">
        <v>3</v>
      </c>
      <c r="E1" s="1" t="s">
        <v>4</v>
      </c>
      <c r="F1" s="1" t="s">
        <v>5</v>
      </c>
      <c r="G1" s="1" t="s">
        <v>6</v>
      </c>
      <c r="H1" s="1" t="s">
        <v>7</v>
      </c>
      <c r="I1" s="1" t="s">
        <v>8</v>
      </c>
      <c r="J1" s="1" t="s">
        <v>9</v>
      </c>
      <c r="K1" s="2" t="s">
        <v>2218</v>
      </c>
      <c r="L1" s="2" t="s">
        <v>2219</v>
      </c>
      <c r="M1" s="3" t="s">
        <v>2281</v>
      </c>
      <c r="N1" s="4" t="s">
        <v>13</v>
      </c>
      <c r="O1" s="1" t="s">
        <v>14</v>
      </c>
      <c r="P1" s="1" t="s">
        <v>15</v>
      </c>
      <c r="Q1" s="1" t="s">
        <v>16</v>
      </c>
      <c r="R1" s="1" t="s">
        <v>17</v>
      </c>
      <c r="S1" s="127" t="s">
        <v>2282</v>
      </c>
      <c r="T1" s="1" t="s">
        <v>19</v>
      </c>
      <c r="U1" s="1" t="s">
        <v>20</v>
      </c>
      <c r="V1" s="1" t="s">
        <v>21</v>
      </c>
    </row>
    <row r="2" spans="1:22" x14ac:dyDescent="0.3">
      <c r="A2" s="7">
        <v>1</v>
      </c>
      <c r="B2" s="7" t="s">
        <v>24</v>
      </c>
      <c r="C2" s="7" t="s">
        <v>1902</v>
      </c>
      <c r="D2" s="7">
        <v>60226013</v>
      </c>
      <c r="E2" s="7">
        <v>29</v>
      </c>
      <c r="F2" s="7">
        <v>28</v>
      </c>
      <c r="G2" s="7">
        <v>15</v>
      </c>
      <c r="H2" s="7" t="s">
        <v>520</v>
      </c>
      <c r="I2" s="7" t="s">
        <v>94</v>
      </c>
      <c r="J2" s="7" t="s">
        <v>130</v>
      </c>
      <c r="K2" s="46">
        <v>0.94166666666666665</v>
      </c>
      <c r="L2" s="7" t="s">
        <v>109</v>
      </c>
      <c r="M2" s="7" t="s">
        <v>109</v>
      </c>
      <c r="N2" s="7" t="s">
        <v>109</v>
      </c>
      <c r="O2" s="7" t="s">
        <v>61</v>
      </c>
      <c r="P2" s="7" t="s">
        <v>131</v>
      </c>
      <c r="Q2" s="7" t="s">
        <v>94</v>
      </c>
      <c r="R2" s="7" t="s">
        <v>63</v>
      </c>
      <c r="S2" s="7" t="s">
        <v>123</v>
      </c>
      <c r="T2" s="7" t="s">
        <v>1329</v>
      </c>
      <c r="U2" s="108">
        <f t="shared" ref="U2:U33" si="0">G2/E2</f>
        <v>0.51724137931034486</v>
      </c>
      <c r="V2" s="7" t="s">
        <v>291</v>
      </c>
    </row>
    <row r="3" spans="1:22" x14ac:dyDescent="0.3">
      <c r="A3" s="7">
        <v>2</v>
      </c>
      <c r="B3" s="7" t="s">
        <v>26</v>
      </c>
      <c r="C3" s="7" t="s">
        <v>2632</v>
      </c>
      <c r="D3" s="7">
        <v>40226018</v>
      </c>
      <c r="E3" s="7">
        <v>249</v>
      </c>
      <c r="F3" s="7">
        <v>371</v>
      </c>
      <c r="G3" s="7">
        <v>258</v>
      </c>
      <c r="H3" s="7" t="s">
        <v>2633</v>
      </c>
      <c r="I3" s="7" t="s">
        <v>2634</v>
      </c>
      <c r="J3" s="7" t="s">
        <v>130</v>
      </c>
      <c r="K3" s="46">
        <v>0.70625000000000004</v>
      </c>
      <c r="L3" s="46">
        <v>0.75694444444444442</v>
      </c>
      <c r="M3" s="7" t="s">
        <v>109</v>
      </c>
      <c r="N3" s="7" t="s">
        <v>2635</v>
      </c>
      <c r="O3" s="7" t="s">
        <v>61</v>
      </c>
      <c r="P3" s="7" t="s">
        <v>131</v>
      </c>
      <c r="Q3" s="7" t="s">
        <v>93</v>
      </c>
      <c r="R3" s="7" t="s">
        <v>62</v>
      </c>
      <c r="S3" s="7" t="s">
        <v>123</v>
      </c>
      <c r="T3" s="7" t="s">
        <v>2636</v>
      </c>
      <c r="U3" s="108">
        <f t="shared" si="0"/>
        <v>1.036144578313253</v>
      </c>
      <c r="V3" s="7" t="s">
        <v>1941</v>
      </c>
    </row>
    <row r="4" spans="1:22" x14ac:dyDescent="0.3">
      <c r="A4" s="7">
        <v>3</v>
      </c>
      <c r="B4" s="7" t="s">
        <v>26</v>
      </c>
      <c r="C4" s="7" t="s">
        <v>2637</v>
      </c>
      <c r="D4" s="7">
        <v>40226019</v>
      </c>
      <c r="E4" s="7">
        <v>261</v>
      </c>
      <c r="F4" s="7">
        <v>290</v>
      </c>
      <c r="G4" s="7">
        <v>126</v>
      </c>
      <c r="H4" s="7" t="s">
        <v>2638</v>
      </c>
      <c r="I4" s="44" t="s">
        <v>2639</v>
      </c>
      <c r="J4" s="7" t="s">
        <v>130</v>
      </c>
      <c r="K4" s="46">
        <v>0.77569444444444446</v>
      </c>
      <c r="L4" s="46">
        <v>0.7944444444444444</v>
      </c>
      <c r="M4" s="7" t="s">
        <v>109</v>
      </c>
      <c r="N4" s="7" t="s">
        <v>2635</v>
      </c>
      <c r="O4" s="7" t="s">
        <v>61</v>
      </c>
      <c r="P4" s="7" t="s">
        <v>131</v>
      </c>
      <c r="Q4" s="7" t="s">
        <v>86</v>
      </c>
      <c r="R4" s="7" t="s">
        <v>62</v>
      </c>
      <c r="S4" s="7" t="s">
        <v>123</v>
      </c>
      <c r="T4" s="7" t="s">
        <v>2636</v>
      </c>
      <c r="U4" s="108">
        <f t="shared" si="0"/>
        <v>0.48275862068965519</v>
      </c>
      <c r="V4" s="7" t="s">
        <v>2087</v>
      </c>
    </row>
    <row r="5" spans="1:22" x14ac:dyDescent="0.3">
      <c r="A5" s="7">
        <v>4</v>
      </c>
      <c r="B5" s="7" t="s">
        <v>26</v>
      </c>
      <c r="C5" s="7" t="s">
        <v>770</v>
      </c>
      <c r="D5" s="7">
        <v>40126003</v>
      </c>
      <c r="E5" s="7">
        <v>159</v>
      </c>
      <c r="F5" s="7">
        <v>304</v>
      </c>
      <c r="G5" s="7">
        <v>125</v>
      </c>
      <c r="H5" s="7" t="s">
        <v>1220</v>
      </c>
      <c r="I5" s="7" t="s">
        <v>99</v>
      </c>
      <c r="J5" s="7" t="s">
        <v>130</v>
      </c>
      <c r="K5" s="46">
        <v>0.82291666666666663</v>
      </c>
      <c r="L5" s="46">
        <v>0.87916666666666665</v>
      </c>
      <c r="M5" s="7" t="s">
        <v>109</v>
      </c>
      <c r="N5" s="7" t="s">
        <v>109</v>
      </c>
      <c r="O5" s="7" t="s">
        <v>61</v>
      </c>
      <c r="P5" s="7" t="s">
        <v>131</v>
      </c>
      <c r="Q5" s="7" t="s">
        <v>91</v>
      </c>
      <c r="R5" s="7" t="s">
        <v>63</v>
      </c>
      <c r="S5" s="7" t="s">
        <v>123</v>
      </c>
      <c r="T5" s="7" t="s">
        <v>767</v>
      </c>
      <c r="U5" s="108">
        <f t="shared" si="0"/>
        <v>0.78616352201257866</v>
      </c>
      <c r="V5" s="7" t="s">
        <v>2087</v>
      </c>
    </row>
    <row r="6" spans="1:22" x14ac:dyDescent="0.3">
      <c r="A6" s="7">
        <v>5</v>
      </c>
      <c r="B6" s="7" t="s">
        <v>23</v>
      </c>
      <c r="C6" s="7" t="s">
        <v>2640</v>
      </c>
      <c r="D6" s="7">
        <v>50226119</v>
      </c>
      <c r="E6" s="7">
        <v>150</v>
      </c>
      <c r="F6" s="7">
        <v>228</v>
      </c>
      <c r="G6" s="7">
        <v>115</v>
      </c>
      <c r="H6" s="7" t="s">
        <v>302</v>
      </c>
      <c r="I6" s="7" t="s">
        <v>109</v>
      </c>
      <c r="J6" s="7" t="s">
        <v>130</v>
      </c>
      <c r="K6" s="46">
        <v>0.69513888888888886</v>
      </c>
      <c r="L6" s="7" t="s">
        <v>109</v>
      </c>
      <c r="M6" s="7" t="s">
        <v>109</v>
      </c>
      <c r="N6" s="7" t="s">
        <v>110</v>
      </c>
      <c r="O6" s="7" t="s">
        <v>61</v>
      </c>
      <c r="P6" s="7" t="s">
        <v>131</v>
      </c>
      <c r="Q6" s="7" t="s">
        <v>84</v>
      </c>
      <c r="R6" s="7" t="s">
        <v>62</v>
      </c>
      <c r="S6" s="7" t="s">
        <v>123</v>
      </c>
      <c r="T6" s="7" t="s">
        <v>424</v>
      </c>
      <c r="U6" s="108">
        <f t="shared" si="0"/>
        <v>0.76666666666666672</v>
      </c>
      <c r="V6" s="7" t="s">
        <v>291</v>
      </c>
    </row>
    <row r="7" spans="1:22" x14ac:dyDescent="0.3">
      <c r="A7" s="7">
        <v>6</v>
      </c>
      <c r="B7" s="7" t="s">
        <v>23</v>
      </c>
      <c r="C7" s="7" t="s">
        <v>1616</v>
      </c>
      <c r="D7" s="7">
        <v>50126365</v>
      </c>
      <c r="E7" s="7">
        <v>180</v>
      </c>
      <c r="F7" s="7">
        <v>298</v>
      </c>
      <c r="G7" s="7">
        <v>187</v>
      </c>
      <c r="H7" s="7" t="s">
        <v>257</v>
      </c>
      <c r="I7" s="7" t="s">
        <v>109</v>
      </c>
      <c r="J7" s="7" t="s">
        <v>130</v>
      </c>
      <c r="K7" s="46">
        <v>0.73750000000000004</v>
      </c>
      <c r="L7" s="7" t="s">
        <v>109</v>
      </c>
      <c r="M7" s="7" t="s">
        <v>109</v>
      </c>
      <c r="N7" s="7" t="s">
        <v>110</v>
      </c>
      <c r="O7" s="7" t="s">
        <v>61</v>
      </c>
      <c r="P7" s="7" t="s">
        <v>131</v>
      </c>
      <c r="Q7" s="7" t="s">
        <v>274</v>
      </c>
      <c r="R7" s="7" t="s">
        <v>62</v>
      </c>
      <c r="S7" s="7" t="s">
        <v>123</v>
      </c>
      <c r="T7" s="7" t="s">
        <v>424</v>
      </c>
      <c r="U7" s="108">
        <f t="shared" si="0"/>
        <v>1.038888888888889</v>
      </c>
      <c r="V7" s="7" t="s">
        <v>1941</v>
      </c>
    </row>
    <row r="8" spans="1:22" x14ac:dyDescent="0.3">
      <c r="A8" s="7">
        <v>7</v>
      </c>
      <c r="B8" s="7" t="s">
        <v>23</v>
      </c>
      <c r="C8" s="7" t="s">
        <v>932</v>
      </c>
      <c r="D8" s="7">
        <v>50126263</v>
      </c>
      <c r="E8" s="7">
        <v>150</v>
      </c>
      <c r="F8" s="7">
        <v>77</v>
      </c>
      <c r="G8" s="7">
        <v>71</v>
      </c>
      <c r="H8" s="7" t="s">
        <v>2641</v>
      </c>
      <c r="I8" s="7" t="s">
        <v>109</v>
      </c>
      <c r="J8" s="7" t="s">
        <v>130</v>
      </c>
      <c r="K8" s="46">
        <v>0.98333333333333328</v>
      </c>
      <c r="L8" s="7" t="s">
        <v>109</v>
      </c>
      <c r="M8" s="7" t="s">
        <v>109</v>
      </c>
      <c r="N8" s="7" t="s">
        <v>110</v>
      </c>
      <c r="O8" s="7" t="s">
        <v>61</v>
      </c>
      <c r="P8" s="7" t="s">
        <v>131</v>
      </c>
      <c r="Q8" s="7" t="s">
        <v>214</v>
      </c>
      <c r="R8" s="7" t="s">
        <v>62</v>
      </c>
      <c r="S8" s="7" t="s">
        <v>123</v>
      </c>
      <c r="T8" s="7" t="s">
        <v>424</v>
      </c>
      <c r="U8" s="108">
        <f t="shared" si="0"/>
        <v>0.47333333333333333</v>
      </c>
      <c r="V8" s="7" t="s">
        <v>2008</v>
      </c>
    </row>
    <row r="9" spans="1:22" x14ac:dyDescent="0.3">
      <c r="A9" s="7">
        <v>8</v>
      </c>
      <c r="B9" s="7" t="s">
        <v>23</v>
      </c>
      <c r="C9" s="7" t="s">
        <v>935</v>
      </c>
      <c r="D9" s="7">
        <v>50126266</v>
      </c>
      <c r="E9" s="7">
        <v>180</v>
      </c>
      <c r="F9" s="7">
        <v>268</v>
      </c>
      <c r="G9" s="7">
        <v>178</v>
      </c>
      <c r="H9" s="7" t="s">
        <v>1409</v>
      </c>
      <c r="I9" s="7" t="s">
        <v>109</v>
      </c>
      <c r="J9" s="7" t="s">
        <v>130</v>
      </c>
      <c r="K9" s="46">
        <v>0.74722222222222223</v>
      </c>
      <c r="L9" s="7" t="s">
        <v>109</v>
      </c>
      <c r="M9" s="7" t="s">
        <v>109</v>
      </c>
      <c r="N9" s="7" t="s">
        <v>110</v>
      </c>
      <c r="O9" s="7" t="s">
        <v>61</v>
      </c>
      <c r="P9" s="7" t="s">
        <v>131</v>
      </c>
      <c r="Q9" s="7" t="s">
        <v>67</v>
      </c>
      <c r="R9" s="7" t="s">
        <v>62</v>
      </c>
      <c r="S9" s="7" t="s">
        <v>123</v>
      </c>
      <c r="T9" s="7" t="s">
        <v>424</v>
      </c>
      <c r="U9" s="108">
        <f t="shared" si="0"/>
        <v>0.98888888888888893</v>
      </c>
      <c r="V9" s="7" t="s">
        <v>1941</v>
      </c>
    </row>
    <row r="10" spans="1:22" x14ac:dyDescent="0.3">
      <c r="A10" s="7">
        <v>9</v>
      </c>
      <c r="B10" s="7" t="s">
        <v>23</v>
      </c>
      <c r="C10" s="7" t="s">
        <v>2037</v>
      </c>
      <c r="D10" s="7">
        <v>50226040</v>
      </c>
      <c r="E10" s="7">
        <v>150</v>
      </c>
      <c r="F10" s="7">
        <v>212</v>
      </c>
      <c r="G10" s="7">
        <v>168</v>
      </c>
      <c r="H10" s="7" t="s">
        <v>229</v>
      </c>
      <c r="I10" s="7" t="s">
        <v>109</v>
      </c>
      <c r="J10" s="7" t="s">
        <v>130</v>
      </c>
      <c r="K10" s="46">
        <v>0.73472222222222228</v>
      </c>
      <c r="L10" s="7" t="s">
        <v>109</v>
      </c>
      <c r="M10" s="7" t="s">
        <v>109</v>
      </c>
      <c r="N10" s="7" t="s">
        <v>110</v>
      </c>
      <c r="O10" s="7" t="s">
        <v>61</v>
      </c>
      <c r="P10" s="7" t="s">
        <v>131</v>
      </c>
      <c r="Q10" s="7" t="s">
        <v>64</v>
      </c>
      <c r="R10" s="7" t="s">
        <v>62</v>
      </c>
      <c r="S10" s="7" t="s">
        <v>123</v>
      </c>
      <c r="T10" s="7" t="s">
        <v>424</v>
      </c>
      <c r="U10" s="108">
        <f t="shared" si="0"/>
        <v>1.1200000000000001</v>
      </c>
      <c r="V10" s="7" t="s">
        <v>1941</v>
      </c>
    </row>
    <row r="11" spans="1:22" x14ac:dyDescent="0.3">
      <c r="A11" s="7">
        <v>10</v>
      </c>
      <c r="B11" s="7" t="s">
        <v>23</v>
      </c>
      <c r="C11" s="7" t="s">
        <v>2034</v>
      </c>
      <c r="D11" s="7">
        <v>50226037</v>
      </c>
      <c r="E11" s="7">
        <v>150</v>
      </c>
      <c r="F11" s="7">
        <v>247</v>
      </c>
      <c r="G11" s="7">
        <v>163</v>
      </c>
      <c r="H11" s="7" t="s">
        <v>2432</v>
      </c>
      <c r="I11" s="7" t="s">
        <v>109</v>
      </c>
      <c r="J11" s="7" t="s">
        <v>130</v>
      </c>
      <c r="K11" s="46">
        <v>0.66111111111111109</v>
      </c>
      <c r="L11" s="7" t="s">
        <v>109</v>
      </c>
      <c r="M11" s="7" t="s">
        <v>109</v>
      </c>
      <c r="N11" s="7" t="s">
        <v>110</v>
      </c>
      <c r="O11" s="7" t="s">
        <v>61</v>
      </c>
      <c r="P11" s="7" t="s">
        <v>131</v>
      </c>
      <c r="Q11" s="7" t="s">
        <v>520</v>
      </c>
      <c r="R11" s="7" t="s">
        <v>62</v>
      </c>
      <c r="S11" s="7" t="s">
        <v>123</v>
      </c>
      <c r="T11" s="7" t="s">
        <v>424</v>
      </c>
      <c r="U11" s="108">
        <f t="shared" si="0"/>
        <v>1.0866666666666667</v>
      </c>
      <c r="V11" s="7" t="s">
        <v>1941</v>
      </c>
    </row>
    <row r="12" spans="1:22" x14ac:dyDescent="0.3">
      <c r="A12" s="7">
        <v>11</v>
      </c>
      <c r="B12" s="7" t="s">
        <v>23</v>
      </c>
      <c r="C12" s="7" t="s">
        <v>939</v>
      </c>
      <c r="D12" s="7">
        <v>50126270</v>
      </c>
      <c r="E12" s="7">
        <v>160</v>
      </c>
      <c r="F12" s="7">
        <v>61</v>
      </c>
      <c r="G12" s="7">
        <v>42</v>
      </c>
      <c r="H12" s="7" t="s">
        <v>1737</v>
      </c>
      <c r="I12" s="7" t="s">
        <v>109</v>
      </c>
      <c r="J12" s="7" t="s">
        <v>130</v>
      </c>
      <c r="K12" s="46">
        <v>0.66388888888888886</v>
      </c>
      <c r="L12" s="7" t="s">
        <v>109</v>
      </c>
      <c r="M12" s="7" t="s">
        <v>109</v>
      </c>
      <c r="N12" s="7" t="s">
        <v>110</v>
      </c>
      <c r="O12" s="7" t="s">
        <v>61</v>
      </c>
      <c r="P12" s="7" t="s">
        <v>131</v>
      </c>
      <c r="Q12" s="7" t="s">
        <v>222</v>
      </c>
      <c r="R12" s="7" t="s">
        <v>62</v>
      </c>
      <c r="S12" s="7" t="s">
        <v>123</v>
      </c>
      <c r="T12" s="7" t="s">
        <v>424</v>
      </c>
      <c r="U12" s="108">
        <f t="shared" si="0"/>
        <v>0.26250000000000001</v>
      </c>
      <c r="V12" s="7" t="s">
        <v>291</v>
      </c>
    </row>
    <row r="13" spans="1:22" x14ac:dyDescent="0.3">
      <c r="A13" s="7">
        <v>12</v>
      </c>
      <c r="B13" s="7" t="s">
        <v>23</v>
      </c>
      <c r="C13" s="7" t="s">
        <v>1921</v>
      </c>
      <c r="D13" s="7">
        <v>50226017</v>
      </c>
      <c r="E13" s="7">
        <v>800</v>
      </c>
      <c r="F13" s="7">
        <v>917</v>
      </c>
      <c r="G13" s="7">
        <v>841</v>
      </c>
      <c r="H13" s="7" t="s">
        <v>2642</v>
      </c>
      <c r="I13" s="7" t="s">
        <v>109</v>
      </c>
      <c r="J13" s="7" t="s">
        <v>130</v>
      </c>
      <c r="K13" s="46">
        <v>0.73472222222222228</v>
      </c>
      <c r="L13" s="7" t="s">
        <v>109</v>
      </c>
      <c r="M13" s="7" t="s">
        <v>109</v>
      </c>
      <c r="N13" s="7" t="s">
        <v>110</v>
      </c>
      <c r="O13" s="7" t="s">
        <v>61</v>
      </c>
      <c r="P13" s="7" t="s">
        <v>131</v>
      </c>
      <c r="Q13" s="7" t="s">
        <v>2683</v>
      </c>
      <c r="R13" s="7" t="s">
        <v>62</v>
      </c>
      <c r="S13" s="7" t="s">
        <v>123</v>
      </c>
      <c r="T13" s="7" t="s">
        <v>424</v>
      </c>
      <c r="U13" s="108">
        <f t="shared" si="0"/>
        <v>1.05125</v>
      </c>
      <c r="V13" s="7" t="s">
        <v>1941</v>
      </c>
    </row>
    <row r="14" spans="1:22" x14ac:dyDescent="0.3">
      <c r="A14" s="7">
        <v>13</v>
      </c>
      <c r="B14" s="7" t="s">
        <v>23</v>
      </c>
      <c r="C14" s="7" t="s">
        <v>533</v>
      </c>
      <c r="D14" s="7">
        <v>50126021</v>
      </c>
      <c r="E14" s="7">
        <v>30</v>
      </c>
      <c r="F14" s="7">
        <v>52</v>
      </c>
      <c r="G14" s="7">
        <v>20</v>
      </c>
      <c r="H14" s="7" t="s">
        <v>84</v>
      </c>
      <c r="I14" s="7" t="s">
        <v>109</v>
      </c>
      <c r="J14" s="7" t="s">
        <v>130</v>
      </c>
      <c r="K14" s="46">
        <v>0.7944444444444444</v>
      </c>
      <c r="L14" s="7" t="s">
        <v>109</v>
      </c>
      <c r="M14" s="7" t="s">
        <v>109</v>
      </c>
      <c r="N14" s="7" t="s">
        <v>109</v>
      </c>
      <c r="O14" s="7" t="s">
        <v>61</v>
      </c>
      <c r="P14" s="7" t="s">
        <v>131</v>
      </c>
      <c r="Q14" s="7" t="s">
        <v>84</v>
      </c>
      <c r="R14" s="7" t="s">
        <v>62</v>
      </c>
      <c r="S14" s="7" t="s">
        <v>123</v>
      </c>
      <c r="T14" s="7" t="s">
        <v>424</v>
      </c>
      <c r="U14" s="108">
        <f t="shared" si="0"/>
        <v>0.66666666666666663</v>
      </c>
      <c r="V14" s="7" t="s">
        <v>291</v>
      </c>
    </row>
    <row r="15" spans="1:22" x14ac:dyDescent="0.3">
      <c r="A15" s="7">
        <v>14</v>
      </c>
      <c r="B15" s="7" t="s">
        <v>23</v>
      </c>
      <c r="C15" s="7" t="s">
        <v>2036</v>
      </c>
      <c r="D15" s="7">
        <v>50226039</v>
      </c>
      <c r="E15" s="7">
        <v>50</v>
      </c>
      <c r="F15" s="7" t="s">
        <v>109</v>
      </c>
      <c r="G15" s="7" t="s">
        <v>109</v>
      </c>
      <c r="H15" s="7" t="s">
        <v>71</v>
      </c>
      <c r="I15" s="7" t="s">
        <v>109</v>
      </c>
      <c r="J15" s="7" t="s">
        <v>85</v>
      </c>
      <c r="K15" s="7" t="s">
        <v>109</v>
      </c>
      <c r="L15" s="7" t="s">
        <v>109</v>
      </c>
      <c r="M15" s="7" t="s">
        <v>109</v>
      </c>
      <c r="N15" s="7" t="s">
        <v>109</v>
      </c>
      <c r="O15" s="7" t="s">
        <v>61</v>
      </c>
      <c r="P15" s="7" t="s">
        <v>109</v>
      </c>
      <c r="Q15" s="7" t="s">
        <v>109</v>
      </c>
      <c r="R15" s="7" t="s">
        <v>62</v>
      </c>
      <c r="S15" s="7" t="s">
        <v>123</v>
      </c>
      <c r="T15" s="7" t="s">
        <v>424</v>
      </c>
      <c r="U15" s="108" t="e">
        <f t="shared" si="0"/>
        <v>#VALUE!</v>
      </c>
      <c r="V15" s="7" t="s">
        <v>109</v>
      </c>
    </row>
    <row r="16" spans="1:22" x14ac:dyDescent="0.3">
      <c r="A16" s="7">
        <v>15</v>
      </c>
      <c r="B16" s="7" t="s">
        <v>23</v>
      </c>
      <c r="C16" s="7" t="s">
        <v>820</v>
      </c>
      <c r="D16" s="7">
        <v>50126223</v>
      </c>
      <c r="E16" s="7">
        <v>65</v>
      </c>
      <c r="F16" s="7">
        <v>75</v>
      </c>
      <c r="G16" s="7">
        <v>68</v>
      </c>
      <c r="H16" s="7" t="s">
        <v>71</v>
      </c>
      <c r="I16" s="7" t="s">
        <v>109</v>
      </c>
      <c r="J16" s="7" t="s">
        <v>130</v>
      </c>
      <c r="K16" s="46">
        <v>0.69722222222222219</v>
      </c>
      <c r="L16" s="7" t="s">
        <v>109</v>
      </c>
      <c r="M16" s="7" t="s">
        <v>109</v>
      </c>
      <c r="N16" s="7" t="s">
        <v>109</v>
      </c>
      <c r="O16" s="7" t="s">
        <v>61</v>
      </c>
      <c r="P16" s="7" t="s">
        <v>131</v>
      </c>
      <c r="Q16" s="7" t="s">
        <v>71</v>
      </c>
      <c r="R16" s="7" t="s">
        <v>62</v>
      </c>
      <c r="S16" s="7" t="s">
        <v>123</v>
      </c>
      <c r="T16" s="7" t="s">
        <v>424</v>
      </c>
      <c r="U16" s="108">
        <f t="shared" si="0"/>
        <v>1.0461538461538462</v>
      </c>
      <c r="V16" s="7" t="s">
        <v>1941</v>
      </c>
    </row>
    <row r="17" spans="1:22" x14ac:dyDescent="0.3">
      <c r="A17" s="7">
        <v>16</v>
      </c>
      <c r="B17" s="7" t="s">
        <v>23</v>
      </c>
      <c r="C17" s="7" t="s">
        <v>1917</v>
      </c>
      <c r="D17" s="7">
        <v>50226023</v>
      </c>
      <c r="E17" s="7">
        <v>65</v>
      </c>
      <c r="F17" s="7">
        <v>73</v>
      </c>
      <c r="G17" s="7">
        <v>69</v>
      </c>
      <c r="H17" s="7" t="s">
        <v>200</v>
      </c>
      <c r="I17" s="7" t="s">
        <v>109</v>
      </c>
      <c r="J17" s="7" t="s">
        <v>130</v>
      </c>
      <c r="K17" s="46">
        <v>0.69374999999999998</v>
      </c>
      <c r="L17" s="7" t="s">
        <v>109</v>
      </c>
      <c r="M17" s="7" t="s">
        <v>109</v>
      </c>
      <c r="N17" s="7" t="s">
        <v>109</v>
      </c>
      <c r="O17" s="7" t="s">
        <v>61</v>
      </c>
      <c r="P17" s="7" t="s">
        <v>131</v>
      </c>
      <c r="Q17" s="7" t="s">
        <v>200</v>
      </c>
      <c r="R17" s="7" t="s">
        <v>62</v>
      </c>
      <c r="S17" s="7" t="s">
        <v>123</v>
      </c>
      <c r="T17" s="7" t="s">
        <v>424</v>
      </c>
      <c r="U17" s="108">
        <f t="shared" si="0"/>
        <v>1.0615384615384615</v>
      </c>
      <c r="V17" s="7" t="s">
        <v>1941</v>
      </c>
    </row>
    <row r="18" spans="1:22" x14ac:dyDescent="0.3">
      <c r="A18" s="7">
        <v>17</v>
      </c>
      <c r="B18" s="7" t="s">
        <v>23</v>
      </c>
      <c r="C18" s="7" t="s">
        <v>427</v>
      </c>
      <c r="D18" s="7">
        <v>50126022</v>
      </c>
      <c r="E18" s="7">
        <v>50</v>
      </c>
      <c r="F18" s="7">
        <v>58</v>
      </c>
      <c r="G18" s="7">
        <v>54</v>
      </c>
      <c r="H18" s="7" t="s">
        <v>67</v>
      </c>
      <c r="I18" s="7" t="s">
        <v>109</v>
      </c>
      <c r="J18" s="7" t="s">
        <v>130</v>
      </c>
      <c r="K18" s="46">
        <v>0.88472222222222219</v>
      </c>
      <c r="L18" s="7" t="s">
        <v>109</v>
      </c>
      <c r="M18" s="7" t="s">
        <v>109</v>
      </c>
      <c r="N18" s="7" t="s">
        <v>109</v>
      </c>
      <c r="O18" s="7" t="s">
        <v>61</v>
      </c>
      <c r="P18" s="7" t="s">
        <v>131</v>
      </c>
      <c r="Q18" s="7" t="s">
        <v>67</v>
      </c>
      <c r="R18" s="7" t="s">
        <v>62</v>
      </c>
      <c r="S18" s="7" t="s">
        <v>123</v>
      </c>
      <c r="T18" s="7" t="s">
        <v>424</v>
      </c>
      <c r="U18" s="108">
        <f t="shared" si="0"/>
        <v>1.08</v>
      </c>
      <c r="V18" s="7" t="s">
        <v>1941</v>
      </c>
    </row>
    <row r="19" spans="1:22" x14ac:dyDescent="0.3">
      <c r="A19" s="7">
        <v>18</v>
      </c>
      <c r="B19" s="7" t="s">
        <v>23</v>
      </c>
      <c r="C19" s="7" t="s">
        <v>428</v>
      </c>
      <c r="D19" s="7">
        <v>50126024</v>
      </c>
      <c r="E19" s="7">
        <v>100</v>
      </c>
      <c r="F19" s="7">
        <v>125</v>
      </c>
      <c r="G19" s="7">
        <v>105</v>
      </c>
      <c r="H19" s="7" t="s">
        <v>241</v>
      </c>
      <c r="I19" s="7" t="s">
        <v>109</v>
      </c>
      <c r="J19" s="7" t="s">
        <v>130</v>
      </c>
      <c r="K19" s="46">
        <v>0.67361111111111116</v>
      </c>
      <c r="L19" s="7" t="s">
        <v>109</v>
      </c>
      <c r="M19" s="7" t="s">
        <v>109</v>
      </c>
      <c r="N19" s="7" t="s">
        <v>109</v>
      </c>
      <c r="O19" s="7" t="s">
        <v>61</v>
      </c>
      <c r="P19" s="7" t="s">
        <v>131</v>
      </c>
      <c r="Q19" s="7" t="s">
        <v>241</v>
      </c>
      <c r="R19" s="7" t="s">
        <v>62</v>
      </c>
      <c r="S19" s="7" t="s">
        <v>123</v>
      </c>
      <c r="T19" s="7" t="s">
        <v>424</v>
      </c>
      <c r="U19" s="108">
        <f t="shared" si="0"/>
        <v>1.05</v>
      </c>
      <c r="V19" s="7" t="s">
        <v>1941</v>
      </c>
    </row>
    <row r="20" spans="1:22" x14ac:dyDescent="0.3">
      <c r="A20" s="7">
        <v>19</v>
      </c>
      <c r="B20" s="7" t="s">
        <v>23</v>
      </c>
      <c r="C20" s="7" t="s">
        <v>849</v>
      </c>
      <c r="D20" s="7">
        <v>50126213</v>
      </c>
      <c r="E20" s="7">
        <v>50</v>
      </c>
      <c r="F20" s="7">
        <v>54</v>
      </c>
      <c r="G20" s="7">
        <v>54</v>
      </c>
      <c r="H20" s="7" t="s">
        <v>214</v>
      </c>
      <c r="I20" s="7" t="s">
        <v>109</v>
      </c>
      <c r="J20" s="7" t="s">
        <v>130</v>
      </c>
      <c r="K20" s="46">
        <v>0.70277777777777772</v>
      </c>
      <c r="L20" s="7" t="s">
        <v>109</v>
      </c>
      <c r="M20" s="7" t="s">
        <v>109</v>
      </c>
      <c r="N20" s="7" t="s">
        <v>109</v>
      </c>
      <c r="O20" s="7" t="s">
        <v>61</v>
      </c>
      <c r="P20" s="7" t="s">
        <v>131</v>
      </c>
      <c r="Q20" s="7" t="s">
        <v>214</v>
      </c>
      <c r="R20" s="7" t="s">
        <v>62</v>
      </c>
      <c r="S20" s="7" t="s">
        <v>123</v>
      </c>
      <c r="T20" s="7" t="s">
        <v>424</v>
      </c>
      <c r="U20" s="108">
        <f t="shared" si="0"/>
        <v>1.08</v>
      </c>
      <c r="V20" s="7" t="s">
        <v>1941</v>
      </c>
    </row>
    <row r="21" spans="1:22" x14ac:dyDescent="0.3">
      <c r="A21" s="7">
        <v>20</v>
      </c>
      <c r="B21" s="7" t="s">
        <v>23</v>
      </c>
      <c r="C21" s="7" t="s">
        <v>940</v>
      </c>
      <c r="D21" s="7">
        <v>50126249</v>
      </c>
      <c r="E21" s="7">
        <v>100</v>
      </c>
      <c r="F21" s="7">
        <v>127</v>
      </c>
      <c r="G21" s="7">
        <v>108</v>
      </c>
      <c r="H21" s="7" t="s">
        <v>64</v>
      </c>
      <c r="I21" s="7" t="s">
        <v>109</v>
      </c>
      <c r="J21" s="7" t="s">
        <v>130</v>
      </c>
      <c r="K21" s="46">
        <v>0.86875000000000002</v>
      </c>
      <c r="L21" s="7" t="s">
        <v>109</v>
      </c>
      <c r="M21" s="7" t="s">
        <v>109</v>
      </c>
      <c r="N21" s="7" t="s">
        <v>109</v>
      </c>
      <c r="O21" s="7" t="s">
        <v>61</v>
      </c>
      <c r="P21" s="7" t="s">
        <v>131</v>
      </c>
      <c r="Q21" s="7" t="s">
        <v>64</v>
      </c>
      <c r="R21" s="7" t="s">
        <v>62</v>
      </c>
      <c r="S21" s="7" t="s">
        <v>123</v>
      </c>
      <c r="T21" s="7" t="s">
        <v>424</v>
      </c>
      <c r="U21" s="108">
        <f t="shared" si="0"/>
        <v>1.08</v>
      </c>
      <c r="V21" s="7" t="s">
        <v>1941</v>
      </c>
    </row>
    <row r="22" spans="1:22" x14ac:dyDescent="0.3">
      <c r="A22" s="7">
        <v>21</v>
      </c>
      <c r="B22" s="7" t="s">
        <v>23</v>
      </c>
      <c r="C22" s="7" t="s">
        <v>2643</v>
      </c>
      <c r="D22" s="7">
        <v>50226121</v>
      </c>
      <c r="E22" s="7">
        <v>50</v>
      </c>
      <c r="F22" s="7">
        <v>43</v>
      </c>
      <c r="G22" s="7">
        <v>7</v>
      </c>
      <c r="H22" s="7" t="s">
        <v>84</v>
      </c>
      <c r="I22" s="7" t="s">
        <v>109</v>
      </c>
      <c r="J22" s="7" t="s">
        <v>130</v>
      </c>
      <c r="K22" s="46">
        <v>0</v>
      </c>
      <c r="L22" s="7" t="s">
        <v>109</v>
      </c>
      <c r="M22" s="7" t="s">
        <v>109</v>
      </c>
      <c r="N22" s="7" t="s">
        <v>109</v>
      </c>
      <c r="O22" s="7" t="s">
        <v>61</v>
      </c>
      <c r="P22" s="7" t="s">
        <v>131</v>
      </c>
      <c r="Q22" s="7" t="s">
        <v>84</v>
      </c>
      <c r="R22" s="7" t="s">
        <v>62</v>
      </c>
      <c r="S22" s="7" t="s">
        <v>123</v>
      </c>
      <c r="T22" s="7" t="s">
        <v>166</v>
      </c>
      <c r="U22" s="108">
        <f t="shared" si="0"/>
        <v>0.14000000000000001</v>
      </c>
      <c r="V22" s="7" t="s">
        <v>291</v>
      </c>
    </row>
    <row r="23" spans="1:22" x14ac:dyDescent="0.3">
      <c r="A23" s="7">
        <v>22</v>
      </c>
      <c r="B23" s="7" t="s">
        <v>411</v>
      </c>
      <c r="C23" s="7" t="s">
        <v>2644</v>
      </c>
      <c r="D23" s="7">
        <v>30226023</v>
      </c>
      <c r="E23" s="7">
        <v>55</v>
      </c>
      <c r="F23" s="7">
        <v>87</v>
      </c>
      <c r="G23" s="7">
        <v>18</v>
      </c>
      <c r="H23" s="7" t="s">
        <v>66</v>
      </c>
      <c r="I23" s="7" t="s">
        <v>88</v>
      </c>
      <c r="J23" s="7" t="s">
        <v>130</v>
      </c>
      <c r="K23" s="46">
        <v>0.71527777777777779</v>
      </c>
      <c r="L23" s="7" t="s">
        <v>2684</v>
      </c>
      <c r="M23" s="7" t="s">
        <v>109</v>
      </c>
      <c r="N23" s="7" t="s">
        <v>109</v>
      </c>
      <c r="O23" s="7" t="s">
        <v>61</v>
      </c>
      <c r="P23" s="7" t="s">
        <v>131</v>
      </c>
      <c r="Q23" s="7" t="s">
        <v>88</v>
      </c>
      <c r="R23" s="7" t="s">
        <v>62</v>
      </c>
      <c r="S23" s="7" t="s">
        <v>123</v>
      </c>
      <c r="T23" s="7" t="s">
        <v>295</v>
      </c>
      <c r="U23" s="108">
        <f t="shared" si="0"/>
        <v>0.32727272727272727</v>
      </c>
      <c r="V23" s="7" t="s">
        <v>291</v>
      </c>
    </row>
    <row r="24" spans="1:22" x14ac:dyDescent="0.3">
      <c r="A24" s="7">
        <v>23</v>
      </c>
      <c r="B24" s="7" t="s">
        <v>411</v>
      </c>
      <c r="C24" s="7" t="s">
        <v>2645</v>
      </c>
      <c r="D24" s="7">
        <v>30226024</v>
      </c>
      <c r="E24" s="7">
        <v>50</v>
      </c>
      <c r="F24" s="7">
        <v>55</v>
      </c>
      <c r="G24" s="7">
        <v>20</v>
      </c>
      <c r="H24" s="7" t="s">
        <v>66</v>
      </c>
      <c r="I24" s="7" t="s">
        <v>154</v>
      </c>
      <c r="J24" s="7" t="s">
        <v>130</v>
      </c>
      <c r="K24" s="46">
        <v>0.68055555555555558</v>
      </c>
      <c r="L24" s="46">
        <v>0.70833333333333337</v>
      </c>
      <c r="M24" s="7" t="s">
        <v>109</v>
      </c>
      <c r="N24" s="7" t="s">
        <v>109</v>
      </c>
      <c r="O24" s="7" t="s">
        <v>61</v>
      </c>
      <c r="P24" s="7" t="s">
        <v>131</v>
      </c>
      <c r="Q24" s="7" t="s">
        <v>154</v>
      </c>
      <c r="R24" s="7" t="s">
        <v>62</v>
      </c>
      <c r="S24" s="7" t="s">
        <v>123</v>
      </c>
      <c r="T24" s="7" t="s">
        <v>295</v>
      </c>
      <c r="U24" s="108">
        <f t="shared" si="0"/>
        <v>0.4</v>
      </c>
      <c r="V24" s="7" t="s">
        <v>291</v>
      </c>
    </row>
    <row r="25" spans="1:22" x14ac:dyDescent="0.3">
      <c r="A25" s="7">
        <v>24</v>
      </c>
      <c r="B25" s="7" t="s">
        <v>411</v>
      </c>
      <c r="C25" s="7" t="s">
        <v>2646</v>
      </c>
      <c r="D25" s="7">
        <v>30226025</v>
      </c>
      <c r="E25" s="7">
        <v>24</v>
      </c>
      <c r="F25" s="7">
        <v>24</v>
      </c>
      <c r="G25" s="7">
        <v>14</v>
      </c>
      <c r="H25" s="7" t="s">
        <v>214</v>
      </c>
      <c r="I25" s="7" t="s">
        <v>209</v>
      </c>
      <c r="J25" s="7" t="s">
        <v>130</v>
      </c>
      <c r="K25" s="46">
        <v>0.67361111111111116</v>
      </c>
      <c r="L25" s="46">
        <v>0.69305555555555554</v>
      </c>
      <c r="M25" s="7" t="s">
        <v>109</v>
      </c>
      <c r="N25" s="7" t="s">
        <v>109</v>
      </c>
      <c r="O25" s="7" t="s">
        <v>61</v>
      </c>
      <c r="P25" s="7" t="s">
        <v>131</v>
      </c>
      <c r="Q25" s="7" t="s">
        <v>209</v>
      </c>
      <c r="R25" s="7" t="s">
        <v>62</v>
      </c>
      <c r="S25" s="7" t="s">
        <v>123</v>
      </c>
      <c r="T25" s="7" t="s">
        <v>295</v>
      </c>
      <c r="U25" s="108">
        <f t="shared" si="0"/>
        <v>0.58333333333333337</v>
      </c>
      <c r="V25" s="7" t="s">
        <v>291</v>
      </c>
    </row>
    <row r="26" spans="1:22" x14ac:dyDescent="0.3">
      <c r="A26" s="7">
        <v>25</v>
      </c>
      <c r="B26" s="7" t="s">
        <v>411</v>
      </c>
      <c r="C26" s="7" t="s">
        <v>2647</v>
      </c>
      <c r="D26" s="7">
        <v>30226027</v>
      </c>
      <c r="E26" s="7">
        <v>150</v>
      </c>
      <c r="F26" s="7">
        <v>305</v>
      </c>
      <c r="G26" s="7">
        <v>73</v>
      </c>
      <c r="H26" s="7" t="s">
        <v>863</v>
      </c>
      <c r="I26" s="7" t="s">
        <v>764</v>
      </c>
      <c r="J26" s="7" t="s">
        <v>130</v>
      </c>
      <c r="K26" s="46">
        <v>0.75069444444444444</v>
      </c>
      <c r="L26" s="46">
        <v>0.86041666666666672</v>
      </c>
      <c r="M26" s="7" t="s">
        <v>109</v>
      </c>
      <c r="N26" s="7" t="s">
        <v>109</v>
      </c>
      <c r="O26" s="7" t="s">
        <v>61</v>
      </c>
      <c r="P26" s="7" t="s">
        <v>131</v>
      </c>
      <c r="Q26" s="7" t="s">
        <v>179</v>
      </c>
      <c r="R26" s="7" t="s">
        <v>62</v>
      </c>
      <c r="S26" s="7" t="s">
        <v>123</v>
      </c>
      <c r="T26" s="7" t="s">
        <v>295</v>
      </c>
      <c r="U26" s="108">
        <f t="shared" si="0"/>
        <v>0.48666666666666669</v>
      </c>
      <c r="V26" s="7" t="s">
        <v>2087</v>
      </c>
    </row>
    <row r="27" spans="1:22" x14ac:dyDescent="0.3">
      <c r="A27" s="7">
        <v>26</v>
      </c>
      <c r="B27" s="7" t="s">
        <v>411</v>
      </c>
      <c r="C27" s="7" t="s">
        <v>2648</v>
      </c>
      <c r="D27" s="7">
        <v>30226026</v>
      </c>
      <c r="E27" s="7">
        <v>78</v>
      </c>
      <c r="F27" s="7">
        <v>117</v>
      </c>
      <c r="G27" s="7">
        <v>22</v>
      </c>
      <c r="H27" s="7" t="s">
        <v>222</v>
      </c>
      <c r="I27" s="7" t="s">
        <v>88</v>
      </c>
      <c r="J27" s="7" t="s">
        <v>130</v>
      </c>
      <c r="K27" s="46">
        <v>0.69513888888888886</v>
      </c>
      <c r="L27" s="46">
        <v>0.70972222222222225</v>
      </c>
      <c r="M27" s="7" t="s">
        <v>109</v>
      </c>
      <c r="N27" s="7" t="s">
        <v>109</v>
      </c>
      <c r="O27" s="7" t="s">
        <v>61</v>
      </c>
      <c r="P27" s="7" t="s">
        <v>131</v>
      </c>
      <c r="Q27" s="7" t="s">
        <v>2448</v>
      </c>
      <c r="R27" s="7" t="s">
        <v>62</v>
      </c>
      <c r="S27" s="7" t="s">
        <v>123</v>
      </c>
      <c r="T27" s="7" t="s">
        <v>295</v>
      </c>
      <c r="U27" s="108">
        <f t="shared" si="0"/>
        <v>0.28205128205128205</v>
      </c>
      <c r="V27" s="7" t="s">
        <v>291</v>
      </c>
    </row>
    <row r="28" spans="1:22" x14ac:dyDescent="0.3">
      <c r="A28" s="7">
        <v>27</v>
      </c>
      <c r="B28" s="7" t="s">
        <v>135</v>
      </c>
      <c r="C28" s="7" t="s">
        <v>2649</v>
      </c>
      <c r="D28" s="7">
        <v>20226007</v>
      </c>
      <c r="E28" s="7">
        <v>90</v>
      </c>
      <c r="F28" s="7">
        <v>110</v>
      </c>
      <c r="G28" s="7">
        <v>30</v>
      </c>
      <c r="H28" s="7" t="s">
        <v>520</v>
      </c>
      <c r="I28" s="7" t="s">
        <v>93</v>
      </c>
      <c r="J28" s="7" t="s">
        <v>130</v>
      </c>
      <c r="K28" s="46">
        <v>0.81666666666666665</v>
      </c>
      <c r="L28" s="46">
        <v>0.86458333333333337</v>
      </c>
      <c r="M28" s="7" t="s">
        <v>109</v>
      </c>
      <c r="N28" s="7" t="s">
        <v>109</v>
      </c>
      <c r="O28" s="7" t="s">
        <v>61</v>
      </c>
      <c r="P28" s="7" t="s">
        <v>131</v>
      </c>
      <c r="Q28" s="7" t="s">
        <v>93</v>
      </c>
      <c r="R28" s="7" t="s">
        <v>63</v>
      </c>
      <c r="S28" s="7" t="s">
        <v>123</v>
      </c>
      <c r="T28" s="7" t="s">
        <v>2563</v>
      </c>
      <c r="U28" s="108">
        <f t="shared" si="0"/>
        <v>0.33333333333333331</v>
      </c>
      <c r="V28" s="7" t="s">
        <v>291</v>
      </c>
    </row>
    <row r="29" spans="1:22" x14ac:dyDescent="0.3">
      <c r="A29" s="7">
        <v>28</v>
      </c>
      <c r="B29" s="7" t="s">
        <v>135</v>
      </c>
      <c r="C29" s="7" t="s">
        <v>2650</v>
      </c>
      <c r="D29" s="7">
        <v>20226008</v>
      </c>
      <c r="E29" s="7">
        <v>150</v>
      </c>
      <c r="F29" s="7">
        <v>256</v>
      </c>
      <c r="G29" s="7">
        <v>83</v>
      </c>
      <c r="H29" s="7" t="s">
        <v>2651</v>
      </c>
      <c r="I29" s="7" t="s">
        <v>2260</v>
      </c>
      <c r="J29" s="7" t="s">
        <v>130</v>
      </c>
      <c r="K29" s="46">
        <v>0.94166666666666665</v>
      </c>
      <c r="L29" s="46">
        <v>0.96875</v>
      </c>
      <c r="M29" s="7" t="s">
        <v>109</v>
      </c>
      <c r="N29" s="7" t="s">
        <v>109</v>
      </c>
      <c r="O29" s="7" t="s">
        <v>61</v>
      </c>
      <c r="P29" s="7" t="s">
        <v>131</v>
      </c>
      <c r="Q29" s="7" t="s">
        <v>93</v>
      </c>
      <c r="R29" s="7" t="s">
        <v>63</v>
      </c>
      <c r="S29" s="7" t="s">
        <v>123</v>
      </c>
      <c r="T29" s="7" t="s">
        <v>2563</v>
      </c>
      <c r="U29" s="108">
        <f t="shared" si="0"/>
        <v>0.55333333333333334</v>
      </c>
      <c r="V29" s="7" t="s">
        <v>2087</v>
      </c>
    </row>
    <row r="30" spans="1:22" x14ac:dyDescent="0.3">
      <c r="A30" s="7">
        <v>29</v>
      </c>
      <c r="B30" s="7" t="s">
        <v>2395</v>
      </c>
      <c r="C30" s="7" t="s">
        <v>2429</v>
      </c>
      <c r="D30" s="7">
        <v>40226009</v>
      </c>
      <c r="E30" s="7">
        <v>261</v>
      </c>
      <c r="F30" s="7">
        <v>406</v>
      </c>
      <c r="G30" s="7">
        <v>100</v>
      </c>
      <c r="H30" s="7" t="s">
        <v>2652</v>
      </c>
      <c r="I30" s="7" t="s">
        <v>750</v>
      </c>
      <c r="J30" s="7" t="s">
        <v>130</v>
      </c>
      <c r="K30" s="46">
        <v>0.94652777777777775</v>
      </c>
      <c r="L30" s="46">
        <v>0.97361111111111109</v>
      </c>
      <c r="M30" s="7" t="s">
        <v>109</v>
      </c>
      <c r="N30" s="7" t="s">
        <v>2165</v>
      </c>
      <c r="O30" s="7" t="s">
        <v>61</v>
      </c>
      <c r="P30" s="7" t="s">
        <v>131</v>
      </c>
      <c r="Q30" s="7" t="s">
        <v>91</v>
      </c>
      <c r="R30" s="7" t="s">
        <v>62</v>
      </c>
      <c r="S30" s="7" t="s">
        <v>123</v>
      </c>
      <c r="T30" s="7" t="s">
        <v>2430</v>
      </c>
      <c r="U30" s="108">
        <f t="shared" si="0"/>
        <v>0.38314176245210729</v>
      </c>
      <c r="V30" s="7" t="s">
        <v>2087</v>
      </c>
    </row>
    <row r="31" spans="1:22" x14ac:dyDescent="0.3">
      <c r="A31" s="7">
        <v>30</v>
      </c>
      <c r="B31" s="7" t="s">
        <v>23</v>
      </c>
      <c r="C31" s="7" t="s">
        <v>1572</v>
      </c>
      <c r="D31" s="7">
        <v>50126354</v>
      </c>
      <c r="E31" s="7">
        <v>50</v>
      </c>
      <c r="F31" s="7">
        <v>100</v>
      </c>
      <c r="G31" s="7">
        <v>31</v>
      </c>
      <c r="H31" s="7" t="s">
        <v>241</v>
      </c>
      <c r="I31" s="7" t="s">
        <v>109</v>
      </c>
      <c r="J31" s="7" t="s">
        <v>130</v>
      </c>
      <c r="K31" s="46">
        <v>0.97847222222222219</v>
      </c>
      <c r="L31" s="7" t="s">
        <v>109</v>
      </c>
      <c r="M31" s="7" t="s">
        <v>109</v>
      </c>
      <c r="N31" s="7" t="s">
        <v>2055</v>
      </c>
      <c r="O31" s="7" t="s">
        <v>61</v>
      </c>
      <c r="P31" s="7" t="s">
        <v>131</v>
      </c>
      <c r="Q31" s="7" t="s">
        <v>241</v>
      </c>
      <c r="R31" s="7" t="s">
        <v>62</v>
      </c>
      <c r="S31" s="7" t="s">
        <v>123</v>
      </c>
      <c r="T31" s="7" t="s">
        <v>1568</v>
      </c>
      <c r="U31" s="108">
        <f t="shared" si="0"/>
        <v>0.62</v>
      </c>
      <c r="V31" s="7" t="s">
        <v>2087</v>
      </c>
    </row>
    <row r="32" spans="1:22" x14ac:dyDescent="0.3">
      <c r="A32" s="7">
        <v>31</v>
      </c>
      <c r="B32" s="7" t="s">
        <v>23</v>
      </c>
      <c r="C32" s="7" t="s">
        <v>377</v>
      </c>
      <c r="D32" s="7">
        <v>50425243</v>
      </c>
      <c r="E32" s="7">
        <v>200</v>
      </c>
      <c r="F32" s="7">
        <v>331</v>
      </c>
      <c r="G32" s="7">
        <v>47</v>
      </c>
      <c r="H32" s="7" t="s">
        <v>2653</v>
      </c>
      <c r="I32" s="7" t="s">
        <v>109</v>
      </c>
      <c r="J32" s="7" t="s">
        <v>130</v>
      </c>
      <c r="K32" s="46">
        <v>1.3888888888888889E-3</v>
      </c>
      <c r="L32" s="7" t="s">
        <v>109</v>
      </c>
      <c r="M32" s="7" t="s">
        <v>109</v>
      </c>
      <c r="N32" s="7" t="s">
        <v>109</v>
      </c>
      <c r="O32" s="7" t="s">
        <v>61</v>
      </c>
      <c r="P32" s="7" t="s">
        <v>131</v>
      </c>
      <c r="Q32" s="7" t="s">
        <v>68</v>
      </c>
      <c r="R32" s="7" t="s">
        <v>62</v>
      </c>
      <c r="S32" s="7" t="s">
        <v>123</v>
      </c>
      <c r="T32" s="7" t="s">
        <v>379</v>
      </c>
      <c r="U32" s="108">
        <f t="shared" si="0"/>
        <v>0.23499999999999999</v>
      </c>
      <c r="V32" s="7" t="s">
        <v>291</v>
      </c>
    </row>
    <row r="33" spans="1:22" x14ac:dyDescent="0.3">
      <c r="A33" s="7">
        <v>32</v>
      </c>
      <c r="B33" s="7" t="s">
        <v>23</v>
      </c>
      <c r="C33" s="7" t="s">
        <v>380</v>
      </c>
      <c r="D33" s="7">
        <v>50425241</v>
      </c>
      <c r="E33" s="7">
        <v>200</v>
      </c>
      <c r="F33" s="7">
        <v>315</v>
      </c>
      <c r="G33" s="7">
        <v>13</v>
      </c>
      <c r="H33" s="7" t="s">
        <v>2654</v>
      </c>
      <c r="I33" s="7" t="s">
        <v>109</v>
      </c>
      <c r="J33" s="7" t="s">
        <v>130</v>
      </c>
      <c r="K33" s="46">
        <v>0.94374999999999998</v>
      </c>
      <c r="L33" s="7" t="s">
        <v>109</v>
      </c>
      <c r="M33" s="7" t="s">
        <v>109</v>
      </c>
      <c r="N33" s="7" t="s">
        <v>109</v>
      </c>
      <c r="O33" s="7" t="s">
        <v>61</v>
      </c>
      <c r="P33" s="7" t="s">
        <v>131</v>
      </c>
      <c r="Q33" s="7" t="s">
        <v>222</v>
      </c>
      <c r="R33" s="7" t="s">
        <v>62</v>
      </c>
      <c r="S33" s="7" t="s">
        <v>123</v>
      </c>
      <c r="T33" s="7" t="s">
        <v>379</v>
      </c>
      <c r="U33" s="108">
        <f t="shared" si="0"/>
        <v>6.5000000000000002E-2</v>
      </c>
      <c r="V33" s="7" t="s">
        <v>2087</v>
      </c>
    </row>
    <row r="34" spans="1:22" x14ac:dyDescent="0.3">
      <c r="A34" s="7">
        <v>33</v>
      </c>
      <c r="B34" s="7" t="s">
        <v>143</v>
      </c>
      <c r="C34" s="7" t="s">
        <v>2359</v>
      </c>
      <c r="D34" s="7">
        <v>10226038</v>
      </c>
      <c r="E34" s="7">
        <v>165</v>
      </c>
      <c r="F34" s="7">
        <v>340</v>
      </c>
      <c r="G34" s="7">
        <v>127</v>
      </c>
      <c r="H34" s="7" t="s">
        <v>1195</v>
      </c>
      <c r="I34" s="7" t="s">
        <v>2655</v>
      </c>
      <c r="J34" s="7" t="s">
        <v>130</v>
      </c>
      <c r="K34" s="46">
        <v>9.7222222222222224E-3</v>
      </c>
      <c r="L34" s="46">
        <v>3.4722222222222224E-2</v>
      </c>
      <c r="M34" s="7" t="s">
        <v>109</v>
      </c>
      <c r="N34" s="7" t="s">
        <v>2656</v>
      </c>
      <c r="O34" s="7" t="s">
        <v>61</v>
      </c>
      <c r="P34" s="7" t="s">
        <v>131</v>
      </c>
      <c r="Q34" s="7" t="s">
        <v>95</v>
      </c>
      <c r="R34" s="7" t="s">
        <v>62</v>
      </c>
      <c r="S34" s="7" t="s">
        <v>123</v>
      </c>
      <c r="T34" s="7" t="s">
        <v>402</v>
      </c>
      <c r="U34" s="108">
        <f t="shared" ref="U34:U65" si="1">G34/E34</f>
        <v>0.76969696969696966</v>
      </c>
      <c r="V34" s="7" t="s">
        <v>2087</v>
      </c>
    </row>
    <row r="35" spans="1:22" x14ac:dyDescent="0.3">
      <c r="A35" s="7">
        <v>34</v>
      </c>
      <c r="B35" s="7" t="s">
        <v>143</v>
      </c>
      <c r="C35" s="7" t="s">
        <v>1667</v>
      </c>
      <c r="D35" s="7">
        <v>10126048</v>
      </c>
      <c r="E35" s="7">
        <v>100</v>
      </c>
      <c r="F35" s="7">
        <v>229</v>
      </c>
      <c r="G35" s="7">
        <v>47</v>
      </c>
      <c r="H35" s="7" t="s">
        <v>1136</v>
      </c>
      <c r="I35" s="7" t="s">
        <v>2689</v>
      </c>
      <c r="J35" s="7" t="s">
        <v>130</v>
      </c>
      <c r="K35" s="46">
        <v>0.96736111111111112</v>
      </c>
      <c r="L35" s="46">
        <v>0.99583333333333335</v>
      </c>
      <c r="M35" s="7" t="s">
        <v>109</v>
      </c>
      <c r="N35" s="7" t="s">
        <v>2656</v>
      </c>
      <c r="O35" s="7" t="s">
        <v>61</v>
      </c>
      <c r="P35" s="7" t="s">
        <v>131</v>
      </c>
      <c r="Q35" s="7" t="s">
        <v>603</v>
      </c>
      <c r="R35" s="7" t="s">
        <v>62</v>
      </c>
      <c r="S35" s="7" t="s">
        <v>123</v>
      </c>
      <c r="T35" s="7" t="s">
        <v>402</v>
      </c>
      <c r="U35" s="108">
        <f t="shared" si="1"/>
        <v>0.47</v>
      </c>
      <c r="V35" s="7" t="s">
        <v>2087</v>
      </c>
    </row>
    <row r="36" spans="1:22" x14ac:dyDescent="0.3">
      <c r="A36" s="7">
        <v>35</v>
      </c>
      <c r="B36" s="7" t="s">
        <v>143</v>
      </c>
      <c r="C36" s="7" t="s">
        <v>2657</v>
      </c>
      <c r="D36" s="7">
        <v>10226057</v>
      </c>
      <c r="E36" s="7">
        <v>35</v>
      </c>
      <c r="F36" s="7" t="s">
        <v>109</v>
      </c>
      <c r="G36" s="7" t="s">
        <v>109</v>
      </c>
      <c r="H36" s="7" t="s">
        <v>520</v>
      </c>
      <c r="I36" s="7" t="s">
        <v>179</v>
      </c>
      <c r="J36" s="7" t="s">
        <v>85</v>
      </c>
      <c r="K36" s="7" t="s">
        <v>109</v>
      </c>
      <c r="L36" s="7" t="s">
        <v>109</v>
      </c>
      <c r="M36" s="7" t="s">
        <v>109</v>
      </c>
      <c r="N36" s="7" t="s">
        <v>109</v>
      </c>
      <c r="O36" s="7" t="s">
        <v>61</v>
      </c>
      <c r="P36" s="7" t="s">
        <v>109</v>
      </c>
      <c r="Q36" s="7" t="s">
        <v>109</v>
      </c>
      <c r="R36" s="7" t="s">
        <v>62</v>
      </c>
      <c r="S36" s="7" t="s">
        <v>123</v>
      </c>
      <c r="T36" s="7" t="s">
        <v>121</v>
      </c>
      <c r="U36" s="108" t="e">
        <f t="shared" si="1"/>
        <v>#VALUE!</v>
      </c>
      <c r="V36" s="7" t="s">
        <v>109</v>
      </c>
    </row>
    <row r="37" spans="1:22" x14ac:dyDescent="0.3">
      <c r="A37" s="7">
        <v>36</v>
      </c>
      <c r="B37" s="7" t="s">
        <v>143</v>
      </c>
      <c r="C37" s="7" t="s">
        <v>2658</v>
      </c>
      <c r="D37" s="7">
        <v>10226056</v>
      </c>
      <c r="E37" s="7">
        <v>40</v>
      </c>
      <c r="F37" s="7">
        <v>61</v>
      </c>
      <c r="G37" s="7">
        <v>23</v>
      </c>
      <c r="H37" s="7" t="s">
        <v>68</v>
      </c>
      <c r="I37" s="7" t="s">
        <v>86</v>
      </c>
      <c r="J37" s="7" t="s">
        <v>130</v>
      </c>
      <c r="K37" s="46">
        <v>0.73611111111111116</v>
      </c>
      <c r="L37" s="46">
        <v>0.75208333333333333</v>
      </c>
      <c r="M37" s="7" t="s">
        <v>109</v>
      </c>
      <c r="N37" s="7" t="s">
        <v>109</v>
      </c>
      <c r="O37" s="7" t="s">
        <v>61</v>
      </c>
      <c r="P37" s="7" t="s">
        <v>131</v>
      </c>
      <c r="Q37" s="7" t="s">
        <v>86</v>
      </c>
      <c r="R37" s="7" t="s">
        <v>62</v>
      </c>
      <c r="S37" s="7" t="s">
        <v>123</v>
      </c>
      <c r="T37" s="7" t="s">
        <v>121</v>
      </c>
      <c r="U37" s="108">
        <f t="shared" si="1"/>
        <v>0.57499999999999996</v>
      </c>
      <c r="V37" s="7" t="s">
        <v>291</v>
      </c>
    </row>
    <row r="38" spans="1:22" x14ac:dyDescent="0.3">
      <c r="A38" s="7">
        <v>37</v>
      </c>
      <c r="B38" s="7" t="s">
        <v>143</v>
      </c>
      <c r="C38" s="7" t="s">
        <v>2366</v>
      </c>
      <c r="D38" s="7">
        <v>10226040</v>
      </c>
      <c r="E38" s="7">
        <v>130</v>
      </c>
      <c r="F38" s="7">
        <v>192</v>
      </c>
      <c r="G38" s="7">
        <v>129</v>
      </c>
      <c r="H38" s="7" t="s">
        <v>79</v>
      </c>
      <c r="I38" s="7" t="s">
        <v>2659</v>
      </c>
      <c r="J38" s="7" t="s">
        <v>130</v>
      </c>
      <c r="K38" s="46">
        <v>0.84583333333333333</v>
      </c>
      <c r="L38" s="46">
        <v>0.85972222222222228</v>
      </c>
      <c r="M38" s="7" t="s">
        <v>109</v>
      </c>
      <c r="N38" s="7" t="s">
        <v>109</v>
      </c>
      <c r="O38" s="7" t="s">
        <v>61</v>
      </c>
      <c r="P38" s="7" t="s">
        <v>131</v>
      </c>
      <c r="Q38" s="7" t="s">
        <v>154</v>
      </c>
      <c r="R38" s="7" t="s">
        <v>62</v>
      </c>
      <c r="S38" s="7" t="s">
        <v>123</v>
      </c>
      <c r="T38" s="7" t="s">
        <v>334</v>
      </c>
      <c r="U38" s="108">
        <f t="shared" si="1"/>
        <v>0.99230769230769234</v>
      </c>
      <c r="V38" s="7" t="s">
        <v>1941</v>
      </c>
    </row>
    <row r="39" spans="1:22" x14ac:dyDescent="0.3">
      <c r="A39" s="7">
        <v>38</v>
      </c>
      <c r="B39" s="7" t="s">
        <v>143</v>
      </c>
      <c r="C39" s="7" t="s">
        <v>2660</v>
      </c>
      <c r="D39" s="7">
        <v>11225023</v>
      </c>
      <c r="E39" s="7">
        <v>65</v>
      </c>
      <c r="F39" s="7">
        <v>126</v>
      </c>
      <c r="G39" s="7">
        <v>49</v>
      </c>
      <c r="H39" s="7" t="s">
        <v>69</v>
      </c>
      <c r="I39" s="7" t="s">
        <v>179</v>
      </c>
      <c r="J39" s="7" t="s">
        <v>130</v>
      </c>
      <c r="K39" s="46">
        <v>0.77500000000000002</v>
      </c>
      <c r="L39" s="46">
        <v>0.83263888888888893</v>
      </c>
      <c r="M39" s="7" t="s">
        <v>109</v>
      </c>
      <c r="N39" s="7" t="s">
        <v>109</v>
      </c>
      <c r="O39" s="7" t="s">
        <v>61</v>
      </c>
      <c r="P39" s="7" t="s">
        <v>131</v>
      </c>
      <c r="Q39" s="7" t="s">
        <v>179</v>
      </c>
      <c r="R39" s="7" t="s">
        <v>1640</v>
      </c>
      <c r="S39" s="7" t="s">
        <v>123</v>
      </c>
      <c r="T39" s="7" t="s">
        <v>2661</v>
      </c>
      <c r="U39" s="108">
        <f t="shared" si="1"/>
        <v>0.75384615384615383</v>
      </c>
      <c r="V39" s="7" t="s">
        <v>2087</v>
      </c>
    </row>
    <row r="40" spans="1:22" x14ac:dyDescent="0.3">
      <c r="A40" s="7">
        <v>39</v>
      </c>
      <c r="B40" s="7" t="s">
        <v>143</v>
      </c>
      <c r="C40" s="7" t="s">
        <v>2662</v>
      </c>
      <c r="D40" s="7">
        <v>11225022</v>
      </c>
      <c r="E40" s="7">
        <v>65</v>
      </c>
      <c r="F40" s="7">
        <v>38</v>
      </c>
      <c r="G40" s="7">
        <v>13</v>
      </c>
      <c r="H40" s="7" t="s">
        <v>64</v>
      </c>
      <c r="I40" s="7" t="s">
        <v>154</v>
      </c>
      <c r="J40" s="7" t="s">
        <v>130</v>
      </c>
      <c r="K40" s="46">
        <v>0.85138888888888886</v>
      </c>
      <c r="L40" s="46">
        <v>0.93611111111111112</v>
      </c>
      <c r="M40" s="7" t="s">
        <v>109</v>
      </c>
      <c r="N40" s="7" t="s">
        <v>109</v>
      </c>
      <c r="O40" s="7" t="s">
        <v>61</v>
      </c>
      <c r="P40" s="7" t="s">
        <v>131</v>
      </c>
      <c r="Q40" s="7" t="s">
        <v>154</v>
      </c>
      <c r="R40" s="7" t="s">
        <v>1640</v>
      </c>
      <c r="S40" s="7" t="s">
        <v>123</v>
      </c>
      <c r="T40" s="7" t="s">
        <v>2661</v>
      </c>
      <c r="U40" s="108">
        <f t="shared" si="1"/>
        <v>0.2</v>
      </c>
      <c r="V40" s="7" t="s">
        <v>291</v>
      </c>
    </row>
    <row r="41" spans="1:22" x14ac:dyDescent="0.3">
      <c r="A41" s="7">
        <v>40</v>
      </c>
      <c r="B41" s="7" t="s">
        <v>143</v>
      </c>
      <c r="C41" s="7" t="s">
        <v>2663</v>
      </c>
      <c r="D41" s="7">
        <v>10226058</v>
      </c>
      <c r="E41" s="7">
        <v>26</v>
      </c>
      <c r="F41" s="7">
        <v>44</v>
      </c>
      <c r="G41" s="7">
        <v>28</v>
      </c>
      <c r="H41" s="7" t="s">
        <v>196</v>
      </c>
      <c r="I41" s="7" t="s">
        <v>87</v>
      </c>
      <c r="J41" s="7" t="s">
        <v>130</v>
      </c>
      <c r="K41" s="46">
        <v>0.6791666666666667</v>
      </c>
      <c r="L41" s="46">
        <v>0.69097222222222221</v>
      </c>
      <c r="M41" s="7" t="s">
        <v>109</v>
      </c>
      <c r="N41" s="7" t="s">
        <v>109</v>
      </c>
      <c r="O41" s="7" t="s">
        <v>61</v>
      </c>
      <c r="P41" s="7" t="s">
        <v>131</v>
      </c>
      <c r="Q41" s="7" t="s">
        <v>87</v>
      </c>
      <c r="R41" s="7" t="s">
        <v>62</v>
      </c>
      <c r="S41" s="7" t="s">
        <v>123</v>
      </c>
      <c r="T41" s="7" t="s">
        <v>121</v>
      </c>
      <c r="U41" s="108">
        <f t="shared" si="1"/>
        <v>1.0769230769230769</v>
      </c>
      <c r="V41" s="7" t="s">
        <v>1941</v>
      </c>
    </row>
    <row r="42" spans="1:22" x14ac:dyDescent="0.3">
      <c r="A42" s="7">
        <v>41</v>
      </c>
      <c r="B42" s="7" t="s">
        <v>143</v>
      </c>
      <c r="C42" s="7" t="s">
        <v>2614</v>
      </c>
      <c r="D42" s="7">
        <v>10226055</v>
      </c>
      <c r="E42" s="7">
        <v>35</v>
      </c>
      <c r="F42" s="7">
        <v>84</v>
      </c>
      <c r="G42" s="7">
        <v>20</v>
      </c>
      <c r="H42" s="7" t="s">
        <v>64</v>
      </c>
      <c r="I42" s="7" t="s">
        <v>86</v>
      </c>
      <c r="J42" s="7" t="s">
        <v>130</v>
      </c>
      <c r="K42" s="46">
        <v>0.94513888888888886</v>
      </c>
      <c r="L42" s="46">
        <v>2.2916666666666665E-2</v>
      </c>
      <c r="M42" s="7" t="s">
        <v>109</v>
      </c>
      <c r="N42" s="7" t="s">
        <v>109</v>
      </c>
      <c r="O42" s="7" t="s">
        <v>61</v>
      </c>
      <c r="P42" s="7" t="s">
        <v>131</v>
      </c>
      <c r="Q42" s="7" t="s">
        <v>86</v>
      </c>
      <c r="R42" s="7" t="s">
        <v>62</v>
      </c>
      <c r="S42" s="7" t="s">
        <v>123</v>
      </c>
      <c r="T42" s="7" t="s">
        <v>398</v>
      </c>
      <c r="U42" s="108">
        <f t="shared" si="1"/>
        <v>0.5714285714285714</v>
      </c>
      <c r="V42" s="7" t="s">
        <v>2087</v>
      </c>
    </row>
    <row r="43" spans="1:22" x14ac:dyDescent="0.3">
      <c r="A43" s="7">
        <v>42</v>
      </c>
      <c r="B43" s="7" t="s">
        <v>143</v>
      </c>
      <c r="C43" s="7" t="s">
        <v>2513</v>
      </c>
      <c r="D43" s="7">
        <v>10226046</v>
      </c>
      <c r="E43" s="7">
        <v>50</v>
      </c>
      <c r="F43" s="7">
        <v>127</v>
      </c>
      <c r="G43" s="7">
        <v>6</v>
      </c>
      <c r="H43" s="7" t="s">
        <v>241</v>
      </c>
      <c r="I43" s="7" t="s">
        <v>93</v>
      </c>
      <c r="J43" s="7" t="s">
        <v>130</v>
      </c>
      <c r="K43" s="46">
        <v>0.77847222222222223</v>
      </c>
      <c r="L43" s="46">
        <v>0.81319444444444444</v>
      </c>
      <c r="M43" s="7" t="s">
        <v>109</v>
      </c>
      <c r="N43" s="7" t="s">
        <v>109</v>
      </c>
      <c r="O43" s="7" t="s">
        <v>61</v>
      </c>
      <c r="P43" s="7" t="s">
        <v>131</v>
      </c>
      <c r="Q43" s="7" t="s">
        <v>93</v>
      </c>
      <c r="R43" s="7" t="s">
        <v>62</v>
      </c>
      <c r="S43" s="7" t="s">
        <v>123</v>
      </c>
      <c r="T43" s="7" t="s">
        <v>398</v>
      </c>
      <c r="U43" s="108">
        <f t="shared" si="1"/>
        <v>0.12</v>
      </c>
      <c r="V43" s="7" t="s">
        <v>2087</v>
      </c>
    </row>
    <row r="44" spans="1:22" x14ac:dyDescent="0.3">
      <c r="A44" s="7">
        <v>43</v>
      </c>
      <c r="B44" s="7" t="s">
        <v>143</v>
      </c>
      <c r="C44" s="7" t="s">
        <v>2664</v>
      </c>
      <c r="D44" s="7">
        <v>10226063</v>
      </c>
      <c r="E44" s="7">
        <v>110</v>
      </c>
      <c r="F44" s="7">
        <v>165</v>
      </c>
      <c r="G44" s="7">
        <v>11</v>
      </c>
      <c r="H44" s="7" t="s">
        <v>191</v>
      </c>
      <c r="I44" s="7" t="s">
        <v>1503</v>
      </c>
      <c r="J44" s="7" t="s">
        <v>130</v>
      </c>
      <c r="K44" s="46">
        <v>0.8979166666666667</v>
      </c>
      <c r="L44" s="46">
        <v>8.3333333333333332E-3</v>
      </c>
      <c r="M44" s="7" t="s">
        <v>109</v>
      </c>
      <c r="N44" s="7" t="s">
        <v>109</v>
      </c>
      <c r="O44" s="7" t="s">
        <v>61</v>
      </c>
      <c r="P44" s="7" t="s">
        <v>131</v>
      </c>
      <c r="Q44" s="7" t="s">
        <v>605</v>
      </c>
      <c r="R44" s="7" t="s">
        <v>62</v>
      </c>
      <c r="S44" s="7" t="s">
        <v>123</v>
      </c>
      <c r="T44" s="7" t="s">
        <v>398</v>
      </c>
      <c r="U44" s="108">
        <f t="shared" si="1"/>
        <v>0.1</v>
      </c>
      <c r="V44" s="7" t="s">
        <v>291</v>
      </c>
    </row>
    <row r="45" spans="1:22" x14ac:dyDescent="0.3">
      <c r="A45" s="7">
        <v>44</v>
      </c>
      <c r="B45" s="7" t="s">
        <v>143</v>
      </c>
      <c r="C45" s="7" t="s">
        <v>2665</v>
      </c>
      <c r="D45" s="7">
        <v>10226064</v>
      </c>
      <c r="E45" s="7">
        <v>70</v>
      </c>
      <c r="F45" s="7">
        <v>87</v>
      </c>
      <c r="G45" s="7">
        <v>29</v>
      </c>
      <c r="H45" s="7" t="s">
        <v>274</v>
      </c>
      <c r="I45" s="7" t="s">
        <v>91</v>
      </c>
      <c r="J45" s="7" t="s">
        <v>130</v>
      </c>
      <c r="K45" s="46">
        <v>0.9770833333333333</v>
      </c>
      <c r="L45" s="46">
        <v>0</v>
      </c>
      <c r="M45" s="7" t="s">
        <v>109</v>
      </c>
      <c r="N45" s="7" t="s">
        <v>109</v>
      </c>
      <c r="O45" s="7" t="s">
        <v>61</v>
      </c>
      <c r="P45" s="7" t="s">
        <v>131</v>
      </c>
      <c r="Q45" s="7" t="s">
        <v>91</v>
      </c>
      <c r="R45" s="7" t="s">
        <v>62</v>
      </c>
      <c r="S45" s="7" t="s">
        <v>123</v>
      </c>
      <c r="T45" s="7" t="s">
        <v>2666</v>
      </c>
      <c r="U45" s="108">
        <f t="shared" si="1"/>
        <v>0.41428571428571431</v>
      </c>
      <c r="V45" s="7" t="s">
        <v>291</v>
      </c>
    </row>
    <row r="46" spans="1:22" s="21" customFormat="1" x14ac:dyDescent="0.3">
      <c r="A46" s="7">
        <v>45</v>
      </c>
      <c r="B46" s="7" t="s">
        <v>143</v>
      </c>
      <c r="C46" s="7" t="s">
        <v>2667</v>
      </c>
      <c r="D46" s="7">
        <v>10226062</v>
      </c>
      <c r="E46" s="7">
        <v>80</v>
      </c>
      <c r="F46" s="7">
        <v>36</v>
      </c>
      <c r="G46" s="7">
        <v>5</v>
      </c>
      <c r="H46" s="7" t="s">
        <v>84</v>
      </c>
      <c r="I46" s="7" t="s">
        <v>94</v>
      </c>
      <c r="J46" s="7" t="s">
        <v>130</v>
      </c>
      <c r="K46" s="46">
        <v>0.95</v>
      </c>
      <c r="L46" s="46">
        <v>0.97152777777777777</v>
      </c>
      <c r="M46" s="7" t="s">
        <v>109</v>
      </c>
      <c r="N46" s="7" t="s">
        <v>109</v>
      </c>
      <c r="O46" s="7" t="s">
        <v>61</v>
      </c>
      <c r="P46" s="7" t="s">
        <v>131</v>
      </c>
      <c r="Q46" s="7" t="s">
        <v>888</v>
      </c>
      <c r="R46" s="7" t="s">
        <v>62</v>
      </c>
      <c r="S46" s="7" t="s">
        <v>123</v>
      </c>
      <c r="T46" s="7" t="s">
        <v>2666</v>
      </c>
      <c r="U46" s="108">
        <f t="shared" si="1"/>
        <v>6.25E-2</v>
      </c>
      <c r="V46" s="7" t="s">
        <v>291</v>
      </c>
    </row>
    <row r="47" spans="1:22" x14ac:dyDescent="0.3">
      <c r="A47" s="7">
        <v>46</v>
      </c>
      <c r="B47" s="7" t="s">
        <v>143</v>
      </c>
      <c r="C47" s="7" t="s">
        <v>2668</v>
      </c>
      <c r="D47" s="7">
        <v>10226060</v>
      </c>
      <c r="E47" s="7">
        <v>65</v>
      </c>
      <c r="F47" s="7">
        <v>55</v>
      </c>
      <c r="G47" s="7">
        <v>32</v>
      </c>
      <c r="H47" s="7" t="s">
        <v>82</v>
      </c>
      <c r="I47" s="7" t="s">
        <v>89</v>
      </c>
      <c r="J47" s="7" t="s">
        <v>130</v>
      </c>
      <c r="K47" s="46">
        <v>0.83194444444444449</v>
      </c>
      <c r="L47" s="46">
        <v>0.85138888888888886</v>
      </c>
      <c r="M47" s="7" t="s">
        <v>109</v>
      </c>
      <c r="N47" s="7" t="s">
        <v>109</v>
      </c>
      <c r="O47" s="7" t="s">
        <v>61</v>
      </c>
      <c r="P47" s="7" t="s">
        <v>131</v>
      </c>
      <c r="Q47" s="7" t="s">
        <v>89</v>
      </c>
      <c r="R47" s="7" t="s">
        <v>62</v>
      </c>
      <c r="S47" s="7" t="s">
        <v>123</v>
      </c>
      <c r="T47" s="7" t="s">
        <v>2666</v>
      </c>
      <c r="U47" s="108">
        <f t="shared" si="1"/>
        <v>0.49230769230769234</v>
      </c>
      <c r="V47" s="7" t="s">
        <v>291</v>
      </c>
    </row>
    <row r="48" spans="1:22" x14ac:dyDescent="0.3">
      <c r="A48" s="7">
        <v>47</v>
      </c>
      <c r="B48" s="7" t="s">
        <v>143</v>
      </c>
      <c r="C48" s="7" t="s">
        <v>2669</v>
      </c>
      <c r="D48" s="7">
        <v>10226059</v>
      </c>
      <c r="E48" s="7">
        <v>65</v>
      </c>
      <c r="F48" s="7">
        <v>80</v>
      </c>
      <c r="G48" s="7">
        <v>69</v>
      </c>
      <c r="H48" s="7" t="s">
        <v>70</v>
      </c>
      <c r="I48" s="7" t="s">
        <v>179</v>
      </c>
      <c r="J48" s="7" t="s">
        <v>130</v>
      </c>
      <c r="K48" s="46">
        <v>0.79791666666666672</v>
      </c>
      <c r="L48" s="46">
        <v>0.8354166666666667</v>
      </c>
      <c r="M48" s="7" t="s">
        <v>109</v>
      </c>
      <c r="N48" s="7" t="s">
        <v>109</v>
      </c>
      <c r="O48" s="7" t="s">
        <v>61</v>
      </c>
      <c r="P48" s="7" t="s">
        <v>131</v>
      </c>
      <c r="Q48" s="7" t="s">
        <v>179</v>
      </c>
      <c r="R48" s="7" t="s">
        <v>62</v>
      </c>
      <c r="S48" s="7" t="s">
        <v>123</v>
      </c>
      <c r="T48" s="7" t="s">
        <v>2666</v>
      </c>
      <c r="U48" s="108">
        <f t="shared" si="1"/>
        <v>1.0615384615384615</v>
      </c>
      <c r="V48" s="7" t="s">
        <v>1941</v>
      </c>
    </row>
    <row r="49" spans="1:22" x14ac:dyDescent="0.3">
      <c r="A49" s="7">
        <v>48</v>
      </c>
      <c r="B49" s="7" t="s">
        <v>143</v>
      </c>
      <c r="C49" s="7" t="s">
        <v>2184</v>
      </c>
      <c r="D49" s="7">
        <v>10226011</v>
      </c>
      <c r="E49" s="7">
        <v>15</v>
      </c>
      <c r="F49" s="7">
        <v>75</v>
      </c>
      <c r="G49" s="7">
        <v>14</v>
      </c>
      <c r="H49" s="7" t="s">
        <v>82</v>
      </c>
      <c r="I49" s="7" t="s">
        <v>95</v>
      </c>
      <c r="J49" s="7" t="s">
        <v>130</v>
      </c>
      <c r="K49" s="46">
        <v>0.76041666666666663</v>
      </c>
      <c r="L49" s="46">
        <v>0.81458333333333333</v>
      </c>
      <c r="M49" s="7" t="s">
        <v>109</v>
      </c>
      <c r="N49" s="7" t="s">
        <v>109</v>
      </c>
      <c r="O49" s="7" t="s">
        <v>61</v>
      </c>
      <c r="P49" s="7" t="s">
        <v>131</v>
      </c>
      <c r="Q49" s="7" t="s">
        <v>95</v>
      </c>
      <c r="R49" s="7" t="s">
        <v>62</v>
      </c>
      <c r="S49" s="7" t="s">
        <v>123</v>
      </c>
      <c r="T49" s="7" t="s">
        <v>182</v>
      </c>
      <c r="U49" s="108">
        <f t="shared" si="1"/>
        <v>0.93333333333333335</v>
      </c>
      <c r="V49" s="7" t="s">
        <v>1941</v>
      </c>
    </row>
    <row r="50" spans="1:22" x14ac:dyDescent="0.3">
      <c r="A50" s="7">
        <v>49</v>
      </c>
      <c r="B50" s="7" t="s">
        <v>143</v>
      </c>
      <c r="C50" s="7" t="s">
        <v>2670</v>
      </c>
      <c r="D50" s="7">
        <v>10226061</v>
      </c>
      <c r="E50" s="7">
        <v>68</v>
      </c>
      <c r="F50" s="7">
        <v>135</v>
      </c>
      <c r="G50" s="7">
        <v>34</v>
      </c>
      <c r="H50" s="7" t="s">
        <v>69</v>
      </c>
      <c r="I50" s="7" t="s">
        <v>94</v>
      </c>
      <c r="J50" s="7" t="s">
        <v>130</v>
      </c>
      <c r="K50" s="46">
        <v>0.82291666666666663</v>
      </c>
      <c r="L50" s="46">
        <v>0.88888888888888884</v>
      </c>
      <c r="M50" s="7" t="s">
        <v>109</v>
      </c>
      <c r="N50" s="7" t="s">
        <v>109</v>
      </c>
      <c r="O50" s="7" t="s">
        <v>61</v>
      </c>
      <c r="P50" s="7" t="s">
        <v>131</v>
      </c>
      <c r="Q50" s="7" t="s">
        <v>94</v>
      </c>
      <c r="R50" s="7" t="s">
        <v>62</v>
      </c>
      <c r="S50" s="7" t="s">
        <v>123</v>
      </c>
      <c r="T50" s="7" t="s">
        <v>2666</v>
      </c>
      <c r="U50" s="108">
        <f t="shared" si="1"/>
        <v>0.5</v>
      </c>
      <c r="V50" s="7" t="s">
        <v>2087</v>
      </c>
    </row>
    <row r="51" spans="1:22" x14ac:dyDescent="0.3">
      <c r="A51" s="7">
        <v>50</v>
      </c>
      <c r="B51" s="7" t="s">
        <v>23</v>
      </c>
      <c r="C51" s="7" t="s">
        <v>1366</v>
      </c>
      <c r="D51" s="7">
        <v>50126343</v>
      </c>
      <c r="E51" s="7">
        <v>150</v>
      </c>
      <c r="F51" s="7">
        <v>320</v>
      </c>
      <c r="G51" s="7">
        <v>144</v>
      </c>
      <c r="H51" s="7" t="s">
        <v>2654</v>
      </c>
      <c r="I51" s="7" t="s">
        <v>294</v>
      </c>
      <c r="J51" s="7" t="s">
        <v>130</v>
      </c>
      <c r="K51" s="46">
        <v>0.85624999999999996</v>
      </c>
      <c r="L51" s="46">
        <v>0.89583333333333337</v>
      </c>
      <c r="M51" s="7" t="s">
        <v>109</v>
      </c>
      <c r="N51" s="7" t="s">
        <v>1621</v>
      </c>
      <c r="O51" s="7" t="s">
        <v>61</v>
      </c>
      <c r="P51" s="7" t="s">
        <v>131</v>
      </c>
      <c r="Q51" s="7" t="s">
        <v>209</v>
      </c>
      <c r="R51" s="7" t="s">
        <v>62</v>
      </c>
      <c r="S51" s="7" t="s">
        <v>123</v>
      </c>
      <c r="T51" s="7" t="s">
        <v>1365</v>
      </c>
      <c r="U51" s="108">
        <f t="shared" si="1"/>
        <v>0.96</v>
      </c>
      <c r="V51" s="7" t="s">
        <v>1941</v>
      </c>
    </row>
    <row r="52" spans="1:22" x14ac:dyDescent="0.3">
      <c r="A52" s="7">
        <v>51</v>
      </c>
      <c r="B52" s="7" t="s">
        <v>23</v>
      </c>
      <c r="C52" s="7" t="s">
        <v>1307</v>
      </c>
      <c r="D52" s="7">
        <v>50126334</v>
      </c>
      <c r="E52" s="7">
        <v>25</v>
      </c>
      <c r="F52" s="7">
        <v>46</v>
      </c>
      <c r="G52" s="7">
        <v>6</v>
      </c>
      <c r="H52" s="7" t="s">
        <v>70</v>
      </c>
      <c r="I52" s="7" t="s">
        <v>109</v>
      </c>
      <c r="J52" s="7" t="s">
        <v>130</v>
      </c>
      <c r="K52" s="46">
        <v>0.98750000000000004</v>
      </c>
      <c r="L52" s="7" t="s">
        <v>109</v>
      </c>
      <c r="M52" s="7" t="s">
        <v>109</v>
      </c>
      <c r="N52" s="7" t="s">
        <v>109</v>
      </c>
      <c r="O52" s="7" t="s">
        <v>61</v>
      </c>
      <c r="P52" s="7" t="s">
        <v>131</v>
      </c>
      <c r="Q52" s="7" t="s">
        <v>70</v>
      </c>
      <c r="R52" s="7" t="s">
        <v>62</v>
      </c>
      <c r="S52" s="7" t="s">
        <v>123</v>
      </c>
      <c r="T52" s="7" t="s">
        <v>1309</v>
      </c>
      <c r="U52" s="108">
        <f t="shared" si="1"/>
        <v>0.24</v>
      </c>
      <c r="V52" s="7" t="s">
        <v>291</v>
      </c>
    </row>
    <row r="53" spans="1:22" x14ac:dyDescent="0.3">
      <c r="A53" s="7">
        <v>52</v>
      </c>
      <c r="B53" s="7" t="s">
        <v>23</v>
      </c>
      <c r="C53" s="7" t="s">
        <v>2266</v>
      </c>
      <c r="D53" s="7">
        <v>50226071</v>
      </c>
      <c r="E53" s="7">
        <v>200</v>
      </c>
      <c r="F53" s="7">
        <v>387</v>
      </c>
      <c r="G53" s="7">
        <v>187</v>
      </c>
      <c r="H53" s="7" t="s">
        <v>2671</v>
      </c>
      <c r="I53" s="7" t="s">
        <v>109</v>
      </c>
      <c r="J53" s="7" t="s">
        <v>130</v>
      </c>
      <c r="K53" s="46">
        <v>0.80833333333333335</v>
      </c>
      <c r="L53" s="7" t="s">
        <v>109</v>
      </c>
      <c r="M53" s="7" t="s">
        <v>109</v>
      </c>
      <c r="N53" s="7" t="s">
        <v>109</v>
      </c>
      <c r="O53" s="7" t="s">
        <v>61</v>
      </c>
      <c r="P53" s="7" t="s">
        <v>131</v>
      </c>
      <c r="Q53" s="7" t="s">
        <v>200</v>
      </c>
      <c r="R53" s="7" t="s">
        <v>62</v>
      </c>
      <c r="S53" s="7" t="s">
        <v>123</v>
      </c>
      <c r="T53" s="7" t="s">
        <v>2264</v>
      </c>
      <c r="U53" s="108">
        <f t="shared" si="1"/>
        <v>0.93500000000000005</v>
      </c>
      <c r="V53" s="7" t="s">
        <v>1941</v>
      </c>
    </row>
    <row r="54" spans="1:22" x14ac:dyDescent="0.3">
      <c r="A54" s="7">
        <v>53</v>
      </c>
      <c r="B54" s="7" t="s">
        <v>23</v>
      </c>
      <c r="C54" s="7" t="s">
        <v>2115</v>
      </c>
      <c r="D54" s="7">
        <v>50226055</v>
      </c>
      <c r="E54" s="7">
        <v>100</v>
      </c>
      <c r="F54" s="7">
        <v>200</v>
      </c>
      <c r="G54" s="7">
        <v>71</v>
      </c>
      <c r="H54" s="7" t="s">
        <v>69</v>
      </c>
      <c r="I54" s="7" t="s">
        <v>109</v>
      </c>
      <c r="J54" s="7" t="s">
        <v>130</v>
      </c>
      <c r="K54" s="46">
        <v>0.89930555555555558</v>
      </c>
      <c r="L54" s="7" t="s">
        <v>109</v>
      </c>
      <c r="M54" s="7" t="s">
        <v>109</v>
      </c>
      <c r="N54" s="7" t="s">
        <v>109</v>
      </c>
      <c r="O54" s="7" t="s">
        <v>61</v>
      </c>
      <c r="P54" s="7" t="s">
        <v>131</v>
      </c>
      <c r="Q54" s="7" t="s">
        <v>2685</v>
      </c>
      <c r="R54" s="7" t="s">
        <v>62</v>
      </c>
      <c r="S54" s="7" t="s">
        <v>123</v>
      </c>
      <c r="T54" s="7" t="s">
        <v>289</v>
      </c>
      <c r="U54" s="108">
        <f t="shared" si="1"/>
        <v>0.71</v>
      </c>
      <c r="V54" s="7" t="s">
        <v>2087</v>
      </c>
    </row>
    <row r="55" spans="1:22" x14ac:dyDescent="0.3">
      <c r="A55" s="7">
        <v>54</v>
      </c>
      <c r="B55" s="7" t="s">
        <v>23</v>
      </c>
      <c r="C55" s="7" t="s">
        <v>2199</v>
      </c>
      <c r="D55" s="7">
        <v>50226057</v>
      </c>
      <c r="E55" s="7">
        <v>200</v>
      </c>
      <c r="F55" s="7">
        <v>340</v>
      </c>
      <c r="G55" s="7">
        <v>202</v>
      </c>
      <c r="H55" s="7" t="s">
        <v>2672</v>
      </c>
      <c r="I55" s="7" t="s">
        <v>109</v>
      </c>
      <c r="J55" s="7" t="s">
        <v>130</v>
      </c>
      <c r="K55" s="46">
        <v>0.99236111111111114</v>
      </c>
      <c r="L55" s="7" t="s">
        <v>109</v>
      </c>
      <c r="M55" s="7" t="s">
        <v>109</v>
      </c>
      <c r="N55" s="7" t="s">
        <v>109</v>
      </c>
      <c r="O55" s="7" t="s">
        <v>61</v>
      </c>
      <c r="P55" s="7" t="s">
        <v>131</v>
      </c>
      <c r="Q55" s="7" t="s">
        <v>200</v>
      </c>
      <c r="R55" s="7" t="s">
        <v>62</v>
      </c>
      <c r="S55" s="7" t="s">
        <v>123</v>
      </c>
      <c r="T55" s="7" t="s">
        <v>289</v>
      </c>
      <c r="U55" s="108">
        <f t="shared" si="1"/>
        <v>1.01</v>
      </c>
      <c r="V55" s="7" t="s">
        <v>1941</v>
      </c>
    </row>
    <row r="56" spans="1:22" x14ac:dyDescent="0.3">
      <c r="A56" s="7">
        <v>55</v>
      </c>
      <c r="B56" s="7" t="s">
        <v>23</v>
      </c>
      <c r="C56" s="7" t="s">
        <v>2117</v>
      </c>
      <c r="D56" s="7">
        <v>50226054</v>
      </c>
      <c r="E56" s="7">
        <v>250</v>
      </c>
      <c r="F56" s="7">
        <v>471</v>
      </c>
      <c r="G56" s="7">
        <v>205</v>
      </c>
      <c r="H56" s="7" t="s">
        <v>2673</v>
      </c>
      <c r="I56" s="7" t="s">
        <v>109</v>
      </c>
      <c r="J56" s="7" t="s">
        <v>130</v>
      </c>
      <c r="K56" s="46">
        <v>0.93541666666666667</v>
      </c>
      <c r="L56" s="7" t="s">
        <v>109</v>
      </c>
      <c r="M56" s="7" t="s">
        <v>109</v>
      </c>
      <c r="N56" s="7" t="s">
        <v>109</v>
      </c>
      <c r="O56" s="7" t="s">
        <v>61</v>
      </c>
      <c r="P56" s="7" t="s">
        <v>131</v>
      </c>
      <c r="Q56" s="7" t="s">
        <v>71</v>
      </c>
      <c r="R56" s="7" t="s">
        <v>62</v>
      </c>
      <c r="S56" s="7" t="s">
        <v>123</v>
      </c>
      <c r="T56" s="7" t="s">
        <v>289</v>
      </c>
      <c r="U56" s="108">
        <f t="shared" si="1"/>
        <v>0.82</v>
      </c>
      <c r="V56" s="7" t="s">
        <v>2087</v>
      </c>
    </row>
    <row r="57" spans="1:22" x14ac:dyDescent="0.3">
      <c r="A57" s="7">
        <v>56</v>
      </c>
      <c r="B57" s="7" t="s">
        <v>23</v>
      </c>
      <c r="C57" s="7" t="s">
        <v>978</v>
      </c>
      <c r="D57" s="7">
        <v>50126276</v>
      </c>
      <c r="E57" s="7">
        <v>150</v>
      </c>
      <c r="F57" s="7">
        <v>174</v>
      </c>
      <c r="G57" s="7">
        <v>134</v>
      </c>
      <c r="H57" s="7" t="s">
        <v>302</v>
      </c>
      <c r="I57" s="7" t="s">
        <v>109</v>
      </c>
      <c r="J57" s="7" t="s">
        <v>130</v>
      </c>
      <c r="K57" s="46">
        <v>2.5694444444444443E-2</v>
      </c>
      <c r="L57" s="7" t="s">
        <v>109</v>
      </c>
      <c r="M57" s="7" t="s">
        <v>109</v>
      </c>
      <c r="N57" s="7" t="s">
        <v>109</v>
      </c>
      <c r="O57" s="7" t="s">
        <v>61</v>
      </c>
      <c r="P57" s="7" t="s">
        <v>131</v>
      </c>
      <c r="Q57" s="7" t="s">
        <v>84</v>
      </c>
      <c r="R57" s="7" t="s">
        <v>62</v>
      </c>
      <c r="S57" s="7" t="s">
        <v>123</v>
      </c>
      <c r="T57" s="7" t="s">
        <v>334</v>
      </c>
      <c r="U57" s="108">
        <f t="shared" si="1"/>
        <v>0.89333333333333331</v>
      </c>
      <c r="V57" s="7" t="s">
        <v>2008</v>
      </c>
    </row>
    <row r="58" spans="1:22" x14ac:dyDescent="0.3">
      <c r="A58" s="7">
        <v>57</v>
      </c>
      <c r="B58" s="7" t="s">
        <v>23</v>
      </c>
      <c r="C58" s="7" t="s">
        <v>985</v>
      </c>
      <c r="D58" s="7">
        <v>50126273</v>
      </c>
      <c r="E58" s="7">
        <v>200</v>
      </c>
      <c r="F58" s="7">
        <v>325</v>
      </c>
      <c r="G58" s="7">
        <v>177</v>
      </c>
      <c r="H58" s="7" t="s">
        <v>2674</v>
      </c>
      <c r="I58" s="7" t="s">
        <v>109</v>
      </c>
      <c r="J58" s="7" t="s">
        <v>130</v>
      </c>
      <c r="K58" s="46">
        <v>0.95902777777777781</v>
      </c>
      <c r="L58" s="7" t="s">
        <v>109</v>
      </c>
      <c r="M58" s="7" t="s">
        <v>109</v>
      </c>
      <c r="N58" s="7" t="s">
        <v>109</v>
      </c>
      <c r="O58" s="7" t="s">
        <v>61</v>
      </c>
      <c r="P58" s="7" t="s">
        <v>131</v>
      </c>
      <c r="Q58" s="7" t="s">
        <v>200</v>
      </c>
      <c r="R58" s="7" t="s">
        <v>62</v>
      </c>
      <c r="S58" s="7" t="s">
        <v>123</v>
      </c>
      <c r="T58" s="7" t="s">
        <v>334</v>
      </c>
      <c r="U58" s="108">
        <f t="shared" si="1"/>
        <v>0.88500000000000001</v>
      </c>
      <c r="V58" s="7" t="s">
        <v>291</v>
      </c>
    </row>
    <row r="59" spans="1:22" x14ac:dyDescent="0.3">
      <c r="A59" s="7">
        <v>58</v>
      </c>
      <c r="B59" s="7" t="s">
        <v>23</v>
      </c>
      <c r="C59" s="7" t="s">
        <v>1054</v>
      </c>
      <c r="D59" s="7">
        <v>50126315</v>
      </c>
      <c r="E59" s="7">
        <v>225</v>
      </c>
      <c r="F59" s="7">
        <v>427</v>
      </c>
      <c r="G59" s="7">
        <v>172</v>
      </c>
      <c r="H59" s="7" t="s">
        <v>2675</v>
      </c>
      <c r="I59" s="7" t="s">
        <v>2676</v>
      </c>
      <c r="J59" s="7" t="s">
        <v>130</v>
      </c>
      <c r="K59" s="46">
        <v>0.86944444444444446</v>
      </c>
      <c r="L59" s="46">
        <v>0.9458333333333333</v>
      </c>
      <c r="M59" s="7" t="s">
        <v>109</v>
      </c>
      <c r="N59" s="7" t="s">
        <v>109</v>
      </c>
      <c r="O59" s="7" t="s">
        <v>61</v>
      </c>
      <c r="P59" s="7" t="s">
        <v>131</v>
      </c>
      <c r="Q59" s="7" t="s">
        <v>89</v>
      </c>
      <c r="R59" s="7" t="s">
        <v>62</v>
      </c>
      <c r="S59" s="7" t="s">
        <v>123</v>
      </c>
      <c r="T59" s="7" t="s">
        <v>480</v>
      </c>
      <c r="U59" s="108">
        <f t="shared" si="1"/>
        <v>0.76444444444444448</v>
      </c>
      <c r="V59" s="7" t="s">
        <v>2087</v>
      </c>
    </row>
    <row r="60" spans="1:22" x14ac:dyDescent="0.3">
      <c r="A60" s="7">
        <v>59</v>
      </c>
      <c r="B60" s="7" t="s">
        <v>23</v>
      </c>
      <c r="C60" s="7" t="s">
        <v>1056</v>
      </c>
      <c r="D60" s="7">
        <v>50126316</v>
      </c>
      <c r="E60" s="7">
        <v>150</v>
      </c>
      <c r="F60" s="7">
        <v>301</v>
      </c>
      <c r="G60" s="7">
        <v>88</v>
      </c>
      <c r="H60" s="7" t="s">
        <v>863</v>
      </c>
      <c r="I60" s="7" t="s">
        <v>97</v>
      </c>
      <c r="J60" s="7" t="s">
        <v>130</v>
      </c>
      <c r="K60" s="46">
        <v>0.98402777777777772</v>
      </c>
      <c r="L60" s="46">
        <v>1.5972222222222221E-2</v>
      </c>
      <c r="M60" s="7" t="s">
        <v>109</v>
      </c>
      <c r="N60" s="7" t="s">
        <v>109</v>
      </c>
      <c r="O60" s="7" t="s">
        <v>61</v>
      </c>
      <c r="P60" s="7" t="s">
        <v>131</v>
      </c>
      <c r="Q60" s="7" t="s">
        <v>89</v>
      </c>
      <c r="R60" s="7" t="s">
        <v>62</v>
      </c>
      <c r="S60" s="7" t="s">
        <v>123</v>
      </c>
      <c r="T60" s="7" t="s">
        <v>480</v>
      </c>
      <c r="U60" s="108">
        <f t="shared" si="1"/>
        <v>0.58666666666666667</v>
      </c>
      <c r="V60" s="7" t="s">
        <v>2087</v>
      </c>
    </row>
    <row r="61" spans="1:22" x14ac:dyDescent="0.3">
      <c r="A61" s="7">
        <v>60</v>
      </c>
      <c r="B61" s="7" t="s">
        <v>23</v>
      </c>
      <c r="C61" s="7" t="s">
        <v>1909</v>
      </c>
      <c r="D61" s="7">
        <v>50226025</v>
      </c>
      <c r="E61" s="7">
        <v>250</v>
      </c>
      <c r="F61" s="7">
        <v>511</v>
      </c>
      <c r="G61" s="7">
        <v>202</v>
      </c>
      <c r="H61" s="7" t="s">
        <v>2677</v>
      </c>
      <c r="I61" s="7" t="s">
        <v>192</v>
      </c>
      <c r="J61" s="7" t="s">
        <v>130</v>
      </c>
      <c r="K61" s="46">
        <v>0.79305555555555551</v>
      </c>
      <c r="L61" s="46">
        <v>0.8208333333333333</v>
      </c>
      <c r="M61" s="7" t="s">
        <v>109</v>
      </c>
      <c r="N61" s="7" t="s">
        <v>109</v>
      </c>
      <c r="O61" s="7" t="s">
        <v>61</v>
      </c>
      <c r="P61" s="7" t="s">
        <v>131</v>
      </c>
      <c r="Q61" s="7" t="s">
        <v>209</v>
      </c>
      <c r="R61" s="7" t="s">
        <v>62</v>
      </c>
      <c r="S61" s="7" t="s">
        <v>123</v>
      </c>
      <c r="T61" s="7" t="s">
        <v>480</v>
      </c>
      <c r="U61" s="108">
        <f t="shared" si="1"/>
        <v>0.80800000000000005</v>
      </c>
      <c r="V61" s="7" t="s">
        <v>2087</v>
      </c>
    </row>
    <row r="62" spans="1:22" x14ac:dyDescent="0.3">
      <c r="A62" s="7">
        <v>61</v>
      </c>
      <c r="B62" s="7" t="s">
        <v>23</v>
      </c>
      <c r="C62" s="7" t="s">
        <v>590</v>
      </c>
      <c r="D62" s="7">
        <v>50126065</v>
      </c>
      <c r="E62" s="7">
        <v>100</v>
      </c>
      <c r="F62" s="7">
        <v>200</v>
      </c>
      <c r="G62" s="7">
        <v>61</v>
      </c>
      <c r="H62" s="7" t="s">
        <v>520</v>
      </c>
      <c r="I62" s="7" t="s">
        <v>109</v>
      </c>
      <c r="J62" s="7" t="s">
        <v>130</v>
      </c>
      <c r="K62" s="46">
        <v>0.91527777777777775</v>
      </c>
      <c r="L62" s="7" t="s">
        <v>109</v>
      </c>
      <c r="M62" s="7" t="s">
        <v>109</v>
      </c>
      <c r="N62" s="7" t="s">
        <v>109</v>
      </c>
      <c r="O62" s="7" t="s">
        <v>61</v>
      </c>
      <c r="P62" s="7" t="s">
        <v>131</v>
      </c>
      <c r="Q62" s="7" t="s">
        <v>520</v>
      </c>
      <c r="R62" s="7" t="s">
        <v>62</v>
      </c>
      <c r="S62" s="7" t="s">
        <v>123</v>
      </c>
      <c r="T62" s="7" t="s">
        <v>610</v>
      </c>
      <c r="U62" s="108">
        <f t="shared" si="1"/>
        <v>0.61</v>
      </c>
      <c r="V62" s="7" t="s">
        <v>2087</v>
      </c>
    </row>
    <row r="63" spans="1:22" x14ac:dyDescent="0.3">
      <c r="A63" s="7">
        <v>62</v>
      </c>
      <c r="B63" s="7" t="s">
        <v>23</v>
      </c>
      <c r="C63" s="7" t="s">
        <v>2480</v>
      </c>
      <c r="D63" s="7">
        <v>50226097</v>
      </c>
      <c r="E63" s="7">
        <v>100</v>
      </c>
      <c r="F63" s="7">
        <v>150</v>
      </c>
      <c r="G63" s="7">
        <v>47</v>
      </c>
      <c r="H63" s="7" t="s">
        <v>196</v>
      </c>
      <c r="I63" s="7" t="s">
        <v>109</v>
      </c>
      <c r="J63" s="7" t="s">
        <v>130</v>
      </c>
      <c r="K63" s="46">
        <v>0.97222222222222221</v>
      </c>
      <c r="L63" s="7" t="s">
        <v>109</v>
      </c>
      <c r="M63" s="7" t="s">
        <v>109</v>
      </c>
      <c r="N63" s="7" t="s">
        <v>2407</v>
      </c>
      <c r="O63" s="7" t="s">
        <v>61</v>
      </c>
      <c r="P63" s="7" t="s">
        <v>131</v>
      </c>
      <c r="Q63" s="7" t="s">
        <v>196</v>
      </c>
      <c r="R63" s="7" t="s">
        <v>62</v>
      </c>
      <c r="S63" s="7" t="s">
        <v>123</v>
      </c>
      <c r="T63" s="7" t="s">
        <v>2473</v>
      </c>
      <c r="U63" s="108">
        <f t="shared" si="1"/>
        <v>0.47</v>
      </c>
      <c r="V63" s="7" t="s">
        <v>2008</v>
      </c>
    </row>
    <row r="64" spans="1:22" x14ac:dyDescent="0.3">
      <c r="A64" s="7">
        <v>63</v>
      </c>
      <c r="B64" s="7" t="s">
        <v>23</v>
      </c>
      <c r="C64" s="7" t="s">
        <v>2678</v>
      </c>
      <c r="D64" s="7">
        <v>50226117</v>
      </c>
      <c r="E64" s="7">
        <v>200</v>
      </c>
      <c r="F64" s="7">
        <v>283</v>
      </c>
      <c r="G64" s="7">
        <v>216</v>
      </c>
      <c r="H64" s="7" t="s">
        <v>2679</v>
      </c>
      <c r="I64" s="7" t="s">
        <v>109</v>
      </c>
      <c r="J64" s="7" t="s">
        <v>130</v>
      </c>
      <c r="K64" s="46">
        <v>0.77847222222222223</v>
      </c>
      <c r="L64" s="7" t="s">
        <v>109</v>
      </c>
      <c r="M64" s="7" t="s">
        <v>109</v>
      </c>
      <c r="N64" s="7" t="s">
        <v>109</v>
      </c>
      <c r="O64" s="7" t="s">
        <v>61</v>
      </c>
      <c r="P64" s="7" t="s">
        <v>131</v>
      </c>
      <c r="Q64" s="7" t="s">
        <v>196</v>
      </c>
      <c r="R64" s="7" t="s">
        <v>62</v>
      </c>
      <c r="S64" s="7" t="s">
        <v>123</v>
      </c>
      <c r="T64" s="7" t="s">
        <v>116</v>
      </c>
      <c r="U64" s="108">
        <f t="shared" si="1"/>
        <v>1.08</v>
      </c>
      <c r="V64" s="7" t="s">
        <v>1941</v>
      </c>
    </row>
    <row r="65" spans="1:22" x14ac:dyDescent="0.3">
      <c r="A65" s="7">
        <v>64</v>
      </c>
      <c r="B65" s="7" t="s">
        <v>23</v>
      </c>
      <c r="C65" s="7" t="s">
        <v>2680</v>
      </c>
      <c r="D65" s="7">
        <v>50226118</v>
      </c>
      <c r="E65" s="7">
        <v>500</v>
      </c>
      <c r="F65" s="7">
        <v>837</v>
      </c>
      <c r="G65" s="7">
        <v>496</v>
      </c>
      <c r="H65" s="7" t="s">
        <v>2681</v>
      </c>
      <c r="I65" s="7" t="s">
        <v>109</v>
      </c>
      <c r="J65" s="7" t="s">
        <v>130</v>
      </c>
      <c r="K65" s="46">
        <v>0.92083333333333328</v>
      </c>
      <c r="L65" s="7" t="s">
        <v>109</v>
      </c>
      <c r="M65" s="7" t="s">
        <v>109</v>
      </c>
      <c r="N65" s="7" t="s">
        <v>109</v>
      </c>
      <c r="O65" s="7" t="s">
        <v>61</v>
      </c>
      <c r="P65" s="7" t="s">
        <v>131</v>
      </c>
      <c r="Q65" s="7" t="s">
        <v>84</v>
      </c>
      <c r="R65" s="7" t="s">
        <v>62</v>
      </c>
      <c r="S65" s="7" t="s">
        <v>123</v>
      </c>
      <c r="T65" s="7" t="s">
        <v>116</v>
      </c>
      <c r="U65" s="108">
        <f t="shared" si="1"/>
        <v>0.99199999999999999</v>
      </c>
      <c r="V65" s="7" t="s">
        <v>1941</v>
      </c>
    </row>
    <row r="66" spans="1:22" x14ac:dyDescent="0.3">
      <c r="A66" s="7">
        <v>65</v>
      </c>
      <c r="B66" s="7" t="s">
        <v>23</v>
      </c>
      <c r="C66" s="7" t="s">
        <v>2149</v>
      </c>
      <c r="D66" s="7">
        <v>50226066</v>
      </c>
      <c r="E66" s="7">
        <v>75</v>
      </c>
      <c r="F66" s="7">
        <v>151</v>
      </c>
      <c r="G66" s="7">
        <v>78</v>
      </c>
      <c r="H66" s="7" t="s">
        <v>67</v>
      </c>
      <c r="I66" s="7" t="s">
        <v>109</v>
      </c>
      <c r="J66" s="7" t="s">
        <v>130</v>
      </c>
      <c r="K66" s="46">
        <v>0.96666666666666667</v>
      </c>
      <c r="L66" s="7" t="s">
        <v>109</v>
      </c>
      <c r="M66" s="7" t="s">
        <v>109</v>
      </c>
      <c r="N66" s="7" t="s">
        <v>109</v>
      </c>
      <c r="O66" s="7" t="s">
        <v>61</v>
      </c>
      <c r="P66" s="7" t="s">
        <v>131</v>
      </c>
      <c r="Q66" s="7" t="s">
        <v>67</v>
      </c>
      <c r="R66" s="7" t="s">
        <v>62</v>
      </c>
      <c r="S66" s="7" t="s">
        <v>123</v>
      </c>
      <c r="T66" s="7" t="s">
        <v>116</v>
      </c>
      <c r="U66" s="108">
        <f t="shared" ref="U66:U74" si="2">G66/E66</f>
        <v>1.04</v>
      </c>
      <c r="V66" s="7" t="s">
        <v>1941</v>
      </c>
    </row>
    <row r="67" spans="1:22" x14ac:dyDescent="0.3">
      <c r="A67" s="7">
        <v>66</v>
      </c>
      <c r="B67" s="7" t="s">
        <v>23</v>
      </c>
      <c r="C67" s="7" t="s">
        <v>2150</v>
      </c>
      <c r="D67" s="7">
        <v>50226067</v>
      </c>
      <c r="E67" s="7">
        <v>150</v>
      </c>
      <c r="F67" s="7">
        <v>297</v>
      </c>
      <c r="G67" s="7">
        <v>138</v>
      </c>
      <c r="H67" s="7" t="s">
        <v>2432</v>
      </c>
      <c r="I67" s="7" t="s">
        <v>109</v>
      </c>
      <c r="J67" s="7" t="s">
        <v>130</v>
      </c>
      <c r="K67" s="46">
        <v>0.81597222222222221</v>
      </c>
      <c r="L67" s="7" t="s">
        <v>109</v>
      </c>
      <c r="M67" s="7" t="s">
        <v>109</v>
      </c>
      <c r="N67" s="7" t="s">
        <v>109</v>
      </c>
      <c r="O67" s="7" t="s">
        <v>61</v>
      </c>
      <c r="P67" s="7" t="s">
        <v>131</v>
      </c>
      <c r="Q67" s="7" t="s">
        <v>70</v>
      </c>
      <c r="R67" s="7" t="s">
        <v>62</v>
      </c>
      <c r="S67" s="7" t="s">
        <v>123</v>
      </c>
      <c r="T67" s="7" t="s">
        <v>116</v>
      </c>
      <c r="U67" s="108">
        <f t="shared" si="2"/>
        <v>0.92</v>
      </c>
      <c r="V67" s="7" t="s">
        <v>2087</v>
      </c>
    </row>
    <row r="68" spans="1:22" x14ac:dyDescent="0.3">
      <c r="A68" s="7">
        <v>67</v>
      </c>
      <c r="B68" s="7" t="s">
        <v>23</v>
      </c>
      <c r="C68" s="7" t="s">
        <v>2068</v>
      </c>
      <c r="D68" s="7">
        <v>50226010</v>
      </c>
      <c r="E68" s="7">
        <v>56</v>
      </c>
      <c r="F68" s="7">
        <v>24</v>
      </c>
      <c r="G68" s="7">
        <v>1</v>
      </c>
      <c r="H68" s="7" t="s">
        <v>84</v>
      </c>
      <c r="I68" s="7" t="s">
        <v>109</v>
      </c>
      <c r="J68" s="7" t="s">
        <v>130</v>
      </c>
      <c r="K68" s="46">
        <v>0.97847222222222219</v>
      </c>
      <c r="L68" s="7" t="s">
        <v>109</v>
      </c>
      <c r="M68" s="7" t="s">
        <v>109</v>
      </c>
      <c r="N68" s="7" t="s">
        <v>109</v>
      </c>
      <c r="O68" s="7" t="s">
        <v>606</v>
      </c>
      <c r="P68" s="7" t="s">
        <v>131</v>
      </c>
      <c r="Q68" s="7" t="s">
        <v>84</v>
      </c>
      <c r="R68" s="7" t="s">
        <v>62</v>
      </c>
      <c r="S68" s="7" t="s">
        <v>2447</v>
      </c>
      <c r="T68" s="7" t="s">
        <v>1862</v>
      </c>
      <c r="U68" s="108">
        <f t="shared" si="2"/>
        <v>1.7857142857142856E-2</v>
      </c>
      <c r="V68" s="7" t="s">
        <v>2682</v>
      </c>
    </row>
    <row r="69" spans="1:22" x14ac:dyDescent="0.3">
      <c r="A69" s="7">
        <v>68</v>
      </c>
      <c r="B69" s="7" t="s">
        <v>23</v>
      </c>
      <c r="C69" s="7" t="s">
        <v>425</v>
      </c>
      <c r="D69" s="7">
        <v>50126025</v>
      </c>
      <c r="E69" s="7">
        <v>73</v>
      </c>
      <c r="F69" s="7">
        <v>73</v>
      </c>
      <c r="G69" s="7">
        <v>32</v>
      </c>
      <c r="H69" s="7" t="s">
        <v>82</v>
      </c>
      <c r="I69" s="7" t="s">
        <v>109</v>
      </c>
      <c r="J69" s="7" t="s">
        <v>130</v>
      </c>
      <c r="K69" s="46">
        <v>0.97638888888888886</v>
      </c>
      <c r="L69" s="7" t="s">
        <v>109</v>
      </c>
      <c r="M69" s="7" t="s">
        <v>109</v>
      </c>
      <c r="N69" s="7" t="s">
        <v>109</v>
      </c>
      <c r="O69" s="7" t="s">
        <v>606</v>
      </c>
      <c r="P69" s="7" t="s">
        <v>131</v>
      </c>
      <c r="Q69" s="7" t="s">
        <v>82</v>
      </c>
      <c r="R69" s="7" t="s">
        <v>62</v>
      </c>
      <c r="S69" s="7" t="s">
        <v>2686</v>
      </c>
      <c r="T69" s="7" t="s">
        <v>424</v>
      </c>
      <c r="U69" s="108">
        <f t="shared" si="2"/>
        <v>0.43835616438356162</v>
      </c>
      <c r="V69" s="7" t="s">
        <v>2682</v>
      </c>
    </row>
    <row r="70" spans="1:22" x14ac:dyDescent="0.3">
      <c r="A70" s="7">
        <v>69</v>
      </c>
      <c r="B70" s="7" t="s">
        <v>411</v>
      </c>
      <c r="C70" s="7" t="s">
        <v>2572</v>
      </c>
      <c r="D70" s="7">
        <v>30226014</v>
      </c>
      <c r="E70" s="7">
        <v>102</v>
      </c>
      <c r="F70" s="7">
        <v>102</v>
      </c>
      <c r="G70" s="7">
        <v>0</v>
      </c>
      <c r="H70" s="7" t="s">
        <v>86</v>
      </c>
      <c r="I70" s="7" t="s">
        <v>109</v>
      </c>
      <c r="J70" s="7" t="s">
        <v>130</v>
      </c>
      <c r="K70" s="46">
        <v>0.98263888888888884</v>
      </c>
      <c r="L70" s="7" t="s">
        <v>109</v>
      </c>
      <c r="M70" s="7" t="s">
        <v>109</v>
      </c>
      <c r="N70" s="7" t="s">
        <v>109</v>
      </c>
      <c r="O70" s="7" t="s">
        <v>606</v>
      </c>
      <c r="P70" s="7" t="s">
        <v>131</v>
      </c>
      <c r="Q70" s="7" t="s">
        <v>86</v>
      </c>
      <c r="R70" s="7" t="s">
        <v>62</v>
      </c>
      <c r="S70" s="7" t="s">
        <v>2687</v>
      </c>
      <c r="T70" s="7" t="s">
        <v>1359</v>
      </c>
      <c r="U70" s="108">
        <f t="shared" si="2"/>
        <v>0</v>
      </c>
      <c r="V70" s="7" t="s">
        <v>2682</v>
      </c>
    </row>
    <row r="71" spans="1:22" x14ac:dyDescent="0.3">
      <c r="A71" s="7">
        <v>70</v>
      </c>
      <c r="B71" s="7" t="s">
        <v>411</v>
      </c>
      <c r="C71" s="7" t="s">
        <v>2570</v>
      </c>
      <c r="D71" s="7">
        <v>30226012</v>
      </c>
      <c r="E71" s="7">
        <v>14</v>
      </c>
      <c r="F71" s="7">
        <v>14</v>
      </c>
      <c r="G71" s="7">
        <v>11</v>
      </c>
      <c r="H71" s="7" t="s">
        <v>89</v>
      </c>
      <c r="I71" s="7" t="s">
        <v>109</v>
      </c>
      <c r="J71" s="7" t="s">
        <v>130</v>
      </c>
      <c r="K71" s="46">
        <v>0.98124999999999996</v>
      </c>
      <c r="L71" s="7" t="s">
        <v>109</v>
      </c>
      <c r="M71" s="7" t="s">
        <v>109</v>
      </c>
      <c r="N71" s="7" t="s">
        <v>109</v>
      </c>
      <c r="O71" s="7" t="s">
        <v>606</v>
      </c>
      <c r="P71" s="7" t="s">
        <v>131</v>
      </c>
      <c r="Q71" s="7" t="s">
        <v>89</v>
      </c>
      <c r="R71" s="7" t="s">
        <v>62</v>
      </c>
      <c r="S71" s="7" t="s">
        <v>2687</v>
      </c>
      <c r="T71" s="7" t="s">
        <v>1359</v>
      </c>
      <c r="U71" s="108">
        <f t="shared" si="2"/>
        <v>0.7857142857142857</v>
      </c>
      <c r="V71" s="7" t="s">
        <v>2682</v>
      </c>
    </row>
    <row r="72" spans="1:22" x14ac:dyDescent="0.3">
      <c r="A72" s="7">
        <v>71</v>
      </c>
      <c r="B72" s="7" t="s">
        <v>411</v>
      </c>
      <c r="C72" s="7" t="s">
        <v>2568</v>
      </c>
      <c r="D72" s="7">
        <v>30226017</v>
      </c>
      <c r="E72" s="7">
        <v>14</v>
      </c>
      <c r="F72" s="7">
        <v>12</v>
      </c>
      <c r="G72" s="7">
        <v>3</v>
      </c>
      <c r="H72" s="7" t="s">
        <v>93</v>
      </c>
      <c r="I72" s="7" t="s">
        <v>109</v>
      </c>
      <c r="J72" s="7" t="s">
        <v>130</v>
      </c>
      <c r="K72" s="46">
        <v>1.5972222222222221E-2</v>
      </c>
      <c r="L72" s="7" t="s">
        <v>109</v>
      </c>
      <c r="M72" s="7" t="s">
        <v>109</v>
      </c>
      <c r="N72" s="7" t="s">
        <v>109</v>
      </c>
      <c r="O72" s="7" t="s">
        <v>606</v>
      </c>
      <c r="P72" s="7" t="s">
        <v>131</v>
      </c>
      <c r="Q72" s="7" t="s">
        <v>93</v>
      </c>
      <c r="R72" s="7" t="s">
        <v>62</v>
      </c>
      <c r="S72" s="7" t="s">
        <v>2688</v>
      </c>
      <c r="T72" s="7" t="s">
        <v>1359</v>
      </c>
      <c r="U72" s="108">
        <f t="shared" si="2"/>
        <v>0.21428571428571427</v>
      </c>
      <c r="V72" s="7" t="s">
        <v>2682</v>
      </c>
    </row>
    <row r="73" spans="1:22" x14ac:dyDescent="0.3">
      <c r="A73" s="7">
        <v>72</v>
      </c>
      <c r="B73" s="7" t="s">
        <v>23</v>
      </c>
      <c r="C73" s="7" t="s">
        <v>869</v>
      </c>
      <c r="D73" s="7">
        <v>50126215</v>
      </c>
      <c r="E73" s="7">
        <v>11</v>
      </c>
      <c r="F73" s="7">
        <v>11</v>
      </c>
      <c r="G73" s="7">
        <v>6</v>
      </c>
      <c r="H73" s="7" t="s">
        <v>91</v>
      </c>
      <c r="I73" s="7" t="s">
        <v>109</v>
      </c>
      <c r="J73" s="7" t="s">
        <v>130</v>
      </c>
      <c r="K73" s="46">
        <v>2.6388888888888889E-2</v>
      </c>
      <c r="L73" s="7" t="s">
        <v>109</v>
      </c>
      <c r="M73" s="7" t="s">
        <v>109</v>
      </c>
      <c r="N73" s="7" t="s">
        <v>109</v>
      </c>
      <c r="O73" s="7" t="s">
        <v>606</v>
      </c>
      <c r="P73" s="7" t="s">
        <v>109</v>
      </c>
      <c r="Q73" s="7" t="s">
        <v>109</v>
      </c>
      <c r="R73" s="7" t="s">
        <v>62</v>
      </c>
      <c r="S73" s="7" t="s">
        <v>2690</v>
      </c>
      <c r="T73" s="7" t="s">
        <v>870</v>
      </c>
      <c r="U73" s="108">
        <f t="shared" si="2"/>
        <v>0.54545454545454541</v>
      </c>
      <c r="V73" s="7" t="s">
        <v>2682</v>
      </c>
    </row>
    <row r="74" spans="1:22" x14ac:dyDescent="0.3">
      <c r="A74" s="7">
        <v>73</v>
      </c>
      <c r="B74" s="7" t="s">
        <v>23</v>
      </c>
      <c r="C74" s="7" t="s">
        <v>2691</v>
      </c>
      <c r="D74" s="47">
        <v>50226092</v>
      </c>
      <c r="E74" s="7">
        <v>3</v>
      </c>
      <c r="F74" s="7">
        <v>3</v>
      </c>
      <c r="G74" s="7">
        <v>2</v>
      </c>
      <c r="H74" s="7" t="s">
        <v>88</v>
      </c>
      <c r="I74" s="7" t="s">
        <v>109</v>
      </c>
      <c r="J74" s="7" t="s">
        <v>130</v>
      </c>
      <c r="K74" s="46">
        <v>1.8055555555555554E-2</v>
      </c>
      <c r="L74" s="7" t="s">
        <v>109</v>
      </c>
      <c r="M74" s="7" t="s">
        <v>109</v>
      </c>
      <c r="N74" s="7" t="s">
        <v>109</v>
      </c>
      <c r="O74" s="7" t="s">
        <v>606</v>
      </c>
      <c r="P74" s="7" t="s">
        <v>131</v>
      </c>
      <c r="Q74" s="7" t="s">
        <v>88</v>
      </c>
      <c r="R74" s="7" t="s">
        <v>62</v>
      </c>
      <c r="S74" s="7" t="s">
        <v>2692</v>
      </c>
      <c r="T74" s="7" t="s">
        <v>166</v>
      </c>
      <c r="U74" s="108">
        <f t="shared" si="2"/>
        <v>0.66666666666666663</v>
      </c>
      <c r="V74" s="7" t="s">
        <v>2682</v>
      </c>
    </row>
  </sheetData>
  <conditionalFormatting sqref="D1">
    <cfRule type="duplicateValues" dxfId="56" priority="1"/>
  </conditionalFormatting>
  <pageMargins left="0.7" right="0.7" top="0.75" bottom="0.75" header="0.3" footer="0.3"/>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40F83-8967-4D87-BFAD-FFB5B9BFD6C4}">
  <dimension ref="A1:V63"/>
  <sheetViews>
    <sheetView topLeftCell="J1" workbookViewId="0">
      <pane ySplit="1" topLeftCell="A2" activePane="bottomLeft" state="frozen"/>
      <selection pane="bottomLeft" activeCell="V2" sqref="V2"/>
    </sheetView>
  </sheetViews>
  <sheetFormatPr defaultRowHeight="14.4" x14ac:dyDescent="0.3"/>
  <cols>
    <col min="1" max="1" width="5.6640625" bestFit="1" customWidth="1"/>
    <col min="2" max="2" width="11.21875" bestFit="1" customWidth="1"/>
    <col min="3" max="3" width="82.44140625" bestFit="1" customWidth="1"/>
    <col min="4" max="4" width="10.44140625" bestFit="1" customWidth="1"/>
    <col min="5" max="5" width="13.88671875" bestFit="1" customWidth="1"/>
    <col min="6" max="6" width="15.109375" bestFit="1" customWidth="1"/>
    <col min="7" max="7" width="8.5546875" bestFit="1" customWidth="1"/>
    <col min="8" max="8" width="27.5546875" bestFit="1" customWidth="1"/>
    <col min="9" max="9" width="23.109375" bestFit="1" customWidth="1"/>
    <col min="10" max="10" width="6.44140625" bestFit="1" customWidth="1"/>
    <col min="11" max="11" width="14.21875" style="140" bestFit="1" customWidth="1"/>
    <col min="12" max="12" width="11.44140625" style="140" bestFit="1" customWidth="1"/>
    <col min="13" max="13" width="12.5546875" bestFit="1" customWidth="1"/>
    <col min="14" max="14" width="51.6640625" bestFit="1" customWidth="1"/>
    <col min="15" max="15" width="8.77734375" bestFit="1" customWidth="1"/>
    <col min="16" max="16" width="14.33203125" bestFit="1" customWidth="1"/>
    <col min="17" max="17" width="11.77734375" bestFit="1" customWidth="1"/>
    <col min="18" max="18" width="14.33203125" bestFit="1" customWidth="1"/>
    <col min="19" max="19" width="12.21875" bestFit="1" customWidth="1"/>
    <col min="20" max="20" width="17.5546875" bestFit="1" customWidth="1"/>
    <col min="21" max="21" width="17" bestFit="1" customWidth="1"/>
    <col min="22" max="22" width="13.77734375" bestFit="1" customWidth="1"/>
  </cols>
  <sheetData>
    <row r="1" spans="1:22" x14ac:dyDescent="0.3">
      <c r="A1" s="1" t="s">
        <v>1632</v>
      </c>
      <c r="B1" s="1" t="s">
        <v>1</v>
      </c>
      <c r="C1" s="1" t="s">
        <v>2</v>
      </c>
      <c r="D1" s="1" t="s">
        <v>3</v>
      </c>
      <c r="E1" s="1" t="s">
        <v>4</v>
      </c>
      <c r="F1" s="1" t="s">
        <v>5</v>
      </c>
      <c r="G1" s="1" t="s">
        <v>6</v>
      </c>
      <c r="H1" s="1" t="s">
        <v>7</v>
      </c>
      <c r="I1" s="1" t="s">
        <v>8</v>
      </c>
      <c r="J1" s="1" t="s">
        <v>9</v>
      </c>
      <c r="K1" s="2" t="s">
        <v>2714</v>
      </c>
      <c r="L1" s="2" t="s">
        <v>2715</v>
      </c>
      <c r="M1" s="3" t="s">
        <v>2281</v>
      </c>
      <c r="N1" s="4" t="s">
        <v>13</v>
      </c>
      <c r="O1" s="1" t="s">
        <v>14</v>
      </c>
      <c r="P1" s="1" t="s">
        <v>15</v>
      </c>
      <c r="Q1" s="1" t="s">
        <v>16</v>
      </c>
      <c r="R1" s="1" t="s">
        <v>17</v>
      </c>
      <c r="S1" s="127" t="s">
        <v>2282</v>
      </c>
      <c r="T1" s="1" t="s">
        <v>19</v>
      </c>
      <c r="U1" s="1" t="s">
        <v>2716</v>
      </c>
      <c r="V1" s="1" t="s">
        <v>21</v>
      </c>
    </row>
    <row r="2" spans="1:22" x14ac:dyDescent="0.3">
      <c r="A2" s="89">
        <v>1</v>
      </c>
      <c r="B2" s="29" t="s">
        <v>24</v>
      </c>
      <c r="C2" s="29" t="s">
        <v>1834</v>
      </c>
      <c r="D2" s="29">
        <v>60226012</v>
      </c>
      <c r="E2" s="29">
        <v>181</v>
      </c>
      <c r="F2" s="7">
        <v>305</v>
      </c>
      <c r="G2" s="7">
        <v>164</v>
      </c>
      <c r="H2" s="28" t="s">
        <v>186</v>
      </c>
      <c r="I2" s="7" t="s">
        <v>294</v>
      </c>
      <c r="J2" s="7" t="s">
        <v>130</v>
      </c>
      <c r="K2" s="11">
        <v>0.93333333333333335</v>
      </c>
      <c r="L2" s="11">
        <v>0.96597222222222223</v>
      </c>
      <c r="M2" s="7" t="s">
        <v>109</v>
      </c>
      <c r="N2" s="29" t="s">
        <v>109</v>
      </c>
      <c r="O2" s="29" t="s">
        <v>61</v>
      </c>
      <c r="P2" s="7" t="s">
        <v>131</v>
      </c>
      <c r="Q2" s="7" t="s">
        <v>209</v>
      </c>
      <c r="R2" s="7" t="s">
        <v>63</v>
      </c>
      <c r="S2" s="7" t="s">
        <v>123</v>
      </c>
      <c r="T2" s="7" t="s">
        <v>117</v>
      </c>
      <c r="U2" s="108">
        <f t="shared" ref="U2:U13" si="0">G2/E2</f>
        <v>0.90607734806629836</v>
      </c>
      <c r="V2" s="7" t="s">
        <v>2087</v>
      </c>
    </row>
    <row r="3" spans="1:22" x14ac:dyDescent="0.3">
      <c r="A3" s="89">
        <v>2</v>
      </c>
      <c r="B3" s="29" t="s">
        <v>24</v>
      </c>
      <c r="C3" s="29" t="s">
        <v>49</v>
      </c>
      <c r="D3" s="29">
        <v>61225008</v>
      </c>
      <c r="E3" s="29">
        <v>162</v>
      </c>
      <c r="F3" s="7">
        <v>318</v>
      </c>
      <c r="G3" s="7">
        <v>56</v>
      </c>
      <c r="H3" s="28" t="s">
        <v>73</v>
      </c>
      <c r="I3" s="7" t="s">
        <v>102</v>
      </c>
      <c r="J3" s="7" t="s">
        <v>130</v>
      </c>
      <c r="K3" s="11">
        <v>0.85555555555555551</v>
      </c>
      <c r="L3" s="11">
        <v>0.91388888888888886</v>
      </c>
      <c r="M3" s="7" t="s">
        <v>109</v>
      </c>
      <c r="N3" s="29" t="s">
        <v>109</v>
      </c>
      <c r="O3" s="29" t="s">
        <v>61</v>
      </c>
      <c r="P3" s="7" t="s">
        <v>131</v>
      </c>
      <c r="Q3" s="7" t="s">
        <v>2717</v>
      </c>
      <c r="R3" s="7" t="s">
        <v>63</v>
      </c>
      <c r="S3" s="7" t="s">
        <v>123</v>
      </c>
      <c r="T3" s="7" t="s">
        <v>120</v>
      </c>
      <c r="U3" s="108">
        <f t="shared" si="0"/>
        <v>0.34567901234567899</v>
      </c>
      <c r="V3" s="7" t="s">
        <v>2087</v>
      </c>
    </row>
    <row r="4" spans="1:22" x14ac:dyDescent="0.3">
      <c r="A4" s="89">
        <v>3</v>
      </c>
      <c r="B4" s="29" t="s">
        <v>24</v>
      </c>
      <c r="C4" s="29" t="s">
        <v>2028</v>
      </c>
      <c r="D4" s="29">
        <v>60226017</v>
      </c>
      <c r="E4" s="29">
        <v>93</v>
      </c>
      <c r="F4" s="7">
        <v>77</v>
      </c>
      <c r="G4" s="7">
        <v>12</v>
      </c>
      <c r="H4" s="7" t="s">
        <v>2557</v>
      </c>
      <c r="I4" s="7" t="s">
        <v>1224</v>
      </c>
      <c r="J4" s="7" t="s">
        <v>130</v>
      </c>
      <c r="K4" s="11">
        <v>0.76041666666666663</v>
      </c>
      <c r="L4" s="11">
        <v>0.78055555555555556</v>
      </c>
      <c r="M4" s="7" t="s">
        <v>109</v>
      </c>
      <c r="N4" s="29" t="s">
        <v>109</v>
      </c>
      <c r="O4" s="29" t="s">
        <v>61</v>
      </c>
      <c r="P4" s="7" t="s">
        <v>131</v>
      </c>
      <c r="Q4" s="7" t="s">
        <v>93</v>
      </c>
      <c r="R4" s="7" t="s">
        <v>63</v>
      </c>
      <c r="S4" s="7" t="s">
        <v>123</v>
      </c>
      <c r="T4" s="7" t="s">
        <v>1562</v>
      </c>
      <c r="U4" s="108">
        <f t="shared" si="0"/>
        <v>0.12903225806451613</v>
      </c>
      <c r="V4" s="7" t="s">
        <v>889</v>
      </c>
    </row>
    <row r="5" spans="1:22" x14ac:dyDescent="0.3">
      <c r="A5" s="89">
        <v>4</v>
      </c>
      <c r="B5" s="29" t="s">
        <v>24</v>
      </c>
      <c r="C5" s="29" t="s">
        <v>2030</v>
      </c>
      <c r="D5" s="29">
        <v>60226018</v>
      </c>
      <c r="E5" s="29">
        <v>73</v>
      </c>
      <c r="F5" s="7">
        <v>130</v>
      </c>
      <c r="G5" s="7">
        <v>23</v>
      </c>
      <c r="H5" s="53" t="s">
        <v>67</v>
      </c>
      <c r="I5" s="7" t="s">
        <v>95</v>
      </c>
      <c r="J5" s="7" t="s">
        <v>130</v>
      </c>
      <c r="K5" s="11">
        <v>0.83263888888888893</v>
      </c>
      <c r="L5" s="11">
        <v>0.84236111111111112</v>
      </c>
      <c r="M5" s="7" t="s">
        <v>109</v>
      </c>
      <c r="N5" s="29" t="s">
        <v>109</v>
      </c>
      <c r="O5" s="29" t="s">
        <v>61</v>
      </c>
      <c r="P5" s="7" t="s">
        <v>131</v>
      </c>
      <c r="Q5" s="7" t="s">
        <v>95</v>
      </c>
      <c r="R5" s="7" t="s">
        <v>63</v>
      </c>
      <c r="S5" s="7" t="s">
        <v>123</v>
      </c>
      <c r="T5" s="7" t="s">
        <v>1562</v>
      </c>
      <c r="U5" s="108">
        <f t="shared" si="0"/>
        <v>0.31506849315068491</v>
      </c>
      <c r="V5" s="7" t="s">
        <v>2087</v>
      </c>
    </row>
    <row r="6" spans="1:22" x14ac:dyDescent="0.3">
      <c r="A6" s="89">
        <v>5</v>
      </c>
      <c r="B6" s="29" t="s">
        <v>24</v>
      </c>
      <c r="C6" s="29" t="s">
        <v>2027</v>
      </c>
      <c r="D6" s="29">
        <v>60226015</v>
      </c>
      <c r="E6" s="29">
        <v>64</v>
      </c>
      <c r="F6" s="7">
        <v>122</v>
      </c>
      <c r="G6" s="7">
        <v>25</v>
      </c>
      <c r="H6" s="53" t="s">
        <v>274</v>
      </c>
      <c r="I6" s="7" t="s">
        <v>93</v>
      </c>
      <c r="J6" s="7" t="s">
        <v>130</v>
      </c>
      <c r="K6" s="11">
        <v>0.84791666666666665</v>
      </c>
      <c r="L6" s="11">
        <v>0.87569444444444444</v>
      </c>
      <c r="M6" s="7" t="s">
        <v>109</v>
      </c>
      <c r="N6" s="29" t="s">
        <v>109</v>
      </c>
      <c r="O6" s="29" t="s">
        <v>61</v>
      </c>
      <c r="P6" s="7" t="s">
        <v>131</v>
      </c>
      <c r="Q6" s="7" t="s">
        <v>93</v>
      </c>
      <c r="R6" s="7" t="s">
        <v>63</v>
      </c>
      <c r="S6" s="7" t="s">
        <v>123</v>
      </c>
      <c r="T6" s="7" t="s">
        <v>1562</v>
      </c>
      <c r="U6" s="108">
        <f t="shared" si="0"/>
        <v>0.390625</v>
      </c>
      <c r="V6" s="7" t="s">
        <v>2087</v>
      </c>
    </row>
    <row r="7" spans="1:22" x14ac:dyDescent="0.3">
      <c r="A7" s="89">
        <v>6</v>
      </c>
      <c r="B7" s="29" t="s">
        <v>24</v>
      </c>
      <c r="C7" s="29" t="s">
        <v>2029</v>
      </c>
      <c r="D7" s="29">
        <v>60226016</v>
      </c>
      <c r="E7" s="29">
        <v>41</v>
      </c>
      <c r="F7" s="7">
        <v>92</v>
      </c>
      <c r="G7" s="7">
        <v>29</v>
      </c>
      <c r="H7" s="53" t="s">
        <v>71</v>
      </c>
      <c r="I7" s="7" t="s">
        <v>91</v>
      </c>
      <c r="J7" s="7" t="s">
        <v>130</v>
      </c>
      <c r="K7" s="11">
        <v>0.73750000000000004</v>
      </c>
      <c r="L7" s="11">
        <v>0.75138888888888888</v>
      </c>
      <c r="M7" s="7" t="s">
        <v>109</v>
      </c>
      <c r="N7" s="29" t="s">
        <v>109</v>
      </c>
      <c r="O7" s="29" t="s">
        <v>61</v>
      </c>
      <c r="P7" s="7" t="s">
        <v>131</v>
      </c>
      <c r="Q7" s="7" t="s">
        <v>91</v>
      </c>
      <c r="R7" s="7" t="s">
        <v>63</v>
      </c>
      <c r="S7" s="7" t="s">
        <v>123</v>
      </c>
      <c r="T7" s="7" t="s">
        <v>1562</v>
      </c>
      <c r="U7" s="108">
        <f t="shared" si="0"/>
        <v>0.70731707317073167</v>
      </c>
      <c r="V7" s="7" t="s">
        <v>889</v>
      </c>
    </row>
    <row r="8" spans="1:22" x14ac:dyDescent="0.3">
      <c r="A8" s="89">
        <v>7</v>
      </c>
      <c r="B8" s="29" t="s">
        <v>26</v>
      </c>
      <c r="C8" s="29" t="s">
        <v>1388</v>
      </c>
      <c r="D8" s="29">
        <v>40126024</v>
      </c>
      <c r="E8" s="29">
        <v>289</v>
      </c>
      <c r="F8" s="7">
        <v>751</v>
      </c>
      <c r="G8" s="7">
        <v>82</v>
      </c>
      <c r="H8" s="7" t="s">
        <v>1927</v>
      </c>
      <c r="I8" s="7" t="s">
        <v>2693</v>
      </c>
      <c r="J8" s="7" t="s">
        <v>130</v>
      </c>
      <c r="K8" s="11">
        <v>0.69722222222222219</v>
      </c>
      <c r="L8" s="11">
        <v>0.80138888888888893</v>
      </c>
      <c r="M8" s="7" t="s">
        <v>109</v>
      </c>
      <c r="N8" s="29" t="s">
        <v>1161</v>
      </c>
      <c r="O8" s="29" t="s">
        <v>61</v>
      </c>
      <c r="P8" s="7" t="s">
        <v>131</v>
      </c>
      <c r="Q8" s="7" t="s">
        <v>209</v>
      </c>
      <c r="R8" s="7" t="s">
        <v>62</v>
      </c>
      <c r="S8" s="7" t="s">
        <v>123</v>
      </c>
      <c r="T8" s="7" t="s">
        <v>121</v>
      </c>
      <c r="U8" s="108">
        <f t="shared" si="0"/>
        <v>0.2837370242214533</v>
      </c>
      <c r="V8" s="7" t="s">
        <v>2087</v>
      </c>
    </row>
    <row r="9" spans="1:22" x14ac:dyDescent="0.3">
      <c r="A9" s="89">
        <v>8</v>
      </c>
      <c r="B9" s="29" t="s">
        <v>25</v>
      </c>
      <c r="C9" s="29" t="s">
        <v>1974</v>
      </c>
      <c r="D9" s="29">
        <v>40226002</v>
      </c>
      <c r="E9" s="29">
        <v>91</v>
      </c>
      <c r="F9" s="7">
        <v>162</v>
      </c>
      <c r="G9" s="7">
        <v>84</v>
      </c>
      <c r="H9" s="7" t="s">
        <v>302</v>
      </c>
      <c r="I9" s="7" t="s">
        <v>103</v>
      </c>
      <c r="J9" s="7" t="s">
        <v>130</v>
      </c>
      <c r="K9" s="11">
        <v>0.93055555555555558</v>
      </c>
      <c r="L9" s="11">
        <v>0.98472222222222228</v>
      </c>
      <c r="M9" s="7" t="s">
        <v>109</v>
      </c>
      <c r="N9" s="29" t="s">
        <v>109</v>
      </c>
      <c r="O9" s="29" t="s">
        <v>61</v>
      </c>
      <c r="P9" s="7" t="s">
        <v>131</v>
      </c>
      <c r="Q9" s="7" t="s">
        <v>90</v>
      </c>
      <c r="R9" s="7" t="s">
        <v>62</v>
      </c>
      <c r="S9" s="7" t="s">
        <v>123</v>
      </c>
      <c r="T9" s="7" t="s">
        <v>2173</v>
      </c>
      <c r="U9" s="108">
        <f t="shared" si="0"/>
        <v>0.92307692307692313</v>
      </c>
      <c r="V9" s="7" t="s">
        <v>1941</v>
      </c>
    </row>
    <row r="10" spans="1:22" x14ac:dyDescent="0.3">
      <c r="A10" s="89">
        <v>9</v>
      </c>
      <c r="B10" s="29" t="s">
        <v>25</v>
      </c>
      <c r="C10" s="29" t="s">
        <v>2402</v>
      </c>
      <c r="D10" s="29">
        <v>40226010</v>
      </c>
      <c r="E10" s="29">
        <v>281</v>
      </c>
      <c r="F10" s="7">
        <v>503</v>
      </c>
      <c r="G10" s="7">
        <v>251</v>
      </c>
      <c r="H10" s="7" t="s">
        <v>1594</v>
      </c>
      <c r="I10" s="7" t="s">
        <v>1937</v>
      </c>
      <c r="J10" s="7" t="s">
        <v>130</v>
      </c>
      <c r="K10" s="11">
        <v>0.8520833333333333</v>
      </c>
      <c r="L10" s="11">
        <v>0.86041666666666672</v>
      </c>
      <c r="M10" s="7" t="s">
        <v>109</v>
      </c>
      <c r="N10" s="29" t="s">
        <v>109</v>
      </c>
      <c r="O10" s="29" t="s">
        <v>61</v>
      </c>
      <c r="P10" s="7" t="s">
        <v>131</v>
      </c>
      <c r="Q10" s="7" t="s">
        <v>209</v>
      </c>
      <c r="R10" s="7" t="s">
        <v>62</v>
      </c>
      <c r="S10" s="7" t="s">
        <v>123</v>
      </c>
      <c r="T10" s="7" t="s">
        <v>2405</v>
      </c>
      <c r="U10" s="108">
        <f t="shared" si="0"/>
        <v>0.89323843416370108</v>
      </c>
      <c r="V10" s="7" t="s">
        <v>1941</v>
      </c>
    </row>
    <row r="11" spans="1:22" x14ac:dyDescent="0.3">
      <c r="A11" s="89">
        <v>10</v>
      </c>
      <c r="B11" s="29" t="s">
        <v>23</v>
      </c>
      <c r="C11" s="29" t="s">
        <v>524</v>
      </c>
      <c r="D11" s="29">
        <v>50126055</v>
      </c>
      <c r="E11" s="29">
        <v>65</v>
      </c>
      <c r="F11" s="7">
        <v>100</v>
      </c>
      <c r="G11" s="7">
        <v>33</v>
      </c>
      <c r="H11" s="53" t="s">
        <v>196</v>
      </c>
      <c r="I11" s="7" t="s">
        <v>109</v>
      </c>
      <c r="J11" s="7" t="s">
        <v>130</v>
      </c>
      <c r="K11" s="11" t="s">
        <v>109</v>
      </c>
      <c r="L11" s="11">
        <v>0.68888888888888888</v>
      </c>
      <c r="M11" s="7" t="s">
        <v>109</v>
      </c>
      <c r="N11" s="29" t="s">
        <v>110</v>
      </c>
      <c r="O11" s="29" t="s">
        <v>61</v>
      </c>
      <c r="P11" s="7" t="s">
        <v>131</v>
      </c>
      <c r="Q11" s="7" t="s">
        <v>196</v>
      </c>
      <c r="R11" s="7" t="s">
        <v>62</v>
      </c>
      <c r="S11" s="7" t="s">
        <v>123</v>
      </c>
      <c r="T11" s="7" t="s">
        <v>424</v>
      </c>
      <c r="U11" s="108">
        <f t="shared" si="0"/>
        <v>0.50769230769230766</v>
      </c>
      <c r="V11" s="7" t="s">
        <v>2087</v>
      </c>
    </row>
    <row r="12" spans="1:22" x14ac:dyDescent="0.3">
      <c r="A12" s="89">
        <v>11</v>
      </c>
      <c r="B12" s="29" t="s">
        <v>23</v>
      </c>
      <c r="C12" s="29" t="s">
        <v>918</v>
      </c>
      <c r="D12" s="29">
        <v>50126256</v>
      </c>
      <c r="E12" s="29">
        <v>55</v>
      </c>
      <c r="F12" s="7">
        <v>19</v>
      </c>
      <c r="G12" s="7">
        <v>7</v>
      </c>
      <c r="H12" s="53" t="s">
        <v>64</v>
      </c>
      <c r="I12" s="7" t="s">
        <v>109</v>
      </c>
      <c r="J12" s="7" t="s">
        <v>130</v>
      </c>
      <c r="K12" s="11" t="s">
        <v>109</v>
      </c>
      <c r="L12" s="11">
        <v>0.85416666666666663</v>
      </c>
      <c r="M12" s="7" t="s">
        <v>109</v>
      </c>
      <c r="N12" s="29" t="s">
        <v>110</v>
      </c>
      <c r="O12" s="29" t="s">
        <v>61</v>
      </c>
      <c r="P12" s="7" t="s">
        <v>131</v>
      </c>
      <c r="Q12" s="7" t="s">
        <v>64</v>
      </c>
      <c r="R12" s="7" t="s">
        <v>62</v>
      </c>
      <c r="S12" s="7" t="s">
        <v>123</v>
      </c>
      <c r="T12" s="7" t="s">
        <v>424</v>
      </c>
      <c r="U12" s="108">
        <f t="shared" si="0"/>
        <v>0.12727272727272726</v>
      </c>
      <c r="V12" s="7" t="s">
        <v>889</v>
      </c>
    </row>
    <row r="13" spans="1:22" x14ac:dyDescent="0.3">
      <c r="A13" s="89">
        <v>12</v>
      </c>
      <c r="B13" s="29" t="s">
        <v>23</v>
      </c>
      <c r="C13" s="29" t="s">
        <v>814</v>
      </c>
      <c r="D13" s="29">
        <v>50126228</v>
      </c>
      <c r="E13" s="29">
        <v>55</v>
      </c>
      <c r="F13" s="7">
        <v>77</v>
      </c>
      <c r="G13" s="7">
        <v>58</v>
      </c>
      <c r="H13" s="53" t="s">
        <v>67</v>
      </c>
      <c r="I13" s="7" t="s">
        <v>109</v>
      </c>
      <c r="J13" s="7" t="s">
        <v>130</v>
      </c>
      <c r="K13" s="11" t="s">
        <v>109</v>
      </c>
      <c r="L13" s="11">
        <v>0.69722222222222219</v>
      </c>
      <c r="M13" s="7" t="s">
        <v>109</v>
      </c>
      <c r="N13" s="29" t="s">
        <v>110</v>
      </c>
      <c r="O13" s="29" t="s">
        <v>61</v>
      </c>
      <c r="P13" s="7" t="s">
        <v>131</v>
      </c>
      <c r="Q13" s="7" t="s">
        <v>67</v>
      </c>
      <c r="R13" s="7" t="s">
        <v>62</v>
      </c>
      <c r="S13" s="7" t="s">
        <v>123</v>
      </c>
      <c r="T13" s="7" t="s">
        <v>424</v>
      </c>
      <c r="U13" s="108">
        <f t="shared" si="0"/>
        <v>1.0545454545454545</v>
      </c>
      <c r="V13" s="7" t="s">
        <v>1941</v>
      </c>
    </row>
    <row r="14" spans="1:22" x14ac:dyDescent="0.3">
      <c r="A14" s="89">
        <v>13</v>
      </c>
      <c r="B14" s="29" t="s">
        <v>23</v>
      </c>
      <c r="C14" s="29" t="s">
        <v>819</v>
      </c>
      <c r="D14" s="29">
        <v>50126227</v>
      </c>
      <c r="E14" s="29">
        <v>65</v>
      </c>
      <c r="F14" s="7" t="s">
        <v>109</v>
      </c>
      <c r="G14" s="7" t="s">
        <v>109</v>
      </c>
      <c r="H14" s="53" t="s">
        <v>200</v>
      </c>
      <c r="I14" s="7" t="s">
        <v>109</v>
      </c>
      <c r="J14" s="7" t="s">
        <v>85</v>
      </c>
      <c r="K14" s="11" t="s">
        <v>109</v>
      </c>
      <c r="L14" s="11" t="s">
        <v>109</v>
      </c>
      <c r="M14" s="7" t="s">
        <v>109</v>
      </c>
      <c r="N14" s="29" t="s">
        <v>110</v>
      </c>
      <c r="O14" s="29" t="s">
        <v>61</v>
      </c>
      <c r="P14" s="7" t="s">
        <v>109</v>
      </c>
      <c r="Q14" s="7" t="s">
        <v>109</v>
      </c>
      <c r="R14" s="7" t="s">
        <v>62</v>
      </c>
      <c r="S14" s="7" t="s">
        <v>123</v>
      </c>
      <c r="T14" s="7" t="s">
        <v>424</v>
      </c>
      <c r="U14" s="108">
        <v>0</v>
      </c>
      <c r="V14" s="7" t="s">
        <v>109</v>
      </c>
    </row>
    <row r="15" spans="1:22" x14ac:dyDescent="0.3">
      <c r="A15" s="89">
        <v>14</v>
      </c>
      <c r="B15" s="29" t="s">
        <v>23</v>
      </c>
      <c r="C15" s="29" t="s">
        <v>526</v>
      </c>
      <c r="D15" s="29">
        <v>50126080</v>
      </c>
      <c r="E15" s="29">
        <v>85</v>
      </c>
      <c r="F15" s="7">
        <v>158</v>
      </c>
      <c r="G15" s="7">
        <v>86</v>
      </c>
      <c r="H15" s="53" t="s">
        <v>82</v>
      </c>
      <c r="I15" s="7" t="s">
        <v>109</v>
      </c>
      <c r="J15" s="7" t="s">
        <v>130</v>
      </c>
      <c r="K15" s="11" t="s">
        <v>109</v>
      </c>
      <c r="L15" s="11">
        <v>0.69513888888888886</v>
      </c>
      <c r="M15" s="7" t="s">
        <v>109</v>
      </c>
      <c r="N15" s="29" t="s">
        <v>110</v>
      </c>
      <c r="O15" s="29" t="s">
        <v>61</v>
      </c>
      <c r="P15" s="7" t="s">
        <v>131</v>
      </c>
      <c r="Q15" s="7" t="s">
        <v>82</v>
      </c>
      <c r="R15" s="7" t="s">
        <v>62</v>
      </c>
      <c r="S15" s="7" t="s">
        <v>123</v>
      </c>
      <c r="T15" s="7" t="s">
        <v>424</v>
      </c>
      <c r="U15" s="108">
        <f t="shared" ref="U15:U46" si="1">G15/E15</f>
        <v>1.0117647058823529</v>
      </c>
      <c r="V15" s="7" t="s">
        <v>1941</v>
      </c>
    </row>
    <row r="16" spans="1:22" x14ac:dyDescent="0.3">
      <c r="A16" s="89">
        <v>15</v>
      </c>
      <c r="B16" s="29" t="s">
        <v>23</v>
      </c>
      <c r="C16" s="29" t="s">
        <v>829</v>
      </c>
      <c r="D16" s="29">
        <v>50126176</v>
      </c>
      <c r="E16" s="29">
        <v>85</v>
      </c>
      <c r="F16" s="7">
        <v>175</v>
      </c>
      <c r="G16" s="7">
        <v>56</v>
      </c>
      <c r="H16" s="53" t="s">
        <v>70</v>
      </c>
      <c r="I16" s="7" t="s">
        <v>109</v>
      </c>
      <c r="J16" s="7" t="s">
        <v>130</v>
      </c>
      <c r="K16" s="11" t="s">
        <v>109</v>
      </c>
      <c r="L16" s="11">
        <v>0.7895833333333333</v>
      </c>
      <c r="M16" s="7" t="s">
        <v>109</v>
      </c>
      <c r="N16" s="29" t="s">
        <v>110</v>
      </c>
      <c r="O16" s="29" t="s">
        <v>61</v>
      </c>
      <c r="P16" s="7" t="s">
        <v>131</v>
      </c>
      <c r="Q16" s="7" t="s">
        <v>70</v>
      </c>
      <c r="R16" s="7" t="s">
        <v>62</v>
      </c>
      <c r="S16" s="7" t="s">
        <v>123</v>
      </c>
      <c r="T16" s="7" t="s">
        <v>424</v>
      </c>
      <c r="U16" s="108">
        <f t="shared" si="1"/>
        <v>0.6588235294117647</v>
      </c>
      <c r="V16" s="7" t="s">
        <v>2087</v>
      </c>
    </row>
    <row r="17" spans="1:22" x14ac:dyDescent="0.3">
      <c r="A17" s="89">
        <v>16</v>
      </c>
      <c r="B17" s="29" t="s">
        <v>23</v>
      </c>
      <c r="C17" s="29" t="s">
        <v>426</v>
      </c>
      <c r="D17" s="29">
        <v>50126023</v>
      </c>
      <c r="E17" s="29">
        <v>100</v>
      </c>
      <c r="F17" s="7">
        <v>133</v>
      </c>
      <c r="G17" s="7">
        <v>105</v>
      </c>
      <c r="H17" s="28" t="s">
        <v>1007</v>
      </c>
      <c r="I17" s="7" t="s">
        <v>109</v>
      </c>
      <c r="J17" s="7" t="s">
        <v>130</v>
      </c>
      <c r="K17" s="11" t="s">
        <v>109</v>
      </c>
      <c r="L17" s="11">
        <v>0.68958333333333333</v>
      </c>
      <c r="M17" s="7" t="s">
        <v>109</v>
      </c>
      <c r="N17" s="29" t="s">
        <v>110</v>
      </c>
      <c r="O17" s="29" t="s">
        <v>61</v>
      </c>
      <c r="P17" s="7" t="s">
        <v>131</v>
      </c>
      <c r="Q17" s="7" t="s">
        <v>71</v>
      </c>
      <c r="R17" s="7" t="s">
        <v>62</v>
      </c>
      <c r="S17" s="7" t="s">
        <v>123</v>
      </c>
      <c r="T17" s="7" t="s">
        <v>424</v>
      </c>
      <c r="U17" s="108">
        <f t="shared" si="1"/>
        <v>1.05</v>
      </c>
      <c r="V17" s="7" t="s">
        <v>1941</v>
      </c>
    </row>
    <row r="18" spans="1:22" x14ac:dyDescent="0.3">
      <c r="A18" s="89">
        <v>17</v>
      </c>
      <c r="B18" s="29" t="s">
        <v>23</v>
      </c>
      <c r="C18" s="29" t="s">
        <v>2694</v>
      </c>
      <c r="D18" s="29">
        <v>50226120</v>
      </c>
      <c r="E18" s="29">
        <v>200</v>
      </c>
      <c r="F18" s="7">
        <v>216</v>
      </c>
      <c r="G18" s="7">
        <v>167</v>
      </c>
      <c r="H18" s="28" t="s">
        <v>2695</v>
      </c>
      <c r="I18" s="7" t="s">
        <v>109</v>
      </c>
      <c r="J18" s="7" t="s">
        <v>130</v>
      </c>
      <c r="K18" s="11" t="s">
        <v>109</v>
      </c>
      <c r="L18" s="11">
        <v>0.7055555555555556</v>
      </c>
      <c r="M18" s="7" t="s">
        <v>109</v>
      </c>
      <c r="N18" s="29" t="s">
        <v>110</v>
      </c>
      <c r="O18" s="29" t="s">
        <v>61</v>
      </c>
      <c r="P18" s="7" t="s">
        <v>131</v>
      </c>
      <c r="Q18" s="7" t="s">
        <v>241</v>
      </c>
      <c r="R18" s="7" t="s">
        <v>62</v>
      </c>
      <c r="S18" s="7" t="s">
        <v>123</v>
      </c>
      <c r="T18" s="7" t="s">
        <v>424</v>
      </c>
      <c r="U18" s="108">
        <f t="shared" si="1"/>
        <v>0.83499999999999996</v>
      </c>
      <c r="V18" s="7" t="s">
        <v>1941</v>
      </c>
    </row>
    <row r="19" spans="1:22" x14ac:dyDescent="0.3">
      <c r="A19" s="89">
        <v>18</v>
      </c>
      <c r="B19" s="29" t="s">
        <v>23</v>
      </c>
      <c r="C19" s="29" t="s">
        <v>718</v>
      </c>
      <c r="D19" s="29">
        <v>50126205</v>
      </c>
      <c r="E19" s="29">
        <v>55</v>
      </c>
      <c r="F19" s="7">
        <v>66</v>
      </c>
      <c r="G19" s="7">
        <v>61</v>
      </c>
      <c r="H19" s="53" t="s">
        <v>200</v>
      </c>
      <c r="I19" s="7" t="s">
        <v>109</v>
      </c>
      <c r="J19" s="7" t="s">
        <v>130</v>
      </c>
      <c r="K19" s="11" t="s">
        <v>109</v>
      </c>
      <c r="L19" s="11">
        <v>0.68958333333333333</v>
      </c>
      <c r="M19" s="7" t="s">
        <v>109</v>
      </c>
      <c r="N19" s="29" t="s">
        <v>110</v>
      </c>
      <c r="O19" s="29" t="s">
        <v>61</v>
      </c>
      <c r="P19" s="7" t="s">
        <v>131</v>
      </c>
      <c r="Q19" s="7" t="s">
        <v>200</v>
      </c>
      <c r="R19" s="7" t="s">
        <v>62</v>
      </c>
      <c r="S19" s="7" t="s">
        <v>123</v>
      </c>
      <c r="T19" s="7" t="s">
        <v>424</v>
      </c>
      <c r="U19" s="108">
        <f t="shared" si="1"/>
        <v>1.1090909090909091</v>
      </c>
      <c r="V19" s="7" t="s">
        <v>1941</v>
      </c>
    </row>
    <row r="20" spans="1:22" x14ac:dyDescent="0.3">
      <c r="A20" s="89">
        <v>19</v>
      </c>
      <c r="B20" s="29" t="s">
        <v>23</v>
      </c>
      <c r="C20" s="29" t="s">
        <v>2036</v>
      </c>
      <c r="D20" s="29">
        <v>50226039</v>
      </c>
      <c r="E20" s="29">
        <v>200</v>
      </c>
      <c r="F20" s="7">
        <v>281</v>
      </c>
      <c r="G20" s="7">
        <v>190</v>
      </c>
      <c r="H20" s="28" t="s">
        <v>79</v>
      </c>
      <c r="I20" s="7" t="s">
        <v>109</v>
      </c>
      <c r="J20" s="7" t="s">
        <v>130</v>
      </c>
      <c r="K20" s="11" t="s">
        <v>109</v>
      </c>
      <c r="L20" s="11">
        <v>0.76111111111111107</v>
      </c>
      <c r="M20" s="7" t="s">
        <v>109</v>
      </c>
      <c r="N20" s="29" t="s">
        <v>110</v>
      </c>
      <c r="O20" s="29" t="s">
        <v>61</v>
      </c>
      <c r="P20" s="7" t="s">
        <v>131</v>
      </c>
      <c r="Q20" s="7" t="s">
        <v>67</v>
      </c>
      <c r="R20" s="7" t="s">
        <v>62</v>
      </c>
      <c r="S20" s="7" t="s">
        <v>123</v>
      </c>
      <c r="T20" s="7" t="s">
        <v>424</v>
      </c>
      <c r="U20" s="108">
        <f t="shared" si="1"/>
        <v>0.95</v>
      </c>
      <c r="V20" s="7" t="s">
        <v>1941</v>
      </c>
    </row>
    <row r="21" spans="1:22" x14ac:dyDescent="0.3">
      <c r="A21" s="89">
        <v>20</v>
      </c>
      <c r="B21" s="29" t="s">
        <v>23</v>
      </c>
      <c r="C21" s="29" t="s">
        <v>521</v>
      </c>
      <c r="D21" s="29">
        <v>50126052</v>
      </c>
      <c r="E21" s="29">
        <v>55</v>
      </c>
      <c r="F21" s="7">
        <v>138</v>
      </c>
      <c r="G21" s="7">
        <v>28</v>
      </c>
      <c r="H21" s="53" t="s">
        <v>82</v>
      </c>
      <c r="I21" s="7" t="s">
        <v>109</v>
      </c>
      <c r="J21" s="7" t="s">
        <v>130</v>
      </c>
      <c r="K21" s="11" t="s">
        <v>109</v>
      </c>
      <c r="L21" s="11">
        <v>0.93194444444444446</v>
      </c>
      <c r="M21" s="7" t="s">
        <v>109</v>
      </c>
      <c r="N21" s="29" t="s">
        <v>109</v>
      </c>
      <c r="O21" s="29" t="s">
        <v>61</v>
      </c>
      <c r="P21" s="7" t="s">
        <v>131</v>
      </c>
      <c r="Q21" s="7" t="s">
        <v>82</v>
      </c>
      <c r="R21" s="7" t="s">
        <v>62</v>
      </c>
      <c r="S21" s="7" t="s">
        <v>123</v>
      </c>
      <c r="T21" s="7" t="s">
        <v>424</v>
      </c>
      <c r="U21" s="108">
        <f t="shared" si="1"/>
        <v>0.50909090909090904</v>
      </c>
      <c r="V21" s="7" t="s">
        <v>2087</v>
      </c>
    </row>
    <row r="22" spans="1:22" x14ac:dyDescent="0.3">
      <c r="A22" s="89">
        <v>21</v>
      </c>
      <c r="B22" s="29" t="s">
        <v>23</v>
      </c>
      <c r="C22" s="29" t="s">
        <v>523</v>
      </c>
      <c r="D22" s="29">
        <v>50126054</v>
      </c>
      <c r="E22" s="29">
        <v>55</v>
      </c>
      <c r="F22" s="7">
        <v>98</v>
      </c>
      <c r="G22" s="7">
        <v>59</v>
      </c>
      <c r="H22" s="53" t="s">
        <v>70</v>
      </c>
      <c r="I22" s="7" t="s">
        <v>109</v>
      </c>
      <c r="J22" s="7" t="s">
        <v>130</v>
      </c>
      <c r="K22" s="11" t="s">
        <v>109</v>
      </c>
      <c r="L22" s="11">
        <v>0.66874999999999996</v>
      </c>
      <c r="M22" s="7" t="s">
        <v>109</v>
      </c>
      <c r="N22" s="29" t="s">
        <v>109</v>
      </c>
      <c r="O22" s="29" t="s">
        <v>61</v>
      </c>
      <c r="P22" s="7" t="s">
        <v>131</v>
      </c>
      <c r="Q22" s="7" t="s">
        <v>70</v>
      </c>
      <c r="R22" s="7" t="s">
        <v>62</v>
      </c>
      <c r="S22" s="7" t="s">
        <v>123</v>
      </c>
      <c r="T22" s="7" t="s">
        <v>424</v>
      </c>
      <c r="U22" s="108">
        <f t="shared" si="1"/>
        <v>1.0727272727272728</v>
      </c>
      <c r="V22" s="7" t="s">
        <v>1941</v>
      </c>
    </row>
    <row r="23" spans="1:22" x14ac:dyDescent="0.3">
      <c r="A23" s="89">
        <v>22</v>
      </c>
      <c r="B23" s="29" t="s">
        <v>23</v>
      </c>
      <c r="C23" s="29" t="s">
        <v>904</v>
      </c>
      <c r="D23" s="29">
        <v>50126243</v>
      </c>
      <c r="E23" s="29">
        <v>55</v>
      </c>
      <c r="F23" s="7">
        <v>115</v>
      </c>
      <c r="G23" s="7">
        <v>52</v>
      </c>
      <c r="H23" s="53" t="s">
        <v>69</v>
      </c>
      <c r="I23" s="7" t="s">
        <v>109</v>
      </c>
      <c r="J23" s="7" t="s">
        <v>130</v>
      </c>
      <c r="K23" s="11" t="s">
        <v>109</v>
      </c>
      <c r="L23" s="11">
        <v>0.84652777777777777</v>
      </c>
      <c r="M23" s="7" t="s">
        <v>109</v>
      </c>
      <c r="N23" s="29" t="s">
        <v>109</v>
      </c>
      <c r="O23" s="29" t="s">
        <v>61</v>
      </c>
      <c r="P23" s="7" t="s">
        <v>131</v>
      </c>
      <c r="Q23" s="7" t="s">
        <v>69</v>
      </c>
      <c r="R23" s="7" t="s">
        <v>62</v>
      </c>
      <c r="S23" s="7" t="s">
        <v>123</v>
      </c>
      <c r="T23" s="7" t="s">
        <v>424</v>
      </c>
      <c r="U23" s="108">
        <f t="shared" si="1"/>
        <v>0.94545454545454544</v>
      </c>
      <c r="V23" s="7" t="s">
        <v>1941</v>
      </c>
    </row>
    <row r="24" spans="1:22" x14ac:dyDescent="0.3">
      <c r="A24" s="89">
        <v>23</v>
      </c>
      <c r="B24" s="29" t="s">
        <v>23</v>
      </c>
      <c r="C24" s="29" t="s">
        <v>905</v>
      </c>
      <c r="D24" s="29">
        <v>50126244</v>
      </c>
      <c r="E24" s="29">
        <v>55</v>
      </c>
      <c r="F24" s="7">
        <v>80</v>
      </c>
      <c r="G24" s="7">
        <v>44</v>
      </c>
      <c r="H24" s="53" t="s">
        <v>84</v>
      </c>
      <c r="I24" s="7" t="s">
        <v>109</v>
      </c>
      <c r="J24" s="7" t="s">
        <v>130</v>
      </c>
      <c r="K24" s="11">
        <v>0.98124999999999996</v>
      </c>
      <c r="L24" s="11" t="s">
        <v>109</v>
      </c>
      <c r="M24" s="7" t="s">
        <v>109</v>
      </c>
      <c r="N24" s="29" t="s">
        <v>109</v>
      </c>
      <c r="O24" s="29" t="s">
        <v>61</v>
      </c>
      <c r="P24" s="7" t="s">
        <v>131</v>
      </c>
      <c r="Q24" s="7" t="s">
        <v>84</v>
      </c>
      <c r="R24" s="7" t="s">
        <v>62</v>
      </c>
      <c r="S24" s="7" t="s">
        <v>123</v>
      </c>
      <c r="T24" s="7" t="s">
        <v>424</v>
      </c>
      <c r="U24" s="108">
        <f t="shared" si="1"/>
        <v>0.8</v>
      </c>
      <c r="V24" s="7" t="s">
        <v>1941</v>
      </c>
    </row>
    <row r="25" spans="1:22" x14ac:dyDescent="0.3">
      <c r="A25" s="89">
        <v>24</v>
      </c>
      <c r="B25" s="29" t="s">
        <v>23</v>
      </c>
      <c r="C25" s="29" t="s">
        <v>909</v>
      </c>
      <c r="D25" s="29">
        <v>50126252</v>
      </c>
      <c r="E25" s="29">
        <v>15</v>
      </c>
      <c r="F25" s="7">
        <v>21</v>
      </c>
      <c r="G25" s="7">
        <v>18</v>
      </c>
      <c r="H25" s="53" t="s">
        <v>214</v>
      </c>
      <c r="I25" s="7" t="s">
        <v>109</v>
      </c>
      <c r="J25" s="7" t="s">
        <v>130</v>
      </c>
      <c r="K25" s="11" t="s">
        <v>109</v>
      </c>
      <c r="L25" s="11">
        <v>0.70833333333333337</v>
      </c>
      <c r="M25" s="7" t="s">
        <v>109</v>
      </c>
      <c r="N25" s="29" t="s">
        <v>109</v>
      </c>
      <c r="O25" s="29" t="s">
        <v>61</v>
      </c>
      <c r="P25" s="7" t="s">
        <v>131</v>
      </c>
      <c r="Q25" s="7" t="s">
        <v>214</v>
      </c>
      <c r="R25" s="7" t="s">
        <v>62</v>
      </c>
      <c r="S25" s="7" t="s">
        <v>123</v>
      </c>
      <c r="T25" s="7" t="s">
        <v>424</v>
      </c>
      <c r="U25" s="108">
        <f t="shared" si="1"/>
        <v>1.2</v>
      </c>
      <c r="V25" s="7" t="s">
        <v>1941</v>
      </c>
    </row>
    <row r="26" spans="1:22" x14ac:dyDescent="0.3">
      <c r="A26" s="89">
        <v>25</v>
      </c>
      <c r="B26" s="29" t="s">
        <v>23</v>
      </c>
      <c r="C26" s="29" t="s">
        <v>910</v>
      </c>
      <c r="D26" s="29">
        <v>50126245</v>
      </c>
      <c r="E26" s="29">
        <v>55</v>
      </c>
      <c r="F26" s="7">
        <v>64</v>
      </c>
      <c r="G26" s="7">
        <v>52</v>
      </c>
      <c r="H26" s="53" t="s">
        <v>184</v>
      </c>
      <c r="I26" s="7" t="s">
        <v>109</v>
      </c>
      <c r="J26" s="7" t="s">
        <v>130</v>
      </c>
      <c r="K26" s="11" t="s">
        <v>109</v>
      </c>
      <c r="L26" s="11">
        <v>0.84305555555555556</v>
      </c>
      <c r="M26" s="7" t="s">
        <v>109</v>
      </c>
      <c r="N26" s="29" t="s">
        <v>109</v>
      </c>
      <c r="O26" s="29" t="s">
        <v>61</v>
      </c>
      <c r="P26" s="7" t="s">
        <v>131</v>
      </c>
      <c r="Q26" s="7" t="s">
        <v>184</v>
      </c>
      <c r="R26" s="7" t="s">
        <v>62</v>
      </c>
      <c r="S26" s="7" t="s">
        <v>123</v>
      </c>
      <c r="T26" s="7" t="s">
        <v>424</v>
      </c>
      <c r="U26" s="108">
        <f t="shared" si="1"/>
        <v>0.94545454545454544</v>
      </c>
      <c r="V26" s="7" t="s">
        <v>1941</v>
      </c>
    </row>
    <row r="27" spans="1:22" x14ac:dyDescent="0.3">
      <c r="A27" s="89">
        <v>26</v>
      </c>
      <c r="B27" s="29" t="s">
        <v>23</v>
      </c>
      <c r="C27" s="29" t="s">
        <v>912</v>
      </c>
      <c r="D27" s="29">
        <v>50126253</v>
      </c>
      <c r="E27" s="29">
        <v>55</v>
      </c>
      <c r="F27" s="7">
        <v>111</v>
      </c>
      <c r="G27" s="7">
        <v>56</v>
      </c>
      <c r="H27" s="53" t="s">
        <v>68</v>
      </c>
      <c r="I27" s="7" t="s">
        <v>109</v>
      </c>
      <c r="J27" s="7" t="s">
        <v>130</v>
      </c>
      <c r="K27" s="11" t="s">
        <v>109</v>
      </c>
      <c r="L27" s="11">
        <v>0.70138888888888884</v>
      </c>
      <c r="M27" s="7" t="s">
        <v>109</v>
      </c>
      <c r="N27" s="29" t="s">
        <v>109</v>
      </c>
      <c r="O27" s="29" t="s">
        <v>61</v>
      </c>
      <c r="P27" s="7" t="s">
        <v>131</v>
      </c>
      <c r="Q27" s="7" t="s">
        <v>68</v>
      </c>
      <c r="R27" s="7" t="s">
        <v>62</v>
      </c>
      <c r="S27" s="7" t="s">
        <v>123</v>
      </c>
      <c r="T27" s="7" t="s">
        <v>424</v>
      </c>
      <c r="U27" s="108">
        <f t="shared" si="1"/>
        <v>1.0181818181818181</v>
      </c>
      <c r="V27" s="7" t="s">
        <v>1941</v>
      </c>
    </row>
    <row r="28" spans="1:22" x14ac:dyDescent="0.3">
      <c r="A28" s="89">
        <v>27</v>
      </c>
      <c r="B28" s="29" t="s">
        <v>23</v>
      </c>
      <c r="C28" s="29" t="s">
        <v>913</v>
      </c>
      <c r="D28" s="29">
        <v>50126254</v>
      </c>
      <c r="E28" s="29">
        <v>55</v>
      </c>
      <c r="F28" s="7">
        <v>51</v>
      </c>
      <c r="G28" s="7">
        <v>28</v>
      </c>
      <c r="H28" s="53" t="s">
        <v>214</v>
      </c>
      <c r="I28" s="7" t="s">
        <v>109</v>
      </c>
      <c r="J28" s="7" t="s">
        <v>130</v>
      </c>
      <c r="K28" s="11" t="s">
        <v>109</v>
      </c>
      <c r="L28" s="11">
        <v>0.94722222222222219</v>
      </c>
      <c r="M28" s="7" t="s">
        <v>109</v>
      </c>
      <c r="N28" s="29" t="s">
        <v>109</v>
      </c>
      <c r="O28" s="29" t="s">
        <v>61</v>
      </c>
      <c r="P28" s="7" t="s">
        <v>131</v>
      </c>
      <c r="Q28" s="7" t="s">
        <v>214</v>
      </c>
      <c r="R28" s="7" t="s">
        <v>62</v>
      </c>
      <c r="S28" s="7" t="s">
        <v>123</v>
      </c>
      <c r="T28" s="7" t="s">
        <v>424</v>
      </c>
      <c r="U28" s="108">
        <f t="shared" si="1"/>
        <v>0.50909090909090904</v>
      </c>
      <c r="V28" s="7" t="s">
        <v>889</v>
      </c>
    </row>
    <row r="29" spans="1:22" x14ac:dyDescent="0.3">
      <c r="A29" s="89">
        <v>28</v>
      </c>
      <c r="B29" s="29" t="s">
        <v>23</v>
      </c>
      <c r="C29" s="29" t="s">
        <v>537</v>
      </c>
      <c r="D29" s="29">
        <v>50126097</v>
      </c>
      <c r="E29" s="29">
        <v>55</v>
      </c>
      <c r="F29" s="7">
        <v>96</v>
      </c>
      <c r="G29" s="7">
        <v>53</v>
      </c>
      <c r="H29" s="53" t="s">
        <v>66</v>
      </c>
      <c r="I29" s="7" t="s">
        <v>109</v>
      </c>
      <c r="J29" s="7" t="s">
        <v>130</v>
      </c>
      <c r="K29" s="11" t="s">
        <v>109</v>
      </c>
      <c r="L29" s="11">
        <v>0.70347222222222228</v>
      </c>
      <c r="M29" s="7" t="s">
        <v>109</v>
      </c>
      <c r="N29" s="29" t="s">
        <v>109</v>
      </c>
      <c r="O29" s="29" t="s">
        <v>61</v>
      </c>
      <c r="P29" s="7" t="s">
        <v>131</v>
      </c>
      <c r="Q29" s="7" t="s">
        <v>66</v>
      </c>
      <c r="R29" s="7" t="s">
        <v>62</v>
      </c>
      <c r="S29" s="7" t="s">
        <v>123</v>
      </c>
      <c r="T29" s="7" t="s">
        <v>424</v>
      </c>
      <c r="U29" s="108">
        <f t="shared" si="1"/>
        <v>0.96363636363636362</v>
      </c>
      <c r="V29" s="7" t="s">
        <v>1941</v>
      </c>
    </row>
    <row r="30" spans="1:22" x14ac:dyDescent="0.3">
      <c r="A30" s="89">
        <v>29</v>
      </c>
      <c r="B30" s="29" t="s">
        <v>23</v>
      </c>
      <c r="C30" s="29" t="s">
        <v>536</v>
      </c>
      <c r="D30" s="29">
        <v>50126098</v>
      </c>
      <c r="E30" s="29">
        <v>55</v>
      </c>
      <c r="F30" s="7">
        <v>41</v>
      </c>
      <c r="G30" s="7">
        <v>17</v>
      </c>
      <c r="H30" s="53" t="s">
        <v>222</v>
      </c>
      <c r="I30" s="7" t="s">
        <v>109</v>
      </c>
      <c r="J30" s="7" t="s">
        <v>130</v>
      </c>
      <c r="K30" s="11" t="s">
        <v>109</v>
      </c>
      <c r="L30" s="11">
        <v>0.74930555555555556</v>
      </c>
      <c r="M30" s="7" t="s">
        <v>109</v>
      </c>
      <c r="N30" s="29" t="s">
        <v>109</v>
      </c>
      <c r="O30" s="29" t="s">
        <v>61</v>
      </c>
      <c r="P30" s="7" t="s">
        <v>131</v>
      </c>
      <c r="Q30" s="7" t="s">
        <v>222</v>
      </c>
      <c r="R30" s="7" t="s">
        <v>62</v>
      </c>
      <c r="S30" s="7" t="s">
        <v>123</v>
      </c>
      <c r="T30" s="7" t="s">
        <v>424</v>
      </c>
      <c r="U30" s="108">
        <f t="shared" si="1"/>
        <v>0.30909090909090908</v>
      </c>
      <c r="V30" s="7" t="s">
        <v>889</v>
      </c>
    </row>
    <row r="31" spans="1:22" x14ac:dyDescent="0.3">
      <c r="A31" s="89">
        <v>30</v>
      </c>
      <c r="B31" s="29" t="s">
        <v>23</v>
      </c>
      <c r="C31" s="29" t="s">
        <v>2263</v>
      </c>
      <c r="D31" s="29">
        <v>50226070</v>
      </c>
      <c r="E31" s="29">
        <v>60</v>
      </c>
      <c r="F31" s="7">
        <v>120</v>
      </c>
      <c r="G31" s="7">
        <v>41</v>
      </c>
      <c r="H31" s="53" t="s">
        <v>71</v>
      </c>
      <c r="I31" s="7" t="s">
        <v>109</v>
      </c>
      <c r="J31" s="7" t="s">
        <v>130</v>
      </c>
      <c r="K31" s="11" t="s">
        <v>109</v>
      </c>
      <c r="L31" s="11">
        <v>0.84722222222222221</v>
      </c>
      <c r="M31" s="7" t="s">
        <v>109</v>
      </c>
      <c r="N31" s="29" t="s">
        <v>109</v>
      </c>
      <c r="O31" s="29" t="s">
        <v>61</v>
      </c>
      <c r="P31" s="7" t="s">
        <v>131</v>
      </c>
      <c r="Q31" s="7" t="s">
        <v>71</v>
      </c>
      <c r="R31" s="7" t="s">
        <v>62</v>
      </c>
      <c r="S31" s="7" t="s">
        <v>123</v>
      </c>
      <c r="T31" s="7" t="s">
        <v>2264</v>
      </c>
      <c r="U31" s="108">
        <f t="shared" si="1"/>
        <v>0.68333333333333335</v>
      </c>
      <c r="V31" s="7" t="s">
        <v>2087</v>
      </c>
    </row>
    <row r="32" spans="1:22" x14ac:dyDescent="0.3">
      <c r="A32" s="89">
        <v>31</v>
      </c>
      <c r="B32" s="29" t="s">
        <v>23</v>
      </c>
      <c r="C32" s="29" t="s">
        <v>751</v>
      </c>
      <c r="D32" s="29">
        <v>50126143</v>
      </c>
      <c r="E32" s="29">
        <v>30</v>
      </c>
      <c r="F32" s="7">
        <v>37</v>
      </c>
      <c r="G32" s="7">
        <v>11</v>
      </c>
      <c r="H32" s="53" t="s">
        <v>66</v>
      </c>
      <c r="I32" s="7" t="s">
        <v>109</v>
      </c>
      <c r="J32" s="7" t="s">
        <v>130</v>
      </c>
      <c r="K32" s="11" t="s">
        <v>109</v>
      </c>
      <c r="L32" s="11">
        <v>0.65902777777777777</v>
      </c>
      <c r="M32" s="7" t="s">
        <v>109</v>
      </c>
      <c r="N32" s="29" t="s">
        <v>109</v>
      </c>
      <c r="O32" s="29" t="s">
        <v>61</v>
      </c>
      <c r="P32" s="7" t="s">
        <v>131</v>
      </c>
      <c r="Q32" s="7" t="s">
        <v>66</v>
      </c>
      <c r="R32" s="7" t="s">
        <v>62</v>
      </c>
      <c r="S32" s="7" t="s">
        <v>123</v>
      </c>
      <c r="T32" s="7" t="s">
        <v>480</v>
      </c>
      <c r="U32" s="108">
        <f t="shared" si="1"/>
        <v>0.36666666666666664</v>
      </c>
      <c r="V32" s="7" t="s">
        <v>889</v>
      </c>
    </row>
    <row r="33" spans="1:22" x14ac:dyDescent="0.3">
      <c r="A33" s="89">
        <v>32</v>
      </c>
      <c r="B33" s="29" t="s">
        <v>23</v>
      </c>
      <c r="C33" s="29" t="s">
        <v>755</v>
      </c>
      <c r="D33" s="29">
        <v>50126149</v>
      </c>
      <c r="E33" s="29">
        <v>200</v>
      </c>
      <c r="F33" s="7">
        <v>220</v>
      </c>
      <c r="G33" s="7">
        <v>133</v>
      </c>
      <c r="H33" s="28" t="s">
        <v>1051</v>
      </c>
      <c r="I33" s="7" t="s">
        <v>297</v>
      </c>
      <c r="J33" s="7" t="s">
        <v>130</v>
      </c>
      <c r="K33" s="11">
        <v>0.78125</v>
      </c>
      <c r="L33" s="11">
        <v>0.82152777777777775</v>
      </c>
      <c r="M33" s="7" t="s">
        <v>109</v>
      </c>
      <c r="N33" s="29" t="s">
        <v>358</v>
      </c>
      <c r="O33" s="29" t="s">
        <v>61</v>
      </c>
      <c r="P33" s="7" t="s">
        <v>131</v>
      </c>
      <c r="Q33" s="7" t="s">
        <v>94</v>
      </c>
      <c r="R33" s="7" t="s">
        <v>62</v>
      </c>
      <c r="S33" s="7" t="s">
        <v>123</v>
      </c>
      <c r="T33" s="7" t="s">
        <v>480</v>
      </c>
      <c r="U33" s="108">
        <f t="shared" si="1"/>
        <v>0.66500000000000004</v>
      </c>
      <c r="V33" s="7" t="s">
        <v>2087</v>
      </c>
    </row>
    <row r="34" spans="1:22" x14ac:dyDescent="0.3">
      <c r="A34" s="89">
        <v>33</v>
      </c>
      <c r="B34" s="29" t="s">
        <v>23</v>
      </c>
      <c r="C34" s="29" t="s">
        <v>757</v>
      </c>
      <c r="D34" s="29">
        <v>50126145</v>
      </c>
      <c r="E34" s="29">
        <v>50</v>
      </c>
      <c r="F34" s="7">
        <v>78</v>
      </c>
      <c r="G34" s="7">
        <v>17</v>
      </c>
      <c r="H34" s="53" t="s">
        <v>274</v>
      </c>
      <c r="I34" s="7" t="s">
        <v>87</v>
      </c>
      <c r="J34" s="7" t="s">
        <v>130</v>
      </c>
      <c r="K34" s="11">
        <v>0.94236111111111109</v>
      </c>
      <c r="L34" s="11">
        <v>0.95347222222222228</v>
      </c>
      <c r="M34" s="7" t="s">
        <v>109</v>
      </c>
      <c r="N34" s="29" t="s">
        <v>109</v>
      </c>
      <c r="O34" s="29" t="s">
        <v>61</v>
      </c>
      <c r="P34" s="7" t="s">
        <v>131</v>
      </c>
      <c r="Q34" s="7" t="s">
        <v>87</v>
      </c>
      <c r="R34" s="7" t="s">
        <v>62</v>
      </c>
      <c r="S34" s="7" t="s">
        <v>123</v>
      </c>
      <c r="T34" s="7" t="s">
        <v>480</v>
      </c>
      <c r="U34" s="108">
        <f t="shared" si="1"/>
        <v>0.34</v>
      </c>
      <c r="V34" s="7" t="s">
        <v>889</v>
      </c>
    </row>
    <row r="35" spans="1:22" x14ac:dyDescent="0.3">
      <c r="A35" s="89">
        <v>34</v>
      </c>
      <c r="B35" s="29" t="s">
        <v>23</v>
      </c>
      <c r="C35" s="29" t="s">
        <v>1565</v>
      </c>
      <c r="D35" s="29">
        <v>50126356</v>
      </c>
      <c r="E35" s="29">
        <v>36</v>
      </c>
      <c r="F35" s="7">
        <v>54</v>
      </c>
      <c r="G35" s="7">
        <v>32</v>
      </c>
      <c r="H35" s="53" t="s">
        <v>222</v>
      </c>
      <c r="I35" s="7" t="s">
        <v>109</v>
      </c>
      <c r="J35" s="7" t="s">
        <v>130</v>
      </c>
      <c r="K35" s="11" t="s">
        <v>109</v>
      </c>
      <c r="L35" s="11">
        <v>0.80833333333333335</v>
      </c>
      <c r="M35" s="7" t="s">
        <v>109</v>
      </c>
      <c r="N35" s="29" t="s">
        <v>2696</v>
      </c>
      <c r="O35" s="29" t="s">
        <v>61</v>
      </c>
      <c r="P35" s="7" t="s">
        <v>131</v>
      </c>
      <c r="Q35" s="7" t="s">
        <v>222</v>
      </c>
      <c r="R35" s="7" t="s">
        <v>62</v>
      </c>
      <c r="S35" s="7" t="s">
        <v>123</v>
      </c>
      <c r="T35" s="7" t="s">
        <v>1568</v>
      </c>
      <c r="U35" s="108">
        <f t="shared" si="1"/>
        <v>0.88888888888888884</v>
      </c>
      <c r="V35" s="7" t="s">
        <v>1941</v>
      </c>
    </row>
    <row r="36" spans="1:22" x14ac:dyDescent="0.3">
      <c r="A36" s="89">
        <v>35</v>
      </c>
      <c r="B36" s="29" t="s">
        <v>23</v>
      </c>
      <c r="C36" s="29" t="s">
        <v>1569</v>
      </c>
      <c r="D36" s="29">
        <v>50126355</v>
      </c>
      <c r="E36" s="29">
        <v>100</v>
      </c>
      <c r="F36" s="7">
        <v>165</v>
      </c>
      <c r="G36" s="7">
        <v>104</v>
      </c>
      <c r="H36" s="28" t="s">
        <v>1007</v>
      </c>
      <c r="I36" s="7" t="s">
        <v>109</v>
      </c>
      <c r="J36" s="7" t="s">
        <v>130</v>
      </c>
      <c r="K36" s="11" t="s">
        <v>109</v>
      </c>
      <c r="L36" s="11">
        <v>0.79027777777777775</v>
      </c>
      <c r="M36" s="7" t="s">
        <v>109</v>
      </c>
      <c r="N36" s="29" t="s">
        <v>2697</v>
      </c>
      <c r="O36" s="29" t="s">
        <v>61</v>
      </c>
      <c r="P36" s="7" t="s">
        <v>131</v>
      </c>
      <c r="Q36" s="7" t="s">
        <v>71</v>
      </c>
      <c r="R36" s="7" t="s">
        <v>62</v>
      </c>
      <c r="S36" s="7" t="s">
        <v>123</v>
      </c>
      <c r="T36" s="7" t="s">
        <v>1568</v>
      </c>
      <c r="U36" s="108">
        <f t="shared" si="1"/>
        <v>1.04</v>
      </c>
      <c r="V36" s="7" t="s">
        <v>1941</v>
      </c>
    </row>
    <row r="37" spans="1:22" x14ac:dyDescent="0.3">
      <c r="A37" s="89">
        <v>36</v>
      </c>
      <c r="B37" s="29" t="s">
        <v>23</v>
      </c>
      <c r="C37" s="29" t="s">
        <v>1696</v>
      </c>
      <c r="D37" s="29">
        <v>50126362</v>
      </c>
      <c r="E37" s="29">
        <v>50</v>
      </c>
      <c r="F37" s="7">
        <v>100</v>
      </c>
      <c r="G37" s="7">
        <v>57</v>
      </c>
      <c r="H37" s="53" t="s">
        <v>196</v>
      </c>
      <c r="I37" s="7" t="s">
        <v>109</v>
      </c>
      <c r="J37" s="7" t="s">
        <v>130</v>
      </c>
      <c r="K37" s="11" t="s">
        <v>109</v>
      </c>
      <c r="L37" s="11">
        <v>0.7319444444444444</v>
      </c>
      <c r="M37" s="7" t="s">
        <v>109</v>
      </c>
      <c r="N37" s="29" t="s">
        <v>2055</v>
      </c>
      <c r="O37" s="29" t="s">
        <v>61</v>
      </c>
      <c r="P37" s="7" t="s">
        <v>131</v>
      </c>
      <c r="Q37" s="7" t="s">
        <v>1404</v>
      </c>
      <c r="R37" s="7" t="s">
        <v>62</v>
      </c>
      <c r="S37" s="7" t="s">
        <v>123</v>
      </c>
      <c r="T37" s="7" t="s">
        <v>1568</v>
      </c>
      <c r="U37" s="108">
        <f t="shared" si="1"/>
        <v>1.1399999999999999</v>
      </c>
      <c r="V37" s="7" t="s">
        <v>1941</v>
      </c>
    </row>
    <row r="38" spans="1:22" x14ac:dyDescent="0.3">
      <c r="A38" s="89">
        <v>37</v>
      </c>
      <c r="B38" s="29" t="s">
        <v>23</v>
      </c>
      <c r="C38" s="29" t="s">
        <v>2698</v>
      </c>
      <c r="D38" s="29">
        <v>50226116</v>
      </c>
      <c r="E38" s="29">
        <v>100</v>
      </c>
      <c r="F38" s="7">
        <v>28</v>
      </c>
      <c r="G38" s="7">
        <v>12</v>
      </c>
      <c r="H38" s="7" t="s">
        <v>2699</v>
      </c>
      <c r="I38" s="7" t="s">
        <v>109</v>
      </c>
      <c r="J38" s="7" t="s">
        <v>130</v>
      </c>
      <c r="K38" s="11">
        <v>0.95902777777777781</v>
      </c>
      <c r="L38" s="11" t="s">
        <v>109</v>
      </c>
      <c r="M38" s="7" t="s">
        <v>109</v>
      </c>
      <c r="N38" s="29" t="s">
        <v>110</v>
      </c>
      <c r="O38" s="29" t="s">
        <v>61</v>
      </c>
      <c r="P38" s="7" t="s">
        <v>131</v>
      </c>
      <c r="Q38" s="7" t="s">
        <v>196</v>
      </c>
      <c r="R38" s="7" t="s">
        <v>62</v>
      </c>
      <c r="S38" s="7" t="s">
        <v>123</v>
      </c>
      <c r="T38" s="7" t="s">
        <v>252</v>
      </c>
      <c r="U38" s="108">
        <f t="shared" si="1"/>
        <v>0.12</v>
      </c>
      <c r="V38" s="7" t="s">
        <v>889</v>
      </c>
    </row>
    <row r="39" spans="1:22" x14ac:dyDescent="0.3">
      <c r="A39" s="89">
        <v>38</v>
      </c>
      <c r="B39" s="29" t="s">
        <v>23</v>
      </c>
      <c r="C39" s="29" t="s">
        <v>2680</v>
      </c>
      <c r="D39" s="29">
        <v>50226118</v>
      </c>
      <c r="E39" s="29">
        <v>200</v>
      </c>
      <c r="F39" s="7">
        <v>319</v>
      </c>
      <c r="G39" s="7">
        <v>194</v>
      </c>
      <c r="H39" s="28" t="s">
        <v>1052</v>
      </c>
      <c r="I39" s="7" t="s">
        <v>109</v>
      </c>
      <c r="J39" s="7" t="s">
        <v>130</v>
      </c>
      <c r="K39" s="11" t="s">
        <v>109</v>
      </c>
      <c r="L39" s="11">
        <v>0.8520833333333333</v>
      </c>
      <c r="M39" s="7" t="s">
        <v>109</v>
      </c>
      <c r="N39" s="29" t="s">
        <v>109</v>
      </c>
      <c r="O39" s="29" t="s">
        <v>61</v>
      </c>
      <c r="P39" s="7" t="s">
        <v>131</v>
      </c>
      <c r="Q39" s="7" t="s">
        <v>70</v>
      </c>
      <c r="R39" s="7" t="s">
        <v>62</v>
      </c>
      <c r="S39" s="7" t="s">
        <v>123</v>
      </c>
      <c r="T39" s="7" t="s">
        <v>116</v>
      </c>
      <c r="U39" s="108">
        <f t="shared" si="1"/>
        <v>0.97</v>
      </c>
      <c r="V39" s="7" t="s">
        <v>1941</v>
      </c>
    </row>
    <row r="40" spans="1:22" x14ac:dyDescent="0.3">
      <c r="A40" s="89">
        <v>39</v>
      </c>
      <c r="B40" s="29" t="s">
        <v>143</v>
      </c>
      <c r="C40" s="29" t="s">
        <v>2359</v>
      </c>
      <c r="D40" s="29">
        <v>10226038</v>
      </c>
      <c r="E40" s="29">
        <v>150</v>
      </c>
      <c r="F40" s="7">
        <v>255</v>
      </c>
      <c r="G40" s="7">
        <v>151</v>
      </c>
      <c r="H40" s="7" t="s">
        <v>2700</v>
      </c>
      <c r="I40" s="7" t="s">
        <v>294</v>
      </c>
      <c r="J40" s="7" t="s">
        <v>130</v>
      </c>
      <c r="K40" s="11">
        <v>0.93194444444444446</v>
      </c>
      <c r="L40" s="11">
        <v>0.95347222222222228</v>
      </c>
      <c r="M40" s="7" t="s">
        <v>109</v>
      </c>
      <c r="N40" s="29" t="s">
        <v>109</v>
      </c>
      <c r="O40" s="29" t="s">
        <v>61</v>
      </c>
      <c r="P40" s="7" t="s">
        <v>131</v>
      </c>
      <c r="Q40" s="7" t="s">
        <v>209</v>
      </c>
      <c r="R40" s="7" t="s">
        <v>62</v>
      </c>
      <c r="S40" s="7" t="s">
        <v>123</v>
      </c>
      <c r="T40" s="7" t="s">
        <v>402</v>
      </c>
      <c r="U40" s="108">
        <f t="shared" si="1"/>
        <v>1.0066666666666666</v>
      </c>
      <c r="V40" s="7" t="s">
        <v>1941</v>
      </c>
    </row>
    <row r="41" spans="1:22" x14ac:dyDescent="0.3">
      <c r="A41" s="89">
        <v>40</v>
      </c>
      <c r="B41" s="29" t="s">
        <v>143</v>
      </c>
      <c r="C41" s="29" t="s">
        <v>1667</v>
      </c>
      <c r="D41" s="29">
        <v>10126048</v>
      </c>
      <c r="E41" s="29">
        <v>140</v>
      </c>
      <c r="F41" s="7">
        <f>95+96</f>
        <v>191</v>
      </c>
      <c r="G41" s="7">
        <f>24+16</f>
        <v>40</v>
      </c>
      <c r="H41" s="7" t="s">
        <v>2701</v>
      </c>
      <c r="I41" s="7" t="s">
        <v>88</v>
      </c>
      <c r="J41" s="7" t="s">
        <v>130</v>
      </c>
      <c r="K41" s="11">
        <v>0.75763888888888886</v>
      </c>
      <c r="L41" s="11">
        <v>0.78125</v>
      </c>
      <c r="M41" s="7" t="s">
        <v>109</v>
      </c>
      <c r="N41" s="29" t="s">
        <v>2702</v>
      </c>
      <c r="O41" s="29" t="s">
        <v>61</v>
      </c>
      <c r="P41" s="7" t="s">
        <v>131</v>
      </c>
      <c r="Q41" s="7" t="s">
        <v>88</v>
      </c>
      <c r="R41" s="7" t="s">
        <v>62</v>
      </c>
      <c r="S41" s="7" t="s">
        <v>123</v>
      </c>
      <c r="T41" s="7" t="s">
        <v>402</v>
      </c>
      <c r="U41" s="108">
        <f t="shared" si="1"/>
        <v>0.2857142857142857</v>
      </c>
      <c r="V41" s="7" t="s">
        <v>889</v>
      </c>
    </row>
    <row r="42" spans="1:22" x14ac:dyDescent="0.3">
      <c r="A42" s="89">
        <v>41</v>
      </c>
      <c r="B42" s="29" t="s">
        <v>143</v>
      </c>
      <c r="C42" s="29" t="s">
        <v>2366</v>
      </c>
      <c r="D42" s="29">
        <v>10226040</v>
      </c>
      <c r="E42" s="29">
        <v>100</v>
      </c>
      <c r="F42" s="7">
        <v>177</v>
      </c>
      <c r="G42" s="7">
        <v>108</v>
      </c>
      <c r="H42" s="28" t="s">
        <v>79</v>
      </c>
      <c r="I42" s="7" t="s">
        <v>102</v>
      </c>
      <c r="J42" s="7" t="s">
        <v>130</v>
      </c>
      <c r="K42" s="11">
        <v>0.88194444444444442</v>
      </c>
      <c r="L42" s="11">
        <v>0.89930555555555558</v>
      </c>
      <c r="M42" s="7" t="s">
        <v>109</v>
      </c>
      <c r="N42" s="29" t="s">
        <v>109</v>
      </c>
      <c r="O42" s="29" t="s">
        <v>61</v>
      </c>
      <c r="P42" s="7" t="s">
        <v>131</v>
      </c>
      <c r="Q42" s="7" t="s">
        <v>95</v>
      </c>
      <c r="R42" s="7" t="s">
        <v>62</v>
      </c>
      <c r="S42" s="7" t="s">
        <v>123</v>
      </c>
      <c r="T42" s="7" t="s">
        <v>334</v>
      </c>
      <c r="U42" s="108">
        <f t="shared" si="1"/>
        <v>1.08</v>
      </c>
      <c r="V42" s="7" t="s">
        <v>1941</v>
      </c>
    </row>
    <row r="43" spans="1:22" x14ac:dyDescent="0.3">
      <c r="A43" s="89">
        <v>42</v>
      </c>
      <c r="B43" s="29" t="s">
        <v>143</v>
      </c>
      <c r="C43" s="29" t="s">
        <v>2703</v>
      </c>
      <c r="D43" s="29">
        <v>10226065</v>
      </c>
      <c r="E43" s="29">
        <v>65</v>
      </c>
      <c r="F43" s="7">
        <v>112</v>
      </c>
      <c r="G43" s="7">
        <v>22</v>
      </c>
      <c r="H43" s="53" t="s">
        <v>68</v>
      </c>
      <c r="I43" s="7" t="s">
        <v>86</v>
      </c>
      <c r="J43" s="7" t="s">
        <v>130</v>
      </c>
      <c r="K43" s="11">
        <v>0.93472222222222223</v>
      </c>
      <c r="L43" s="11">
        <v>0.94444444444444442</v>
      </c>
      <c r="M43" s="7" t="s">
        <v>109</v>
      </c>
      <c r="N43" s="29" t="s">
        <v>109</v>
      </c>
      <c r="O43" s="29" t="s">
        <v>61</v>
      </c>
      <c r="P43" s="7" t="s">
        <v>131</v>
      </c>
      <c r="Q43" s="7" t="s">
        <v>86</v>
      </c>
      <c r="R43" s="7" t="s">
        <v>62</v>
      </c>
      <c r="S43" s="7" t="s">
        <v>123</v>
      </c>
      <c r="T43" s="7" t="s">
        <v>2661</v>
      </c>
      <c r="U43" s="108">
        <f t="shared" si="1"/>
        <v>0.33846153846153848</v>
      </c>
      <c r="V43" s="7" t="s">
        <v>2087</v>
      </c>
    </row>
    <row r="44" spans="1:22" x14ac:dyDescent="0.3">
      <c r="A44" s="89">
        <v>43</v>
      </c>
      <c r="B44" s="29" t="s">
        <v>143</v>
      </c>
      <c r="C44" s="29" t="s">
        <v>2704</v>
      </c>
      <c r="D44" s="29">
        <v>10226066</v>
      </c>
      <c r="E44" s="29">
        <v>70</v>
      </c>
      <c r="F44" s="7">
        <v>72</v>
      </c>
      <c r="G44" s="7">
        <v>20</v>
      </c>
      <c r="H44" s="53" t="s">
        <v>64</v>
      </c>
      <c r="I44" s="7" t="s">
        <v>86</v>
      </c>
      <c r="J44" s="7" t="s">
        <v>130</v>
      </c>
      <c r="K44" s="11">
        <v>0.81944444444444442</v>
      </c>
      <c r="L44" s="11">
        <v>0.83263888888888893</v>
      </c>
      <c r="M44" s="7" t="s">
        <v>109</v>
      </c>
      <c r="N44" s="29" t="s">
        <v>109</v>
      </c>
      <c r="O44" s="29" t="s">
        <v>61</v>
      </c>
      <c r="P44" s="7" t="s">
        <v>131</v>
      </c>
      <c r="Q44" s="7" t="s">
        <v>86</v>
      </c>
      <c r="R44" s="7" t="s">
        <v>62</v>
      </c>
      <c r="S44" s="7" t="s">
        <v>123</v>
      </c>
      <c r="T44" s="7" t="s">
        <v>2718</v>
      </c>
      <c r="U44" s="108">
        <f t="shared" si="1"/>
        <v>0.2857142857142857</v>
      </c>
      <c r="V44" s="7" t="s">
        <v>889</v>
      </c>
    </row>
    <row r="45" spans="1:22" x14ac:dyDescent="0.3">
      <c r="A45" s="89">
        <v>44</v>
      </c>
      <c r="B45" s="29" t="s">
        <v>143</v>
      </c>
      <c r="C45" s="29" t="s">
        <v>2614</v>
      </c>
      <c r="D45" s="29">
        <v>10226055</v>
      </c>
      <c r="E45" s="29">
        <v>50</v>
      </c>
      <c r="F45" s="7">
        <v>136</v>
      </c>
      <c r="G45" s="7">
        <v>53</v>
      </c>
      <c r="H45" s="53" t="s">
        <v>200</v>
      </c>
      <c r="I45" s="7" t="s">
        <v>87</v>
      </c>
      <c r="J45" s="7" t="s">
        <v>130</v>
      </c>
      <c r="K45" s="11">
        <v>0.75694444444444442</v>
      </c>
      <c r="L45" s="11">
        <v>0.81041666666666667</v>
      </c>
      <c r="M45" s="7" t="s">
        <v>109</v>
      </c>
      <c r="N45" s="29" t="s">
        <v>109</v>
      </c>
      <c r="O45" s="29" t="s">
        <v>61</v>
      </c>
      <c r="P45" s="7" t="s">
        <v>131</v>
      </c>
      <c r="Q45" s="7" t="s">
        <v>87</v>
      </c>
      <c r="R45" s="7" t="s">
        <v>62</v>
      </c>
      <c r="S45" s="7" t="s">
        <v>123</v>
      </c>
      <c r="T45" s="7" t="s">
        <v>398</v>
      </c>
      <c r="U45" s="108">
        <f t="shared" si="1"/>
        <v>1.06</v>
      </c>
      <c r="V45" s="7" t="s">
        <v>1941</v>
      </c>
    </row>
    <row r="46" spans="1:22" x14ac:dyDescent="0.3">
      <c r="A46" s="89">
        <v>45</v>
      </c>
      <c r="B46" s="29" t="s">
        <v>143</v>
      </c>
      <c r="C46" s="29" t="s">
        <v>2667</v>
      </c>
      <c r="D46" s="29">
        <v>10226062</v>
      </c>
      <c r="E46" s="29">
        <v>75</v>
      </c>
      <c r="F46" s="7">
        <v>4</v>
      </c>
      <c r="G46" s="7">
        <v>1</v>
      </c>
      <c r="H46" s="53" t="s">
        <v>241</v>
      </c>
      <c r="I46" s="7" t="s">
        <v>154</v>
      </c>
      <c r="J46" s="7" t="s">
        <v>130</v>
      </c>
      <c r="K46" s="11">
        <v>0.7895833333333333</v>
      </c>
      <c r="L46" s="11">
        <v>0.80555555555555558</v>
      </c>
      <c r="M46" s="7" t="s">
        <v>109</v>
      </c>
      <c r="N46" s="29" t="s">
        <v>109</v>
      </c>
      <c r="O46" s="29" t="s">
        <v>61</v>
      </c>
      <c r="P46" s="7" t="s">
        <v>131</v>
      </c>
      <c r="Q46" s="7" t="s">
        <v>154</v>
      </c>
      <c r="R46" s="7" t="s">
        <v>62</v>
      </c>
      <c r="S46" s="7" t="s">
        <v>123</v>
      </c>
      <c r="T46" s="7" t="s">
        <v>2666</v>
      </c>
      <c r="U46" s="108">
        <f t="shared" si="1"/>
        <v>1.3333333333333334E-2</v>
      </c>
      <c r="V46" s="7" t="s">
        <v>889</v>
      </c>
    </row>
    <row r="47" spans="1:22" x14ac:dyDescent="0.3">
      <c r="A47" s="89">
        <v>46</v>
      </c>
      <c r="B47" s="29" t="s">
        <v>143</v>
      </c>
      <c r="C47" s="29" t="s">
        <v>2705</v>
      </c>
      <c r="D47" s="29">
        <v>10226067</v>
      </c>
      <c r="E47" s="29">
        <v>130</v>
      </c>
      <c r="F47" s="7">
        <v>226</v>
      </c>
      <c r="G47" s="7">
        <v>124</v>
      </c>
      <c r="H47" s="28" t="s">
        <v>1052</v>
      </c>
      <c r="I47" s="7" t="s">
        <v>103</v>
      </c>
      <c r="J47" s="7" t="s">
        <v>130</v>
      </c>
      <c r="K47" s="11">
        <v>0.92847222222222225</v>
      </c>
      <c r="L47" s="11">
        <v>1.3888888888888889E-3</v>
      </c>
      <c r="M47" s="7" t="s">
        <v>109</v>
      </c>
      <c r="N47" s="29" t="s">
        <v>109</v>
      </c>
      <c r="O47" s="29" t="s">
        <v>61</v>
      </c>
      <c r="P47" s="7" t="s">
        <v>131</v>
      </c>
      <c r="Q47" s="7" t="s">
        <v>90</v>
      </c>
      <c r="R47" s="7" t="s">
        <v>62</v>
      </c>
      <c r="S47" s="7" t="s">
        <v>123</v>
      </c>
      <c r="T47" s="7" t="s">
        <v>2719</v>
      </c>
      <c r="U47" s="108">
        <f t="shared" ref="U47:U63" si="2">G47/E47</f>
        <v>0.9538461538461539</v>
      </c>
      <c r="V47" s="7" t="s">
        <v>1941</v>
      </c>
    </row>
    <row r="48" spans="1:22" x14ac:dyDescent="0.3">
      <c r="A48" s="89">
        <v>47</v>
      </c>
      <c r="B48" s="29" t="s">
        <v>170</v>
      </c>
      <c r="C48" s="29" t="s">
        <v>1355</v>
      </c>
      <c r="D48" s="29">
        <v>40126027</v>
      </c>
      <c r="E48" s="29">
        <v>100</v>
      </c>
      <c r="F48" s="7">
        <v>16</v>
      </c>
      <c r="G48" s="7">
        <v>2</v>
      </c>
      <c r="H48" s="28" t="s">
        <v>1051</v>
      </c>
      <c r="I48" s="7" t="s">
        <v>103</v>
      </c>
      <c r="J48" s="7" t="s">
        <v>130</v>
      </c>
      <c r="K48" s="11">
        <v>0.7</v>
      </c>
      <c r="L48" s="11">
        <v>0.71250000000000002</v>
      </c>
      <c r="M48" s="7" t="s">
        <v>109</v>
      </c>
      <c r="N48" s="29" t="s">
        <v>2706</v>
      </c>
      <c r="O48" s="29" t="s">
        <v>61</v>
      </c>
      <c r="P48" s="7" t="s">
        <v>131</v>
      </c>
      <c r="Q48" s="7" t="s">
        <v>90</v>
      </c>
      <c r="R48" s="7" t="s">
        <v>62</v>
      </c>
      <c r="S48" s="7" t="s">
        <v>123</v>
      </c>
      <c r="T48" s="7" t="s">
        <v>1356</v>
      </c>
      <c r="U48" s="108">
        <f t="shared" si="2"/>
        <v>0.02</v>
      </c>
      <c r="V48" s="7" t="s">
        <v>889</v>
      </c>
    </row>
    <row r="49" spans="1:22" x14ac:dyDescent="0.3">
      <c r="A49" s="89">
        <v>48</v>
      </c>
      <c r="B49" s="29" t="s">
        <v>411</v>
      </c>
      <c r="C49" s="29" t="s">
        <v>2707</v>
      </c>
      <c r="D49" s="29">
        <v>30226028</v>
      </c>
      <c r="E49" s="29">
        <v>50</v>
      </c>
      <c r="F49" s="7">
        <v>18</v>
      </c>
      <c r="G49" s="7">
        <v>3</v>
      </c>
      <c r="H49" s="53" t="s">
        <v>241</v>
      </c>
      <c r="I49" s="7" t="s">
        <v>154</v>
      </c>
      <c r="J49" s="7" t="s">
        <v>130</v>
      </c>
      <c r="K49" s="11">
        <v>0.80625000000000002</v>
      </c>
      <c r="L49" s="11">
        <v>0.81736111111111109</v>
      </c>
      <c r="M49" s="7" t="s">
        <v>109</v>
      </c>
      <c r="N49" s="29" t="s">
        <v>2708</v>
      </c>
      <c r="O49" s="29" t="s">
        <v>61</v>
      </c>
      <c r="P49" s="7" t="s">
        <v>131</v>
      </c>
      <c r="Q49" s="7" t="s">
        <v>154</v>
      </c>
      <c r="R49" s="7" t="s">
        <v>62</v>
      </c>
      <c r="S49" s="7" t="s">
        <v>123</v>
      </c>
      <c r="T49" s="7" t="s">
        <v>1359</v>
      </c>
      <c r="U49" s="108">
        <f t="shared" si="2"/>
        <v>0.06</v>
      </c>
      <c r="V49" s="7" t="s">
        <v>889</v>
      </c>
    </row>
    <row r="50" spans="1:22" x14ac:dyDescent="0.3">
      <c r="A50" s="89">
        <v>49</v>
      </c>
      <c r="B50" s="29" t="s">
        <v>411</v>
      </c>
      <c r="C50" s="29" t="s">
        <v>2709</v>
      </c>
      <c r="D50" s="29">
        <v>30226031</v>
      </c>
      <c r="E50" s="29">
        <v>96</v>
      </c>
      <c r="F50" s="7">
        <v>195</v>
      </c>
      <c r="G50" s="7">
        <v>92</v>
      </c>
      <c r="H50" s="28" t="s">
        <v>1057</v>
      </c>
      <c r="I50" s="7" t="s">
        <v>99</v>
      </c>
      <c r="J50" s="7" t="s">
        <v>130</v>
      </c>
      <c r="K50" s="11">
        <v>0.82361111111111107</v>
      </c>
      <c r="L50" s="11">
        <v>0.85416666666666663</v>
      </c>
      <c r="M50" s="7" t="s">
        <v>109</v>
      </c>
      <c r="N50" s="29" t="s">
        <v>2708</v>
      </c>
      <c r="O50" s="29" t="s">
        <v>61</v>
      </c>
      <c r="P50" s="7" t="s">
        <v>131</v>
      </c>
      <c r="Q50" s="7" t="s">
        <v>87</v>
      </c>
      <c r="R50" s="7" t="s">
        <v>62</v>
      </c>
      <c r="S50" s="7" t="s">
        <v>123</v>
      </c>
      <c r="T50" s="7" t="s">
        <v>1359</v>
      </c>
      <c r="U50" s="108">
        <f t="shared" si="2"/>
        <v>0.95833333333333337</v>
      </c>
      <c r="V50" s="7" t="s">
        <v>1941</v>
      </c>
    </row>
    <row r="51" spans="1:22" x14ac:dyDescent="0.3">
      <c r="A51" s="89">
        <v>50</v>
      </c>
      <c r="B51" s="29" t="s">
        <v>411</v>
      </c>
      <c r="C51" s="29" t="s">
        <v>2710</v>
      </c>
      <c r="D51" s="29">
        <v>30226029</v>
      </c>
      <c r="E51" s="29">
        <v>150</v>
      </c>
      <c r="F51" s="7">
        <v>297</v>
      </c>
      <c r="G51" s="7">
        <v>103</v>
      </c>
      <c r="H51" s="28" t="s">
        <v>73</v>
      </c>
      <c r="I51" s="7" t="s">
        <v>1518</v>
      </c>
      <c r="J51" s="7" t="s">
        <v>130</v>
      </c>
      <c r="K51" s="11">
        <v>0.7631944444444444</v>
      </c>
      <c r="L51" s="11">
        <v>0.79513888888888884</v>
      </c>
      <c r="M51" s="7" t="s">
        <v>109</v>
      </c>
      <c r="N51" s="29" t="s">
        <v>2708</v>
      </c>
      <c r="O51" s="29" t="s">
        <v>61</v>
      </c>
      <c r="P51" s="7" t="s">
        <v>131</v>
      </c>
      <c r="Q51" s="7" t="s">
        <v>89</v>
      </c>
      <c r="R51" s="7" t="s">
        <v>62</v>
      </c>
      <c r="S51" s="7" t="s">
        <v>123</v>
      </c>
      <c r="T51" s="7" t="s">
        <v>1359</v>
      </c>
      <c r="U51" s="108">
        <f t="shared" si="2"/>
        <v>0.68666666666666665</v>
      </c>
      <c r="V51" s="7" t="s">
        <v>2087</v>
      </c>
    </row>
    <row r="52" spans="1:22" x14ac:dyDescent="0.3">
      <c r="A52" s="89">
        <v>51</v>
      </c>
      <c r="B52" s="29" t="s">
        <v>411</v>
      </c>
      <c r="C52" s="29" t="s">
        <v>2619</v>
      </c>
      <c r="D52" s="29">
        <v>30226018</v>
      </c>
      <c r="E52" s="29">
        <v>253</v>
      </c>
      <c r="F52" s="7">
        <v>507</v>
      </c>
      <c r="G52" s="7">
        <v>146</v>
      </c>
      <c r="H52" s="28" t="s">
        <v>2711</v>
      </c>
      <c r="I52" s="7" t="s">
        <v>1896</v>
      </c>
      <c r="J52" s="7" t="s">
        <v>130</v>
      </c>
      <c r="K52" s="11">
        <v>0.85</v>
      </c>
      <c r="L52" s="11">
        <v>0.93125000000000002</v>
      </c>
      <c r="M52" s="7" t="s">
        <v>109</v>
      </c>
      <c r="N52" s="29" t="s">
        <v>109</v>
      </c>
      <c r="O52" s="29" t="s">
        <v>61</v>
      </c>
      <c r="P52" s="7" t="s">
        <v>131</v>
      </c>
      <c r="Q52" s="7" t="s">
        <v>86</v>
      </c>
      <c r="R52" s="7" t="s">
        <v>62</v>
      </c>
      <c r="S52" s="7" t="s">
        <v>123</v>
      </c>
      <c r="T52" s="7" t="s">
        <v>295</v>
      </c>
      <c r="U52" s="108">
        <f t="shared" si="2"/>
        <v>0.57707509881422925</v>
      </c>
      <c r="V52" s="7" t="s">
        <v>2087</v>
      </c>
    </row>
    <row r="53" spans="1:22" x14ac:dyDescent="0.3">
      <c r="A53" s="89">
        <v>52</v>
      </c>
      <c r="B53" s="29" t="s">
        <v>411</v>
      </c>
      <c r="C53" s="29" t="s">
        <v>2622</v>
      </c>
      <c r="D53" s="29">
        <v>30226019</v>
      </c>
      <c r="E53" s="29">
        <v>187</v>
      </c>
      <c r="F53" s="7">
        <v>269</v>
      </c>
      <c r="G53" s="7">
        <v>36</v>
      </c>
      <c r="H53" s="28" t="s">
        <v>1007</v>
      </c>
      <c r="I53" s="7" t="s">
        <v>99</v>
      </c>
      <c r="J53" s="7" t="s">
        <v>130</v>
      </c>
      <c r="K53" s="11">
        <v>0.8208333333333333</v>
      </c>
      <c r="L53" s="11">
        <v>0.83472222222222225</v>
      </c>
      <c r="M53" s="7" t="s">
        <v>109</v>
      </c>
      <c r="N53" s="29" t="s">
        <v>109</v>
      </c>
      <c r="O53" s="29" t="s">
        <v>61</v>
      </c>
      <c r="P53" s="7" t="s">
        <v>131</v>
      </c>
      <c r="Q53" s="7" t="s">
        <v>87</v>
      </c>
      <c r="R53" s="7" t="s">
        <v>62</v>
      </c>
      <c r="S53" s="7" t="s">
        <v>123</v>
      </c>
      <c r="T53" s="7" t="s">
        <v>295</v>
      </c>
      <c r="U53" s="108">
        <f t="shared" si="2"/>
        <v>0.19251336898395721</v>
      </c>
      <c r="V53" s="7" t="s">
        <v>889</v>
      </c>
    </row>
    <row r="54" spans="1:22" x14ac:dyDescent="0.3">
      <c r="A54" s="89">
        <v>53</v>
      </c>
      <c r="B54" s="29" t="s">
        <v>2395</v>
      </c>
      <c r="C54" s="29" t="s">
        <v>2429</v>
      </c>
      <c r="D54" s="29">
        <v>40226009</v>
      </c>
      <c r="E54" s="29">
        <v>176</v>
      </c>
      <c r="F54" s="7">
        <v>421</v>
      </c>
      <c r="G54" s="7">
        <v>81</v>
      </c>
      <c r="H54" s="28" t="s">
        <v>2712</v>
      </c>
      <c r="I54" s="7" t="s">
        <v>1903</v>
      </c>
      <c r="J54" s="7" t="s">
        <v>130</v>
      </c>
      <c r="K54" s="11">
        <v>0.97916666666666663</v>
      </c>
      <c r="L54" s="11">
        <v>2.361111111111111E-2</v>
      </c>
      <c r="M54" s="7" t="s">
        <v>109</v>
      </c>
      <c r="N54" s="29" t="s">
        <v>872</v>
      </c>
      <c r="O54" s="29" t="s">
        <v>61</v>
      </c>
      <c r="P54" s="7" t="s">
        <v>131</v>
      </c>
      <c r="Q54" s="7" t="s">
        <v>93</v>
      </c>
      <c r="R54" s="7" t="s">
        <v>62</v>
      </c>
      <c r="S54" s="7" t="s">
        <v>123</v>
      </c>
      <c r="T54" s="7" t="s">
        <v>2430</v>
      </c>
      <c r="U54" s="108">
        <f t="shared" si="2"/>
        <v>0.46022727272727271</v>
      </c>
      <c r="V54" s="7" t="s">
        <v>2087</v>
      </c>
    </row>
    <row r="55" spans="1:22" x14ac:dyDescent="0.3">
      <c r="A55" s="89">
        <v>54</v>
      </c>
      <c r="B55" s="7" t="s">
        <v>143</v>
      </c>
      <c r="C55" s="139" t="s">
        <v>2713</v>
      </c>
      <c r="D55" s="138">
        <v>10226052</v>
      </c>
      <c r="E55" s="29">
        <v>60</v>
      </c>
      <c r="F55" s="7">
        <v>81</v>
      </c>
      <c r="G55" s="7">
        <v>58</v>
      </c>
      <c r="H55" s="7" t="s">
        <v>66</v>
      </c>
      <c r="I55" s="7" t="s">
        <v>88</v>
      </c>
      <c r="J55" s="7" t="s">
        <v>130</v>
      </c>
      <c r="K55" s="11">
        <v>0.80555555555555558</v>
      </c>
      <c r="L55" s="11">
        <v>0.82708333333333328</v>
      </c>
      <c r="M55" s="7" t="s">
        <v>109</v>
      </c>
      <c r="N55" s="7" t="s">
        <v>109</v>
      </c>
      <c r="O55" s="29" t="s">
        <v>61</v>
      </c>
      <c r="P55" s="7" t="s">
        <v>131</v>
      </c>
      <c r="Q55" s="7" t="s">
        <v>88</v>
      </c>
      <c r="R55" s="7" t="s">
        <v>62</v>
      </c>
      <c r="S55" s="7" t="s">
        <v>123</v>
      </c>
      <c r="T55" s="7" t="s">
        <v>2612</v>
      </c>
      <c r="U55" s="141">
        <f t="shared" si="2"/>
        <v>0.96666666666666667</v>
      </c>
      <c r="V55" s="7" t="s">
        <v>1941</v>
      </c>
    </row>
    <row r="56" spans="1:22" x14ac:dyDescent="0.3">
      <c r="A56" s="89">
        <v>55</v>
      </c>
      <c r="B56" s="7" t="s">
        <v>143</v>
      </c>
      <c r="C56" s="139" t="s">
        <v>2613</v>
      </c>
      <c r="D56" s="29">
        <v>10226053</v>
      </c>
      <c r="E56" s="29">
        <v>55</v>
      </c>
      <c r="F56" s="7">
        <v>108</v>
      </c>
      <c r="G56" s="7">
        <v>57</v>
      </c>
      <c r="H56" s="7" t="s">
        <v>82</v>
      </c>
      <c r="I56" s="7" t="s">
        <v>95</v>
      </c>
      <c r="J56" s="7" t="s">
        <v>130</v>
      </c>
      <c r="K56" s="11">
        <v>0.84097222222222223</v>
      </c>
      <c r="L56" s="11">
        <v>0.84652777777777777</v>
      </c>
      <c r="M56" s="7" t="s">
        <v>109</v>
      </c>
      <c r="N56" s="7" t="s">
        <v>109</v>
      </c>
      <c r="O56" s="29" t="s">
        <v>61</v>
      </c>
      <c r="P56" s="7" t="s">
        <v>131</v>
      </c>
      <c r="Q56" s="7" t="s">
        <v>95</v>
      </c>
      <c r="R56" s="7" t="s">
        <v>62</v>
      </c>
      <c r="S56" s="7" t="s">
        <v>123</v>
      </c>
      <c r="T56" s="7" t="s">
        <v>2612</v>
      </c>
      <c r="U56" s="141">
        <f t="shared" si="2"/>
        <v>1.0363636363636364</v>
      </c>
      <c r="V56" s="7" t="s">
        <v>1941</v>
      </c>
    </row>
    <row r="57" spans="1:22" x14ac:dyDescent="0.3">
      <c r="A57" s="89">
        <v>56</v>
      </c>
      <c r="B57" s="7" t="s">
        <v>23</v>
      </c>
      <c r="C57" s="139" t="s">
        <v>2415</v>
      </c>
      <c r="D57" s="29">
        <v>50226091</v>
      </c>
      <c r="E57" s="29">
        <v>75</v>
      </c>
      <c r="F57" s="7">
        <v>111</v>
      </c>
      <c r="G57" s="7">
        <v>55</v>
      </c>
      <c r="H57" s="7" t="s">
        <v>93</v>
      </c>
      <c r="I57" s="7" t="s">
        <v>109</v>
      </c>
      <c r="J57" s="7" t="s">
        <v>130</v>
      </c>
      <c r="K57" s="11" t="s">
        <v>109</v>
      </c>
      <c r="L57" s="11">
        <v>0.92708333333333337</v>
      </c>
      <c r="M57" s="7" t="s">
        <v>109</v>
      </c>
      <c r="N57" s="7" t="s">
        <v>109</v>
      </c>
      <c r="O57" s="29" t="s">
        <v>61</v>
      </c>
      <c r="P57" s="7" t="s">
        <v>131</v>
      </c>
      <c r="Q57" s="7" t="s">
        <v>93</v>
      </c>
      <c r="R57" s="7" t="s">
        <v>62</v>
      </c>
      <c r="S57" s="7" t="s">
        <v>123</v>
      </c>
      <c r="T57" s="7" t="s">
        <v>278</v>
      </c>
      <c r="U57" s="141">
        <f t="shared" si="2"/>
        <v>0.73333333333333328</v>
      </c>
      <c r="V57" s="7" t="s">
        <v>2087</v>
      </c>
    </row>
    <row r="58" spans="1:22" x14ac:dyDescent="0.3">
      <c r="A58" s="89">
        <v>57</v>
      </c>
      <c r="B58" s="7" t="s">
        <v>23</v>
      </c>
      <c r="C58" s="7" t="s">
        <v>831</v>
      </c>
      <c r="D58" s="29">
        <v>50126107</v>
      </c>
      <c r="E58" s="29">
        <v>43</v>
      </c>
      <c r="F58" s="7">
        <v>43</v>
      </c>
      <c r="G58" s="7">
        <v>36</v>
      </c>
      <c r="H58" s="7" t="s">
        <v>64</v>
      </c>
      <c r="I58" s="7" t="s">
        <v>109</v>
      </c>
      <c r="J58" s="7" t="s">
        <v>130</v>
      </c>
      <c r="K58" s="11" t="s">
        <v>109</v>
      </c>
      <c r="L58" s="11">
        <v>0.94166666666666665</v>
      </c>
      <c r="M58" s="7" t="s">
        <v>109</v>
      </c>
      <c r="N58" s="7" t="s">
        <v>109</v>
      </c>
      <c r="O58" s="7" t="s">
        <v>145</v>
      </c>
      <c r="P58" s="7" t="s">
        <v>131</v>
      </c>
      <c r="Q58" s="7" t="s">
        <v>64</v>
      </c>
      <c r="R58" s="7" t="s">
        <v>62</v>
      </c>
      <c r="S58" s="7" t="s">
        <v>109</v>
      </c>
      <c r="T58" s="7" t="s">
        <v>424</v>
      </c>
      <c r="U58" s="141">
        <f t="shared" si="2"/>
        <v>0.83720930232558144</v>
      </c>
      <c r="V58" s="7" t="s">
        <v>2440</v>
      </c>
    </row>
    <row r="59" spans="1:22" x14ac:dyDescent="0.3">
      <c r="A59" s="89">
        <v>58</v>
      </c>
      <c r="B59" s="7" t="s">
        <v>23</v>
      </c>
      <c r="C59" s="7" t="s">
        <v>914</v>
      </c>
      <c r="D59" s="29">
        <v>50126248</v>
      </c>
      <c r="E59" s="29">
        <v>6</v>
      </c>
      <c r="F59" s="7">
        <v>4</v>
      </c>
      <c r="G59" s="7">
        <v>4</v>
      </c>
      <c r="H59" s="7" t="s">
        <v>184</v>
      </c>
      <c r="I59" s="7" t="s">
        <v>109</v>
      </c>
      <c r="J59" s="7" t="s">
        <v>130</v>
      </c>
      <c r="K59" s="11" t="s">
        <v>109</v>
      </c>
      <c r="L59" s="11">
        <v>0.91041666666666665</v>
      </c>
      <c r="M59" s="7" t="s">
        <v>109</v>
      </c>
      <c r="N59" s="7" t="s">
        <v>109</v>
      </c>
      <c r="O59" s="7" t="s">
        <v>145</v>
      </c>
      <c r="P59" s="7" t="s">
        <v>131</v>
      </c>
      <c r="Q59" s="7" t="s">
        <v>184</v>
      </c>
      <c r="R59" s="7" t="s">
        <v>62</v>
      </c>
      <c r="S59" s="7" t="s">
        <v>109</v>
      </c>
      <c r="T59" s="7" t="s">
        <v>424</v>
      </c>
      <c r="U59" s="141">
        <f t="shared" si="2"/>
        <v>0.66666666666666663</v>
      </c>
      <c r="V59" s="7" t="s">
        <v>2440</v>
      </c>
    </row>
    <row r="60" spans="1:22" x14ac:dyDescent="0.3">
      <c r="A60" s="89">
        <v>59</v>
      </c>
      <c r="B60" s="7" t="s">
        <v>23</v>
      </c>
      <c r="C60" s="7" t="s">
        <v>911</v>
      </c>
      <c r="D60" s="29">
        <v>50126246</v>
      </c>
      <c r="E60" s="29">
        <v>33</v>
      </c>
      <c r="F60" s="7">
        <v>33</v>
      </c>
      <c r="G60" s="7">
        <v>32</v>
      </c>
      <c r="H60" s="7" t="s">
        <v>71</v>
      </c>
      <c r="I60" s="7" t="s">
        <v>109</v>
      </c>
      <c r="J60" s="7" t="s">
        <v>130</v>
      </c>
      <c r="K60" s="11" t="s">
        <v>109</v>
      </c>
      <c r="L60" s="11">
        <v>0.91805555555555551</v>
      </c>
      <c r="M60" s="7" t="s">
        <v>109</v>
      </c>
      <c r="N60" s="7" t="s">
        <v>109</v>
      </c>
      <c r="O60" s="7" t="s">
        <v>145</v>
      </c>
      <c r="P60" s="7" t="s">
        <v>131</v>
      </c>
      <c r="Q60" s="7" t="s">
        <v>71</v>
      </c>
      <c r="R60" s="7" t="s">
        <v>62</v>
      </c>
      <c r="S60" s="7" t="s">
        <v>109</v>
      </c>
      <c r="T60" s="7" t="s">
        <v>424</v>
      </c>
      <c r="U60" s="141">
        <f t="shared" si="2"/>
        <v>0.96969696969696972</v>
      </c>
      <c r="V60" s="7" t="s">
        <v>2440</v>
      </c>
    </row>
    <row r="61" spans="1:22" x14ac:dyDescent="0.3">
      <c r="A61" s="89">
        <v>60</v>
      </c>
      <c r="B61" s="7" t="s">
        <v>23</v>
      </c>
      <c r="C61" s="7" t="s">
        <v>541</v>
      </c>
      <c r="D61" s="29">
        <v>50126096</v>
      </c>
      <c r="E61" s="29">
        <v>21</v>
      </c>
      <c r="F61" s="7">
        <v>30</v>
      </c>
      <c r="G61" s="7">
        <v>30</v>
      </c>
      <c r="H61" s="7" t="s">
        <v>214</v>
      </c>
      <c r="I61" s="7" t="s">
        <v>109</v>
      </c>
      <c r="J61" s="7" t="s">
        <v>130</v>
      </c>
      <c r="K61" s="11">
        <v>0.95625000000000004</v>
      </c>
      <c r="L61" s="11" t="s">
        <v>109</v>
      </c>
      <c r="M61" s="7" t="s">
        <v>109</v>
      </c>
      <c r="N61" s="7" t="s">
        <v>109</v>
      </c>
      <c r="O61" s="7" t="s">
        <v>145</v>
      </c>
      <c r="P61" s="7" t="s">
        <v>131</v>
      </c>
      <c r="Q61" s="7" t="s">
        <v>214</v>
      </c>
      <c r="R61" s="7" t="s">
        <v>62</v>
      </c>
      <c r="S61" s="7" t="s">
        <v>109</v>
      </c>
      <c r="T61" s="7" t="s">
        <v>424</v>
      </c>
      <c r="U61" s="141">
        <f t="shared" si="2"/>
        <v>1.4285714285714286</v>
      </c>
      <c r="V61" s="7" t="s">
        <v>2440</v>
      </c>
    </row>
    <row r="62" spans="1:22" x14ac:dyDescent="0.3">
      <c r="A62" s="89">
        <v>61</v>
      </c>
      <c r="B62" s="7" t="s">
        <v>135</v>
      </c>
      <c r="C62" s="7" t="s">
        <v>1415</v>
      </c>
      <c r="D62" s="29">
        <v>20126003</v>
      </c>
      <c r="E62" s="29">
        <v>21</v>
      </c>
      <c r="F62" s="7">
        <v>21</v>
      </c>
      <c r="G62" s="7">
        <v>1</v>
      </c>
      <c r="H62" s="7" t="s">
        <v>241</v>
      </c>
      <c r="I62" s="7" t="s">
        <v>209</v>
      </c>
      <c r="J62" s="7" t="s">
        <v>130</v>
      </c>
      <c r="K62" s="11">
        <v>0.9916666666666667</v>
      </c>
      <c r="L62" s="11">
        <v>0.99861111111111112</v>
      </c>
      <c r="M62" s="7" t="s">
        <v>109</v>
      </c>
      <c r="N62" s="7" t="s">
        <v>109</v>
      </c>
      <c r="O62" s="7" t="s">
        <v>145</v>
      </c>
      <c r="P62" s="7" t="s">
        <v>131</v>
      </c>
      <c r="Q62" s="7" t="s">
        <v>209</v>
      </c>
      <c r="R62" s="7" t="s">
        <v>62</v>
      </c>
      <c r="S62" s="7" t="s">
        <v>109</v>
      </c>
      <c r="T62" s="7" t="s">
        <v>112</v>
      </c>
      <c r="U62" s="141">
        <f t="shared" si="2"/>
        <v>4.7619047619047616E-2</v>
      </c>
      <c r="V62" s="7" t="s">
        <v>2440</v>
      </c>
    </row>
    <row r="63" spans="1:22" x14ac:dyDescent="0.3">
      <c r="A63" s="89">
        <v>62</v>
      </c>
      <c r="B63" s="7" t="s">
        <v>23</v>
      </c>
      <c r="C63" s="7" t="s">
        <v>525</v>
      </c>
      <c r="D63" s="29">
        <v>50126081</v>
      </c>
      <c r="E63" s="29">
        <v>15</v>
      </c>
      <c r="F63" s="7">
        <v>15</v>
      </c>
      <c r="G63" s="7">
        <v>12</v>
      </c>
      <c r="H63" s="7" t="s">
        <v>274</v>
      </c>
      <c r="I63" s="7" t="s">
        <v>109</v>
      </c>
      <c r="J63" s="7" t="s">
        <v>130</v>
      </c>
      <c r="K63" s="11">
        <v>0.96736111111111112</v>
      </c>
      <c r="L63" s="11" t="s">
        <v>109</v>
      </c>
      <c r="M63" s="7" t="s">
        <v>109</v>
      </c>
      <c r="N63" s="7" t="s">
        <v>109</v>
      </c>
      <c r="O63" s="7" t="s">
        <v>145</v>
      </c>
      <c r="P63" s="7" t="s">
        <v>131</v>
      </c>
      <c r="Q63" s="7" t="s">
        <v>274</v>
      </c>
      <c r="R63" s="7" t="s">
        <v>62</v>
      </c>
      <c r="S63" s="7" t="s">
        <v>109</v>
      </c>
      <c r="T63" s="7" t="s">
        <v>424</v>
      </c>
      <c r="U63" s="141">
        <f t="shared" si="2"/>
        <v>0.8</v>
      </c>
      <c r="V63" s="7" t="s">
        <v>2440</v>
      </c>
    </row>
  </sheetData>
  <conditionalFormatting sqref="D1">
    <cfRule type="duplicateValues" dxfId="55" priority="1"/>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C1DA-CEF4-4D5C-A9C4-B1CB5264B21D}">
  <dimension ref="A1:V127"/>
  <sheetViews>
    <sheetView topLeftCell="G1" workbookViewId="0">
      <pane ySplit="1" topLeftCell="A2" activePane="bottomLeft" state="frozen"/>
      <selection pane="bottomLeft" activeCell="V2" sqref="V2"/>
    </sheetView>
  </sheetViews>
  <sheetFormatPr defaultRowHeight="14.4" x14ac:dyDescent="0.3"/>
  <cols>
    <col min="1" max="1" width="3.109375" bestFit="1" customWidth="1"/>
    <col min="2" max="2" width="8.6640625" bestFit="1" customWidth="1"/>
    <col min="3" max="3" width="14.5546875" bestFit="1" customWidth="1"/>
    <col min="4" max="4" width="10.44140625" bestFit="1" customWidth="1"/>
    <col min="5" max="5" width="13.88671875" bestFit="1" customWidth="1"/>
    <col min="6" max="6" width="15.109375" bestFit="1" customWidth="1"/>
    <col min="7" max="7" width="8.5546875" bestFit="1" customWidth="1"/>
    <col min="8" max="8" width="7.33203125" bestFit="1" customWidth="1"/>
    <col min="9" max="9" width="15.88671875" bestFit="1" customWidth="1"/>
    <col min="10" max="10" width="6.21875" bestFit="1" customWidth="1"/>
    <col min="11" max="12" width="15.88671875" bestFit="1" customWidth="1"/>
    <col min="13" max="13" width="3.88671875" bestFit="1" customWidth="1"/>
    <col min="14" max="14" width="8.21875" bestFit="1" customWidth="1"/>
    <col min="15" max="15" width="6.77734375" bestFit="1" customWidth="1"/>
    <col min="16" max="16" width="14.33203125" bestFit="1" customWidth="1"/>
    <col min="17" max="17" width="11.77734375" bestFit="1" customWidth="1"/>
    <col min="18" max="18" width="14.33203125" bestFit="1" customWidth="1"/>
    <col min="19" max="19" width="15.88671875" bestFit="1" customWidth="1"/>
    <col min="20" max="20" width="5.77734375" bestFit="1" customWidth="1"/>
    <col min="21" max="21" width="37.44140625" bestFit="1" customWidth="1"/>
    <col min="22" max="22" width="4" bestFit="1" customWidth="1"/>
  </cols>
  <sheetData>
    <row r="1" spans="1:22" x14ac:dyDescent="0.3">
      <c r="A1" s="1" t="s">
        <v>0</v>
      </c>
      <c r="B1" s="1" t="s">
        <v>1</v>
      </c>
      <c r="C1" s="1" t="s">
        <v>2</v>
      </c>
      <c r="D1" s="1" t="s">
        <v>3</v>
      </c>
      <c r="E1" s="1" t="s">
        <v>4</v>
      </c>
      <c r="F1" s="1" t="s">
        <v>5</v>
      </c>
      <c r="G1" s="1" t="s">
        <v>6</v>
      </c>
      <c r="H1" s="1" t="s">
        <v>7</v>
      </c>
      <c r="I1" s="1" t="s">
        <v>8</v>
      </c>
      <c r="J1" s="1" t="s">
        <v>9</v>
      </c>
      <c r="K1" s="2" t="s">
        <v>10</v>
      </c>
      <c r="L1" s="2" t="s">
        <v>11</v>
      </c>
      <c r="M1" s="3" t="s">
        <v>12</v>
      </c>
      <c r="N1" s="4" t="s">
        <v>13</v>
      </c>
      <c r="O1" s="1" t="s">
        <v>14</v>
      </c>
      <c r="P1" s="1" t="s">
        <v>15</v>
      </c>
      <c r="Q1" s="1" t="s">
        <v>16</v>
      </c>
      <c r="R1" s="1" t="s">
        <v>17</v>
      </c>
      <c r="S1" s="1" t="s">
        <v>18</v>
      </c>
      <c r="T1" s="1" t="s">
        <v>19</v>
      </c>
      <c r="U1" s="1" t="s">
        <v>20</v>
      </c>
      <c r="V1" s="1" t="s">
        <v>2765</v>
      </c>
    </row>
    <row r="2" spans="1:22" x14ac:dyDescent="0.3">
      <c r="A2" s="28">
        <v>1</v>
      </c>
      <c r="B2" s="28" t="s">
        <v>23</v>
      </c>
      <c r="C2" s="28" t="s">
        <v>937</v>
      </c>
      <c r="D2" s="28">
        <v>50126267</v>
      </c>
      <c r="E2" s="28">
        <v>280</v>
      </c>
      <c r="F2" s="28">
        <v>332</v>
      </c>
      <c r="G2" s="28">
        <v>293</v>
      </c>
      <c r="H2" s="28" t="s">
        <v>2720</v>
      </c>
      <c r="I2" s="28" t="s">
        <v>109</v>
      </c>
      <c r="J2" s="28" t="s">
        <v>130</v>
      </c>
      <c r="K2" s="28" t="s">
        <v>109</v>
      </c>
      <c r="L2" s="41">
        <v>0.78680555555555554</v>
      </c>
      <c r="M2" s="28" t="s">
        <v>109</v>
      </c>
      <c r="N2" s="28" t="s">
        <v>2352</v>
      </c>
      <c r="O2" s="28" t="s">
        <v>61</v>
      </c>
      <c r="P2" s="28" t="s">
        <v>131</v>
      </c>
      <c r="Q2" s="28" t="s">
        <v>86</v>
      </c>
      <c r="R2" s="28" t="s">
        <v>62</v>
      </c>
      <c r="S2" s="28" t="s">
        <v>512</v>
      </c>
      <c r="T2" s="28" t="s">
        <v>424</v>
      </c>
      <c r="U2" s="111">
        <f t="shared" ref="U2:U33" si="0">G2/E2</f>
        <v>1.0464285714285715</v>
      </c>
      <c r="V2" s="28" t="s">
        <v>1945</v>
      </c>
    </row>
    <row r="3" spans="1:22" x14ac:dyDescent="0.3">
      <c r="A3" s="28">
        <v>2</v>
      </c>
      <c r="B3" s="28" t="s">
        <v>23</v>
      </c>
      <c r="C3" s="28" t="s">
        <v>428</v>
      </c>
      <c r="D3" s="28">
        <v>50126024</v>
      </c>
      <c r="E3" s="28">
        <v>180</v>
      </c>
      <c r="F3" s="28">
        <v>320</v>
      </c>
      <c r="G3" s="28">
        <v>146</v>
      </c>
      <c r="H3" s="28" t="s">
        <v>1518</v>
      </c>
      <c r="I3" s="28" t="s">
        <v>109</v>
      </c>
      <c r="J3" s="28" t="s">
        <v>130</v>
      </c>
      <c r="K3" s="28" t="s">
        <v>109</v>
      </c>
      <c r="L3" s="41">
        <v>0.94305555555555554</v>
      </c>
      <c r="M3" s="28" t="s">
        <v>109</v>
      </c>
      <c r="N3" s="28" t="s">
        <v>2352</v>
      </c>
      <c r="O3" s="28" t="s">
        <v>61</v>
      </c>
      <c r="P3" s="28" t="s">
        <v>131</v>
      </c>
      <c r="Q3" s="28" t="s">
        <v>86</v>
      </c>
      <c r="R3" s="28" t="s">
        <v>62</v>
      </c>
      <c r="S3" s="28" t="s">
        <v>512</v>
      </c>
      <c r="T3" s="28" t="s">
        <v>424</v>
      </c>
      <c r="U3" s="111">
        <f t="shared" si="0"/>
        <v>0.81111111111111112</v>
      </c>
      <c r="V3" s="28" t="s">
        <v>1945</v>
      </c>
    </row>
    <row r="4" spans="1:22" x14ac:dyDescent="0.3">
      <c r="A4" s="28">
        <v>3</v>
      </c>
      <c r="B4" s="28" t="s">
        <v>23</v>
      </c>
      <c r="C4" s="28" t="s">
        <v>1664</v>
      </c>
      <c r="D4" s="28">
        <v>50126367</v>
      </c>
      <c r="E4" s="28">
        <v>180</v>
      </c>
      <c r="F4" s="28">
        <v>200</v>
      </c>
      <c r="G4" s="28">
        <v>187</v>
      </c>
      <c r="H4" s="28" t="s">
        <v>294</v>
      </c>
      <c r="I4" s="28" t="s">
        <v>109</v>
      </c>
      <c r="J4" s="28" t="s">
        <v>130</v>
      </c>
      <c r="K4" s="28" t="s">
        <v>109</v>
      </c>
      <c r="L4" s="41">
        <v>0.82430555555555551</v>
      </c>
      <c r="M4" s="28" t="s">
        <v>109</v>
      </c>
      <c r="N4" s="28" t="s">
        <v>2352</v>
      </c>
      <c r="O4" s="28" t="s">
        <v>61</v>
      </c>
      <c r="P4" s="28" t="s">
        <v>131</v>
      </c>
      <c r="Q4" s="28" t="s">
        <v>209</v>
      </c>
      <c r="R4" s="28" t="s">
        <v>62</v>
      </c>
      <c r="S4" s="28" t="s">
        <v>512</v>
      </c>
      <c r="T4" s="28" t="s">
        <v>424</v>
      </c>
      <c r="U4" s="111">
        <f t="shared" si="0"/>
        <v>1.038888888888889</v>
      </c>
      <c r="V4" s="28" t="s">
        <v>1945</v>
      </c>
    </row>
    <row r="5" spans="1:22" x14ac:dyDescent="0.3">
      <c r="A5" s="28">
        <v>4</v>
      </c>
      <c r="B5" s="28" t="s">
        <v>23</v>
      </c>
      <c r="C5" s="28" t="s">
        <v>849</v>
      </c>
      <c r="D5" s="28">
        <v>50126213</v>
      </c>
      <c r="E5" s="28">
        <v>180</v>
      </c>
      <c r="F5" s="28">
        <v>199</v>
      </c>
      <c r="G5" s="28">
        <v>191</v>
      </c>
      <c r="H5" s="28" t="s">
        <v>294</v>
      </c>
      <c r="I5" s="28" t="s">
        <v>109</v>
      </c>
      <c r="J5" s="28" t="s">
        <v>130</v>
      </c>
      <c r="K5" s="28" t="s">
        <v>109</v>
      </c>
      <c r="L5" s="41">
        <v>0.83819444444444446</v>
      </c>
      <c r="M5" s="28" t="s">
        <v>109</v>
      </c>
      <c r="N5" s="28" t="s">
        <v>2352</v>
      </c>
      <c r="O5" s="28" t="s">
        <v>61</v>
      </c>
      <c r="P5" s="28" t="s">
        <v>131</v>
      </c>
      <c r="Q5" s="28" t="s">
        <v>209</v>
      </c>
      <c r="R5" s="28" t="s">
        <v>62</v>
      </c>
      <c r="S5" s="28" t="s">
        <v>512</v>
      </c>
      <c r="T5" s="28" t="s">
        <v>424</v>
      </c>
      <c r="U5" s="111">
        <f t="shared" si="0"/>
        <v>1.0611111111111111</v>
      </c>
      <c r="V5" s="28" t="s">
        <v>1945</v>
      </c>
    </row>
    <row r="6" spans="1:22" x14ac:dyDescent="0.3">
      <c r="A6" s="28">
        <v>5</v>
      </c>
      <c r="B6" s="28" t="s">
        <v>23</v>
      </c>
      <c r="C6" s="28" t="s">
        <v>935</v>
      </c>
      <c r="D6" s="28">
        <v>50126266</v>
      </c>
      <c r="E6" s="28">
        <v>180</v>
      </c>
      <c r="F6" s="28">
        <v>191</v>
      </c>
      <c r="G6" s="28">
        <v>184</v>
      </c>
      <c r="H6" s="28" t="s">
        <v>750</v>
      </c>
      <c r="I6" s="28" t="s">
        <v>109</v>
      </c>
      <c r="J6" s="28" t="s">
        <v>130</v>
      </c>
      <c r="K6" s="28" t="s">
        <v>109</v>
      </c>
      <c r="L6" s="41">
        <v>0.97430555555555554</v>
      </c>
      <c r="M6" s="28" t="s">
        <v>109</v>
      </c>
      <c r="N6" s="28" t="s">
        <v>2352</v>
      </c>
      <c r="O6" s="28" t="s">
        <v>61</v>
      </c>
      <c r="P6" s="28" t="s">
        <v>131</v>
      </c>
      <c r="Q6" s="28" t="s">
        <v>87</v>
      </c>
      <c r="R6" s="28" t="s">
        <v>62</v>
      </c>
      <c r="S6" s="28" t="s">
        <v>512</v>
      </c>
      <c r="T6" s="28" t="s">
        <v>424</v>
      </c>
      <c r="U6" s="111">
        <f t="shared" si="0"/>
        <v>1.0222222222222221</v>
      </c>
      <c r="V6" s="28" t="s">
        <v>1945</v>
      </c>
    </row>
    <row r="7" spans="1:22" x14ac:dyDescent="0.3">
      <c r="A7" s="28">
        <v>6</v>
      </c>
      <c r="B7" s="28" t="s">
        <v>23</v>
      </c>
      <c r="C7" s="28" t="s">
        <v>850</v>
      </c>
      <c r="D7" s="28">
        <v>50126214</v>
      </c>
      <c r="E7" s="28">
        <v>200</v>
      </c>
      <c r="F7" s="28">
        <v>298</v>
      </c>
      <c r="G7" s="28">
        <v>182</v>
      </c>
      <c r="H7" s="28" t="s">
        <v>99</v>
      </c>
      <c r="I7" s="28" t="s">
        <v>109</v>
      </c>
      <c r="J7" s="28" t="s">
        <v>130</v>
      </c>
      <c r="K7" s="28" t="s">
        <v>109</v>
      </c>
      <c r="L7" s="41">
        <v>0.98333333333333328</v>
      </c>
      <c r="M7" s="28" t="s">
        <v>109</v>
      </c>
      <c r="N7" s="28" t="s">
        <v>2352</v>
      </c>
      <c r="O7" s="28" t="s">
        <v>61</v>
      </c>
      <c r="P7" s="28" t="s">
        <v>131</v>
      </c>
      <c r="Q7" s="28" t="s">
        <v>91</v>
      </c>
      <c r="R7" s="28" t="s">
        <v>62</v>
      </c>
      <c r="S7" s="28" t="s">
        <v>512</v>
      </c>
      <c r="T7" s="28" t="s">
        <v>424</v>
      </c>
      <c r="U7" s="111">
        <f t="shared" si="0"/>
        <v>0.91</v>
      </c>
      <c r="V7" s="28" t="s">
        <v>1945</v>
      </c>
    </row>
    <row r="8" spans="1:22" x14ac:dyDescent="0.3">
      <c r="A8" s="28">
        <v>7</v>
      </c>
      <c r="B8" s="28" t="s">
        <v>23</v>
      </c>
      <c r="C8" s="28" t="s">
        <v>928</v>
      </c>
      <c r="D8" s="28">
        <v>50126264</v>
      </c>
      <c r="E8" s="28">
        <v>280</v>
      </c>
      <c r="F8" s="28">
        <v>381</v>
      </c>
      <c r="G8" s="28">
        <v>269</v>
      </c>
      <c r="H8" s="28" t="s">
        <v>2721</v>
      </c>
      <c r="I8" s="28" t="s">
        <v>109</v>
      </c>
      <c r="J8" s="28" t="s">
        <v>130</v>
      </c>
      <c r="K8" s="51">
        <v>0.12986111111111112</v>
      </c>
      <c r="L8" s="28" t="s">
        <v>109</v>
      </c>
      <c r="M8" s="28" t="s">
        <v>109</v>
      </c>
      <c r="N8" s="28" t="s">
        <v>2352</v>
      </c>
      <c r="O8" s="28" t="s">
        <v>61</v>
      </c>
      <c r="P8" s="28" t="s">
        <v>131</v>
      </c>
      <c r="Q8" s="28" t="s">
        <v>94</v>
      </c>
      <c r="R8" s="28" t="s">
        <v>62</v>
      </c>
      <c r="S8" s="28" t="s">
        <v>512</v>
      </c>
      <c r="T8" s="28" t="s">
        <v>424</v>
      </c>
      <c r="U8" s="111">
        <f t="shared" si="0"/>
        <v>0.96071428571428574</v>
      </c>
      <c r="V8" s="28" t="s">
        <v>109</v>
      </c>
    </row>
    <row r="9" spans="1:22" x14ac:dyDescent="0.3">
      <c r="A9" s="28">
        <v>8</v>
      </c>
      <c r="B9" s="28" t="s">
        <v>23</v>
      </c>
      <c r="C9" s="28" t="s">
        <v>940</v>
      </c>
      <c r="D9" s="28">
        <v>50126249</v>
      </c>
      <c r="E9" s="28">
        <v>400</v>
      </c>
      <c r="F9" s="28">
        <v>708</v>
      </c>
      <c r="G9" s="28">
        <v>299</v>
      </c>
      <c r="H9" s="28" t="s">
        <v>2722</v>
      </c>
      <c r="I9" s="28" t="s">
        <v>109</v>
      </c>
      <c r="J9" s="28" t="s">
        <v>130</v>
      </c>
      <c r="K9" s="28" t="s">
        <v>109</v>
      </c>
      <c r="L9" s="41">
        <v>0.7944444444444444</v>
      </c>
      <c r="M9" s="28" t="s">
        <v>109</v>
      </c>
      <c r="N9" s="28" t="s">
        <v>2352</v>
      </c>
      <c r="O9" s="28" t="s">
        <v>61</v>
      </c>
      <c r="P9" s="28" t="s">
        <v>131</v>
      </c>
      <c r="Q9" s="28" t="s">
        <v>94</v>
      </c>
      <c r="R9" s="28" t="s">
        <v>62</v>
      </c>
      <c r="S9" s="28" t="s">
        <v>512</v>
      </c>
      <c r="T9" s="28" t="s">
        <v>424</v>
      </c>
      <c r="U9" s="111">
        <f t="shared" si="0"/>
        <v>0.74750000000000005</v>
      </c>
      <c r="V9" s="28" t="s">
        <v>1945</v>
      </c>
    </row>
    <row r="10" spans="1:22" x14ac:dyDescent="0.3">
      <c r="A10" s="28">
        <v>9</v>
      </c>
      <c r="B10" s="28" t="s">
        <v>23</v>
      </c>
      <c r="C10" s="28" t="s">
        <v>831</v>
      </c>
      <c r="D10" s="28">
        <v>50126107</v>
      </c>
      <c r="E10" s="28">
        <v>35</v>
      </c>
      <c r="F10" s="28">
        <v>43</v>
      </c>
      <c r="G10" s="28">
        <v>36</v>
      </c>
      <c r="H10" s="28" t="s">
        <v>91</v>
      </c>
      <c r="I10" s="28" t="s">
        <v>109</v>
      </c>
      <c r="J10" s="28" t="s">
        <v>130</v>
      </c>
      <c r="K10" s="28" t="s">
        <v>109</v>
      </c>
      <c r="L10" s="41">
        <v>2.7777777777777776E-2</v>
      </c>
      <c r="M10" s="28" t="s">
        <v>109</v>
      </c>
      <c r="N10" s="28" t="s">
        <v>109</v>
      </c>
      <c r="O10" s="28" t="s">
        <v>61</v>
      </c>
      <c r="P10" s="28" t="s">
        <v>131</v>
      </c>
      <c r="Q10" s="28" t="s">
        <v>91</v>
      </c>
      <c r="R10" s="28" t="s">
        <v>62</v>
      </c>
      <c r="S10" s="28" t="s">
        <v>512</v>
      </c>
      <c r="T10" s="28" t="s">
        <v>424</v>
      </c>
      <c r="U10" s="111">
        <f t="shared" si="0"/>
        <v>1.0285714285714285</v>
      </c>
      <c r="V10" s="28" t="s">
        <v>1945</v>
      </c>
    </row>
    <row r="11" spans="1:22" x14ac:dyDescent="0.3">
      <c r="A11" s="28">
        <v>10</v>
      </c>
      <c r="B11" s="28" t="s">
        <v>23</v>
      </c>
      <c r="C11" s="28" t="s">
        <v>541</v>
      </c>
      <c r="D11" s="28">
        <v>50126096</v>
      </c>
      <c r="E11" s="28">
        <v>30</v>
      </c>
      <c r="F11" s="28">
        <v>16</v>
      </c>
      <c r="G11" s="28">
        <v>8</v>
      </c>
      <c r="H11" s="28" t="s">
        <v>154</v>
      </c>
      <c r="I11" s="28" t="s">
        <v>109</v>
      </c>
      <c r="J11" s="28" t="s">
        <v>130</v>
      </c>
      <c r="K11" s="28" t="s">
        <v>109</v>
      </c>
      <c r="L11" s="41">
        <v>0.7270833333333333</v>
      </c>
      <c r="M11" s="28" t="s">
        <v>109</v>
      </c>
      <c r="N11" s="28" t="s">
        <v>109</v>
      </c>
      <c r="O11" s="28" t="s">
        <v>61</v>
      </c>
      <c r="P11" s="28" t="s">
        <v>131</v>
      </c>
      <c r="Q11" s="28" t="s">
        <v>154</v>
      </c>
      <c r="R11" s="28" t="s">
        <v>62</v>
      </c>
      <c r="S11" s="28" t="s">
        <v>512</v>
      </c>
      <c r="T11" s="28" t="s">
        <v>424</v>
      </c>
      <c r="U11" s="111">
        <f t="shared" si="0"/>
        <v>0.26666666666666666</v>
      </c>
      <c r="V11" s="28" t="s">
        <v>612</v>
      </c>
    </row>
    <row r="12" spans="1:22" x14ac:dyDescent="0.3">
      <c r="A12" s="28">
        <v>11</v>
      </c>
      <c r="B12" s="28" t="s">
        <v>23</v>
      </c>
      <c r="C12" s="28" t="s">
        <v>2694</v>
      </c>
      <c r="D12" s="28">
        <v>50226120</v>
      </c>
      <c r="E12" s="28">
        <v>100</v>
      </c>
      <c r="F12" s="28">
        <v>128</v>
      </c>
      <c r="G12" s="28">
        <v>90</v>
      </c>
      <c r="H12" s="28" t="s">
        <v>89</v>
      </c>
      <c r="I12" s="28" t="s">
        <v>109</v>
      </c>
      <c r="J12" s="28" t="s">
        <v>130</v>
      </c>
      <c r="K12" s="28" t="s">
        <v>109</v>
      </c>
      <c r="L12" s="41">
        <v>1.2500000000000001E-2</v>
      </c>
      <c r="M12" s="28" t="s">
        <v>109</v>
      </c>
      <c r="N12" s="28" t="s">
        <v>109</v>
      </c>
      <c r="O12" s="28" t="s">
        <v>61</v>
      </c>
      <c r="P12" s="28" t="s">
        <v>131</v>
      </c>
      <c r="Q12" s="28" t="s">
        <v>1082</v>
      </c>
      <c r="R12" s="28" t="s">
        <v>62</v>
      </c>
      <c r="S12" s="28" t="s">
        <v>512</v>
      </c>
      <c r="T12" s="28" t="s">
        <v>424</v>
      </c>
      <c r="U12" s="111">
        <f t="shared" si="0"/>
        <v>0.9</v>
      </c>
      <c r="V12" s="28" t="s">
        <v>1945</v>
      </c>
    </row>
    <row r="13" spans="1:22" x14ac:dyDescent="0.3">
      <c r="A13" s="28">
        <v>12</v>
      </c>
      <c r="B13" s="28" t="s">
        <v>23</v>
      </c>
      <c r="C13" s="28" t="s">
        <v>2034</v>
      </c>
      <c r="D13" s="28">
        <v>50226037</v>
      </c>
      <c r="E13" s="28">
        <v>45</v>
      </c>
      <c r="F13" s="28">
        <v>59</v>
      </c>
      <c r="G13" s="28">
        <v>48</v>
      </c>
      <c r="H13" s="28" t="s">
        <v>88</v>
      </c>
      <c r="I13" s="28" t="s">
        <v>109</v>
      </c>
      <c r="J13" s="28" t="s">
        <v>130</v>
      </c>
      <c r="K13" s="28" t="s">
        <v>109</v>
      </c>
      <c r="L13" s="41">
        <v>0.90555555555555556</v>
      </c>
      <c r="M13" s="28" t="s">
        <v>109</v>
      </c>
      <c r="N13" s="28" t="s">
        <v>109</v>
      </c>
      <c r="O13" s="28" t="s">
        <v>61</v>
      </c>
      <c r="P13" s="28" t="s">
        <v>131</v>
      </c>
      <c r="Q13" s="28" t="s">
        <v>88</v>
      </c>
      <c r="R13" s="28" t="s">
        <v>62</v>
      </c>
      <c r="S13" s="28" t="s">
        <v>512</v>
      </c>
      <c r="T13" s="28" t="s">
        <v>424</v>
      </c>
      <c r="U13" s="111">
        <f t="shared" si="0"/>
        <v>1.0666666666666667</v>
      </c>
      <c r="V13" s="28" t="s">
        <v>1945</v>
      </c>
    </row>
    <row r="14" spans="1:22" x14ac:dyDescent="0.3">
      <c r="A14" s="28">
        <v>13</v>
      </c>
      <c r="B14" s="28" t="s">
        <v>23</v>
      </c>
      <c r="C14" s="28" t="s">
        <v>2489</v>
      </c>
      <c r="D14" s="28">
        <v>50226110</v>
      </c>
      <c r="E14" s="28">
        <v>35</v>
      </c>
      <c r="F14" s="28">
        <v>56</v>
      </c>
      <c r="G14" s="28">
        <v>40</v>
      </c>
      <c r="H14" s="28" t="s">
        <v>87</v>
      </c>
      <c r="I14" s="28" t="s">
        <v>109</v>
      </c>
      <c r="J14" s="28" t="s">
        <v>130</v>
      </c>
      <c r="K14" s="28" t="s">
        <v>109</v>
      </c>
      <c r="L14" s="41">
        <v>0.73888888888888893</v>
      </c>
      <c r="M14" s="28" t="s">
        <v>109</v>
      </c>
      <c r="N14" s="28" t="s">
        <v>109</v>
      </c>
      <c r="O14" s="28" t="s">
        <v>61</v>
      </c>
      <c r="P14" s="28" t="s">
        <v>131</v>
      </c>
      <c r="Q14" s="28" t="s">
        <v>87</v>
      </c>
      <c r="R14" s="28" t="s">
        <v>62</v>
      </c>
      <c r="S14" s="28" t="s">
        <v>512</v>
      </c>
      <c r="T14" s="28" t="s">
        <v>424</v>
      </c>
      <c r="U14" s="111">
        <f t="shared" si="0"/>
        <v>1.1428571428571428</v>
      </c>
      <c r="V14" s="28" t="s">
        <v>1945</v>
      </c>
    </row>
    <row r="15" spans="1:22" x14ac:dyDescent="0.3">
      <c r="A15" s="28">
        <v>14</v>
      </c>
      <c r="B15" s="28" t="s">
        <v>23</v>
      </c>
      <c r="C15" s="28" t="s">
        <v>926</v>
      </c>
      <c r="D15" s="28">
        <v>50126265</v>
      </c>
      <c r="E15" s="28">
        <v>35</v>
      </c>
      <c r="F15" s="28">
        <v>67</v>
      </c>
      <c r="G15" s="28">
        <v>48</v>
      </c>
      <c r="H15" s="28" t="s">
        <v>95</v>
      </c>
      <c r="I15" s="28" t="s">
        <v>109</v>
      </c>
      <c r="J15" s="28" t="s">
        <v>130</v>
      </c>
      <c r="K15" s="28" t="s">
        <v>109</v>
      </c>
      <c r="L15" s="41">
        <v>0.71250000000000002</v>
      </c>
      <c r="M15" s="28" t="s">
        <v>109</v>
      </c>
      <c r="N15" s="28" t="s">
        <v>109</v>
      </c>
      <c r="O15" s="28" t="s">
        <v>61</v>
      </c>
      <c r="P15" s="28" t="s">
        <v>131</v>
      </c>
      <c r="Q15" s="28" t="s">
        <v>95</v>
      </c>
      <c r="R15" s="28" t="s">
        <v>62</v>
      </c>
      <c r="S15" s="28" t="s">
        <v>512</v>
      </c>
      <c r="T15" s="28" t="s">
        <v>424</v>
      </c>
      <c r="U15" s="111">
        <f t="shared" si="0"/>
        <v>1.3714285714285714</v>
      </c>
      <c r="V15" s="28" t="s">
        <v>1945</v>
      </c>
    </row>
    <row r="16" spans="1:22" x14ac:dyDescent="0.3">
      <c r="A16" s="28">
        <v>15</v>
      </c>
      <c r="B16" s="28" t="s">
        <v>23</v>
      </c>
      <c r="C16" s="28" t="s">
        <v>427</v>
      </c>
      <c r="D16" s="28">
        <v>50126022</v>
      </c>
      <c r="E16" s="28">
        <v>40</v>
      </c>
      <c r="F16" s="28">
        <v>53</v>
      </c>
      <c r="G16" s="28">
        <v>47</v>
      </c>
      <c r="H16" s="28" t="s">
        <v>94</v>
      </c>
      <c r="I16" s="28" t="s">
        <v>109</v>
      </c>
      <c r="J16" s="28" t="s">
        <v>130</v>
      </c>
      <c r="K16" s="28" t="s">
        <v>109</v>
      </c>
      <c r="L16" s="41">
        <v>3.1944444444444442E-2</v>
      </c>
      <c r="M16" s="28" t="s">
        <v>109</v>
      </c>
      <c r="N16" s="28" t="s">
        <v>109</v>
      </c>
      <c r="O16" s="28" t="s">
        <v>61</v>
      </c>
      <c r="P16" s="28" t="s">
        <v>131</v>
      </c>
      <c r="Q16" s="28" t="s">
        <v>94</v>
      </c>
      <c r="R16" s="28" t="s">
        <v>62</v>
      </c>
      <c r="S16" s="28" t="s">
        <v>512</v>
      </c>
      <c r="T16" s="28" t="s">
        <v>424</v>
      </c>
      <c r="U16" s="111">
        <f t="shared" si="0"/>
        <v>1.175</v>
      </c>
      <c r="V16" s="28" t="s">
        <v>1945</v>
      </c>
    </row>
    <row r="17" spans="1:22" x14ac:dyDescent="0.3">
      <c r="A17" s="28">
        <v>16</v>
      </c>
      <c r="B17" s="28" t="s">
        <v>23</v>
      </c>
      <c r="C17" s="28" t="s">
        <v>736</v>
      </c>
      <c r="D17" s="28">
        <v>50126128</v>
      </c>
      <c r="E17" s="28">
        <v>35</v>
      </c>
      <c r="F17" s="28">
        <v>44</v>
      </c>
      <c r="G17" s="28">
        <v>37</v>
      </c>
      <c r="H17" s="28" t="s">
        <v>179</v>
      </c>
      <c r="I17" s="28" t="s">
        <v>109</v>
      </c>
      <c r="J17" s="28" t="s">
        <v>130</v>
      </c>
      <c r="K17" s="28" t="s">
        <v>109</v>
      </c>
      <c r="L17" s="41">
        <v>0.94166666666666665</v>
      </c>
      <c r="M17" s="28" t="s">
        <v>109</v>
      </c>
      <c r="N17" s="28" t="s">
        <v>109</v>
      </c>
      <c r="O17" s="28" t="s">
        <v>61</v>
      </c>
      <c r="P17" s="28" t="s">
        <v>131</v>
      </c>
      <c r="Q17" s="28" t="s">
        <v>179</v>
      </c>
      <c r="R17" s="28" t="s">
        <v>62</v>
      </c>
      <c r="S17" s="28" t="s">
        <v>512</v>
      </c>
      <c r="T17" s="28" t="s">
        <v>424</v>
      </c>
      <c r="U17" s="111">
        <f t="shared" si="0"/>
        <v>1.0571428571428572</v>
      </c>
      <c r="V17" s="28" t="s">
        <v>1945</v>
      </c>
    </row>
    <row r="18" spans="1:22" x14ac:dyDescent="0.3">
      <c r="A18" s="28">
        <v>17</v>
      </c>
      <c r="B18" s="28" t="s">
        <v>23</v>
      </c>
      <c r="C18" s="28" t="s">
        <v>1716</v>
      </c>
      <c r="D18" s="28">
        <v>50126402</v>
      </c>
      <c r="E18" s="28">
        <v>70</v>
      </c>
      <c r="F18" s="28">
        <v>103</v>
      </c>
      <c r="G18" s="28">
        <v>76</v>
      </c>
      <c r="H18" s="28" t="s">
        <v>95</v>
      </c>
      <c r="I18" s="28" t="s">
        <v>109</v>
      </c>
      <c r="J18" s="28" t="s">
        <v>130</v>
      </c>
      <c r="K18" s="28" t="s">
        <v>109</v>
      </c>
      <c r="L18" s="41">
        <v>0.71250000000000002</v>
      </c>
      <c r="M18" s="28" t="s">
        <v>109</v>
      </c>
      <c r="N18" s="28" t="s">
        <v>109</v>
      </c>
      <c r="O18" s="28" t="s">
        <v>61</v>
      </c>
      <c r="P18" s="28" t="s">
        <v>131</v>
      </c>
      <c r="Q18" s="28" t="s">
        <v>95</v>
      </c>
      <c r="R18" s="28" t="s">
        <v>62</v>
      </c>
      <c r="S18" s="28" t="s">
        <v>512</v>
      </c>
      <c r="T18" s="28" t="s">
        <v>424</v>
      </c>
      <c r="U18" s="111">
        <f t="shared" si="0"/>
        <v>1.0857142857142856</v>
      </c>
      <c r="V18" s="28" t="s">
        <v>1945</v>
      </c>
    </row>
    <row r="19" spans="1:22" x14ac:dyDescent="0.3">
      <c r="A19" s="28">
        <v>18</v>
      </c>
      <c r="B19" s="28" t="s">
        <v>23</v>
      </c>
      <c r="C19" s="28" t="s">
        <v>827</v>
      </c>
      <c r="D19" s="28">
        <v>50126175</v>
      </c>
      <c r="E19" s="28">
        <v>40</v>
      </c>
      <c r="F19" s="28">
        <v>114</v>
      </c>
      <c r="G19" s="28">
        <v>51</v>
      </c>
      <c r="H19" s="28" t="s">
        <v>86</v>
      </c>
      <c r="I19" s="28" t="s">
        <v>109</v>
      </c>
      <c r="J19" s="28" t="s">
        <v>130</v>
      </c>
      <c r="K19" s="28" t="s">
        <v>109</v>
      </c>
      <c r="L19" s="41">
        <v>0.96388888888888891</v>
      </c>
      <c r="M19" s="28" t="s">
        <v>109</v>
      </c>
      <c r="N19" s="28" t="s">
        <v>109</v>
      </c>
      <c r="O19" s="28" t="s">
        <v>61</v>
      </c>
      <c r="P19" s="28" t="s">
        <v>131</v>
      </c>
      <c r="Q19" s="28" t="s">
        <v>86</v>
      </c>
      <c r="R19" s="28" t="s">
        <v>62</v>
      </c>
      <c r="S19" s="28" t="s">
        <v>512</v>
      </c>
      <c r="T19" s="28" t="s">
        <v>424</v>
      </c>
      <c r="U19" s="111">
        <f t="shared" si="0"/>
        <v>1.2749999999999999</v>
      </c>
      <c r="V19" s="28" t="s">
        <v>1945</v>
      </c>
    </row>
    <row r="20" spans="1:22" x14ac:dyDescent="0.3">
      <c r="A20" s="28">
        <v>19</v>
      </c>
      <c r="B20" s="28" t="s">
        <v>23</v>
      </c>
      <c r="C20" s="28" t="s">
        <v>828</v>
      </c>
      <c r="D20" s="28">
        <v>50126177</v>
      </c>
      <c r="E20" s="28">
        <v>35</v>
      </c>
      <c r="F20" s="28">
        <v>62</v>
      </c>
      <c r="G20" s="28">
        <v>35</v>
      </c>
      <c r="H20" s="28" t="s">
        <v>89</v>
      </c>
      <c r="I20" s="28" t="s">
        <v>109</v>
      </c>
      <c r="J20" s="28" t="s">
        <v>130</v>
      </c>
      <c r="K20" s="28" t="s">
        <v>109</v>
      </c>
      <c r="L20" s="41">
        <v>0.71111111111111114</v>
      </c>
      <c r="M20" s="28" t="s">
        <v>109</v>
      </c>
      <c r="N20" s="28" t="s">
        <v>109</v>
      </c>
      <c r="O20" s="28" t="s">
        <v>61</v>
      </c>
      <c r="P20" s="28" t="s">
        <v>131</v>
      </c>
      <c r="Q20" s="28" t="s">
        <v>1082</v>
      </c>
      <c r="R20" s="28" t="s">
        <v>62</v>
      </c>
      <c r="S20" s="28" t="s">
        <v>512</v>
      </c>
      <c r="T20" s="28" t="s">
        <v>424</v>
      </c>
      <c r="U20" s="111">
        <f t="shared" si="0"/>
        <v>1</v>
      </c>
      <c r="V20" s="28" t="s">
        <v>1945</v>
      </c>
    </row>
    <row r="21" spans="1:22" x14ac:dyDescent="0.3">
      <c r="A21" s="28">
        <v>20</v>
      </c>
      <c r="B21" s="28" t="s">
        <v>23</v>
      </c>
      <c r="C21" s="28" t="s">
        <v>2036</v>
      </c>
      <c r="D21" s="28">
        <v>50226039</v>
      </c>
      <c r="E21" s="28">
        <v>120</v>
      </c>
      <c r="F21" s="28">
        <v>134</v>
      </c>
      <c r="G21" s="28">
        <v>104</v>
      </c>
      <c r="H21" s="28" t="s">
        <v>209</v>
      </c>
      <c r="I21" s="28" t="s">
        <v>109</v>
      </c>
      <c r="J21" s="28" t="s">
        <v>130</v>
      </c>
      <c r="K21" s="28" t="s">
        <v>109</v>
      </c>
      <c r="L21" s="41">
        <v>0.79166666666666663</v>
      </c>
      <c r="M21" s="28" t="s">
        <v>109</v>
      </c>
      <c r="N21" s="28" t="s">
        <v>109</v>
      </c>
      <c r="O21" s="28" t="s">
        <v>61</v>
      </c>
      <c r="P21" s="28" t="s">
        <v>131</v>
      </c>
      <c r="Q21" s="28" t="s">
        <v>209</v>
      </c>
      <c r="R21" s="28" t="s">
        <v>62</v>
      </c>
      <c r="S21" s="28" t="s">
        <v>512</v>
      </c>
      <c r="T21" s="28" t="s">
        <v>424</v>
      </c>
      <c r="U21" s="111">
        <f t="shared" si="0"/>
        <v>0.8666666666666667</v>
      </c>
      <c r="V21" s="28" t="s">
        <v>1945</v>
      </c>
    </row>
    <row r="22" spans="1:22" x14ac:dyDescent="0.3">
      <c r="A22" s="28">
        <v>21</v>
      </c>
      <c r="B22" s="28" t="s">
        <v>23</v>
      </c>
      <c r="C22" s="28" t="s">
        <v>932</v>
      </c>
      <c r="D22" s="28">
        <v>50126263</v>
      </c>
      <c r="E22" s="28">
        <v>120</v>
      </c>
      <c r="F22" s="28">
        <v>115</v>
      </c>
      <c r="G22" s="28">
        <v>111</v>
      </c>
      <c r="H22" s="28" t="s">
        <v>94</v>
      </c>
      <c r="I22" s="28" t="s">
        <v>109</v>
      </c>
      <c r="J22" s="28" t="s">
        <v>130</v>
      </c>
      <c r="K22" s="51">
        <v>9.166666666666666E-2</v>
      </c>
      <c r="L22" s="28" t="s">
        <v>109</v>
      </c>
      <c r="M22" s="28" t="s">
        <v>109</v>
      </c>
      <c r="N22" s="28" t="s">
        <v>109</v>
      </c>
      <c r="O22" s="28" t="s">
        <v>61</v>
      </c>
      <c r="P22" s="28" t="s">
        <v>131</v>
      </c>
      <c r="Q22" s="28" t="s">
        <v>94</v>
      </c>
      <c r="R22" s="28" t="s">
        <v>62</v>
      </c>
      <c r="S22" s="28" t="s">
        <v>512</v>
      </c>
      <c r="T22" s="28" t="s">
        <v>424</v>
      </c>
      <c r="U22" s="111">
        <f t="shared" si="0"/>
        <v>0.92500000000000004</v>
      </c>
      <c r="V22" s="28" t="s">
        <v>109</v>
      </c>
    </row>
    <row r="23" spans="1:22" x14ac:dyDescent="0.3">
      <c r="A23" s="28">
        <v>22</v>
      </c>
      <c r="B23" s="28" t="s">
        <v>23</v>
      </c>
      <c r="C23" s="28" t="s">
        <v>735</v>
      </c>
      <c r="D23" s="28">
        <v>50126130</v>
      </c>
      <c r="E23" s="28">
        <v>35</v>
      </c>
      <c r="F23" s="28">
        <v>29</v>
      </c>
      <c r="G23" s="28">
        <v>2</v>
      </c>
      <c r="H23" s="28" t="s">
        <v>209</v>
      </c>
      <c r="I23" s="28" t="s">
        <v>109</v>
      </c>
      <c r="J23" s="28" t="s">
        <v>130</v>
      </c>
      <c r="K23" s="28" t="s">
        <v>109</v>
      </c>
      <c r="L23" s="41">
        <v>1.6666666666666666E-2</v>
      </c>
      <c r="M23" s="28" t="s">
        <v>109</v>
      </c>
      <c r="N23" s="28" t="s">
        <v>109</v>
      </c>
      <c r="O23" s="28" t="s">
        <v>61</v>
      </c>
      <c r="P23" s="28" t="s">
        <v>131</v>
      </c>
      <c r="Q23" s="28" t="s">
        <v>209</v>
      </c>
      <c r="R23" s="28" t="s">
        <v>62</v>
      </c>
      <c r="S23" s="28" t="s">
        <v>512</v>
      </c>
      <c r="T23" s="28" t="s">
        <v>424</v>
      </c>
      <c r="U23" s="111">
        <f t="shared" si="0"/>
        <v>5.7142857142857141E-2</v>
      </c>
      <c r="V23" s="28" t="s">
        <v>612</v>
      </c>
    </row>
    <row r="24" spans="1:22" x14ac:dyDescent="0.3">
      <c r="A24" s="28">
        <v>23</v>
      </c>
      <c r="B24" s="28" t="s">
        <v>23</v>
      </c>
      <c r="C24" s="28" t="s">
        <v>829</v>
      </c>
      <c r="D24" s="28">
        <v>50126176</v>
      </c>
      <c r="E24" s="28">
        <v>60</v>
      </c>
      <c r="F24" s="28">
        <v>67</v>
      </c>
      <c r="G24" s="28">
        <v>16</v>
      </c>
      <c r="H24" s="28" t="s">
        <v>154</v>
      </c>
      <c r="I24" s="28" t="s">
        <v>109</v>
      </c>
      <c r="J24" s="28" t="s">
        <v>130</v>
      </c>
      <c r="K24" s="28" t="s">
        <v>109</v>
      </c>
      <c r="L24" s="41">
        <v>0.71875</v>
      </c>
      <c r="M24" s="28" t="s">
        <v>109</v>
      </c>
      <c r="N24" s="28" t="s">
        <v>109</v>
      </c>
      <c r="O24" s="28" t="s">
        <v>61</v>
      </c>
      <c r="P24" s="28" t="s">
        <v>131</v>
      </c>
      <c r="Q24" s="28" t="s">
        <v>154</v>
      </c>
      <c r="R24" s="28" t="s">
        <v>62</v>
      </c>
      <c r="S24" s="28" t="s">
        <v>512</v>
      </c>
      <c r="T24" s="28" t="s">
        <v>424</v>
      </c>
      <c r="U24" s="111">
        <f t="shared" si="0"/>
        <v>0.26666666666666666</v>
      </c>
      <c r="V24" s="28" t="s">
        <v>612</v>
      </c>
    </row>
    <row r="25" spans="1:22" x14ac:dyDescent="0.3">
      <c r="A25" s="28">
        <v>24</v>
      </c>
      <c r="B25" s="28" t="s">
        <v>23</v>
      </c>
      <c r="C25" s="28" t="s">
        <v>718</v>
      </c>
      <c r="D25" s="28">
        <v>50126205</v>
      </c>
      <c r="E25" s="28">
        <v>85</v>
      </c>
      <c r="F25" s="28">
        <v>115</v>
      </c>
      <c r="G25" s="28">
        <v>87</v>
      </c>
      <c r="H25" s="28" t="s">
        <v>179</v>
      </c>
      <c r="I25" s="28" t="s">
        <v>109</v>
      </c>
      <c r="J25" s="28" t="s">
        <v>130</v>
      </c>
      <c r="K25" s="28" t="s">
        <v>109</v>
      </c>
      <c r="L25" s="41">
        <v>0.84305555555555556</v>
      </c>
      <c r="M25" s="28" t="s">
        <v>109</v>
      </c>
      <c r="N25" s="28" t="s">
        <v>109</v>
      </c>
      <c r="O25" s="28" t="s">
        <v>61</v>
      </c>
      <c r="P25" s="28" t="s">
        <v>131</v>
      </c>
      <c r="Q25" s="28" t="s">
        <v>179</v>
      </c>
      <c r="R25" s="28" t="s">
        <v>62</v>
      </c>
      <c r="S25" s="28" t="s">
        <v>512</v>
      </c>
      <c r="T25" s="28" t="s">
        <v>424</v>
      </c>
      <c r="U25" s="111">
        <f t="shared" si="0"/>
        <v>1.0235294117647058</v>
      </c>
      <c r="V25" s="28" t="s">
        <v>1945</v>
      </c>
    </row>
    <row r="26" spans="1:22" x14ac:dyDescent="0.3">
      <c r="A26" s="28">
        <v>25</v>
      </c>
      <c r="B26" s="28" t="s">
        <v>23</v>
      </c>
      <c r="C26" s="28" t="s">
        <v>1718</v>
      </c>
      <c r="D26" s="28">
        <v>50126401</v>
      </c>
      <c r="E26" s="28">
        <v>60</v>
      </c>
      <c r="F26" s="28">
        <v>78</v>
      </c>
      <c r="G26" s="28">
        <v>62</v>
      </c>
      <c r="H26" s="28" t="s">
        <v>91</v>
      </c>
      <c r="I26" s="28" t="s">
        <v>109</v>
      </c>
      <c r="J26" s="28" t="s">
        <v>130</v>
      </c>
      <c r="K26" s="28" t="s">
        <v>109</v>
      </c>
      <c r="L26" s="41">
        <v>0.77083333333333337</v>
      </c>
      <c r="M26" s="28" t="s">
        <v>109</v>
      </c>
      <c r="N26" s="28" t="s">
        <v>109</v>
      </c>
      <c r="O26" s="28" t="s">
        <v>61</v>
      </c>
      <c r="P26" s="28" t="s">
        <v>131</v>
      </c>
      <c r="Q26" s="28" t="s">
        <v>91</v>
      </c>
      <c r="R26" s="28" t="s">
        <v>62</v>
      </c>
      <c r="S26" s="28" t="s">
        <v>512</v>
      </c>
      <c r="T26" s="28" t="s">
        <v>424</v>
      </c>
      <c r="U26" s="111">
        <f t="shared" si="0"/>
        <v>1.0333333333333334</v>
      </c>
      <c r="V26" s="28" t="s">
        <v>1945</v>
      </c>
    </row>
    <row r="27" spans="1:22" x14ac:dyDescent="0.3">
      <c r="A27" s="28">
        <v>26</v>
      </c>
      <c r="B27" s="28" t="s">
        <v>23</v>
      </c>
      <c r="C27" s="28" t="s">
        <v>826</v>
      </c>
      <c r="D27" s="28">
        <v>50126174</v>
      </c>
      <c r="E27" s="28">
        <v>60</v>
      </c>
      <c r="F27" s="28">
        <v>83</v>
      </c>
      <c r="G27" s="28">
        <v>66</v>
      </c>
      <c r="H27" s="28" t="s">
        <v>87</v>
      </c>
      <c r="I27" s="28" t="s">
        <v>109</v>
      </c>
      <c r="J27" s="28" t="s">
        <v>130</v>
      </c>
      <c r="K27" s="28" t="s">
        <v>109</v>
      </c>
      <c r="L27" s="41">
        <v>0.79652777777777772</v>
      </c>
      <c r="M27" s="28" t="s">
        <v>109</v>
      </c>
      <c r="N27" s="28" t="s">
        <v>109</v>
      </c>
      <c r="O27" s="28" t="s">
        <v>61</v>
      </c>
      <c r="P27" s="28" t="s">
        <v>131</v>
      </c>
      <c r="Q27" s="28" t="s">
        <v>87</v>
      </c>
      <c r="R27" s="28" t="s">
        <v>62</v>
      </c>
      <c r="S27" s="28" t="s">
        <v>512</v>
      </c>
      <c r="T27" s="28" t="s">
        <v>424</v>
      </c>
      <c r="U27" s="111">
        <f t="shared" si="0"/>
        <v>1.1000000000000001</v>
      </c>
      <c r="V27" s="28" t="s">
        <v>1945</v>
      </c>
    </row>
    <row r="28" spans="1:22" s="21" customFormat="1" x14ac:dyDescent="0.3">
      <c r="A28" s="28">
        <v>27</v>
      </c>
      <c r="B28" s="28" t="s">
        <v>23</v>
      </c>
      <c r="C28" s="28" t="s">
        <v>1794</v>
      </c>
      <c r="D28" s="28">
        <v>50226004</v>
      </c>
      <c r="E28" s="28">
        <v>200</v>
      </c>
      <c r="F28" s="28">
        <v>291</v>
      </c>
      <c r="G28" s="28">
        <v>95</v>
      </c>
      <c r="H28" s="28" t="s">
        <v>2723</v>
      </c>
      <c r="I28" s="28" t="s">
        <v>109</v>
      </c>
      <c r="J28" s="28" t="s">
        <v>130</v>
      </c>
      <c r="K28" s="41">
        <v>0.90138888888888891</v>
      </c>
      <c r="L28" s="28" t="s">
        <v>109</v>
      </c>
      <c r="M28" s="28" t="s">
        <v>109</v>
      </c>
      <c r="N28" s="28" t="s">
        <v>109</v>
      </c>
      <c r="O28" s="28" t="s">
        <v>61</v>
      </c>
      <c r="P28" s="28" t="s">
        <v>131</v>
      </c>
      <c r="Q28" s="28" t="s">
        <v>64</v>
      </c>
      <c r="R28" s="28" t="s">
        <v>62</v>
      </c>
      <c r="S28" s="28" t="s">
        <v>512</v>
      </c>
      <c r="T28" s="28" t="s">
        <v>117</v>
      </c>
      <c r="U28" s="111">
        <f t="shared" si="0"/>
        <v>0.47499999999999998</v>
      </c>
      <c r="V28" s="28" t="s">
        <v>612</v>
      </c>
    </row>
    <row r="29" spans="1:22" x14ac:dyDescent="0.3">
      <c r="A29" s="28">
        <v>28</v>
      </c>
      <c r="B29" s="28" t="s">
        <v>23</v>
      </c>
      <c r="C29" s="28" t="s">
        <v>1796</v>
      </c>
      <c r="D29" s="28">
        <v>50226005</v>
      </c>
      <c r="E29" s="28">
        <v>300</v>
      </c>
      <c r="F29" s="28">
        <v>138</v>
      </c>
      <c r="G29" s="28">
        <v>54</v>
      </c>
      <c r="H29" s="28" t="s">
        <v>2757</v>
      </c>
      <c r="I29" s="28" t="s">
        <v>109</v>
      </c>
      <c r="J29" s="28" t="s">
        <v>130</v>
      </c>
      <c r="K29" s="41">
        <v>0.94097222222222221</v>
      </c>
      <c r="L29" s="28" t="s">
        <v>109</v>
      </c>
      <c r="M29" s="28" t="s">
        <v>109</v>
      </c>
      <c r="N29" s="28" t="s">
        <v>109</v>
      </c>
      <c r="O29" s="28" t="s">
        <v>61</v>
      </c>
      <c r="P29" s="28" t="s">
        <v>131</v>
      </c>
      <c r="Q29" s="28" t="s">
        <v>274</v>
      </c>
      <c r="R29" s="28" t="s">
        <v>62</v>
      </c>
      <c r="S29" s="28" t="s">
        <v>512</v>
      </c>
      <c r="T29" s="28" t="s">
        <v>117</v>
      </c>
      <c r="U29" s="111">
        <f t="shared" si="0"/>
        <v>0.18</v>
      </c>
      <c r="V29" s="28" t="s">
        <v>612</v>
      </c>
    </row>
    <row r="30" spans="1:22" x14ac:dyDescent="0.3">
      <c r="A30" s="28">
        <v>29</v>
      </c>
      <c r="B30" s="28" t="s">
        <v>23</v>
      </c>
      <c r="C30" s="28" t="s">
        <v>2724</v>
      </c>
      <c r="D30" s="28">
        <v>50226128</v>
      </c>
      <c r="E30" s="28">
        <v>50</v>
      </c>
      <c r="F30" s="28">
        <v>44</v>
      </c>
      <c r="G30" s="28">
        <v>0</v>
      </c>
      <c r="H30" s="28" t="s">
        <v>184</v>
      </c>
      <c r="I30" s="28" t="s">
        <v>109</v>
      </c>
      <c r="J30" s="28" t="s">
        <v>130</v>
      </c>
      <c r="K30" s="41">
        <v>0.68194444444444446</v>
      </c>
      <c r="L30" s="28" t="s">
        <v>109</v>
      </c>
      <c r="M30" s="28" t="s">
        <v>109</v>
      </c>
      <c r="N30" s="28" t="s">
        <v>2223</v>
      </c>
      <c r="O30" s="28" t="s">
        <v>61</v>
      </c>
      <c r="P30" s="28" t="s">
        <v>131</v>
      </c>
      <c r="Q30" s="28" t="s">
        <v>184</v>
      </c>
      <c r="R30" s="28" t="s">
        <v>62</v>
      </c>
      <c r="S30" s="28" t="s">
        <v>512</v>
      </c>
      <c r="T30" s="28" t="s">
        <v>2057</v>
      </c>
      <c r="U30" s="111">
        <f t="shared" si="0"/>
        <v>0</v>
      </c>
      <c r="V30" s="28" t="s">
        <v>612</v>
      </c>
    </row>
    <row r="31" spans="1:22" x14ac:dyDescent="0.3">
      <c r="A31" s="28">
        <v>30</v>
      </c>
      <c r="B31" s="28" t="s">
        <v>23</v>
      </c>
      <c r="C31" s="28" t="s">
        <v>2725</v>
      </c>
      <c r="D31" s="28">
        <v>50226127</v>
      </c>
      <c r="E31" s="28">
        <v>80</v>
      </c>
      <c r="F31" s="28">
        <v>141</v>
      </c>
      <c r="G31" s="28">
        <v>79</v>
      </c>
      <c r="H31" s="28" t="s">
        <v>67</v>
      </c>
      <c r="I31" s="28" t="s">
        <v>109</v>
      </c>
      <c r="J31" s="28" t="s">
        <v>130</v>
      </c>
      <c r="K31" s="41">
        <v>0.77638888888888891</v>
      </c>
      <c r="L31" s="28" t="s">
        <v>109</v>
      </c>
      <c r="M31" s="28" t="s">
        <v>109</v>
      </c>
      <c r="N31" s="28" t="s">
        <v>2223</v>
      </c>
      <c r="O31" s="28" t="s">
        <v>61</v>
      </c>
      <c r="P31" s="28" t="s">
        <v>131</v>
      </c>
      <c r="Q31" s="28" t="s">
        <v>67</v>
      </c>
      <c r="R31" s="28" t="s">
        <v>62</v>
      </c>
      <c r="S31" s="28" t="s">
        <v>512</v>
      </c>
      <c r="T31" s="28" t="s">
        <v>2057</v>
      </c>
      <c r="U31" s="111">
        <f t="shared" si="0"/>
        <v>0.98750000000000004</v>
      </c>
      <c r="V31" s="28" t="s">
        <v>1945</v>
      </c>
    </row>
    <row r="32" spans="1:22" x14ac:dyDescent="0.3">
      <c r="A32" s="28">
        <v>31</v>
      </c>
      <c r="B32" s="28" t="s">
        <v>23</v>
      </c>
      <c r="C32" s="28" t="s">
        <v>2726</v>
      </c>
      <c r="D32" s="28">
        <v>50226126</v>
      </c>
      <c r="E32" s="28">
        <v>20</v>
      </c>
      <c r="F32" s="28">
        <v>11</v>
      </c>
      <c r="G32" s="28">
        <v>9</v>
      </c>
      <c r="H32" s="28" t="s">
        <v>67</v>
      </c>
      <c r="I32" s="28" t="s">
        <v>109</v>
      </c>
      <c r="J32" s="28" t="s">
        <v>130</v>
      </c>
      <c r="K32" s="41">
        <v>0.6875</v>
      </c>
      <c r="L32" s="28" t="s">
        <v>109</v>
      </c>
      <c r="M32" s="28" t="s">
        <v>109</v>
      </c>
      <c r="N32" s="28" t="s">
        <v>2223</v>
      </c>
      <c r="O32" s="28" t="s">
        <v>61</v>
      </c>
      <c r="P32" s="28" t="s">
        <v>131</v>
      </c>
      <c r="Q32" s="28" t="s">
        <v>67</v>
      </c>
      <c r="R32" s="28" t="s">
        <v>62</v>
      </c>
      <c r="S32" s="28" t="s">
        <v>512</v>
      </c>
      <c r="T32" s="28" t="s">
        <v>2057</v>
      </c>
      <c r="U32" s="111">
        <f t="shared" si="0"/>
        <v>0.45</v>
      </c>
      <c r="V32" s="28" t="s">
        <v>612</v>
      </c>
    </row>
    <row r="33" spans="1:22" x14ac:dyDescent="0.3">
      <c r="A33" s="28">
        <v>32</v>
      </c>
      <c r="B33" s="28" t="s">
        <v>23</v>
      </c>
      <c r="C33" s="28" t="s">
        <v>2727</v>
      </c>
      <c r="D33" s="28">
        <v>50226125</v>
      </c>
      <c r="E33" s="28">
        <v>100</v>
      </c>
      <c r="F33" s="28">
        <v>124</v>
      </c>
      <c r="G33" s="28">
        <v>101</v>
      </c>
      <c r="H33" s="28" t="s">
        <v>71</v>
      </c>
      <c r="I33" s="28" t="s">
        <v>109</v>
      </c>
      <c r="J33" s="28" t="s">
        <v>130</v>
      </c>
      <c r="K33" s="41">
        <v>0.71666666666666667</v>
      </c>
      <c r="L33" s="28" t="s">
        <v>109</v>
      </c>
      <c r="M33" s="28" t="s">
        <v>109</v>
      </c>
      <c r="N33" s="28" t="s">
        <v>2223</v>
      </c>
      <c r="O33" s="28" t="s">
        <v>61</v>
      </c>
      <c r="P33" s="28" t="s">
        <v>131</v>
      </c>
      <c r="Q33" s="28" t="s">
        <v>71</v>
      </c>
      <c r="R33" s="28" t="s">
        <v>62</v>
      </c>
      <c r="S33" s="28" t="s">
        <v>512</v>
      </c>
      <c r="T33" s="28" t="s">
        <v>2057</v>
      </c>
      <c r="U33" s="111">
        <f t="shared" si="0"/>
        <v>1.01</v>
      </c>
      <c r="V33" s="28" t="s">
        <v>1945</v>
      </c>
    </row>
    <row r="34" spans="1:22" x14ac:dyDescent="0.3">
      <c r="A34" s="28">
        <v>33</v>
      </c>
      <c r="B34" s="28" t="s">
        <v>135</v>
      </c>
      <c r="C34" s="28" t="s">
        <v>1415</v>
      </c>
      <c r="D34" s="28">
        <v>20126003</v>
      </c>
      <c r="E34" s="28">
        <v>59</v>
      </c>
      <c r="F34" s="28">
        <v>25</v>
      </c>
      <c r="G34" s="28">
        <v>5</v>
      </c>
      <c r="H34" s="28" t="s">
        <v>70</v>
      </c>
      <c r="I34" s="28" t="s">
        <v>179</v>
      </c>
      <c r="J34" s="28" t="s">
        <v>130</v>
      </c>
      <c r="K34" s="41">
        <v>0.72638888888888886</v>
      </c>
      <c r="L34" s="41">
        <v>0.96111111111111114</v>
      </c>
      <c r="M34" s="28" t="s">
        <v>109</v>
      </c>
      <c r="N34" s="28" t="s">
        <v>109</v>
      </c>
      <c r="O34" s="28" t="s">
        <v>61</v>
      </c>
      <c r="P34" s="28" t="s">
        <v>131</v>
      </c>
      <c r="Q34" s="28" t="s">
        <v>179</v>
      </c>
      <c r="R34" s="28" t="s">
        <v>62</v>
      </c>
      <c r="S34" s="28" t="s">
        <v>512</v>
      </c>
      <c r="T34" s="28" t="s">
        <v>112</v>
      </c>
      <c r="U34" s="111">
        <f t="shared" ref="U34:U65" si="1">G34/E34</f>
        <v>8.4745762711864403E-2</v>
      </c>
      <c r="V34" s="28" t="s">
        <v>612</v>
      </c>
    </row>
    <row r="35" spans="1:22" x14ac:dyDescent="0.3">
      <c r="A35" s="28">
        <v>34</v>
      </c>
      <c r="B35" s="28" t="s">
        <v>135</v>
      </c>
      <c r="C35" s="28" t="s">
        <v>1354</v>
      </c>
      <c r="D35" s="28">
        <v>20126001</v>
      </c>
      <c r="E35" s="28">
        <v>60</v>
      </c>
      <c r="F35" s="28">
        <v>60</v>
      </c>
      <c r="G35" s="28">
        <v>8</v>
      </c>
      <c r="H35" s="28" t="s">
        <v>82</v>
      </c>
      <c r="I35" s="28" t="s">
        <v>89</v>
      </c>
      <c r="J35" s="28" t="s">
        <v>130</v>
      </c>
      <c r="K35" s="41">
        <v>3.6805555555555557E-2</v>
      </c>
      <c r="L35" s="41">
        <v>4.791666666666667E-2</v>
      </c>
      <c r="M35" s="28" t="s">
        <v>109</v>
      </c>
      <c r="N35" s="28" t="s">
        <v>109</v>
      </c>
      <c r="O35" s="28" t="s">
        <v>61</v>
      </c>
      <c r="P35" s="28" t="s">
        <v>131</v>
      </c>
      <c r="Q35" s="28" t="s">
        <v>1082</v>
      </c>
      <c r="R35" s="28" t="s">
        <v>62</v>
      </c>
      <c r="S35" s="28" t="s">
        <v>512</v>
      </c>
      <c r="T35" s="28" t="s">
        <v>112</v>
      </c>
      <c r="U35" s="111">
        <f t="shared" si="1"/>
        <v>0.13333333333333333</v>
      </c>
      <c r="V35" s="28" t="s">
        <v>612</v>
      </c>
    </row>
    <row r="36" spans="1:22" x14ac:dyDescent="0.3">
      <c r="A36" s="28">
        <v>35</v>
      </c>
      <c r="B36" s="28" t="s">
        <v>135</v>
      </c>
      <c r="C36" s="28" t="s">
        <v>1608</v>
      </c>
      <c r="D36" s="28">
        <v>20126002</v>
      </c>
      <c r="E36" s="28">
        <v>45</v>
      </c>
      <c r="F36" s="28">
        <v>19</v>
      </c>
      <c r="G36" s="28">
        <v>3</v>
      </c>
      <c r="H36" s="28" t="s">
        <v>65</v>
      </c>
      <c r="I36" s="28" t="s">
        <v>209</v>
      </c>
      <c r="J36" s="28" t="s">
        <v>130</v>
      </c>
      <c r="K36" s="41">
        <v>0.84513888888888888</v>
      </c>
      <c r="L36" s="41">
        <v>0.9770833333333333</v>
      </c>
      <c r="M36" s="28" t="s">
        <v>109</v>
      </c>
      <c r="N36" s="28" t="s">
        <v>109</v>
      </c>
      <c r="O36" s="28" t="s">
        <v>61</v>
      </c>
      <c r="P36" s="28" t="s">
        <v>131</v>
      </c>
      <c r="Q36" s="28" t="s">
        <v>209</v>
      </c>
      <c r="R36" s="28" t="s">
        <v>62</v>
      </c>
      <c r="S36" s="28" t="s">
        <v>512</v>
      </c>
      <c r="T36" s="28" t="s">
        <v>112</v>
      </c>
      <c r="U36" s="111">
        <f t="shared" si="1"/>
        <v>6.6666666666666666E-2</v>
      </c>
      <c r="V36" s="28" t="s">
        <v>612</v>
      </c>
    </row>
    <row r="37" spans="1:22" x14ac:dyDescent="0.3">
      <c r="A37" s="28">
        <v>36</v>
      </c>
      <c r="B37" s="28" t="s">
        <v>135</v>
      </c>
      <c r="C37" s="28" t="s">
        <v>1352</v>
      </c>
      <c r="D37" s="28">
        <v>20126005</v>
      </c>
      <c r="E37" s="28">
        <v>57</v>
      </c>
      <c r="F37" s="28">
        <v>29</v>
      </c>
      <c r="G37" s="28">
        <v>4</v>
      </c>
      <c r="H37" s="28" t="s">
        <v>66</v>
      </c>
      <c r="I37" s="28" t="s">
        <v>154</v>
      </c>
      <c r="J37" s="28" t="s">
        <v>130</v>
      </c>
      <c r="K37" s="41">
        <v>0.86527777777777781</v>
      </c>
      <c r="L37" s="41">
        <v>0.90555555555555556</v>
      </c>
      <c r="M37" s="28" t="s">
        <v>109</v>
      </c>
      <c r="N37" s="28" t="s">
        <v>109</v>
      </c>
      <c r="O37" s="28" t="s">
        <v>61</v>
      </c>
      <c r="P37" s="28" t="s">
        <v>131</v>
      </c>
      <c r="Q37" s="28" t="s">
        <v>154</v>
      </c>
      <c r="R37" s="28" t="s">
        <v>62</v>
      </c>
      <c r="S37" s="28" t="s">
        <v>512</v>
      </c>
      <c r="T37" s="28" t="s">
        <v>112</v>
      </c>
      <c r="U37" s="111">
        <f t="shared" si="1"/>
        <v>7.0175438596491224E-2</v>
      </c>
      <c r="V37" s="28" t="s">
        <v>612</v>
      </c>
    </row>
    <row r="38" spans="1:22" x14ac:dyDescent="0.3">
      <c r="A38" s="28">
        <v>37</v>
      </c>
      <c r="B38" s="28" t="s">
        <v>135</v>
      </c>
      <c r="C38" s="28" t="s">
        <v>1353</v>
      </c>
      <c r="D38" s="28">
        <v>20126006</v>
      </c>
      <c r="E38" s="28">
        <v>50</v>
      </c>
      <c r="F38" s="28">
        <v>22</v>
      </c>
      <c r="G38" s="28">
        <v>3</v>
      </c>
      <c r="H38" s="28" t="s">
        <v>84</v>
      </c>
      <c r="I38" s="28" t="s">
        <v>179</v>
      </c>
      <c r="J38" s="28" t="s">
        <v>130</v>
      </c>
      <c r="K38" s="41">
        <v>0.91388888888888886</v>
      </c>
      <c r="L38" s="41">
        <v>0.98750000000000004</v>
      </c>
      <c r="M38" s="28" t="s">
        <v>109</v>
      </c>
      <c r="N38" s="28" t="s">
        <v>109</v>
      </c>
      <c r="O38" s="28" t="s">
        <v>61</v>
      </c>
      <c r="P38" s="28" t="s">
        <v>131</v>
      </c>
      <c r="Q38" s="28" t="s">
        <v>179</v>
      </c>
      <c r="R38" s="28" t="s">
        <v>62</v>
      </c>
      <c r="S38" s="28" t="s">
        <v>512</v>
      </c>
      <c r="T38" s="28" t="s">
        <v>112</v>
      </c>
      <c r="U38" s="111">
        <f t="shared" si="1"/>
        <v>0.06</v>
      </c>
      <c r="V38" s="28" t="s">
        <v>612</v>
      </c>
    </row>
    <row r="39" spans="1:22" x14ac:dyDescent="0.3">
      <c r="A39" s="28">
        <v>38</v>
      </c>
      <c r="B39" s="28" t="s">
        <v>411</v>
      </c>
      <c r="C39" s="28" t="s">
        <v>2567</v>
      </c>
      <c r="D39" s="28">
        <v>30226016</v>
      </c>
      <c r="E39" s="28">
        <v>153</v>
      </c>
      <c r="F39" s="28">
        <v>74</v>
      </c>
      <c r="G39" s="28">
        <v>0</v>
      </c>
      <c r="H39" s="28" t="s">
        <v>863</v>
      </c>
      <c r="I39" s="28" t="s">
        <v>389</v>
      </c>
      <c r="J39" s="28" t="s">
        <v>130</v>
      </c>
      <c r="K39" s="41">
        <v>0.89444444444444449</v>
      </c>
      <c r="L39" s="41">
        <v>1.8055555555555554E-2</v>
      </c>
      <c r="M39" s="28" t="s">
        <v>109</v>
      </c>
      <c r="N39" s="28" t="s">
        <v>2617</v>
      </c>
      <c r="O39" s="28" t="s">
        <v>61</v>
      </c>
      <c r="P39" s="28" t="s">
        <v>131</v>
      </c>
      <c r="Q39" s="28" t="s">
        <v>1082</v>
      </c>
      <c r="R39" s="28" t="s">
        <v>62</v>
      </c>
      <c r="S39" s="28" t="s">
        <v>512</v>
      </c>
      <c r="T39" s="28" t="s">
        <v>1359</v>
      </c>
      <c r="U39" s="111">
        <f t="shared" si="1"/>
        <v>0</v>
      </c>
      <c r="V39" s="28" t="s">
        <v>612</v>
      </c>
    </row>
    <row r="40" spans="1:22" x14ac:dyDescent="0.3">
      <c r="A40" s="28">
        <v>39</v>
      </c>
      <c r="B40" s="28" t="s">
        <v>411</v>
      </c>
      <c r="C40" s="28" t="s">
        <v>2568</v>
      </c>
      <c r="D40" s="28">
        <v>30226017</v>
      </c>
      <c r="E40" s="28">
        <v>275</v>
      </c>
      <c r="F40" s="28">
        <v>43</v>
      </c>
      <c r="G40" s="28">
        <v>21</v>
      </c>
      <c r="H40" s="28" t="s">
        <v>2728</v>
      </c>
      <c r="I40" s="28" t="s">
        <v>2729</v>
      </c>
      <c r="J40" s="28" t="s">
        <v>130</v>
      </c>
      <c r="K40" s="41">
        <v>1.8749999999999999E-2</v>
      </c>
      <c r="L40" s="41">
        <v>3.7499999999999999E-2</v>
      </c>
      <c r="M40" s="28" t="s">
        <v>109</v>
      </c>
      <c r="N40" s="28" t="s">
        <v>2617</v>
      </c>
      <c r="O40" s="28" t="s">
        <v>61</v>
      </c>
      <c r="P40" s="28" t="s">
        <v>131</v>
      </c>
      <c r="Q40" s="28" t="s">
        <v>87</v>
      </c>
      <c r="R40" s="28" t="s">
        <v>62</v>
      </c>
      <c r="S40" s="28" t="s">
        <v>512</v>
      </c>
      <c r="T40" s="28" t="s">
        <v>1359</v>
      </c>
      <c r="U40" s="111">
        <f t="shared" si="1"/>
        <v>7.636363636363637E-2</v>
      </c>
      <c r="V40" s="28" t="s">
        <v>612</v>
      </c>
    </row>
    <row r="41" spans="1:22" x14ac:dyDescent="0.3">
      <c r="A41" s="28">
        <v>40</v>
      </c>
      <c r="B41" s="28" t="s">
        <v>411</v>
      </c>
      <c r="C41" s="28" t="s">
        <v>2569</v>
      </c>
      <c r="D41" s="28">
        <v>30226013</v>
      </c>
      <c r="E41" s="28">
        <v>150</v>
      </c>
      <c r="F41" s="28">
        <v>8</v>
      </c>
      <c r="G41" s="28">
        <v>0</v>
      </c>
      <c r="H41" s="28" t="s">
        <v>2730</v>
      </c>
      <c r="I41" s="28" t="s">
        <v>230</v>
      </c>
      <c r="J41" s="28" t="s">
        <v>130</v>
      </c>
      <c r="K41" s="41">
        <v>0.9770833333333333</v>
      </c>
      <c r="L41" s="41">
        <v>9.0277777777777769E-3</v>
      </c>
      <c r="M41" s="28" t="s">
        <v>109</v>
      </c>
      <c r="N41" s="28" t="s">
        <v>2617</v>
      </c>
      <c r="O41" s="28" t="s">
        <v>61</v>
      </c>
      <c r="P41" s="28" t="s">
        <v>131</v>
      </c>
      <c r="Q41" s="28" t="s">
        <v>154</v>
      </c>
      <c r="R41" s="28" t="s">
        <v>62</v>
      </c>
      <c r="S41" s="28" t="s">
        <v>512</v>
      </c>
      <c r="T41" s="28" t="s">
        <v>1359</v>
      </c>
      <c r="U41" s="111">
        <f t="shared" si="1"/>
        <v>0</v>
      </c>
      <c r="V41" s="28" t="s">
        <v>2764</v>
      </c>
    </row>
    <row r="42" spans="1:22" x14ac:dyDescent="0.3">
      <c r="A42" s="28">
        <v>41</v>
      </c>
      <c r="B42" s="28" t="s">
        <v>411</v>
      </c>
      <c r="C42" s="28" t="s">
        <v>2570</v>
      </c>
      <c r="D42" s="28">
        <v>30226012</v>
      </c>
      <c r="E42" s="28">
        <v>156</v>
      </c>
      <c r="F42" s="28">
        <v>157</v>
      </c>
      <c r="G42" s="28">
        <v>40</v>
      </c>
      <c r="H42" s="28" t="s">
        <v>2758</v>
      </c>
      <c r="I42" s="28" t="s">
        <v>192</v>
      </c>
      <c r="J42" s="28" t="s">
        <v>130</v>
      </c>
      <c r="K42" s="41">
        <v>4.8611111111111112E-3</v>
      </c>
      <c r="L42" s="41">
        <v>4.6527777777777779E-2</v>
      </c>
      <c r="M42" s="28" t="s">
        <v>109</v>
      </c>
      <c r="N42" s="28" t="s">
        <v>2617</v>
      </c>
      <c r="O42" s="28" t="s">
        <v>61</v>
      </c>
      <c r="P42" s="28" t="s">
        <v>131</v>
      </c>
      <c r="Q42" s="28" t="s">
        <v>88</v>
      </c>
      <c r="R42" s="28" t="s">
        <v>62</v>
      </c>
      <c r="S42" s="28" t="s">
        <v>512</v>
      </c>
      <c r="T42" s="28" t="s">
        <v>1359</v>
      </c>
      <c r="U42" s="111">
        <f t="shared" si="1"/>
        <v>0.25641025641025639</v>
      </c>
      <c r="V42" s="28" t="s">
        <v>612</v>
      </c>
    </row>
    <row r="43" spans="1:22" x14ac:dyDescent="0.3">
      <c r="A43" s="28">
        <v>42</v>
      </c>
      <c r="B43" s="28" t="s">
        <v>411</v>
      </c>
      <c r="C43" s="28" t="s">
        <v>2572</v>
      </c>
      <c r="D43" s="28">
        <v>30226014</v>
      </c>
      <c r="E43" s="28">
        <v>52</v>
      </c>
      <c r="F43" s="28">
        <v>71</v>
      </c>
      <c r="G43" s="28">
        <v>13</v>
      </c>
      <c r="H43" s="28" t="s">
        <v>274</v>
      </c>
      <c r="I43" s="28" t="s">
        <v>91</v>
      </c>
      <c r="J43" s="28" t="s">
        <v>130</v>
      </c>
      <c r="K43" s="41">
        <v>7.6388888888888886E-3</v>
      </c>
      <c r="L43" s="41">
        <v>5.8333333333333334E-2</v>
      </c>
      <c r="M43" s="28" t="s">
        <v>109</v>
      </c>
      <c r="N43" s="28" t="s">
        <v>2617</v>
      </c>
      <c r="O43" s="28" t="s">
        <v>61</v>
      </c>
      <c r="P43" s="28" t="s">
        <v>131</v>
      </c>
      <c r="Q43" s="28" t="s">
        <v>91</v>
      </c>
      <c r="R43" s="28" t="s">
        <v>62</v>
      </c>
      <c r="S43" s="28" t="s">
        <v>512</v>
      </c>
      <c r="T43" s="28" t="s">
        <v>1359</v>
      </c>
      <c r="U43" s="111">
        <f t="shared" si="1"/>
        <v>0.25</v>
      </c>
      <c r="V43" s="28" t="s">
        <v>612</v>
      </c>
    </row>
    <row r="44" spans="1:22" x14ac:dyDescent="0.3">
      <c r="A44" s="28">
        <v>43</v>
      </c>
      <c r="B44" s="28" t="s">
        <v>135</v>
      </c>
      <c r="C44" s="28" t="s">
        <v>2290</v>
      </c>
      <c r="D44" s="28">
        <v>20226004</v>
      </c>
      <c r="E44" s="28">
        <v>41</v>
      </c>
      <c r="F44" s="28">
        <v>84</v>
      </c>
      <c r="G44" s="28">
        <v>55</v>
      </c>
      <c r="H44" s="28" t="s">
        <v>82</v>
      </c>
      <c r="I44" s="28" t="s">
        <v>95</v>
      </c>
      <c r="J44" s="28" t="s">
        <v>130</v>
      </c>
      <c r="K44" s="41">
        <v>0.74652777777777779</v>
      </c>
      <c r="L44" s="41">
        <v>0.77847222222222223</v>
      </c>
      <c r="M44" s="28" t="s">
        <v>109</v>
      </c>
      <c r="N44" s="28" t="s">
        <v>2731</v>
      </c>
      <c r="O44" s="28" t="s">
        <v>61</v>
      </c>
      <c r="P44" s="28" t="s">
        <v>131</v>
      </c>
      <c r="Q44" s="28" t="s">
        <v>95</v>
      </c>
      <c r="R44" s="28" t="s">
        <v>62</v>
      </c>
      <c r="S44" s="28" t="s">
        <v>512</v>
      </c>
      <c r="T44" s="28" t="s">
        <v>2292</v>
      </c>
      <c r="U44" s="111">
        <f t="shared" si="1"/>
        <v>1.3414634146341464</v>
      </c>
      <c r="V44" s="28" t="s">
        <v>1945</v>
      </c>
    </row>
    <row r="45" spans="1:22" x14ac:dyDescent="0.3">
      <c r="A45" s="28">
        <v>44</v>
      </c>
      <c r="B45" s="28" t="s">
        <v>135</v>
      </c>
      <c r="C45" s="28" t="s">
        <v>2293</v>
      </c>
      <c r="D45" s="28">
        <v>20226005</v>
      </c>
      <c r="E45" s="28">
        <v>42</v>
      </c>
      <c r="F45" s="28">
        <v>38</v>
      </c>
      <c r="G45" s="28">
        <v>12</v>
      </c>
      <c r="H45" s="28" t="s">
        <v>69</v>
      </c>
      <c r="I45" s="28" t="s">
        <v>94</v>
      </c>
      <c r="J45" s="28" t="s">
        <v>130</v>
      </c>
      <c r="K45" s="41">
        <v>0.64027777777777772</v>
      </c>
      <c r="L45" s="41">
        <v>0.67777777777777781</v>
      </c>
      <c r="M45" s="28" t="s">
        <v>109</v>
      </c>
      <c r="N45" s="28" t="s">
        <v>2731</v>
      </c>
      <c r="O45" s="28" t="s">
        <v>61</v>
      </c>
      <c r="P45" s="28" t="s">
        <v>131</v>
      </c>
      <c r="Q45" s="28" t="s">
        <v>94</v>
      </c>
      <c r="R45" s="28" t="s">
        <v>62</v>
      </c>
      <c r="S45" s="28" t="s">
        <v>512</v>
      </c>
      <c r="T45" s="28" t="s">
        <v>2292</v>
      </c>
      <c r="U45" s="111">
        <f t="shared" si="1"/>
        <v>0.2857142857142857</v>
      </c>
      <c r="V45" s="28" t="s">
        <v>612</v>
      </c>
    </row>
    <row r="46" spans="1:22" x14ac:dyDescent="0.3">
      <c r="A46" s="28">
        <v>45</v>
      </c>
      <c r="B46" s="28" t="s">
        <v>135</v>
      </c>
      <c r="C46" s="28" t="s">
        <v>2294</v>
      </c>
      <c r="D46" s="28">
        <v>20226006</v>
      </c>
      <c r="E46" s="28">
        <v>40</v>
      </c>
      <c r="F46" s="28">
        <v>40</v>
      </c>
      <c r="G46" s="28">
        <v>19</v>
      </c>
      <c r="H46" s="28" t="s">
        <v>71</v>
      </c>
      <c r="I46" s="28" t="s">
        <v>91</v>
      </c>
      <c r="J46" s="28" t="s">
        <v>130</v>
      </c>
      <c r="K46" s="41">
        <v>0.67638888888888893</v>
      </c>
      <c r="L46" s="41">
        <v>0.7270833333333333</v>
      </c>
      <c r="M46" s="28" t="s">
        <v>109</v>
      </c>
      <c r="N46" s="28" t="s">
        <v>109</v>
      </c>
      <c r="O46" s="28" t="s">
        <v>61</v>
      </c>
      <c r="P46" s="28" t="s">
        <v>131</v>
      </c>
      <c r="Q46" s="28" t="s">
        <v>91</v>
      </c>
      <c r="R46" s="28" t="s">
        <v>62</v>
      </c>
      <c r="S46" s="28" t="s">
        <v>512</v>
      </c>
      <c r="T46" s="28" t="s">
        <v>2292</v>
      </c>
      <c r="U46" s="111">
        <f t="shared" si="1"/>
        <v>0.47499999999999998</v>
      </c>
      <c r="V46" s="28" t="s">
        <v>612</v>
      </c>
    </row>
    <row r="47" spans="1:22" x14ac:dyDescent="0.3">
      <c r="A47" s="28">
        <v>46</v>
      </c>
      <c r="B47" s="28" t="s">
        <v>135</v>
      </c>
      <c r="C47" s="28" t="s">
        <v>1080</v>
      </c>
      <c r="D47" s="28">
        <v>20126013</v>
      </c>
      <c r="E47" s="28">
        <v>53</v>
      </c>
      <c r="F47" s="28">
        <v>129</v>
      </c>
      <c r="G47" s="28">
        <v>22</v>
      </c>
      <c r="H47" s="28" t="s">
        <v>71</v>
      </c>
      <c r="I47" s="28" t="s">
        <v>91</v>
      </c>
      <c r="J47" s="28" t="s">
        <v>130</v>
      </c>
      <c r="K47" s="41">
        <v>0.9916666666666667</v>
      </c>
      <c r="L47" s="41">
        <v>5.4166666666666669E-2</v>
      </c>
      <c r="M47" s="28" t="s">
        <v>109</v>
      </c>
      <c r="N47" s="28" t="s">
        <v>109</v>
      </c>
      <c r="O47" s="28" t="s">
        <v>61</v>
      </c>
      <c r="P47" s="28" t="s">
        <v>131</v>
      </c>
      <c r="Q47" s="28" t="s">
        <v>91</v>
      </c>
      <c r="R47" s="28" t="s">
        <v>62</v>
      </c>
      <c r="S47" s="28" t="s">
        <v>512</v>
      </c>
      <c r="T47" s="28" t="s">
        <v>1081</v>
      </c>
      <c r="U47" s="111">
        <f t="shared" si="1"/>
        <v>0.41509433962264153</v>
      </c>
      <c r="V47" s="28" t="s">
        <v>1940</v>
      </c>
    </row>
    <row r="48" spans="1:22" x14ac:dyDescent="0.3">
      <c r="A48" s="28">
        <v>47</v>
      </c>
      <c r="B48" s="28" t="s">
        <v>411</v>
      </c>
      <c r="C48" s="28" t="s">
        <v>2732</v>
      </c>
      <c r="D48" s="28">
        <v>30226030</v>
      </c>
      <c r="E48" s="28">
        <v>101</v>
      </c>
      <c r="F48" s="28">
        <v>158</v>
      </c>
      <c r="G48" s="28">
        <v>15</v>
      </c>
      <c r="H48" s="28" t="s">
        <v>71</v>
      </c>
      <c r="I48" s="28" t="s">
        <v>154</v>
      </c>
      <c r="J48" s="28" t="s">
        <v>130</v>
      </c>
      <c r="K48" s="41">
        <v>0.99791666666666667</v>
      </c>
      <c r="L48" s="41">
        <v>3.5416666666666666E-2</v>
      </c>
      <c r="M48" s="28" t="s">
        <v>109</v>
      </c>
      <c r="N48" s="28" t="s">
        <v>2617</v>
      </c>
      <c r="O48" s="28" t="s">
        <v>61</v>
      </c>
      <c r="P48" s="28" t="s">
        <v>131</v>
      </c>
      <c r="Q48" s="28" t="s">
        <v>154</v>
      </c>
      <c r="R48" s="28" t="s">
        <v>62</v>
      </c>
      <c r="S48" s="28" t="s">
        <v>512</v>
      </c>
      <c r="T48" s="28" t="s">
        <v>1359</v>
      </c>
      <c r="U48" s="111">
        <f t="shared" si="1"/>
        <v>0.14851485148514851</v>
      </c>
      <c r="V48" s="28" t="s">
        <v>2391</v>
      </c>
    </row>
    <row r="49" spans="1:22" x14ac:dyDescent="0.3">
      <c r="A49" s="28">
        <v>48</v>
      </c>
      <c r="B49" s="28" t="s">
        <v>170</v>
      </c>
      <c r="C49" s="28" t="s">
        <v>1355</v>
      </c>
      <c r="D49" s="28">
        <v>40126027</v>
      </c>
      <c r="E49" s="28">
        <v>200</v>
      </c>
      <c r="F49" s="28">
        <v>85</v>
      </c>
      <c r="G49" s="28">
        <v>27</v>
      </c>
      <c r="H49" s="28" t="s">
        <v>420</v>
      </c>
      <c r="I49" s="28" t="s">
        <v>1426</v>
      </c>
      <c r="J49" s="28" t="s">
        <v>130</v>
      </c>
      <c r="K49" s="41">
        <v>3.0555555555555555E-2</v>
      </c>
      <c r="L49" s="41">
        <v>5.4166666666666669E-2</v>
      </c>
      <c r="M49" s="28" t="s">
        <v>109</v>
      </c>
      <c r="N49" s="28" t="s">
        <v>2733</v>
      </c>
      <c r="O49" s="28" t="s">
        <v>61</v>
      </c>
      <c r="P49" s="28" t="s">
        <v>131</v>
      </c>
      <c r="Q49" s="28" t="s">
        <v>179</v>
      </c>
      <c r="R49" s="28" t="s">
        <v>62</v>
      </c>
      <c r="S49" s="28" t="s">
        <v>512</v>
      </c>
      <c r="T49" s="28" t="s">
        <v>1356</v>
      </c>
      <c r="U49" s="111">
        <f t="shared" si="1"/>
        <v>0.13500000000000001</v>
      </c>
      <c r="V49" s="28" t="s">
        <v>612</v>
      </c>
    </row>
    <row r="50" spans="1:22" x14ac:dyDescent="0.3">
      <c r="A50" s="28">
        <v>49</v>
      </c>
      <c r="B50" s="28" t="s">
        <v>23</v>
      </c>
      <c r="C50" s="28" t="s">
        <v>2680</v>
      </c>
      <c r="D50" s="28">
        <v>50226118</v>
      </c>
      <c r="E50" s="28">
        <v>350</v>
      </c>
      <c r="F50" s="28">
        <v>494</v>
      </c>
      <c r="G50" s="28">
        <v>345</v>
      </c>
      <c r="H50" s="28" t="s">
        <v>2734</v>
      </c>
      <c r="I50" s="28" t="s">
        <v>109</v>
      </c>
      <c r="J50" s="28" t="s">
        <v>130</v>
      </c>
      <c r="K50" s="41">
        <v>0.85833333333333328</v>
      </c>
      <c r="L50" s="28" t="s">
        <v>109</v>
      </c>
      <c r="M50" s="28" t="s">
        <v>109</v>
      </c>
      <c r="N50" s="28" t="s">
        <v>109</v>
      </c>
      <c r="O50" s="28" t="s">
        <v>61</v>
      </c>
      <c r="P50" s="28" t="s">
        <v>131</v>
      </c>
      <c r="Q50" s="28" t="s">
        <v>70</v>
      </c>
      <c r="R50" s="28" t="s">
        <v>62</v>
      </c>
      <c r="S50" s="28" t="s">
        <v>512</v>
      </c>
      <c r="T50" s="28" t="s">
        <v>116</v>
      </c>
      <c r="U50" s="111">
        <f t="shared" si="1"/>
        <v>0.98571428571428577</v>
      </c>
      <c r="V50" s="28" t="s">
        <v>1945</v>
      </c>
    </row>
    <row r="51" spans="1:22" s="21" customFormat="1" x14ac:dyDescent="0.3">
      <c r="A51" s="28">
        <v>50</v>
      </c>
      <c r="B51" s="28" t="s">
        <v>23</v>
      </c>
      <c r="C51" s="28" t="s">
        <v>2483</v>
      </c>
      <c r="D51" s="28">
        <v>50226086</v>
      </c>
      <c r="E51" s="28">
        <v>50</v>
      </c>
      <c r="F51" s="28">
        <v>80</v>
      </c>
      <c r="G51" s="28">
        <v>25</v>
      </c>
      <c r="H51" s="28" t="s">
        <v>241</v>
      </c>
      <c r="I51" s="28" t="s">
        <v>109</v>
      </c>
      <c r="J51" s="28" t="s">
        <v>130</v>
      </c>
      <c r="K51" s="41">
        <v>3.1944444444444442E-2</v>
      </c>
      <c r="L51" s="28" t="s">
        <v>109</v>
      </c>
      <c r="M51" s="28" t="s">
        <v>109</v>
      </c>
      <c r="N51" s="28" t="s">
        <v>109</v>
      </c>
      <c r="O51" s="28" t="s">
        <v>61</v>
      </c>
      <c r="P51" s="28" t="s">
        <v>131</v>
      </c>
      <c r="Q51" s="28" t="s">
        <v>241</v>
      </c>
      <c r="R51" s="28" t="s">
        <v>62</v>
      </c>
      <c r="S51" s="28" t="s">
        <v>512</v>
      </c>
      <c r="T51" s="28" t="s">
        <v>250</v>
      </c>
      <c r="U51" s="111">
        <f t="shared" si="1"/>
        <v>0.5</v>
      </c>
      <c r="V51" s="28" t="s">
        <v>1940</v>
      </c>
    </row>
    <row r="52" spans="1:22" x14ac:dyDescent="0.3">
      <c r="A52" s="28">
        <v>51</v>
      </c>
      <c r="B52" s="28" t="s">
        <v>23</v>
      </c>
      <c r="C52" s="28" t="s">
        <v>1337</v>
      </c>
      <c r="D52" s="28">
        <v>50126336</v>
      </c>
      <c r="E52" s="28">
        <v>50</v>
      </c>
      <c r="F52" s="28">
        <v>105</v>
      </c>
      <c r="G52" s="28">
        <v>46</v>
      </c>
      <c r="H52" s="28" t="s">
        <v>68</v>
      </c>
      <c r="I52" s="28" t="s">
        <v>109</v>
      </c>
      <c r="J52" s="28" t="s">
        <v>130</v>
      </c>
      <c r="K52" s="41">
        <v>0.69027777777777777</v>
      </c>
      <c r="L52" s="28" t="s">
        <v>109</v>
      </c>
      <c r="M52" s="28" t="s">
        <v>109</v>
      </c>
      <c r="N52" s="28" t="s">
        <v>110</v>
      </c>
      <c r="O52" s="28" t="s">
        <v>61</v>
      </c>
      <c r="P52" s="28" t="s">
        <v>131</v>
      </c>
      <c r="Q52" s="28" t="s">
        <v>68</v>
      </c>
      <c r="R52" s="28" t="s">
        <v>62</v>
      </c>
      <c r="S52" s="28" t="s">
        <v>512</v>
      </c>
      <c r="T52" s="28" t="s">
        <v>1338</v>
      </c>
      <c r="U52" s="111">
        <f t="shared" si="1"/>
        <v>0.92</v>
      </c>
      <c r="V52" s="28" t="s">
        <v>1945</v>
      </c>
    </row>
    <row r="53" spans="1:22" x14ac:dyDescent="0.3">
      <c r="A53" s="28">
        <v>52</v>
      </c>
      <c r="B53" s="28" t="s">
        <v>23</v>
      </c>
      <c r="C53" s="28" t="s">
        <v>648</v>
      </c>
      <c r="D53" s="28">
        <v>50126036</v>
      </c>
      <c r="E53" s="28">
        <v>100</v>
      </c>
      <c r="F53" s="28">
        <v>180</v>
      </c>
      <c r="G53" s="28">
        <v>49</v>
      </c>
      <c r="H53" s="28" t="s">
        <v>64</v>
      </c>
      <c r="I53" s="28" t="s">
        <v>86</v>
      </c>
      <c r="J53" s="28" t="s">
        <v>130</v>
      </c>
      <c r="K53" s="41">
        <v>0.68055555555555558</v>
      </c>
      <c r="L53" s="41">
        <v>0.69722222222222219</v>
      </c>
      <c r="M53" s="28" t="s">
        <v>109</v>
      </c>
      <c r="N53" s="28" t="s">
        <v>109</v>
      </c>
      <c r="O53" s="28" t="s">
        <v>61</v>
      </c>
      <c r="P53" s="28" t="s">
        <v>131</v>
      </c>
      <c r="Q53" s="28" t="s">
        <v>86</v>
      </c>
      <c r="R53" s="28" t="s">
        <v>62</v>
      </c>
      <c r="S53" s="28" t="s">
        <v>512</v>
      </c>
      <c r="T53" s="28" t="s">
        <v>480</v>
      </c>
      <c r="U53" s="111">
        <f t="shared" si="1"/>
        <v>0.49</v>
      </c>
      <c r="V53" s="28" t="s">
        <v>1940</v>
      </c>
    </row>
    <row r="54" spans="1:22" x14ac:dyDescent="0.3">
      <c r="A54" s="28">
        <v>53</v>
      </c>
      <c r="B54" s="28" t="s">
        <v>23</v>
      </c>
      <c r="C54" s="28" t="s">
        <v>650</v>
      </c>
      <c r="D54" s="28">
        <v>50126035</v>
      </c>
      <c r="E54" s="28">
        <v>100</v>
      </c>
      <c r="F54" s="28">
        <v>180</v>
      </c>
      <c r="G54" s="28">
        <v>46</v>
      </c>
      <c r="H54" s="28" t="s">
        <v>66</v>
      </c>
      <c r="I54" s="28" t="s">
        <v>88</v>
      </c>
      <c r="J54" s="28" t="s">
        <v>130</v>
      </c>
      <c r="K54" s="41">
        <v>0.74861111111111112</v>
      </c>
      <c r="L54" s="41">
        <v>0.77152777777777781</v>
      </c>
      <c r="M54" s="28" t="s">
        <v>109</v>
      </c>
      <c r="N54" s="28" t="s">
        <v>109</v>
      </c>
      <c r="O54" s="28" t="s">
        <v>61</v>
      </c>
      <c r="P54" s="28" t="s">
        <v>131</v>
      </c>
      <c r="Q54" s="28" t="s">
        <v>88</v>
      </c>
      <c r="R54" s="28" t="s">
        <v>62</v>
      </c>
      <c r="S54" s="28" t="s">
        <v>512</v>
      </c>
      <c r="T54" s="28" t="s">
        <v>480</v>
      </c>
      <c r="U54" s="111">
        <f t="shared" si="1"/>
        <v>0.46</v>
      </c>
      <c r="V54" s="28" t="s">
        <v>1940</v>
      </c>
    </row>
    <row r="55" spans="1:22" s="21" customFormat="1" x14ac:dyDescent="0.3">
      <c r="A55" s="28">
        <v>54</v>
      </c>
      <c r="B55" s="28" t="s">
        <v>23</v>
      </c>
      <c r="C55" s="28" t="s">
        <v>651</v>
      </c>
      <c r="D55" s="28">
        <v>50126034</v>
      </c>
      <c r="E55" s="28">
        <v>150</v>
      </c>
      <c r="F55" s="28">
        <v>264</v>
      </c>
      <c r="G55" s="28">
        <v>57</v>
      </c>
      <c r="H55" s="28" t="s">
        <v>2735</v>
      </c>
      <c r="I55" s="28" t="s">
        <v>336</v>
      </c>
      <c r="J55" s="28" t="s">
        <v>130</v>
      </c>
      <c r="K55" s="41">
        <v>0.73611111111111116</v>
      </c>
      <c r="L55" s="41">
        <v>0.80625000000000002</v>
      </c>
      <c r="M55" s="28" t="s">
        <v>109</v>
      </c>
      <c r="N55" s="28" t="s">
        <v>109</v>
      </c>
      <c r="O55" s="28" t="s">
        <v>61</v>
      </c>
      <c r="P55" s="28" t="s">
        <v>131</v>
      </c>
      <c r="Q55" s="28" t="s">
        <v>154</v>
      </c>
      <c r="R55" s="28" t="s">
        <v>62</v>
      </c>
      <c r="S55" s="28" t="s">
        <v>512</v>
      </c>
      <c r="T55" s="28" t="s">
        <v>480</v>
      </c>
      <c r="U55" s="111">
        <f t="shared" si="1"/>
        <v>0.38</v>
      </c>
      <c r="V55" s="28" t="s">
        <v>2391</v>
      </c>
    </row>
    <row r="56" spans="1:22" x14ac:dyDescent="0.3">
      <c r="A56" s="28">
        <v>55</v>
      </c>
      <c r="B56" s="28" t="s">
        <v>23</v>
      </c>
      <c r="C56" s="28" t="s">
        <v>653</v>
      </c>
      <c r="D56" s="28">
        <v>50126029</v>
      </c>
      <c r="E56" s="28">
        <v>20</v>
      </c>
      <c r="F56" s="28">
        <v>47</v>
      </c>
      <c r="G56" s="28">
        <v>21</v>
      </c>
      <c r="H56" s="28" t="s">
        <v>67</v>
      </c>
      <c r="I56" s="28" t="s">
        <v>154</v>
      </c>
      <c r="J56" s="28" t="s">
        <v>130</v>
      </c>
      <c r="K56" s="41">
        <v>0.79652777777777772</v>
      </c>
      <c r="L56" s="41">
        <v>0.81666666666666665</v>
      </c>
      <c r="M56" s="28" t="s">
        <v>109</v>
      </c>
      <c r="N56" s="28" t="s">
        <v>109</v>
      </c>
      <c r="O56" s="28" t="s">
        <v>61</v>
      </c>
      <c r="P56" s="28" t="s">
        <v>131</v>
      </c>
      <c r="Q56" s="28" t="s">
        <v>154</v>
      </c>
      <c r="R56" s="28" t="s">
        <v>62</v>
      </c>
      <c r="S56" s="28" t="s">
        <v>512</v>
      </c>
      <c r="T56" s="28" t="s">
        <v>480</v>
      </c>
      <c r="U56" s="111">
        <f t="shared" si="1"/>
        <v>1.05</v>
      </c>
      <c r="V56" s="28" t="s">
        <v>1945</v>
      </c>
    </row>
    <row r="57" spans="1:22" x14ac:dyDescent="0.3">
      <c r="A57" s="28">
        <v>56</v>
      </c>
      <c r="B57" s="28" t="s">
        <v>23</v>
      </c>
      <c r="C57" s="28" t="s">
        <v>654</v>
      </c>
      <c r="D57" s="28">
        <v>50126032</v>
      </c>
      <c r="E57" s="28">
        <v>105</v>
      </c>
      <c r="F57" s="28">
        <v>210</v>
      </c>
      <c r="G57" s="28">
        <v>46</v>
      </c>
      <c r="H57" s="28" t="s">
        <v>64</v>
      </c>
      <c r="I57" s="28" t="s">
        <v>95</v>
      </c>
      <c r="J57" s="28" t="s">
        <v>130</v>
      </c>
      <c r="K57" s="41">
        <v>0.73402777777777772</v>
      </c>
      <c r="L57" s="41">
        <v>0.80763888888888891</v>
      </c>
      <c r="M57" s="28" t="s">
        <v>109</v>
      </c>
      <c r="N57" s="28" t="s">
        <v>109</v>
      </c>
      <c r="O57" s="28" t="s">
        <v>61</v>
      </c>
      <c r="P57" s="28" t="s">
        <v>131</v>
      </c>
      <c r="Q57" s="28" t="s">
        <v>95</v>
      </c>
      <c r="R57" s="28" t="s">
        <v>62</v>
      </c>
      <c r="S57" s="28" t="s">
        <v>512</v>
      </c>
      <c r="T57" s="28" t="s">
        <v>480</v>
      </c>
      <c r="U57" s="111">
        <f t="shared" si="1"/>
        <v>0.43809523809523809</v>
      </c>
      <c r="V57" s="28" t="s">
        <v>1940</v>
      </c>
    </row>
    <row r="58" spans="1:22" x14ac:dyDescent="0.3">
      <c r="A58" s="28">
        <v>57</v>
      </c>
      <c r="B58" s="28" t="s">
        <v>23</v>
      </c>
      <c r="C58" s="28" t="s">
        <v>656</v>
      </c>
      <c r="D58" s="28">
        <v>50126031</v>
      </c>
      <c r="E58" s="28">
        <v>100</v>
      </c>
      <c r="F58" s="28">
        <v>150</v>
      </c>
      <c r="G58" s="28">
        <v>43</v>
      </c>
      <c r="H58" s="28" t="s">
        <v>70</v>
      </c>
      <c r="I58" s="28" t="s">
        <v>179</v>
      </c>
      <c r="J58" s="28" t="s">
        <v>130</v>
      </c>
      <c r="K58" s="41">
        <v>2.4305555555555556E-2</v>
      </c>
      <c r="L58" s="41">
        <v>4.2361111111111113E-2</v>
      </c>
      <c r="M58" s="28" t="s">
        <v>109</v>
      </c>
      <c r="N58" s="28" t="s">
        <v>109</v>
      </c>
      <c r="O58" s="28" t="s">
        <v>61</v>
      </c>
      <c r="P58" s="28" t="s">
        <v>131</v>
      </c>
      <c r="Q58" s="28" t="s">
        <v>179</v>
      </c>
      <c r="R58" s="28" t="s">
        <v>62</v>
      </c>
      <c r="S58" s="28" t="s">
        <v>512</v>
      </c>
      <c r="T58" s="28" t="s">
        <v>480</v>
      </c>
      <c r="U58" s="111">
        <f t="shared" si="1"/>
        <v>0.43</v>
      </c>
      <c r="V58" s="28" t="s">
        <v>1940</v>
      </c>
    </row>
    <row r="59" spans="1:22" x14ac:dyDescent="0.3">
      <c r="A59" s="28">
        <v>58</v>
      </c>
      <c r="B59" s="28" t="s">
        <v>23</v>
      </c>
      <c r="C59" s="28" t="s">
        <v>657</v>
      </c>
      <c r="D59" s="28">
        <v>50126030</v>
      </c>
      <c r="E59" s="28">
        <v>100</v>
      </c>
      <c r="F59" s="28">
        <v>156</v>
      </c>
      <c r="G59" s="28">
        <v>7</v>
      </c>
      <c r="H59" s="28" t="s">
        <v>82</v>
      </c>
      <c r="I59" s="28" t="s">
        <v>89</v>
      </c>
      <c r="J59" s="28" t="s">
        <v>130</v>
      </c>
      <c r="K59" s="41">
        <v>0.69027777777777777</v>
      </c>
      <c r="L59" s="41">
        <v>0.77361111111111114</v>
      </c>
      <c r="M59" s="28" t="s">
        <v>109</v>
      </c>
      <c r="N59" s="28" t="s">
        <v>109</v>
      </c>
      <c r="O59" s="28" t="s">
        <v>61</v>
      </c>
      <c r="P59" s="28" t="s">
        <v>131</v>
      </c>
      <c r="Q59" s="28" t="s">
        <v>1082</v>
      </c>
      <c r="R59" s="28" t="s">
        <v>62</v>
      </c>
      <c r="S59" s="28" t="s">
        <v>512</v>
      </c>
      <c r="T59" s="28" t="s">
        <v>480</v>
      </c>
      <c r="U59" s="111">
        <f t="shared" si="1"/>
        <v>7.0000000000000007E-2</v>
      </c>
      <c r="V59" s="28" t="s">
        <v>2391</v>
      </c>
    </row>
    <row r="60" spans="1:22" x14ac:dyDescent="0.3">
      <c r="A60" s="28">
        <v>59</v>
      </c>
      <c r="B60" s="28" t="s">
        <v>23</v>
      </c>
      <c r="C60" s="28" t="s">
        <v>2736</v>
      </c>
      <c r="D60" s="28">
        <v>50226124</v>
      </c>
      <c r="E60" s="28">
        <v>50</v>
      </c>
      <c r="F60" s="28">
        <v>59</v>
      </c>
      <c r="G60" s="28">
        <v>4</v>
      </c>
      <c r="H60" s="28" t="s">
        <v>66</v>
      </c>
      <c r="I60" s="28" t="s">
        <v>109</v>
      </c>
      <c r="J60" s="28" t="s">
        <v>130</v>
      </c>
      <c r="K60" s="41">
        <v>0.85</v>
      </c>
      <c r="L60" s="28" t="s">
        <v>109</v>
      </c>
      <c r="M60" s="28" t="s">
        <v>109</v>
      </c>
      <c r="N60" s="28" t="s">
        <v>109</v>
      </c>
      <c r="O60" s="28" t="s">
        <v>61</v>
      </c>
      <c r="P60" s="28" t="s">
        <v>131</v>
      </c>
      <c r="Q60" s="28" t="s">
        <v>66</v>
      </c>
      <c r="R60" s="28" t="s">
        <v>62</v>
      </c>
      <c r="S60" s="28" t="s">
        <v>512</v>
      </c>
      <c r="T60" s="28" t="s">
        <v>1341</v>
      </c>
      <c r="U60" s="111">
        <f t="shared" si="1"/>
        <v>0.08</v>
      </c>
      <c r="V60" s="28" t="s">
        <v>612</v>
      </c>
    </row>
    <row r="61" spans="1:22" x14ac:dyDescent="0.3">
      <c r="A61" s="28">
        <v>60</v>
      </c>
      <c r="B61" s="28" t="s">
        <v>23</v>
      </c>
      <c r="C61" s="28" t="s">
        <v>2698</v>
      </c>
      <c r="D61" s="28">
        <v>50226116</v>
      </c>
      <c r="E61" s="28">
        <v>75</v>
      </c>
      <c r="F61" s="28" t="s">
        <v>109</v>
      </c>
      <c r="G61" s="28" t="s">
        <v>109</v>
      </c>
      <c r="H61" s="28" t="s">
        <v>68</v>
      </c>
      <c r="I61" s="28" t="s">
        <v>109</v>
      </c>
      <c r="J61" s="28" t="s">
        <v>85</v>
      </c>
      <c r="K61" s="28" t="s">
        <v>109</v>
      </c>
      <c r="L61" s="28" t="s">
        <v>109</v>
      </c>
      <c r="M61" s="28" t="s">
        <v>109</v>
      </c>
      <c r="N61" s="28" t="s">
        <v>109</v>
      </c>
      <c r="O61" s="28" t="s">
        <v>61</v>
      </c>
      <c r="P61" s="28" t="s">
        <v>109</v>
      </c>
      <c r="Q61" s="28" t="s">
        <v>109</v>
      </c>
      <c r="R61" s="28" t="s">
        <v>62</v>
      </c>
      <c r="S61" s="28" t="s">
        <v>512</v>
      </c>
      <c r="T61" s="28" t="s">
        <v>252</v>
      </c>
      <c r="U61" s="111" t="e">
        <f t="shared" si="1"/>
        <v>#VALUE!</v>
      </c>
      <c r="V61" s="28" t="s">
        <v>109</v>
      </c>
    </row>
    <row r="62" spans="1:22" x14ac:dyDescent="0.3">
      <c r="A62" s="28">
        <v>61</v>
      </c>
      <c r="B62" s="28" t="s">
        <v>23</v>
      </c>
      <c r="C62" s="28" t="s">
        <v>2327</v>
      </c>
      <c r="D62" s="28">
        <v>50226080</v>
      </c>
      <c r="E62" s="28">
        <v>50</v>
      </c>
      <c r="F62" s="28">
        <v>99</v>
      </c>
      <c r="G62" s="28">
        <v>57</v>
      </c>
      <c r="H62" s="28" t="s">
        <v>67</v>
      </c>
      <c r="I62" s="28" t="s">
        <v>109</v>
      </c>
      <c r="J62" s="28" t="s">
        <v>130</v>
      </c>
      <c r="K62" s="41">
        <v>0.7104166666666667</v>
      </c>
      <c r="L62" s="28" t="s">
        <v>109</v>
      </c>
      <c r="M62" s="28" t="s">
        <v>109</v>
      </c>
      <c r="N62" s="28" t="s">
        <v>109</v>
      </c>
      <c r="O62" s="28" t="s">
        <v>61</v>
      </c>
      <c r="P62" s="28" t="s">
        <v>131</v>
      </c>
      <c r="Q62" s="28" t="s">
        <v>67</v>
      </c>
      <c r="R62" s="28" t="s">
        <v>62</v>
      </c>
      <c r="S62" s="28" t="s">
        <v>512</v>
      </c>
      <c r="T62" s="28" t="s">
        <v>252</v>
      </c>
      <c r="U62" s="111">
        <f t="shared" si="1"/>
        <v>1.1399999999999999</v>
      </c>
      <c r="V62" s="28" t="s">
        <v>1945</v>
      </c>
    </row>
    <row r="63" spans="1:22" x14ac:dyDescent="0.3">
      <c r="A63" s="28">
        <v>62</v>
      </c>
      <c r="B63" s="28" t="s">
        <v>23</v>
      </c>
      <c r="C63" s="28" t="s">
        <v>2326</v>
      </c>
      <c r="D63" s="28">
        <v>50226078</v>
      </c>
      <c r="E63" s="28">
        <v>100</v>
      </c>
      <c r="F63" s="28">
        <v>127</v>
      </c>
      <c r="G63" s="28">
        <v>68</v>
      </c>
      <c r="H63" s="28" t="s">
        <v>69</v>
      </c>
      <c r="I63" s="28" t="s">
        <v>109</v>
      </c>
      <c r="J63" s="28" t="s">
        <v>130</v>
      </c>
      <c r="K63" s="41">
        <v>0.69861111111111107</v>
      </c>
      <c r="L63" s="28" t="s">
        <v>109</v>
      </c>
      <c r="M63" s="28" t="s">
        <v>109</v>
      </c>
      <c r="N63" s="28" t="s">
        <v>109</v>
      </c>
      <c r="O63" s="28" t="s">
        <v>61</v>
      </c>
      <c r="P63" s="28" t="s">
        <v>131</v>
      </c>
      <c r="Q63" s="28" t="s">
        <v>69</v>
      </c>
      <c r="R63" s="28" t="s">
        <v>62</v>
      </c>
      <c r="S63" s="28" t="s">
        <v>512</v>
      </c>
      <c r="T63" s="28" t="s">
        <v>252</v>
      </c>
      <c r="U63" s="111">
        <f t="shared" si="1"/>
        <v>0.68</v>
      </c>
      <c r="V63" s="28" t="s">
        <v>612</v>
      </c>
    </row>
    <row r="64" spans="1:22" x14ac:dyDescent="0.3">
      <c r="A64" s="28">
        <v>63</v>
      </c>
      <c r="B64" s="28" t="s">
        <v>23</v>
      </c>
      <c r="C64" s="28" t="s">
        <v>2411</v>
      </c>
      <c r="D64" s="28">
        <v>50226088</v>
      </c>
      <c r="E64" s="28">
        <v>65</v>
      </c>
      <c r="F64" s="28">
        <v>54</v>
      </c>
      <c r="G64" s="28">
        <v>5</v>
      </c>
      <c r="H64" s="28" t="s">
        <v>65</v>
      </c>
      <c r="I64" s="28" t="s">
        <v>109</v>
      </c>
      <c r="J64" s="28" t="s">
        <v>130</v>
      </c>
      <c r="K64" s="41">
        <v>0.99930555555555556</v>
      </c>
      <c r="L64" s="28" t="s">
        <v>109</v>
      </c>
      <c r="M64" s="28" t="s">
        <v>109</v>
      </c>
      <c r="N64" s="28" t="s">
        <v>109</v>
      </c>
      <c r="O64" s="28" t="s">
        <v>61</v>
      </c>
      <c r="P64" s="28" t="s">
        <v>131</v>
      </c>
      <c r="Q64" s="28" t="s">
        <v>65</v>
      </c>
      <c r="R64" s="28" t="s">
        <v>62</v>
      </c>
      <c r="S64" s="28" t="s">
        <v>512</v>
      </c>
      <c r="T64" s="28" t="s">
        <v>252</v>
      </c>
      <c r="U64" s="111">
        <f t="shared" si="1"/>
        <v>7.6923076923076927E-2</v>
      </c>
      <c r="V64" s="28" t="s">
        <v>612</v>
      </c>
    </row>
    <row r="65" spans="1:22" x14ac:dyDescent="0.3">
      <c r="A65" s="28">
        <v>64</v>
      </c>
      <c r="B65" s="28" t="s">
        <v>23</v>
      </c>
      <c r="C65" s="28" t="s">
        <v>2604</v>
      </c>
      <c r="D65" s="28">
        <v>50226115</v>
      </c>
      <c r="E65" s="28">
        <v>70</v>
      </c>
      <c r="F65" s="28">
        <v>81</v>
      </c>
      <c r="G65" s="28">
        <v>23</v>
      </c>
      <c r="H65" s="28" t="s">
        <v>84</v>
      </c>
      <c r="I65" s="28" t="s">
        <v>109</v>
      </c>
      <c r="J65" s="28" t="s">
        <v>130</v>
      </c>
      <c r="K65" s="28" t="s">
        <v>109</v>
      </c>
      <c r="L65" s="28" t="s">
        <v>109</v>
      </c>
      <c r="M65" s="28" t="s">
        <v>109</v>
      </c>
      <c r="N65" s="28" t="s">
        <v>109</v>
      </c>
      <c r="O65" s="28" t="s">
        <v>61</v>
      </c>
      <c r="P65" s="28" t="s">
        <v>131</v>
      </c>
      <c r="Q65" s="28" t="s">
        <v>84</v>
      </c>
      <c r="R65" s="28" t="s">
        <v>62</v>
      </c>
      <c r="S65" s="28" t="s">
        <v>512</v>
      </c>
      <c r="T65" s="28" t="s">
        <v>252</v>
      </c>
      <c r="U65" s="111">
        <f t="shared" si="1"/>
        <v>0.32857142857142857</v>
      </c>
      <c r="V65" s="28" t="s">
        <v>109</v>
      </c>
    </row>
    <row r="66" spans="1:22" x14ac:dyDescent="0.3">
      <c r="A66" s="28">
        <v>65</v>
      </c>
      <c r="B66" s="28" t="s">
        <v>23</v>
      </c>
      <c r="C66" s="28" t="s">
        <v>2328</v>
      </c>
      <c r="D66" s="28">
        <v>50226079</v>
      </c>
      <c r="E66" s="28">
        <v>100</v>
      </c>
      <c r="F66" s="28">
        <v>151</v>
      </c>
      <c r="G66" s="28">
        <v>66</v>
      </c>
      <c r="H66" s="28" t="s">
        <v>65</v>
      </c>
      <c r="I66" s="28" t="s">
        <v>109</v>
      </c>
      <c r="J66" s="28" t="s">
        <v>130</v>
      </c>
      <c r="K66" s="41">
        <v>3.888888888888889E-2</v>
      </c>
      <c r="L66" s="28" t="s">
        <v>109</v>
      </c>
      <c r="M66" s="28" t="s">
        <v>109</v>
      </c>
      <c r="N66" s="28" t="s">
        <v>109</v>
      </c>
      <c r="O66" s="28" t="s">
        <v>61</v>
      </c>
      <c r="P66" s="28" t="s">
        <v>131</v>
      </c>
      <c r="Q66" s="28" t="s">
        <v>65</v>
      </c>
      <c r="R66" s="28" t="s">
        <v>62</v>
      </c>
      <c r="S66" s="28" t="s">
        <v>512</v>
      </c>
      <c r="T66" s="28" t="s">
        <v>252</v>
      </c>
      <c r="U66" s="111">
        <f t="shared" ref="U66:U97" si="2">G66/E66</f>
        <v>0.66</v>
      </c>
      <c r="V66" s="28" t="s">
        <v>1940</v>
      </c>
    </row>
    <row r="67" spans="1:22" s="21" customFormat="1" x14ac:dyDescent="0.3">
      <c r="A67" s="28">
        <v>66</v>
      </c>
      <c r="B67" s="28" t="s">
        <v>23</v>
      </c>
      <c r="C67" s="28" t="s">
        <v>2737</v>
      </c>
      <c r="D67" s="28">
        <v>50226129</v>
      </c>
      <c r="E67" s="28">
        <v>150</v>
      </c>
      <c r="F67" s="28">
        <v>270</v>
      </c>
      <c r="G67" s="28">
        <v>148</v>
      </c>
      <c r="H67" s="28" t="s">
        <v>2738</v>
      </c>
      <c r="I67" s="28" t="s">
        <v>109</v>
      </c>
      <c r="J67" s="28" t="s">
        <v>130</v>
      </c>
      <c r="K67" s="41">
        <v>0.88888888888888884</v>
      </c>
      <c r="L67" s="28" t="s">
        <v>109</v>
      </c>
      <c r="M67" s="28" t="s">
        <v>109</v>
      </c>
      <c r="N67" s="28" t="s">
        <v>2739</v>
      </c>
      <c r="O67" s="28" t="s">
        <v>61</v>
      </c>
      <c r="P67" s="28" t="s">
        <v>131</v>
      </c>
      <c r="Q67" s="28" t="s">
        <v>241</v>
      </c>
      <c r="R67" s="28" t="s">
        <v>62</v>
      </c>
      <c r="S67" s="28" t="s">
        <v>512</v>
      </c>
      <c r="T67" s="28" t="s">
        <v>1240</v>
      </c>
      <c r="U67" s="111">
        <f t="shared" si="2"/>
        <v>0.98666666666666669</v>
      </c>
      <c r="V67" s="28" t="s">
        <v>1945</v>
      </c>
    </row>
    <row r="68" spans="1:22" x14ac:dyDescent="0.3">
      <c r="A68" s="28">
        <v>67</v>
      </c>
      <c r="B68" s="28" t="s">
        <v>23</v>
      </c>
      <c r="C68" s="28" t="s">
        <v>2740</v>
      </c>
      <c r="D68" s="28">
        <v>50226130</v>
      </c>
      <c r="E68" s="28">
        <v>150</v>
      </c>
      <c r="F68" s="28">
        <v>293</v>
      </c>
      <c r="G68" s="28">
        <v>150</v>
      </c>
      <c r="H68" s="28" t="s">
        <v>2507</v>
      </c>
      <c r="I68" s="28" t="s">
        <v>109</v>
      </c>
      <c r="J68" s="28" t="s">
        <v>130</v>
      </c>
      <c r="K68" s="41">
        <v>4.8611111111111112E-2</v>
      </c>
      <c r="L68" s="28" t="s">
        <v>109</v>
      </c>
      <c r="M68" s="28" t="s">
        <v>109</v>
      </c>
      <c r="N68" s="28" t="s">
        <v>2739</v>
      </c>
      <c r="O68" s="28" t="s">
        <v>61</v>
      </c>
      <c r="P68" s="28" t="s">
        <v>131</v>
      </c>
      <c r="Q68" s="28" t="s">
        <v>68</v>
      </c>
      <c r="R68" s="28" t="s">
        <v>62</v>
      </c>
      <c r="S68" s="28" t="s">
        <v>512</v>
      </c>
      <c r="T68" s="28" t="s">
        <v>1240</v>
      </c>
      <c r="U68" s="111">
        <f t="shared" si="2"/>
        <v>1</v>
      </c>
      <c r="V68" s="28" t="s">
        <v>1945</v>
      </c>
    </row>
    <row r="69" spans="1:22" x14ac:dyDescent="0.3">
      <c r="A69" s="28">
        <v>68</v>
      </c>
      <c r="B69" s="28" t="s">
        <v>143</v>
      </c>
      <c r="C69" s="28" t="s">
        <v>2333</v>
      </c>
      <c r="D69" s="28">
        <v>10226028</v>
      </c>
      <c r="E69" s="28">
        <v>72</v>
      </c>
      <c r="F69" s="28">
        <v>100</v>
      </c>
      <c r="G69" s="28">
        <v>32</v>
      </c>
      <c r="H69" s="28" t="s">
        <v>241</v>
      </c>
      <c r="I69" s="28" t="s">
        <v>154</v>
      </c>
      <c r="J69" s="28" t="s">
        <v>130</v>
      </c>
      <c r="K69" s="41">
        <v>4.4444444444444446E-2</v>
      </c>
      <c r="L69" s="51">
        <v>6.6666666666666666E-2</v>
      </c>
      <c r="M69" s="28" t="s">
        <v>109</v>
      </c>
      <c r="N69" s="28" t="s">
        <v>109</v>
      </c>
      <c r="O69" s="28" t="s">
        <v>61</v>
      </c>
      <c r="P69" s="28" t="s">
        <v>131</v>
      </c>
      <c r="Q69" s="28" t="s">
        <v>154</v>
      </c>
      <c r="R69" s="28" t="s">
        <v>62</v>
      </c>
      <c r="S69" s="28" t="s">
        <v>512</v>
      </c>
      <c r="T69" s="28" t="s">
        <v>121</v>
      </c>
      <c r="U69" s="111">
        <f t="shared" si="2"/>
        <v>0.44444444444444442</v>
      </c>
      <c r="V69" s="28" t="s">
        <v>109</v>
      </c>
    </row>
    <row r="70" spans="1:22" x14ac:dyDescent="0.3">
      <c r="A70" s="28">
        <v>69</v>
      </c>
      <c r="B70" s="28" t="s">
        <v>143</v>
      </c>
      <c r="C70" s="28" t="s">
        <v>2363</v>
      </c>
      <c r="D70" s="28">
        <v>10226033</v>
      </c>
      <c r="E70" s="28">
        <v>20</v>
      </c>
      <c r="F70" s="28">
        <v>36</v>
      </c>
      <c r="G70" s="28">
        <v>24</v>
      </c>
      <c r="H70" s="28" t="s">
        <v>274</v>
      </c>
      <c r="I70" s="28" t="s">
        <v>91</v>
      </c>
      <c r="J70" s="28" t="s">
        <v>130</v>
      </c>
      <c r="K70" s="41">
        <v>0.67638888888888893</v>
      </c>
      <c r="L70" s="41">
        <v>0.71666666666666667</v>
      </c>
      <c r="M70" s="28" t="s">
        <v>109</v>
      </c>
      <c r="N70" s="28" t="s">
        <v>109</v>
      </c>
      <c r="O70" s="28" t="s">
        <v>61</v>
      </c>
      <c r="P70" s="28" t="s">
        <v>131</v>
      </c>
      <c r="Q70" s="28" t="s">
        <v>274</v>
      </c>
      <c r="R70" s="28" t="s">
        <v>62</v>
      </c>
      <c r="S70" s="28" t="s">
        <v>512</v>
      </c>
      <c r="T70" s="28" t="s">
        <v>121</v>
      </c>
      <c r="U70" s="111">
        <f t="shared" si="2"/>
        <v>1.2</v>
      </c>
      <c r="V70" s="28" t="s">
        <v>1945</v>
      </c>
    </row>
    <row r="71" spans="1:22" x14ac:dyDescent="0.3">
      <c r="A71" s="28">
        <v>70</v>
      </c>
      <c r="B71" s="28" t="s">
        <v>143</v>
      </c>
      <c r="C71" s="28" t="s">
        <v>2703</v>
      </c>
      <c r="D71" s="28">
        <v>10226065</v>
      </c>
      <c r="E71" s="28">
        <v>100</v>
      </c>
      <c r="F71" s="28">
        <v>44</v>
      </c>
      <c r="G71" s="28">
        <v>6</v>
      </c>
      <c r="H71" s="28" t="s">
        <v>184</v>
      </c>
      <c r="I71" s="28" t="s">
        <v>87</v>
      </c>
      <c r="J71" s="28" t="s">
        <v>130</v>
      </c>
      <c r="K71" s="41">
        <v>1.1805555555555555E-2</v>
      </c>
      <c r="L71" s="41">
        <v>0.05</v>
      </c>
      <c r="M71" s="28" t="s">
        <v>109</v>
      </c>
      <c r="N71" s="28" t="s">
        <v>109</v>
      </c>
      <c r="O71" s="28" t="s">
        <v>61</v>
      </c>
      <c r="P71" s="28" t="s">
        <v>131</v>
      </c>
      <c r="Q71" s="28" t="s">
        <v>87</v>
      </c>
      <c r="R71" s="28" t="s">
        <v>62</v>
      </c>
      <c r="S71" s="28" t="s">
        <v>512</v>
      </c>
      <c r="T71" s="28" t="s">
        <v>2661</v>
      </c>
      <c r="U71" s="111">
        <f t="shared" si="2"/>
        <v>0.06</v>
      </c>
      <c r="V71" s="28" t="s">
        <v>612</v>
      </c>
    </row>
    <row r="72" spans="1:22" x14ac:dyDescent="0.3">
      <c r="A72" s="28">
        <v>71</v>
      </c>
      <c r="B72" s="28" t="s">
        <v>143</v>
      </c>
      <c r="C72" s="28" t="s">
        <v>2359</v>
      </c>
      <c r="D72" s="28">
        <v>10226038</v>
      </c>
      <c r="E72" s="28">
        <v>150</v>
      </c>
      <c r="F72" s="28">
        <v>230</v>
      </c>
      <c r="G72" s="28">
        <v>127</v>
      </c>
      <c r="H72" s="28" t="s">
        <v>1409</v>
      </c>
      <c r="I72" s="28" t="s">
        <v>97</v>
      </c>
      <c r="J72" s="28" t="s">
        <v>130</v>
      </c>
      <c r="K72" s="41">
        <v>0.8930555555555556</v>
      </c>
      <c r="L72" s="41">
        <v>0.92708333333333337</v>
      </c>
      <c r="M72" s="28" t="s">
        <v>109</v>
      </c>
      <c r="N72" s="28" t="s">
        <v>109</v>
      </c>
      <c r="O72" s="28" t="s">
        <v>61</v>
      </c>
      <c r="P72" s="28" t="s">
        <v>131</v>
      </c>
      <c r="Q72" s="28" t="s">
        <v>95</v>
      </c>
      <c r="R72" s="28" t="s">
        <v>62</v>
      </c>
      <c r="S72" s="28" t="s">
        <v>512</v>
      </c>
      <c r="T72" s="28" t="s">
        <v>402</v>
      </c>
      <c r="U72" s="111">
        <f t="shared" si="2"/>
        <v>0.84666666666666668</v>
      </c>
      <c r="V72" s="28" t="s">
        <v>1945</v>
      </c>
    </row>
    <row r="73" spans="1:22" x14ac:dyDescent="0.3">
      <c r="A73" s="28">
        <v>72</v>
      </c>
      <c r="B73" s="28" t="s">
        <v>143</v>
      </c>
      <c r="C73" s="28" t="s">
        <v>2304</v>
      </c>
      <c r="D73" s="28">
        <v>10226023</v>
      </c>
      <c r="E73" s="28">
        <v>54</v>
      </c>
      <c r="F73" s="28">
        <v>54</v>
      </c>
      <c r="G73" s="28">
        <v>10</v>
      </c>
      <c r="H73" s="28" t="s">
        <v>68</v>
      </c>
      <c r="I73" s="28" t="s">
        <v>86</v>
      </c>
      <c r="J73" s="28" t="s">
        <v>130</v>
      </c>
      <c r="K73" s="41">
        <v>2.0833333333333332E-2</v>
      </c>
      <c r="L73" s="41">
        <v>3.5416666666666666E-2</v>
      </c>
      <c r="M73" s="28" t="s">
        <v>109</v>
      </c>
      <c r="N73" s="28" t="s">
        <v>109</v>
      </c>
      <c r="O73" s="28" t="s">
        <v>61</v>
      </c>
      <c r="P73" s="28" t="s">
        <v>131</v>
      </c>
      <c r="Q73" s="28" t="s">
        <v>86</v>
      </c>
      <c r="R73" s="28" t="s">
        <v>62</v>
      </c>
      <c r="S73" s="28" t="s">
        <v>512</v>
      </c>
      <c r="T73" s="28" t="s">
        <v>402</v>
      </c>
      <c r="U73" s="111">
        <f t="shared" si="2"/>
        <v>0.18518518518518517</v>
      </c>
      <c r="V73" s="28" t="s">
        <v>612</v>
      </c>
    </row>
    <row r="74" spans="1:22" x14ac:dyDescent="0.3">
      <c r="A74" s="28">
        <v>73</v>
      </c>
      <c r="B74" s="28" t="s">
        <v>143</v>
      </c>
      <c r="C74" s="28" t="s">
        <v>2362</v>
      </c>
      <c r="D74" s="28">
        <v>10226034</v>
      </c>
      <c r="E74" s="28">
        <v>30</v>
      </c>
      <c r="F74" s="28">
        <v>39</v>
      </c>
      <c r="G74" s="28">
        <v>32</v>
      </c>
      <c r="H74" s="28" t="s">
        <v>196</v>
      </c>
      <c r="I74" s="28" t="s">
        <v>87</v>
      </c>
      <c r="J74" s="28" t="s">
        <v>130</v>
      </c>
      <c r="K74" s="41">
        <v>0.66180555555555554</v>
      </c>
      <c r="L74" s="41">
        <v>0.68819444444444444</v>
      </c>
      <c r="M74" s="28" t="s">
        <v>109</v>
      </c>
      <c r="N74" s="28" t="s">
        <v>109</v>
      </c>
      <c r="O74" s="28" t="s">
        <v>61</v>
      </c>
      <c r="P74" s="28" t="s">
        <v>131</v>
      </c>
      <c r="Q74" s="28" t="s">
        <v>87</v>
      </c>
      <c r="R74" s="28" t="s">
        <v>62</v>
      </c>
      <c r="S74" s="28" t="s">
        <v>512</v>
      </c>
      <c r="T74" s="28" t="s">
        <v>121</v>
      </c>
      <c r="U74" s="111">
        <f t="shared" si="2"/>
        <v>1.0666666666666667</v>
      </c>
      <c r="V74" s="28" t="s">
        <v>1945</v>
      </c>
    </row>
    <row r="75" spans="1:22" x14ac:dyDescent="0.3">
      <c r="A75" s="28">
        <v>74</v>
      </c>
      <c r="B75" s="28" t="s">
        <v>143</v>
      </c>
      <c r="C75" s="28" t="s">
        <v>2365</v>
      </c>
      <c r="D75" s="28">
        <v>10226032</v>
      </c>
      <c r="E75" s="28">
        <v>40</v>
      </c>
      <c r="F75" s="28">
        <v>82</v>
      </c>
      <c r="G75" s="28">
        <v>38</v>
      </c>
      <c r="H75" s="28" t="s">
        <v>64</v>
      </c>
      <c r="I75" s="28" t="s">
        <v>86</v>
      </c>
      <c r="J75" s="28" t="s">
        <v>130</v>
      </c>
      <c r="K75" s="41">
        <v>0.69652777777777775</v>
      </c>
      <c r="L75" s="41">
        <v>0.70763888888888893</v>
      </c>
      <c r="M75" s="28" t="s">
        <v>109</v>
      </c>
      <c r="N75" s="28" t="s">
        <v>109</v>
      </c>
      <c r="O75" s="28" t="s">
        <v>61</v>
      </c>
      <c r="P75" s="28" t="s">
        <v>131</v>
      </c>
      <c r="Q75" s="28" t="s">
        <v>86</v>
      </c>
      <c r="R75" s="28" t="s">
        <v>62</v>
      </c>
      <c r="S75" s="28" t="s">
        <v>512</v>
      </c>
      <c r="T75" s="28" t="s">
        <v>121</v>
      </c>
      <c r="U75" s="111">
        <f t="shared" si="2"/>
        <v>0.95</v>
      </c>
      <c r="V75" s="28" t="s">
        <v>1945</v>
      </c>
    </row>
    <row r="76" spans="1:22" x14ac:dyDescent="0.3">
      <c r="A76" s="28">
        <v>75</v>
      </c>
      <c r="B76" s="28" t="s">
        <v>143</v>
      </c>
      <c r="C76" s="28" t="s">
        <v>2705</v>
      </c>
      <c r="D76" s="28">
        <v>10226067</v>
      </c>
      <c r="E76" s="28">
        <v>125</v>
      </c>
      <c r="F76" s="28">
        <v>202</v>
      </c>
      <c r="G76" s="28">
        <v>86</v>
      </c>
      <c r="H76" s="28" t="s">
        <v>70</v>
      </c>
      <c r="I76" s="28" t="s">
        <v>91</v>
      </c>
      <c r="J76" s="28" t="s">
        <v>130</v>
      </c>
      <c r="K76" s="41">
        <v>0.79374999999999996</v>
      </c>
      <c r="L76" s="41">
        <v>0.82499999999999996</v>
      </c>
      <c r="M76" s="28" t="s">
        <v>109</v>
      </c>
      <c r="N76" s="28" t="s">
        <v>109</v>
      </c>
      <c r="O76" s="28" t="s">
        <v>61</v>
      </c>
      <c r="P76" s="28" t="s">
        <v>131</v>
      </c>
      <c r="Q76" s="28" t="s">
        <v>91</v>
      </c>
      <c r="R76" s="28" t="s">
        <v>62</v>
      </c>
      <c r="S76" s="28" t="s">
        <v>512</v>
      </c>
      <c r="T76" s="28" t="s">
        <v>2719</v>
      </c>
      <c r="U76" s="111">
        <f t="shared" si="2"/>
        <v>0.68799999999999994</v>
      </c>
      <c r="V76" s="28" t="s">
        <v>1940</v>
      </c>
    </row>
    <row r="77" spans="1:22" x14ac:dyDescent="0.3">
      <c r="A77" s="28">
        <v>76</v>
      </c>
      <c r="B77" s="28" t="s">
        <v>143</v>
      </c>
      <c r="C77" s="28" t="s">
        <v>2611</v>
      </c>
      <c r="D77" s="28">
        <v>10226052</v>
      </c>
      <c r="E77" s="28">
        <v>50</v>
      </c>
      <c r="F77" s="28">
        <v>103</v>
      </c>
      <c r="G77" s="28">
        <v>50</v>
      </c>
      <c r="H77" s="28" t="s">
        <v>71</v>
      </c>
      <c r="I77" s="28" t="s">
        <v>209</v>
      </c>
      <c r="J77" s="28" t="s">
        <v>130</v>
      </c>
      <c r="K77" s="41">
        <v>0.92291666666666672</v>
      </c>
      <c r="L77" s="41">
        <v>0.95138888888888884</v>
      </c>
      <c r="M77" s="28" t="s">
        <v>109</v>
      </c>
      <c r="N77" s="28" t="s">
        <v>109</v>
      </c>
      <c r="O77" s="28" t="s">
        <v>61</v>
      </c>
      <c r="P77" s="28" t="s">
        <v>131</v>
      </c>
      <c r="Q77" s="28" t="s">
        <v>209</v>
      </c>
      <c r="R77" s="28" t="s">
        <v>62</v>
      </c>
      <c r="S77" s="28" t="s">
        <v>512</v>
      </c>
      <c r="T77" s="28" t="s">
        <v>2612</v>
      </c>
      <c r="U77" s="111">
        <f t="shared" si="2"/>
        <v>1</v>
      </c>
      <c r="V77" s="28" t="s">
        <v>1945</v>
      </c>
    </row>
    <row r="78" spans="1:22" x14ac:dyDescent="0.3">
      <c r="A78" s="28">
        <v>77</v>
      </c>
      <c r="B78" s="28" t="s">
        <v>143</v>
      </c>
      <c r="C78" s="28" t="s">
        <v>2613</v>
      </c>
      <c r="D78" s="28">
        <v>10226053</v>
      </c>
      <c r="E78" s="28">
        <v>52</v>
      </c>
      <c r="F78" s="28">
        <v>101</v>
      </c>
      <c r="G78" s="28">
        <v>52</v>
      </c>
      <c r="H78" s="28" t="s">
        <v>196</v>
      </c>
      <c r="I78" s="28" t="s">
        <v>87</v>
      </c>
      <c r="J78" s="28" t="s">
        <v>130</v>
      </c>
      <c r="K78" s="41">
        <v>0.68819444444444444</v>
      </c>
      <c r="L78" s="41">
        <v>0.70833333333333337</v>
      </c>
      <c r="M78" s="28" t="s">
        <v>109</v>
      </c>
      <c r="N78" s="28" t="s">
        <v>109</v>
      </c>
      <c r="O78" s="28" t="s">
        <v>61</v>
      </c>
      <c r="P78" s="28" t="s">
        <v>131</v>
      </c>
      <c r="Q78" s="28" t="s">
        <v>87</v>
      </c>
      <c r="R78" s="28" t="s">
        <v>62</v>
      </c>
      <c r="S78" s="28" t="s">
        <v>512</v>
      </c>
      <c r="T78" s="28" t="s">
        <v>2612</v>
      </c>
      <c r="U78" s="111">
        <f t="shared" si="2"/>
        <v>1</v>
      </c>
      <c r="V78" s="28" t="s">
        <v>1945</v>
      </c>
    </row>
    <row r="79" spans="1:22" x14ac:dyDescent="0.3">
      <c r="A79" s="28">
        <v>78</v>
      </c>
      <c r="B79" s="28" t="s">
        <v>143</v>
      </c>
      <c r="C79" s="28" t="s">
        <v>2741</v>
      </c>
      <c r="D79" s="28">
        <v>10226068</v>
      </c>
      <c r="E79" s="28">
        <v>40</v>
      </c>
      <c r="F79" s="28">
        <v>48</v>
      </c>
      <c r="G79" s="28">
        <v>42</v>
      </c>
      <c r="H79" s="28" t="s">
        <v>66</v>
      </c>
      <c r="I79" s="28" t="s">
        <v>88</v>
      </c>
      <c r="J79" s="28" t="s">
        <v>130</v>
      </c>
      <c r="K79" s="41">
        <v>0.65763888888888888</v>
      </c>
      <c r="L79" s="41">
        <v>5.486111111111111E-2</v>
      </c>
      <c r="M79" s="28" t="s">
        <v>109</v>
      </c>
      <c r="N79" s="28" t="s">
        <v>109</v>
      </c>
      <c r="O79" s="28" t="s">
        <v>61</v>
      </c>
      <c r="P79" s="28" t="s">
        <v>131</v>
      </c>
      <c r="Q79" s="28" t="s">
        <v>88</v>
      </c>
      <c r="R79" s="28" t="s">
        <v>62</v>
      </c>
      <c r="S79" s="28" t="s">
        <v>512</v>
      </c>
      <c r="T79" s="28" t="s">
        <v>2742</v>
      </c>
      <c r="U79" s="111">
        <f t="shared" si="2"/>
        <v>1.05</v>
      </c>
      <c r="V79" s="28" t="s">
        <v>1945</v>
      </c>
    </row>
    <row r="80" spans="1:22" x14ac:dyDescent="0.3">
      <c r="A80" s="28">
        <v>79</v>
      </c>
      <c r="B80" s="28" t="s">
        <v>143</v>
      </c>
      <c r="C80" s="28" t="s">
        <v>2743</v>
      </c>
      <c r="D80" s="28">
        <v>10226069</v>
      </c>
      <c r="E80" s="28">
        <v>65</v>
      </c>
      <c r="F80" s="28">
        <v>127</v>
      </c>
      <c r="G80" s="28">
        <v>36</v>
      </c>
      <c r="H80" s="28" t="s">
        <v>184</v>
      </c>
      <c r="I80" s="28" t="s">
        <v>94</v>
      </c>
      <c r="J80" s="28" t="s">
        <v>130</v>
      </c>
      <c r="K80" s="41">
        <v>3.9583333333333331E-2</v>
      </c>
      <c r="L80" s="41">
        <v>5.6250000000000001E-2</v>
      </c>
      <c r="M80" s="28" t="s">
        <v>109</v>
      </c>
      <c r="N80" s="28" t="s">
        <v>109</v>
      </c>
      <c r="O80" s="28" t="s">
        <v>61</v>
      </c>
      <c r="P80" s="28" t="s">
        <v>131</v>
      </c>
      <c r="Q80" s="28" t="s">
        <v>94</v>
      </c>
      <c r="R80" s="28" t="s">
        <v>62</v>
      </c>
      <c r="S80" s="28" t="s">
        <v>512</v>
      </c>
      <c r="T80" s="28" t="s">
        <v>2742</v>
      </c>
      <c r="U80" s="111">
        <f t="shared" si="2"/>
        <v>0.55384615384615388</v>
      </c>
      <c r="V80" s="28" t="s">
        <v>1940</v>
      </c>
    </row>
    <row r="81" spans="1:22" x14ac:dyDescent="0.3">
      <c r="A81" s="28">
        <v>80</v>
      </c>
      <c r="B81" s="28" t="s">
        <v>143</v>
      </c>
      <c r="C81" s="28" t="s">
        <v>2744</v>
      </c>
      <c r="D81" s="28">
        <v>10226070</v>
      </c>
      <c r="E81" s="28">
        <v>125</v>
      </c>
      <c r="F81" s="28">
        <v>160</v>
      </c>
      <c r="G81" s="28">
        <v>128</v>
      </c>
      <c r="H81" s="28" t="s">
        <v>82</v>
      </c>
      <c r="I81" s="28" t="s">
        <v>89</v>
      </c>
      <c r="J81" s="28" t="s">
        <v>130</v>
      </c>
      <c r="K81" s="41">
        <v>0.79305555555555551</v>
      </c>
      <c r="L81" s="41">
        <v>0.81388888888888888</v>
      </c>
      <c r="M81" s="28" t="s">
        <v>109</v>
      </c>
      <c r="N81" s="28" t="s">
        <v>109</v>
      </c>
      <c r="O81" s="28" t="s">
        <v>61</v>
      </c>
      <c r="P81" s="28" t="s">
        <v>131</v>
      </c>
      <c r="Q81" s="28" t="s">
        <v>1082</v>
      </c>
      <c r="R81" s="28" t="s">
        <v>62</v>
      </c>
      <c r="S81" s="28" t="s">
        <v>512</v>
      </c>
      <c r="T81" s="28" t="s">
        <v>325</v>
      </c>
      <c r="U81" s="111">
        <f t="shared" si="2"/>
        <v>1.024</v>
      </c>
      <c r="V81" s="28" t="s">
        <v>1945</v>
      </c>
    </row>
    <row r="82" spans="1:22" x14ac:dyDescent="0.3">
      <c r="A82" s="28">
        <v>81</v>
      </c>
      <c r="B82" s="28" t="s">
        <v>143</v>
      </c>
      <c r="C82" s="28" t="s">
        <v>2745</v>
      </c>
      <c r="D82" s="28">
        <v>10226071</v>
      </c>
      <c r="E82" s="28">
        <v>115</v>
      </c>
      <c r="F82" s="28">
        <v>140</v>
      </c>
      <c r="G82" s="28">
        <v>15</v>
      </c>
      <c r="H82" s="28" t="s">
        <v>66</v>
      </c>
      <c r="I82" s="28" t="s">
        <v>95</v>
      </c>
      <c r="J82" s="28" t="s">
        <v>130</v>
      </c>
      <c r="K82" s="41">
        <v>0.98124999999999996</v>
      </c>
      <c r="L82" s="41">
        <v>4.1666666666666666E-3</v>
      </c>
      <c r="M82" s="28" t="s">
        <v>109</v>
      </c>
      <c r="N82" s="28" t="s">
        <v>109</v>
      </c>
      <c r="O82" s="28" t="s">
        <v>61</v>
      </c>
      <c r="P82" s="28" t="s">
        <v>131</v>
      </c>
      <c r="Q82" s="28" t="s">
        <v>95</v>
      </c>
      <c r="R82" s="28" t="s">
        <v>62</v>
      </c>
      <c r="S82" s="28" t="s">
        <v>512</v>
      </c>
      <c r="T82" s="28" t="s">
        <v>182</v>
      </c>
      <c r="U82" s="111">
        <f t="shared" si="2"/>
        <v>0.13043478260869565</v>
      </c>
      <c r="V82" s="28" t="s">
        <v>612</v>
      </c>
    </row>
    <row r="83" spans="1:22" x14ac:dyDescent="0.3">
      <c r="A83" s="28">
        <v>82</v>
      </c>
      <c r="B83" s="28" t="s">
        <v>143</v>
      </c>
      <c r="C83" s="28" t="s">
        <v>2428</v>
      </c>
      <c r="D83" s="28">
        <v>10226044</v>
      </c>
      <c r="E83" s="28">
        <v>80</v>
      </c>
      <c r="F83" s="28">
        <v>102</v>
      </c>
      <c r="G83" s="28">
        <v>83</v>
      </c>
      <c r="H83" s="28" t="s">
        <v>67</v>
      </c>
      <c r="I83" s="28" t="s">
        <v>209</v>
      </c>
      <c r="J83" s="28" t="s">
        <v>130</v>
      </c>
      <c r="K83" s="41">
        <v>0.8305555555555556</v>
      </c>
      <c r="L83" s="41">
        <v>0.86527777777777781</v>
      </c>
      <c r="M83" s="28" t="s">
        <v>109</v>
      </c>
      <c r="N83" s="28" t="s">
        <v>109</v>
      </c>
      <c r="O83" s="28" t="s">
        <v>61</v>
      </c>
      <c r="P83" s="28" t="s">
        <v>131</v>
      </c>
      <c r="Q83" s="28" t="s">
        <v>209</v>
      </c>
      <c r="R83" s="28" t="s">
        <v>62</v>
      </c>
      <c r="S83" s="28" t="s">
        <v>512</v>
      </c>
      <c r="T83" s="28" t="s">
        <v>609</v>
      </c>
      <c r="U83" s="111">
        <f t="shared" si="2"/>
        <v>1.0375000000000001</v>
      </c>
      <c r="V83" s="28" t="s">
        <v>1945</v>
      </c>
    </row>
    <row r="84" spans="1:22" x14ac:dyDescent="0.3">
      <c r="A84" s="28">
        <v>83</v>
      </c>
      <c r="B84" s="28" t="s">
        <v>143</v>
      </c>
      <c r="C84" s="28" t="s">
        <v>2256</v>
      </c>
      <c r="D84" s="28">
        <v>10226016</v>
      </c>
      <c r="E84" s="28">
        <v>150</v>
      </c>
      <c r="F84" s="28">
        <v>292</v>
      </c>
      <c r="G84" s="28">
        <v>73</v>
      </c>
      <c r="H84" s="28" t="s">
        <v>2756</v>
      </c>
      <c r="I84" s="28" t="s">
        <v>192</v>
      </c>
      <c r="J84" s="28" t="s">
        <v>130</v>
      </c>
      <c r="K84" s="41">
        <v>0.9375</v>
      </c>
      <c r="L84" s="41">
        <v>1.8749999999999999E-2</v>
      </c>
      <c r="M84" s="28" t="s">
        <v>109</v>
      </c>
      <c r="N84" s="28" t="s">
        <v>109</v>
      </c>
      <c r="O84" s="28" t="s">
        <v>61</v>
      </c>
      <c r="P84" s="28" t="s">
        <v>131</v>
      </c>
      <c r="Q84" s="28" t="s">
        <v>88</v>
      </c>
      <c r="R84" s="28" t="s">
        <v>62</v>
      </c>
      <c r="S84" s="28" t="s">
        <v>512</v>
      </c>
      <c r="T84" s="28" t="s">
        <v>2253</v>
      </c>
      <c r="U84" s="111">
        <f t="shared" si="2"/>
        <v>0.48666666666666669</v>
      </c>
      <c r="V84" s="28" t="s">
        <v>1940</v>
      </c>
    </row>
    <row r="85" spans="1:22" x14ac:dyDescent="0.3">
      <c r="A85" s="28">
        <v>84</v>
      </c>
      <c r="B85" s="28" t="s">
        <v>143</v>
      </c>
      <c r="C85" s="28" t="s">
        <v>1734</v>
      </c>
      <c r="D85" s="28">
        <v>10126049</v>
      </c>
      <c r="E85" s="28">
        <v>10</v>
      </c>
      <c r="F85" s="28" t="s">
        <v>109</v>
      </c>
      <c r="G85" s="28" t="s">
        <v>109</v>
      </c>
      <c r="H85" s="28" t="s">
        <v>66</v>
      </c>
      <c r="I85" s="28" t="s">
        <v>88</v>
      </c>
      <c r="J85" s="28" t="s">
        <v>85</v>
      </c>
      <c r="K85" s="28" t="s">
        <v>109</v>
      </c>
      <c r="L85" s="28" t="s">
        <v>109</v>
      </c>
      <c r="M85" s="28" t="s">
        <v>109</v>
      </c>
      <c r="N85" s="28" t="s">
        <v>109</v>
      </c>
      <c r="O85" s="28" t="s">
        <v>61</v>
      </c>
      <c r="P85" s="28" t="s">
        <v>109</v>
      </c>
      <c r="Q85" s="28" t="s">
        <v>109</v>
      </c>
      <c r="R85" s="28" t="s">
        <v>62</v>
      </c>
      <c r="S85" s="28" t="s">
        <v>512</v>
      </c>
      <c r="T85" s="28" t="s">
        <v>182</v>
      </c>
      <c r="U85" s="111" t="e">
        <f t="shared" si="2"/>
        <v>#VALUE!</v>
      </c>
      <c r="V85" s="28" t="s">
        <v>109</v>
      </c>
    </row>
    <row r="86" spans="1:22" x14ac:dyDescent="0.3">
      <c r="A86" s="28">
        <v>85</v>
      </c>
      <c r="B86" s="28" t="s">
        <v>143</v>
      </c>
      <c r="C86" s="28" t="s">
        <v>2424</v>
      </c>
      <c r="D86" s="28">
        <v>10226043</v>
      </c>
      <c r="E86" s="28">
        <v>60</v>
      </c>
      <c r="F86" s="28">
        <v>121</v>
      </c>
      <c r="G86" s="28">
        <v>39</v>
      </c>
      <c r="H86" s="28" t="s">
        <v>69</v>
      </c>
      <c r="I86" s="28" t="s">
        <v>179</v>
      </c>
      <c r="J86" s="28" t="s">
        <v>130</v>
      </c>
      <c r="K86" s="41">
        <v>8.3333333333333332E-3</v>
      </c>
      <c r="L86" s="41">
        <v>4.4444444444444446E-2</v>
      </c>
      <c r="M86" s="28" t="s">
        <v>109</v>
      </c>
      <c r="N86" s="28" t="s">
        <v>109</v>
      </c>
      <c r="O86" s="28" t="s">
        <v>61</v>
      </c>
      <c r="P86" s="28" t="s">
        <v>131</v>
      </c>
      <c r="Q86" s="28" t="s">
        <v>179</v>
      </c>
      <c r="R86" s="28" t="s">
        <v>62</v>
      </c>
      <c r="S86" s="28" t="s">
        <v>512</v>
      </c>
      <c r="T86" s="28" t="s">
        <v>398</v>
      </c>
      <c r="U86" s="111">
        <f t="shared" si="2"/>
        <v>0.65</v>
      </c>
      <c r="V86" s="28" t="s">
        <v>1940</v>
      </c>
    </row>
    <row r="87" spans="1:22" x14ac:dyDescent="0.3">
      <c r="A87" s="28">
        <v>86</v>
      </c>
      <c r="B87" s="28" t="s">
        <v>26</v>
      </c>
      <c r="C87" s="28" t="s">
        <v>1388</v>
      </c>
      <c r="D87" s="28">
        <v>40126024</v>
      </c>
      <c r="E87" s="28">
        <v>275</v>
      </c>
      <c r="F87" s="28">
        <v>135</v>
      </c>
      <c r="G87" s="28">
        <v>8</v>
      </c>
      <c r="H87" s="28" t="s">
        <v>2152</v>
      </c>
      <c r="I87" s="28" t="s">
        <v>2721</v>
      </c>
      <c r="J87" s="28" t="s">
        <v>130</v>
      </c>
      <c r="K87" s="41">
        <v>0.84583333333333333</v>
      </c>
      <c r="L87" s="41">
        <v>0.97638888888888886</v>
      </c>
      <c r="M87" s="28" t="s">
        <v>109</v>
      </c>
      <c r="N87" s="28" t="s">
        <v>109</v>
      </c>
      <c r="O87" s="28" t="s">
        <v>61</v>
      </c>
      <c r="P87" s="28" t="s">
        <v>131</v>
      </c>
      <c r="Q87" s="28" t="s">
        <v>86</v>
      </c>
      <c r="R87" s="28" t="s">
        <v>62</v>
      </c>
      <c r="S87" s="28" t="s">
        <v>512</v>
      </c>
      <c r="T87" s="28" t="s">
        <v>121</v>
      </c>
      <c r="U87" s="111">
        <f t="shared" si="2"/>
        <v>2.9090909090909091E-2</v>
      </c>
      <c r="V87" s="28" t="s">
        <v>612</v>
      </c>
    </row>
    <row r="88" spans="1:22" x14ac:dyDescent="0.3">
      <c r="A88" s="28">
        <v>87</v>
      </c>
      <c r="B88" s="28" t="s">
        <v>26</v>
      </c>
      <c r="C88" s="28" t="s">
        <v>2632</v>
      </c>
      <c r="D88" s="28">
        <v>40226018</v>
      </c>
      <c r="E88" s="28">
        <v>149</v>
      </c>
      <c r="F88" s="28">
        <v>216</v>
      </c>
      <c r="G88" s="28">
        <v>145</v>
      </c>
      <c r="H88" s="28" t="s">
        <v>863</v>
      </c>
      <c r="I88" s="28" t="s">
        <v>389</v>
      </c>
      <c r="J88" s="28" t="s">
        <v>130</v>
      </c>
      <c r="K88" s="41">
        <v>0.65972222222222221</v>
      </c>
      <c r="L88" s="41">
        <v>0.79374999999999996</v>
      </c>
      <c r="M88" s="28" t="s">
        <v>109</v>
      </c>
      <c r="N88" s="28" t="s">
        <v>109</v>
      </c>
      <c r="O88" s="28" t="s">
        <v>61</v>
      </c>
      <c r="P88" s="28" t="s">
        <v>131</v>
      </c>
      <c r="Q88" s="28" t="s">
        <v>1082</v>
      </c>
      <c r="R88" s="28" t="s">
        <v>62</v>
      </c>
      <c r="S88" s="28" t="s">
        <v>512</v>
      </c>
      <c r="T88" s="28" t="s">
        <v>2636</v>
      </c>
      <c r="U88" s="111">
        <f t="shared" si="2"/>
        <v>0.97315436241610742</v>
      </c>
      <c r="V88" s="28" t="s">
        <v>1945</v>
      </c>
    </row>
    <row r="89" spans="1:22" s="21" customFormat="1" x14ac:dyDescent="0.3">
      <c r="A89" s="28">
        <v>88</v>
      </c>
      <c r="B89" s="28" t="s">
        <v>26</v>
      </c>
      <c r="C89" s="28" t="s">
        <v>2637</v>
      </c>
      <c r="D89" s="28">
        <v>40226019</v>
      </c>
      <c r="E89" s="28">
        <v>200</v>
      </c>
      <c r="F89" s="28">
        <v>308</v>
      </c>
      <c r="G89" s="28">
        <v>52</v>
      </c>
      <c r="H89" s="28" t="s">
        <v>2723</v>
      </c>
      <c r="I89" s="28" t="s">
        <v>336</v>
      </c>
      <c r="J89" s="28" t="s">
        <v>130</v>
      </c>
      <c r="K89" s="41">
        <v>1.1111111111111112E-2</v>
      </c>
      <c r="L89" s="41">
        <v>5.4166666666666669E-2</v>
      </c>
      <c r="M89" s="28" t="s">
        <v>109</v>
      </c>
      <c r="N89" s="28" t="s">
        <v>2746</v>
      </c>
      <c r="O89" s="28" t="s">
        <v>61</v>
      </c>
      <c r="P89" s="28" t="s">
        <v>131</v>
      </c>
      <c r="Q89" s="28" t="s">
        <v>154</v>
      </c>
      <c r="R89" s="28" t="s">
        <v>62</v>
      </c>
      <c r="S89" s="28" t="s">
        <v>512</v>
      </c>
      <c r="T89" s="28" t="s">
        <v>2636</v>
      </c>
      <c r="U89" s="111">
        <f t="shared" si="2"/>
        <v>0.26</v>
      </c>
      <c r="V89" s="28" t="s">
        <v>2391</v>
      </c>
    </row>
    <row r="90" spans="1:22" x14ac:dyDescent="0.3">
      <c r="A90" s="28">
        <v>89</v>
      </c>
      <c r="B90" s="28" t="s">
        <v>24</v>
      </c>
      <c r="C90" s="28" t="s">
        <v>2454</v>
      </c>
      <c r="D90" s="28">
        <v>60226024</v>
      </c>
      <c r="E90" s="28">
        <v>84</v>
      </c>
      <c r="F90" s="28">
        <v>43</v>
      </c>
      <c r="G90" s="28">
        <v>10</v>
      </c>
      <c r="H90" s="28" t="s">
        <v>274</v>
      </c>
      <c r="I90" s="28" t="s">
        <v>91</v>
      </c>
      <c r="J90" s="28" t="s">
        <v>130</v>
      </c>
      <c r="K90" s="41">
        <v>3.5416666666666666E-2</v>
      </c>
      <c r="L90" s="51">
        <v>7.3611111111111113E-2</v>
      </c>
      <c r="M90" s="28" t="s">
        <v>109</v>
      </c>
      <c r="N90" s="28" t="s">
        <v>109</v>
      </c>
      <c r="O90" s="28" t="s">
        <v>61</v>
      </c>
      <c r="P90" s="28" t="s">
        <v>131</v>
      </c>
      <c r="Q90" s="28" t="s">
        <v>91</v>
      </c>
      <c r="R90" s="28" t="s">
        <v>63</v>
      </c>
      <c r="S90" s="28" t="s">
        <v>512</v>
      </c>
      <c r="T90" s="28" t="s">
        <v>2455</v>
      </c>
      <c r="U90" s="111">
        <f t="shared" si="2"/>
        <v>0.11904761904761904</v>
      </c>
      <c r="V90" s="28" t="s">
        <v>109</v>
      </c>
    </row>
    <row r="91" spans="1:22" x14ac:dyDescent="0.3">
      <c r="A91" s="28">
        <v>90</v>
      </c>
      <c r="B91" s="28" t="s">
        <v>24</v>
      </c>
      <c r="C91" s="28" t="s">
        <v>2456</v>
      </c>
      <c r="D91" s="28">
        <v>60226023</v>
      </c>
      <c r="E91" s="28">
        <v>87</v>
      </c>
      <c r="F91" s="28">
        <v>87</v>
      </c>
      <c r="G91" s="28">
        <v>7</v>
      </c>
      <c r="H91" s="28" t="s">
        <v>196</v>
      </c>
      <c r="I91" s="28" t="s">
        <v>87</v>
      </c>
      <c r="J91" s="28" t="s">
        <v>130</v>
      </c>
      <c r="K91" s="41">
        <v>0.80902777777777779</v>
      </c>
      <c r="L91" s="41">
        <v>0.83611111111111114</v>
      </c>
      <c r="M91" s="28" t="s">
        <v>109</v>
      </c>
      <c r="N91" s="28" t="s">
        <v>109</v>
      </c>
      <c r="O91" s="28" t="s">
        <v>61</v>
      </c>
      <c r="P91" s="28" t="s">
        <v>131</v>
      </c>
      <c r="Q91" s="28" t="s">
        <v>87</v>
      </c>
      <c r="R91" s="28" t="s">
        <v>63</v>
      </c>
      <c r="S91" s="28" t="s">
        <v>512</v>
      </c>
      <c r="T91" s="28" t="s">
        <v>2455</v>
      </c>
      <c r="U91" s="111">
        <f t="shared" si="2"/>
        <v>8.0459770114942528E-2</v>
      </c>
      <c r="V91" s="28" t="s">
        <v>612</v>
      </c>
    </row>
    <row r="92" spans="1:22" x14ac:dyDescent="0.3">
      <c r="A92" s="28">
        <v>91</v>
      </c>
      <c r="B92" s="28" t="s">
        <v>24</v>
      </c>
      <c r="C92" s="28" t="s">
        <v>2457</v>
      </c>
      <c r="D92" s="28">
        <v>60226021</v>
      </c>
      <c r="E92" s="28">
        <v>55</v>
      </c>
      <c r="F92" s="28">
        <v>20</v>
      </c>
      <c r="G92" s="28">
        <v>7</v>
      </c>
      <c r="H92" s="28" t="s">
        <v>64</v>
      </c>
      <c r="I92" s="28" t="s">
        <v>86</v>
      </c>
      <c r="J92" s="28" t="s">
        <v>130</v>
      </c>
      <c r="K92" s="41">
        <v>0.99375000000000002</v>
      </c>
      <c r="L92" s="41">
        <v>2.0833333333333332E-2</v>
      </c>
      <c r="M92" s="28" t="s">
        <v>109</v>
      </c>
      <c r="N92" s="28" t="s">
        <v>109</v>
      </c>
      <c r="O92" s="28" t="s">
        <v>61</v>
      </c>
      <c r="P92" s="28" t="s">
        <v>131</v>
      </c>
      <c r="Q92" s="28" t="s">
        <v>86</v>
      </c>
      <c r="R92" s="28" t="s">
        <v>63</v>
      </c>
      <c r="S92" s="28" t="s">
        <v>512</v>
      </c>
      <c r="T92" s="28" t="s">
        <v>2455</v>
      </c>
      <c r="U92" s="111">
        <f t="shared" si="2"/>
        <v>0.12727272727272726</v>
      </c>
      <c r="V92" s="28" t="s">
        <v>612</v>
      </c>
    </row>
    <row r="93" spans="1:22" s="21" customFormat="1" x14ac:dyDescent="0.3">
      <c r="A93" s="28">
        <v>92</v>
      </c>
      <c r="B93" s="28" t="s">
        <v>24</v>
      </c>
      <c r="C93" s="28" t="s">
        <v>2458</v>
      </c>
      <c r="D93" s="28">
        <v>60226022</v>
      </c>
      <c r="E93" s="28">
        <v>149</v>
      </c>
      <c r="F93" s="28">
        <v>109</v>
      </c>
      <c r="G93" s="28">
        <v>30</v>
      </c>
      <c r="H93" s="28" t="s">
        <v>2759</v>
      </c>
      <c r="I93" s="28" t="s">
        <v>192</v>
      </c>
      <c r="J93" s="28" t="s">
        <v>130</v>
      </c>
      <c r="K93" s="41">
        <v>0.7729166666666667</v>
      </c>
      <c r="L93" s="41">
        <v>0.97013888888888888</v>
      </c>
      <c r="M93" s="28" t="s">
        <v>109</v>
      </c>
      <c r="N93" s="28" t="s">
        <v>109</v>
      </c>
      <c r="O93" s="28" t="s">
        <v>61</v>
      </c>
      <c r="P93" s="28" t="s">
        <v>131</v>
      </c>
      <c r="Q93" s="28" t="s">
        <v>209</v>
      </c>
      <c r="R93" s="28" t="s">
        <v>63</v>
      </c>
      <c r="S93" s="28" t="s">
        <v>512</v>
      </c>
      <c r="T93" s="28" t="s">
        <v>2455</v>
      </c>
      <c r="U93" s="111">
        <f t="shared" si="2"/>
        <v>0.20134228187919462</v>
      </c>
      <c r="V93" s="28" t="s">
        <v>612</v>
      </c>
    </row>
    <row r="94" spans="1:22" x14ac:dyDescent="0.3">
      <c r="A94" s="28">
        <v>93</v>
      </c>
      <c r="B94" s="28" t="s">
        <v>292</v>
      </c>
      <c r="C94" s="28" t="s">
        <v>2747</v>
      </c>
      <c r="D94" s="28">
        <v>40226021</v>
      </c>
      <c r="E94" s="28">
        <v>149</v>
      </c>
      <c r="F94" s="28">
        <v>114</v>
      </c>
      <c r="G94" s="28">
        <v>29</v>
      </c>
      <c r="H94" s="28" t="s">
        <v>1854</v>
      </c>
      <c r="I94" s="28" t="s">
        <v>2748</v>
      </c>
      <c r="J94" s="28" t="s">
        <v>130</v>
      </c>
      <c r="K94" s="41">
        <v>0.82361111111111107</v>
      </c>
      <c r="L94" s="41">
        <v>0.84444444444444444</v>
      </c>
      <c r="M94" s="28" t="s">
        <v>109</v>
      </c>
      <c r="N94" s="28" t="s">
        <v>1006</v>
      </c>
      <c r="O94" s="28" t="s">
        <v>61</v>
      </c>
      <c r="P94" s="28" t="s">
        <v>131</v>
      </c>
      <c r="Q94" s="28" t="s">
        <v>91</v>
      </c>
      <c r="R94" s="28" t="s">
        <v>63</v>
      </c>
      <c r="S94" s="28" t="s">
        <v>512</v>
      </c>
      <c r="T94" s="28" t="s">
        <v>2749</v>
      </c>
      <c r="U94" s="111">
        <f t="shared" si="2"/>
        <v>0.19463087248322147</v>
      </c>
      <c r="V94" s="28" t="s">
        <v>612</v>
      </c>
    </row>
    <row r="95" spans="1:22" x14ac:dyDescent="0.3">
      <c r="A95" s="28">
        <v>94</v>
      </c>
      <c r="B95" s="28" t="s">
        <v>26</v>
      </c>
      <c r="C95" s="28" t="s">
        <v>1389</v>
      </c>
      <c r="D95" s="28">
        <v>40126028</v>
      </c>
      <c r="E95" s="28">
        <v>259</v>
      </c>
      <c r="F95" s="28">
        <v>494</v>
      </c>
      <c r="G95" s="28">
        <v>69</v>
      </c>
      <c r="H95" s="28" t="s">
        <v>2750</v>
      </c>
      <c r="I95" s="28" t="s">
        <v>2751</v>
      </c>
      <c r="J95" s="28" t="s">
        <v>130</v>
      </c>
      <c r="K95" s="41">
        <v>0.82777777777777772</v>
      </c>
      <c r="L95" s="41">
        <v>0</v>
      </c>
      <c r="M95" s="28" t="s">
        <v>109</v>
      </c>
      <c r="N95" s="28" t="s">
        <v>109</v>
      </c>
      <c r="O95" s="28" t="s">
        <v>61</v>
      </c>
      <c r="P95" s="28" t="s">
        <v>131</v>
      </c>
      <c r="Q95" s="28" t="s">
        <v>179</v>
      </c>
      <c r="R95" s="28" t="s">
        <v>62</v>
      </c>
      <c r="S95" s="28" t="s">
        <v>512</v>
      </c>
      <c r="T95" s="28" t="s">
        <v>121</v>
      </c>
      <c r="U95" s="111">
        <f t="shared" si="2"/>
        <v>0.26640926640926643</v>
      </c>
      <c r="V95" s="28" t="s">
        <v>2391</v>
      </c>
    </row>
    <row r="96" spans="1:22" x14ac:dyDescent="0.3">
      <c r="A96" s="28">
        <v>95</v>
      </c>
      <c r="B96" s="28" t="s">
        <v>26</v>
      </c>
      <c r="C96" s="28" t="s">
        <v>1391</v>
      </c>
      <c r="D96" s="28">
        <v>40126023</v>
      </c>
      <c r="E96" s="28">
        <v>251</v>
      </c>
      <c r="F96" s="28">
        <v>403</v>
      </c>
      <c r="G96" s="28">
        <v>97</v>
      </c>
      <c r="H96" s="28" t="s">
        <v>2760</v>
      </c>
      <c r="I96" s="28" t="s">
        <v>192</v>
      </c>
      <c r="J96" s="28" t="s">
        <v>130</v>
      </c>
      <c r="K96" s="41">
        <v>1.0416666666666666E-2</v>
      </c>
      <c r="L96" s="41">
        <v>3.1944444444444442E-2</v>
      </c>
      <c r="M96" s="28" t="s">
        <v>109</v>
      </c>
      <c r="N96" s="28" t="s">
        <v>109</v>
      </c>
      <c r="O96" s="28" t="s">
        <v>61</v>
      </c>
      <c r="P96" s="28" t="s">
        <v>131</v>
      </c>
      <c r="Q96" s="28" t="s">
        <v>209</v>
      </c>
      <c r="R96" s="28" t="s">
        <v>62</v>
      </c>
      <c r="S96" s="28" t="s">
        <v>512</v>
      </c>
      <c r="T96" s="28" t="s">
        <v>121</v>
      </c>
      <c r="U96" s="111">
        <f t="shared" si="2"/>
        <v>0.38645418326693226</v>
      </c>
      <c r="V96" s="28" t="s">
        <v>2391</v>
      </c>
    </row>
    <row r="97" spans="1:22" x14ac:dyDescent="0.3">
      <c r="A97" s="28">
        <v>96</v>
      </c>
      <c r="B97" s="28" t="s">
        <v>23</v>
      </c>
      <c r="C97" s="28" t="s">
        <v>2265</v>
      </c>
      <c r="D97" s="28">
        <v>50226072</v>
      </c>
      <c r="E97" s="28">
        <v>150</v>
      </c>
      <c r="F97" s="28">
        <v>263</v>
      </c>
      <c r="G97" s="28">
        <v>178</v>
      </c>
      <c r="H97" s="28" t="s">
        <v>159</v>
      </c>
      <c r="I97" s="28" t="s">
        <v>109</v>
      </c>
      <c r="J97" s="28" t="s">
        <v>130</v>
      </c>
      <c r="K97" s="41">
        <v>0.74791666666666667</v>
      </c>
      <c r="L97" s="28" t="s">
        <v>109</v>
      </c>
      <c r="M97" s="28" t="s">
        <v>109</v>
      </c>
      <c r="N97" s="28" t="s">
        <v>109</v>
      </c>
      <c r="O97" s="28" t="s">
        <v>61</v>
      </c>
      <c r="P97" s="28" t="s">
        <v>131</v>
      </c>
      <c r="Q97" s="28" t="s">
        <v>196</v>
      </c>
      <c r="R97" s="28" t="s">
        <v>62</v>
      </c>
      <c r="S97" s="28" t="s">
        <v>512</v>
      </c>
      <c r="T97" s="28" t="s">
        <v>2264</v>
      </c>
      <c r="U97" s="111">
        <f t="shared" si="2"/>
        <v>1.1866666666666668</v>
      </c>
      <c r="V97" s="28" t="s">
        <v>1945</v>
      </c>
    </row>
    <row r="98" spans="1:22" x14ac:dyDescent="0.3">
      <c r="A98" s="28">
        <v>97</v>
      </c>
      <c r="B98" s="28" t="s">
        <v>23</v>
      </c>
      <c r="C98" s="28" t="s">
        <v>1375</v>
      </c>
      <c r="D98" s="28">
        <v>50126345</v>
      </c>
      <c r="E98" s="28">
        <v>150</v>
      </c>
      <c r="F98" s="28" t="s">
        <v>109</v>
      </c>
      <c r="G98" s="28" t="s">
        <v>109</v>
      </c>
      <c r="H98" s="28" t="s">
        <v>1195</v>
      </c>
      <c r="I98" s="28" t="s">
        <v>109</v>
      </c>
      <c r="J98" s="28" t="s">
        <v>85</v>
      </c>
      <c r="K98" s="28" t="s">
        <v>109</v>
      </c>
      <c r="L98" s="28" t="s">
        <v>109</v>
      </c>
      <c r="M98" s="28" t="s">
        <v>109</v>
      </c>
      <c r="N98" s="28" t="s">
        <v>109</v>
      </c>
      <c r="O98" s="28" t="s">
        <v>61</v>
      </c>
      <c r="P98" s="28" t="s">
        <v>109</v>
      </c>
      <c r="Q98" s="28" t="s">
        <v>109</v>
      </c>
      <c r="R98" s="28" t="s">
        <v>62</v>
      </c>
      <c r="S98" s="28" t="s">
        <v>512</v>
      </c>
      <c r="T98" s="28" t="s">
        <v>1377</v>
      </c>
      <c r="U98" s="111" t="e">
        <f t="shared" ref="U98:U127" si="3">G98/E98</f>
        <v>#VALUE!</v>
      </c>
      <c r="V98" s="28" t="s">
        <v>109</v>
      </c>
    </row>
    <row r="99" spans="1:22" x14ac:dyDescent="0.3">
      <c r="A99" s="28">
        <v>98</v>
      </c>
      <c r="B99" s="28" t="s">
        <v>23</v>
      </c>
      <c r="C99" s="28" t="s">
        <v>1371</v>
      </c>
      <c r="D99" s="28">
        <v>50126338</v>
      </c>
      <c r="E99" s="28">
        <v>100</v>
      </c>
      <c r="F99" s="28">
        <v>110</v>
      </c>
      <c r="G99" s="28">
        <v>27</v>
      </c>
      <c r="H99" s="28" t="s">
        <v>84</v>
      </c>
      <c r="I99" s="28" t="s">
        <v>109</v>
      </c>
      <c r="J99" s="28" t="s">
        <v>130</v>
      </c>
      <c r="K99" s="51">
        <v>0.13055555555555556</v>
      </c>
      <c r="L99" s="28" t="s">
        <v>109</v>
      </c>
      <c r="M99" s="28" t="s">
        <v>109</v>
      </c>
      <c r="N99" s="28" t="s">
        <v>109</v>
      </c>
      <c r="O99" s="28" t="s">
        <v>61</v>
      </c>
      <c r="P99" s="28" t="s">
        <v>131</v>
      </c>
      <c r="Q99" s="28" t="s">
        <v>84</v>
      </c>
      <c r="R99" s="28" t="s">
        <v>62</v>
      </c>
      <c r="S99" s="28" t="s">
        <v>512</v>
      </c>
      <c r="T99" s="28" t="s">
        <v>1365</v>
      </c>
      <c r="U99" s="111">
        <f t="shared" si="3"/>
        <v>0.27</v>
      </c>
      <c r="V99" s="28" t="s">
        <v>109</v>
      </c>
    </row>
    <row r="100" spans="1:22" s="21" customFormat="1" x14ac:dyDescent="0.3">
      <c r="A100" s="28">
        <v>99</v>
      </c>
      <c r="B100" s="28" t="s">
        <v>23</v>
      </c>
      <c r="C100" s="28" t="s">
        <v>2115</v>
      </c>
      <c r="D100" s="28">
        <v>50226055</v>
      </c>
      <c r="E100" s="28">
        <v>200</v>
      </c>
      <c r="F100" s="28">
        <v>398</v>
      </c>
      <c r="G100" s="28">
        <v>105</v>
      </c>
      <c r="H100" s="28" t="s">
        <v>2752</v>
      </c>
      <c r="I100" s="28" t="s">
        <v>109</v>
      </c>
      <c r="J100" s="28" t="s">
        <v>130</v>
      </c>
      <c r="K100" s="41">
        <v>0.9819444444444444</v>
      </c>
      <c r="L100" s="28" t="s">
        <v>109</v>
      </c>
      <c r="M100" s="28" t="s">
        <v>109</v>
      </c>
      <c r="N100" s="28" t="s">
        <v>1621</v>
      </c>
      <c r="O100" s="28" t="s">
        <v>61</v>
      </c>
      <c r="P100" s="28" t="s">
        <v>131</v>
      </c>
      <c r="Q100" s="28" t="s">
        <v>241</v>
      </c>
      <c r="R100" s="28" t="s">
        <v>62</v>
      </c>
      <c r="S100" s="28" t="s">
        <v>512</v>
      </c>
      <c r="T100" s="28" t="s">
        <v>289</v>
      </c>
      <c r="U100" s="111">
        <f t="shared" si="3"/>
        <v>0.52500000000000002</v>
      </c>
      <c r="V100" s="28" t="s">
        <v>1940</v>
      </c>
    </row>
    <row r="101" spans="1:22" s="21" customFormat="1" x14ac:dyDescent="0.3">
      <c r="A101" s="28">
        <v>100</v>
      </c>
      <c r="B101" s="28" t="s">
        <v>23</v>
      </c>
      <c r="C101" s="28" t="s">
        <v>2117</v>
      </c>
      <c r="D101" s="28">
        <v>50226054</v>
      </c>
      <c r="E101" s="28">
        <v>250</v>
      </c>
      <c r="F101" s="28">
        <v>465</v>
      </c>
      <c r="G101" s="28">
        <v>218</v>
      </c>
      <c r="H101" s="28" t="s">
        <v>2547</v>
      </c>
      <c r="I101" s="28" t="s">
        <v>109</v>
      </c>
      <c r="J101" s="28" t="s">
        <v>130</v>
      </c>
      <c r="K101" s="41">
        <v>1.4583333333333334E-2</v>
      </c>
      <c r="L101" s="28" t="s">
        <v>109</v>
      </c>
      <c r="M101" s="28" t="s">
        <v>109</v>
      </c>
      <c r="N101" s="28" t="s">
        <v>1621</v>
      </c>
      <c r="O101" s="28" t="s">
        <v>61</v>
      </c>
      <c r="P101" s="28" t="s">
        <v>131</v>
      </c>
      <c r="Q101" s="28" t="s">
        <v>68</v>
      </c>
      <c r="R101" s="28" t="s">
        <v>62</v>
      </c>
      <c r="S101" s="28" t="s">
        <v>512</v>
      </c>
      <c r="T101" s="28" t="s">
        <v>289</v>
      </c>
      <c r="U101" s="111">
        <f t="shared" si="3"/>
        <v>0.872</v>
      </c>
      <c r="V101" s="28" t="s">
        <v>1940</v>
      </c>
    </row>
    <row r="102" spans="1:22" x14ac:dyDescent="0.3">
      <c r="A102" s="28">
        <v>101</v>
      </c>
      <c r="B102" s="28" t="s">
        <v>23</v>
      </c>
      <c r="C102" s="28" t="s">
        <v>2199</v>
      </c>
      <c r="D102" s="28">
        <v>50226057</v>
      </c>
      <c r="E102" s="28">
        <v>225</v>
      </c>
      <c r="F102" s="28">
        <v>379</v>
      </c>
      <c r="G102" s="28">
        <v>234</v>
      </c>
      <c r="H102" s="28" t="s">
        <v>2673</v>
      </c>
      <c r="I102" s="28" t="s">
        <v>109</v>
      </c>
      <c r="J102" s="28" t="s">
        <v>130</v>
      </c>
      <c r="K102" s="41">
        <v>4.8611111111111112E-3</v>
      </c>
      <c r="L102" s="28" t="s">
        <v>109</v>
      </c>
      <c r="M102" s="28" t="s">
        <v>109</v>
      </c>
      <c r="N102" s="28" t="s">
        <v>1621</v>
      </c>
      <c r="O102" s="28" t="s">
        <v>61</v>
      </c>
      <c r="P102" s="28" t="s">
        <v>131</v>
      </c>
      <c r="Q102" s="28" t="s">
        <v>196</v>
      </c>
      <c r="R102" s="28" t="s">
        <v>62</v>
      </c>
      <c r="S102" s="28" t="s">
        <v>512</v>
      </c>
      <c r="T102" s="28" t="s">
        <v>289</v>
      </c>
      <c r="U102" s="111">
        <f t="shared" si="3"/>
        <v>1.04</v>
      </c>
      <c r="V102" s="28" t="s">
        <v>1945</v>
      </c>
    </row>
    <row r="103" spans="1:22" s="21" customFormat="1" x14ac:dyDescent="0.3">
      <c r="A103" s="28">
        <v>102</v>
      </c>
      <c r="B103" s="28" t="s">
        <v>23</v>
      </c>
      <c r="C103" s="28" t="s">
        <v>1952</v>
      </c>
      <c r="D103" s="28">
        <v>50226035</v>
      </c>
      <c r="E103" s="28">
        <v>100</v>
      </c>
      <c r="F103" s="28">
        <v>168</v>
      </c>
      <c r="G103" s="28">
        <v>107</v>
      </c>
      <c r="H103" s="28" t="s">
        <v>241</v>
      </c>
      <c r="I103" s="28" t="s">
        <v>109</v>
      </c>
      <c r="J103" s="28" t="s">
        <v>130</v>
      </c>
      <c r="K103" s="41">
        <v>0.6875</v>
      </c>
      <c r="L103" s="28" t="s">
        <v>109</v>
      </c>
      <c r="M103" s="28" t="s">
        <v>109</v>
      </c>
      <c r="N103" s="28" t="s">
        <v>109</v>
      </c>
      <c r="O103" s="28" t="s">
        <v>61</v>
      </c>
      <c r="P103" s="28" t="s">
        <v>131</v>
      </c>
      <c r="Q103" s="28" t="s">
        <v>241</v>
      </c>
      <c r="R103" s="28" t="s">
        <v>62</v>
      </c>
      <c r="S103" s="28" t="s">
        <v>512</v>
      </c>
      <c r="T103" s="28" t="s">
        <v>351</v>
      </c>
      <c r="U103" s="111">
        <f t="shared" si="3"/>
        <v>1.07</v>
      </c>
      <c r="V103" s="28" t="s">
        <v>1945</v>
      </c>
    </row>
    <row r="104" spans="1:22" x14ac:dyDescent="0.3">
      <c r="A104" s="28">
        <v>103</v>
      </c>
      <c r="B104" s="28" t="s">
        <v>23</v>
      </c>
      <c r="C104" s="28" t="s">
        <v>1962</v>
      </c>
      <c r="D104" s="28">
        <v>50226036</v>
      </c>
      <c r="E104" s="28">
        <v>100</v>
      </c>
      <c r="F104" s="28">
        <v>201</v>
      </c>
      <c r="G104" s="28">
        <v>76</v>
      </c>
      <c r="H104" s="28" t="s">
        <v>68</v>
      </c>
      <c r="I104" s="28" t="s">
        <v>109</v>
      </c>
      <c r="J104" s="28" t="s">
        <v>130</v>
      </c>
      <c r="K104" s="41">
        <v>0.80208333333333337</v>
      </c>
      <c r="L104" s="28" t="s">
        <v>109</v>
      </c>
      <c r="M104" s="28" t="s">
        <v>109</v>
      </c>
      <c r="N104" s="28" t="s">
        <v>109</v>
      </c>
      <c r="O104" s="28" t="s">
        <v>61</v>
      </c>
      <c r="P104" s="28" t="s">
        <v>131</v>
      </c>
      <c r="Q104" s="28" t="s">
        <v>66</v>
      </c>
      <c r="R104" s="28" t="s">
        <v>62</v>
      </c>
      <c r="S104" s="28" t="s">
        <v>512</v>
      </c>
      <c r="T104" s="28" t="s">
        <v>351</v>
      </c>
      <c r="U104" s="111">
        <f t="shared" si="3"/>
        <v>0.76</v>
      </c>
      <c r="V104" s="28" t="s">
        <v>1940</v>
      </c>
    </row>
    <row r="105" spans="1:22" x14ac:dyDescent="0.3">
      <c r="A105" s="28">
        <v>104</v>
      </c>
      <c r="B105" s="28" t="s">
        <v>23</v>
      </c>
      <c r="C105" s="28" t="s">
        <v>1964</v>
      </c>
      <c r="D105" s="28">
        <v>50226034</v>
      </c>
      <c r="E105" s="28">
        <v>100</v>
      </c>
      <c r="F105" s="28">
        <v>79</v>
      </c>
      <c r="G105" s="28">
        <v>57</v>
      </c>
      <c r="H105" s="28" t="s">
        <v>184</v>
      </c>
      <c r="I105" s="28" t="s">
        <v>109</v>
      </c>
      <c r="J105" s="28" t="s">
        <v>130</v>
      </c>
      <c r="K105" s="41">
        <v>6.0416666666666667E-2</v>
      </c>
      <c r="L105" s="28" t="s">
        <v>109</v>
      </c>
      <c r="M105" s="28" t="s">
        <v>109</v>
      </c>
      <c r="N105" s="28" t="s">
        <v>109</v>
      </c>
      <c r="O105" s="28" t="s">
        <v>61</v>
      </c>
      <c r="P105" s="28" t="s">
        <v>131</v>
      </c>
      <c r="Q105" s="28" t="s">
        <v>184</v>
      </c>
      <c r="R105" s="28" t="s">
        <v>62</v>
      </c>
      <c r="S105" s="28" t="s">
        <v>512</v>
      </c>
      <c r="T105" s="28" t="s">
        <v>351</v>
      </c>
      <c r="U105" s="111">
        <f t="shared" si="3"/>
        <v>0.56999999999999995</v>
      </c>
      <c r="V105" s="28" t="s">
        <v>1940</v>
      </c>
    </row>
    <row r="106" spans="1:22" x14ac:dyDescent="0.3">
      <c r="A106" s="28">
        <v>105</v>
      </c>
      <c r="B106" s="28" t="s">
        <v>23</v>
      </c>
      <c r="C106" s="28" t="s">
        <v>977</v>
      </c>
      <c r="D106" s="28">
        <v>50126274</v>
      </c>
      <c r="E106" s="28">
        <v>150</v>
      </c>
      <c r="F106" s="28">
        <v>272</v>
      </c>
      <c r="G106" s="28">
        <v>114</v>
      </c>
      <c r="H106" s="28" t="s">
        <v>1007</v>
      </c>
      <c r="I106" s="28" t="s">
        <v>109</v>
      </c>
      <c r="J106" s="28" t="s">
        <v>130</v>
      </c>
      <c r="K106" s="41">
        <v>2.7777777777777776E-2</v>
      </c>
      <c r="L106" s="28" t="s">
        <v>109</v>
      </c>
      <c r="M106" s="28" t="s">
        <v>109</v>
      </c>
      <c r="N106" s="28" t="s">
        <v>109</v>
      </c>
      <c r="O106" s="28" t="s">
        <v>61</v>
      </c>
      <c r="P106" s="28" t="s">
        <v>131</v>
      </c>
      <c r="Q106" s="28" t="s">
        <v>71</v>
      </c>
      <c r="R106" s="28" t="s">
        <v>62</v>
      </c>
      <c r="S106" s="28" t="s">
        <v>512</v>
      </c>
      <c r="T106" s="28" t="s">
        <v>334</v>
      </c>
      <c r="U106" s="111">
        <f t="shared" si="3"/>
        <v>0.76</v>
      </c>
      <c r="V106" s="28" t="s">
        <v>1945</v>
      </c>
    </row>
    <row r="107" spans="1:22" x14ac:dyDescent="0.3">
      <c r="A107" s="28">
        <v>106</v>
      </c>
      <c r="B107" s="28" t="s">
        <v>23</v>
      </c>
      <c r="C107" s="28" t="s">
        <v>978</v>
      </c>
      <c r="D107" s="28">
        <v>50126276</v>
      </c>
      <c r="E107" s="28">
        <v>150</v>
      </c>
      <c r="F107" s="28">
        <v>238</v>
      </c>
      <c r="G107" s="28">
        <v>138</v>
      </c>
      <c r="H107" s="28" t="s">
        <v>73</v>
      </c>
      <c r="I107" s="28" t="s">
        <v>109</v>
      </c>
      <c r="J107" s="28" t="s">
        <v>130</v>
      </c>
      <c r="K107" s="41">
        <v>0.95625000000000004</v>
      </c>
      <c r="L107" s="28" t="s">
        <v>109</v>
      </c>
      <c r="M107" s="28" t="s">
        <v>109</v>
      </c>
      <c r="N107" s="28" t="s">
        <v>109</v>
      </c>
      <c r="O107" s="28" t="s">
        <v>61</v>
      </c>
      <c r="P107" s="28" t="s">
        <v>131</v>
      </c>
      <c r="Q107" s="28" t="s">
        <v>68</v>
      </c>
      <c r="R107" s="28" t="s">
        <v>62</v>
      </c>
      <c r="S107" s="28" t="s">
        <v>512</v>
      </c>
      <c r="T107" s="28" t="s">
        <v>334</v>
      </c>
      <c r="U107" s="111">
        <f t="shared" si="3"/>
        <v>0.92</v>
      </c>
      <c r="V107" s="28" t="s">
        <v>1945</v>
      </c>
    </row>
    <row r="108" spans="1:22" x14ac:dyDescent="0.3">
      <c r="A108" s="28">
        <v>107</v>
      </c>
      <c r="B108" s="28" t="s">
        <v>23</v>
      </c>
      <c r="C108" s="28" t="s">
        <v>980</v>
      </c>
      <c r="D108" s="28">
        <v>50126278</v>
      </c>
      <c r="E108" s="28">
        <v>200</v>
      </c>
      <c r="F108" s="28">
        <v>354</v>
      </c>
      <c r="G108" s="28">
        <v>125</v>
      </c>
      <c r="H108" s="28" t="s">
        <v>1416</v>
      </c>
      <c r="I108" s="28" t="s">
        <v>109</v>
      </c>
      <c r="J108" s="28" t="s">
        <v>130</v>
      </c>
      <c r="K108" s="41">
        <v>0.97916666666666663</v>
      </c>
      <c r="L108" s="28" t="s">
        <v>109</v>
      </c>
      <c r="M108" s="28" t="s">
        <v>109</v>
      </c>
      <c r="N108" s="28" t="s">
        <v>109</v>
      </c>
      <c r="O108" s="28" t="s">
        <v>61</v>
      </c>
      <c r="P108" s="28" t="s">
        <v>131</v>
      </c>
      <c r="Q108" s="28" t="s">
        <v>70</v>
      </c>
      <c r="R108" s="28" t="s">
        <v>62</v>
      </c>
      <c r="S108" s="28" t="s">
        <v>512</v>
      </c>
      <c r="T108" s="28" t="s">
        <v>334</v>
      </c>
      <c r="U108" s="111">
        <f t="shared" si="3"/>
        <v>0.625</v>
      </c>
      <c r="V108" s="28" t="s">
        <v>1940</v>
      </c>
    </row>
    <row r="109" spans="1:22" x14ac:dyDescent="0.3">
      <c r="A109" s="28">
        <v>108</v>
      </c>
      <c r="B109" s="28" t="s">
        <v>23</v>
      </c>
      <c r="C109" s="28" t="s">
        <v>982</v>
      </c>
      <c r="D109" s="28">
        <v>50126277</v>
      </c>
      <c r="E109" s="28">
        <v>200</v>
      </c>
      <c r="F109" s="28">
        <v>197</v>
      </c>
      <c r="G109" s="28">
        <v>138</v>
      </c>
      <c r="H109" s="28" t="s">
        <v>1409</v>
      </c>
      <c r="I109" s="28" t="s">
        <v>109</v>
      </c>
      <c r="J109" s="28" t="s">
        <v>130</v>
      </c>
      <c r="K109" s="41">
        <v>0.99097222222222225</v>
      </c>
      <c r="L109" s="28" t="s">
        <v>109</v>
      </c>
      <c r="M109" s="28" t="s">
        <v>109</v>
      </c>
      <c r="N109" s="28" t="s">
        <v>109</v>
      </c>
      <c r="O109" s="28" t="s">
        <v>61</v>
      </c>
      <c r="P109" s="28" t="s">
        <v>131</v>
      </c>
      <c r="Q109" s="28" t="s">
        <v>82</v>
      </c>
      <c r="R109" s="28" t="s">
        <v>62</v>
      </c>
      <c r="S109" s="28" t="s">
        <v>512</v>
      </c>
      <c r="T109" s="28" t="s">
        <v>334</v>
      </c>
      <c r="U109" s="111">
        <f t="shared" si="3"/>
        <v>0.69</v>
      </c>
      <c r="V109" s="28" t="s">
        <v>1940</v>
      </c>
    </row>
    <row r="110" spans="1:22" x14ac:dyDescent="0.3">
      <c r="A110" s="52">
        <v>109</v>
      </c>
      <c r="B110" s="52" t="s">
        <v>23</v>
      </c>
      <c r="C110" s="52" t="s">
        <v>985</v>
      </c>
      <c r="D110" s="52">
        <v>50126273</v>
      </c>
      <c r="E110" s="52">
        <v>200</v>
      </c>
      <c r="F110" s="52">
        <v>331</v>
      </c>
      <c r="G110" s="52">
        <v>181</v>
      </c>
      <c r="H110" s="52" t="s">
        <v>1710</v>
      </c>
      <c r="I110" s="52" t="s">
        <v>109</v>
      </c>
      <c r="J110" s="52" t="s">
        <v>130</v>
      </c>
      <c r="K110" s="54">
        <v>0.83263888888888893</v>
      </c>
      <c r="L110" s="52" t="s">
        <v>109</v>
      </c>
      <c r="M110" s="52" t="s">
        <v>109</v>
      </c>
      <c r="N110" s="52" t="s">
        <v>109</v>
      </c>
      <c r="O110" s="52" t="s">
        <v>61</v>
      </c>
      <c r="P110" s="52" t="s">
        <v>131</v>
      </c>
      <c r="Q110" s="52" t="s">
        <v>66</v>
      </c>
      <c r="R110" s="52" t="s">
        <v>62</v>
      </c>
      <c r="S110" s="52" t="s">
        <v>512</v>
      </c>
      <c r="T110" s="52" t="s">
        <v>334</v>
      </c>
      <c r="U110" s="112">
        <f t="shared" si="3"/>
        <v>0.90500000000000003</v>
      </c>
      <c r="V110" s="52" t="s">
        <v>1945</v>
      </c>
    </row>
    <row r="111" spans="1:22" x14ac:dyDescent="0.3">
      <c r="A111" s="52">
        <v>110</v>
      </c>
      <c r="B111" s="52" t="s">
        <v>23</v>
      </c>
      <c r="C111" s="52" t="s">
        <v>2753</v>
      </c>
      <c r="D111" s="52">
        <v>50226123</v>
      </c>
      <c r="E111" s="52">
        <v>200</v>
      </c>
      <c r="F111" s="52">
        <v>400</v>
      </c>
      <c r="G111" s="52">
        <v>188</v>
      </c>
      <c r="H111" s="52" t="s">
        <v>159</v>
      </c>
      <c r="I111" s="52" t="s">
        <v>109</v>
      </c>
      <c r="J111" s="52" t="s">
        <v>130</v>
      </c>
      <c r="K111" s="54">
        <v>0.8569444444444444</v>
      </c>
      <c r="L111" s="52" t="s">
        <v>109</v>
      </c>
      <c r="M111" s="52" t="s">
        <v>109</v>
      </c>
      <c r="N111" s="52" t="s">
        <v>109</v>
      </c>
      <c r="O111" s="52" t="s">
        <v>61</v>
      </c>
      <c r="P111" s="52" t="s">
        <v>131</v>
      </c>
      <c r="Q111" s="52" t="s">
        <v>196</v>
      </c>
      <c r="R111" s="52" t="s">
        <v>62</v>
      </c>
      <c r="S111" s="52" t="s">
        <v>512</v>
      </c>
      <c r="T111" s="52" t="s">
        <v>362</v>
      </c>
      <c r="U111" s="112">
        <f t="shared" si="3"/>
        <v>0.94</v>
      </c>
      <c r="V111" s="52" t="s">
        <v>1945</v>
      </c>
    </row>
    <row r="112" spans="1:22" x14ac:dyDescent="0.3">
      <c r="A112" s="28">
        <v>111</v>
      </c>
      <c r="B112" s="28" t="s">
        <v>23</v>
      </c>
      <c r="C112" s="28" t="s">
        <v>754</v>
      </c>
      <c r="D112" s="28">
        <v>50126148</v>
      </c>
      <c r="E112" s="28">
        <v>100</v>
      </c>
      <c r="F112" s="28">
        <v>100</v>
      </c>
      <c r="G112" s="28">
        <v>34</v>
      </c>
      <c r="H112" s="28" t="s">
        <v>67</v>
      </c>
      <c r="I112" s="28" t="s">
        <v>95</v>
      </c>
      <c r="J112" s="28" t="s">
        <v>130</v>
      </c>
      <c r="K112" s="41">
        <v>2.5694444444444443E-2</v>
      </c>
      <c r="L112" s="41">
        <v>3.8194444444444448E-2</v>
      </c>
      <c r="M112" s="28" t="s">
        <v>109</v>
      </c>
      <c r="N112" s="28" t="s">
        <v>109</v>
      </c>
      <c r="O112" s="28" t="s">
        <v>61</v>
      </c>
      <c r="P112" s="28" t="s">
        <v>131</v>
      </c>
      <c r="Q112" s="28" t="s">
        <v>95</v>
      </c>
      <c r="R112" s="28" t="s">
        <v>62</v>
      </c>
      <c r="S112" s="28" t="s">
        <v>512</v>
      </c>
      <c r="T112" s="28" t="s">
        <v>480</v>
      </c>
      <c r="U112" s="111">
        <f t="shared" si="3"/>
        <v>0.34</v>
      </c>
      <c r="V112" s="28" t="s">
        <v>612</v>
      </c>
    </row>
    <row r="113" spans="1:22" x14ac:dyDescent="0.3">
      <c r="A113" s="28">
        <v>112</v>
      </c>
      <c r="B113" s="28" t="s">
        <v>23</v>
      </c>
      <c r="C113" s="28" t="s">
        <v>759</v>
      </c>
      <c r="D113" s="28">
        <v>50126147</v>
      </c>
      <c r="E113" s="28">
        <v>100</v>
      </c>
      <c r="F113" s="28">
        <v>180</v>
      </c>
      <c r="G113" s="28">
        <v>41</v>
      </c>
      <c r="H113" s="28" t="s">
        <v>65</v>
      </c>
      <c r="I113" s="28" t="s">
        <v>88</v>
      </c>
      <c r="J113" s="28" t="s">
        <v>130</v>
      </c>
      <c r="K113" s="41">
        <v>0.97013888888888888</v>
      </c>
      <c r="L113" s="41">
        <v>3.7499999999999999E-2</v>
      </c>
      <c r="M113" s="28" t="s">
        <v>109</v>
      </c>
      <c r="N113" s="28" t="s">
        <v>109</v>
      </c>
      <c r="O113" s="28" t="s">
        <v>61</v>
      </c>
      <c r="P113" s="28" t="s">
        <v>131</v>
      </c>
      <c r="Q113" s="28" t="s">
        <v>88</v>
      </c>
      <c r="R113" s="28" t="s">
        <v>62</v>
      </c>
      <c r="S113" s="28" t="s">
        <v>512</v>
      </c>
      <c r="T113" s="28" t="s">
        <v>480</v>
      </c>
      <c r="U113" s="111">
        <f t="shared" si="3"/>
        <v>0.41</v>
      </c>
      <c r="V113" s="28" t="s">
        <v>1940</v>
      </c>
    </row>
    <row r="114" spans="1:22" x14ac:dyDescent="0.3">
      <c r="A114" s="28">
        <v>113</v>
      </c>
      <c r="B114" s="28" t="s">
        <v>23</v>
      </c>
      <c r="C114" s="28" t="s">
        <v>1906</v>
      </c>
      <c r="D114" s="28">
        <v>50226027</v>
      </c>
      <c r="E114" s="28">
        <v>300</v>
      </c>
      <c r="F114" s="28">
        <v>445</v>
      </c>
      <c r="G114" s="28">
        <v>130</v>
      </c>
      <c r="H114" s="28" t="s">
        <v>864</v>
      </c>
      <c r="I114" s="28" t="s">
        <v>2754</v>
      </c>
      <c r="J114" s="28" t="s">
        <v>130</v>
      </c>
      <c r="K114" s="41">
        <v>0.96388888888888891</v>
      </c>
      <c r="L114" s="41">
        <v>2.0833333333333332E-2</v>
      </c>
      <c r="M114" s="28" t="s">
        <v>109</v>
      </c>
      <c r="N114" s="28" t="s">
        <v>109</v>
      </c>
      <c r="O114" s="28" t="s">
        <v>61</v>
      </c>
      <c r="P114" s="28" t="s">
        <v>131</v>
      </c>
      <c r="Q114" s="28" t="s">
        <v>94</v>
      </c>
      <c r="R114" s="28" t="s">
        <v>62</v>
      </c>
      <c r="S114" s="28" t="s">
        <v>512</v>
      </c>
      <c r="T114" s="28" t="s">
        <v>480</v>
      </c>
      <c r="U114" s="111">
        <f t="shared" si="3"/>
        <v>0.43333333333333335</v>
      </c>
      <c r="V114" s="28" t="s">
        <v>1940</v>
      </c>
    </row>
    <row r="115" spans="1:22" x14ac:dyDescent="0.3">
      <c r="A115" s="28">
        <v>114</v>
      </c>
      <c r="B115" s="28" t="s">
        <v>23</v>
      </c>
      <c r="C115" s="28" t="s">
        <v>1056</v>
      </c>
      <c r="D115" s="28">
        <v>50126316</v>
      </c>
      <c r="E115" s="28">
        <v>150</v>
      </c>
      <c r="F115" s="28">
        <v>301</v>
      </c>
      <c r="G115" s="28">
        <v>65</v>
      </c>
      <c r="H115" s="28" t="s">
        <v>2338</v>
      </c>
      <c r="I115" s="28" t="s">
        <v>192</v>
      </c>
      <c r="J115" s="28" t="s">
        <v>130</v>
      </c>
      <c r="K115" s="41">
        <v>0.73055555555555551</v>
      </c>
      <c r="L115" s="41">
        <v>0.8569444444444444</v>
      </c>
      <c r="M115" s="28" t="s">
        <v>109</v>
      </c>
      <c r="N115" s="28" t="s">
        <v>109</v>
      </c>
      <c r="O115" s="28" t="s">
        <v>61</v>
      </c>
      <c r="P115" s="28" t="s">
        <v>131</v>
      </c>
      <c r="Q115" s="28" t="s">
        <v>209</v>
      </c>
      <c r="R115" s="28" t="s">
        <v>62</v>
      </c>
      <c r="S115" s="28" t="s">
        <v>512</v>
      </c>
      <c r="T115" s="28" t="s">
        <v>480</v>
      </c>
      <c r="U115" s="111">
        <f t="shared" si="3"/>
        <v>0.43333333333333335</v>
      </c>
      <c r="V115" s="28" t="s">
        <v>1940</v>
      </c>
    </row>
    <row r="116" spans="1:22" x14ac:dyDescent="0.3">
      <c r="A116" s="28">
        <v>115</v>
      </c>
      <c r="B116" s="28" t="s">
        <v>23</v>
      </c>
      <c r="C116" s="28" t="s">
        <v>1909</v>
      </c>
      <c r="D116" s="28">
        <v>50226025</v>
      </c>
      <c r="E116" s="28">
        <v>200</v>
      </c>
      <c r="F116" s="28">
        <v>341</v>
      </c>
      <c r="G116" s="28">
        <v>121</v>
      </c>
      <c r="H116" s="28" t="s">
        <v>1195</v>
      </c>
      <c r="I116" s="28" t="s">
        <v>99</v>
      </c>
      <c r="J116" s="28" t="s">
        <v>130</v>
      </c>
      <c r="K116" s="41">
        <v>1.9444444444444445E-2</v>
      </c>
      <c r="L116" s="41">
        <v>2.361111111111111E-2</v>
      </c>
      <c r="M116" s="28" t="s">
        <v>109</v>
      </c>
      <c r="N116" s="28" t="s">
        <v>109</v>
      </c>
      <c r="O116" s="28" t="s">
        <v>61</v>
      </c>
      <c r="P116" s="28" t="s">
        <v>131</v>
      </c>
      <c r="Q116" s="28" t="s">
        <v>87</v>
      </c>
      <c r="R116" s="28" t="s">
        <v>62</v>
      </c>
      <c r="S116" s="28" t="s">
        <v>512</v>
      </c>
      <c r="T116" s="28" t="s">
        <v>480</v>
      </c>
      <c r="U116" s="111">
        <f t="shared" si="3"/>
        <v>0.60499999999999998</v>
      </c>
      <c r="V116" s="28" t="s">
        <v>1940</v>
      </c>
    </row>
    <row r="117" spans="1:22" x14ac:dyDescent="0.3">
      <c r="A117" s="28">
        <v>116</v>
      </c>
      <c r="B117" s="28" t="s">
        <v>23</v>
      </c>
      <c r="C117" s="28" t="s">
        <v>586</v>
      </c>
      <c r="D117" s="28">
        <v>50126061</v>
      </c>
      <c r="E117" s="28">
        <v>75</v>
      </c>
      <c r="F117" s="28">
        <v>127</v>
      </c>
      <c r="G117" s="28">
        <v>80</v>
      </c>
      <c r="H117" s="28" t="s">
        <v>95</v>
      </c>
      <c r="I117" s="28" t="s">
        <v>109</v>
      </c>
      <c r="J117" s="28" t="s">
        <v>130</v>
      </c>
      <c r="K117" s="28" t="s">
        <v>109</v>
      </c>
      <c r="L117" s="41">
        <v>0.94027777777777777</v>
      </c>
      <c r="M117" s="28" t="s">
        <v>109</v>
      </c>
      <c r="N117" s="28" t="s">
        <v>109</v>
      </c>
      <c r="O117" s="28" t="s">
        <v>61</v>
      </c>
      <c r="P117" s="28" t="s">
        <v>131</v>
      </c>
      <c r="Q117" s="28" t="s">
        <v>95</v>
      </c>
      <c r="R117" s="28" t="s">
        <v>62</v>
      </c>
      <c r="S117" s="28" t="s">
        <v>512</v>
      </c>
      <c r="T117" s="28" t="s">
        <v>610</v>
      </c>
      <c r="U117" s="111">
        <f t="shared" si="3"/>
        <v>1.0666666666666667</v>
      </c>
      <c r="V117" s="28" t="s">
        <v>1945</v>
      </c>
    </row>
    <row r="118" spans="1:22" x14ac:dyDescent="0.3">
      <c r="A118" s="28">
        <v>117</v>
      </c>
      <c r="B118" s="28" t="s">
        <v>23</v>
      </c>
      <c r="C118" s="28" t="s">
        <v>2080</v>
      </c>
      <c r="D118" s="28">
        <v>50226046</v>
      </c>
      <c r="E118" s="28">
        <v>40</v>
      </c>
      <c r="F118" s="28" t="s">
        <v>109</v>
      </c>
      <c r="G118" s="28" t="s">
        <v>109</v>
      </c>
      <c r="H118" s="28" t="s">
        <v>70</v>
      </c>
      <c r="I118" s="28" t="s">
        <v>109</v>
      </c>
      <c r="J118" s="28" t="s">
        <v>85</v>
      </c>
      <c r="K118" s="28" t="s">
        <v>109</v>
      </c>
      <c r="L118" s="28" t="s">
        <v>109</v>
      </c>
      <c r="M118" s="28" t="s">
        <v>109</v>
      </c>
      <c r="N118" s="28" t="s">
        <v>109</v>
      </c>
      <c r="O118" s="28" t="s">
        <v>61</v>
      </c>
      <c r="P118" s="28" t="s">
        <v>109</v>
      </c>
      <c r="Q118" s="28" t="s">
        <v>109</v>
      </c>
      <c r="R118" s="28" t="s">
        <v>62</v>
      </c>
      <c r="S118" s="28" t="s">
        <v>512</v>
      </c>
      <c r="T118" s="28" t="s">
        <v>610</v>
      </c>
      <c r="U118" s="111" t="e">
        <f t="shared" si="3"/>
        <v>#VALUE!</v>
      </c>
      <c r="V118" s="28" t="s">
        <v>109</v>
      </c>
    </row>
    <row r="119" spans="1:22" x14ac:dyDescent="0.3">
      <c r="A119" s="52">
        <v>118</v>
      </c>
      <c r="B119" s="52" t="s">
        <v>23</v>
      </c>
      <c r="C119" s="52" t="s">
        <v>1519</v>
      </c>
      <c r="D119" s="52">
        <v>50126353</v>
      </c>
      <c r="E119" s="52">
        <v>150</v>
      </c>
      <c r="F119" s="52">
        <v>246</v>
      </c>
      <c r="G119" s="52">
        <v>154</v>
      </c>
      <c r="H119" s="52" t="s">
        <v>302</v>
      </c>
      <c r="I119" s="52" t="s">
        <v>109</v>
      </c>
      <c r="J119" s="52" t="s">
        <v>130</v>
      </c>
      <c r="K119" s="54">
        <v>0.82847222222222228</v>
      </c>
      <c r="L119" s="52" t="s">
        <v>109</v>
      </c>
      <c r="M119" s="52" t="s">
        <v>109</v>
      </c>
      <c r="N119" s="52" t="s">
        <v>109</v>
      </c>
      <c r="O119" s="52" t="s">
        <v>61</v>
      </c>
      <c r="P119" s="52" t="s">
        <v>131</v>
      </c>
      <c r="Q119" s="52" t="s">
        <v>69</v>
      </c>
      <c r="R119" s="52" t="s">
        <v>62</v>
      </c>
      <c r="S119" s="52" t="s">
        <v>512</v>
      </c>
      <c r="T119" s="52" t="s">
        <v>1309</v>
      </c>
      <c r="U119" s="112">
        <f t="shared" si="3"/>
        <v>1.0266666666666666</v>
      </c>
      <c r="V119" s="52" t="s">
        <v>1945</v>
      </c>
    </row>
    <row r="120" spans="1:22" x14ac:dyDescent="0.3">
      <c r="A120" s="28">
        <v>119</v>
      </c>
      <c r="B120" s="28" t="s">
        <v>23</v>
      </c>
      <c r="C120" s="28" t="s">
        <v>2600</v>
      </c>
      <c r="D120" s="28">
        <v>50226114</v>
      </c>
      <c r="E120" s="28">
        <v>100</v>
      </c>
      <c r="F120" s="28">
        <v>116</v>
      </c>
      <c r="G120" s="28">
        <v>83</v>
      </c>
      <c r="H120" s="28" t="s">
        <v>274</v>
      </c>
      <c r="I120" s="28" t="s">
        <v>109</v>
      </c>
      <c r="J120" s="28" t="s">
        <v>130</v>
      </c>
      <c r="K120" s="51">
        <v>6.8750000000000006E-2</v>
      </c>
      <c r="L120" s="28" t="s">
        <v>109</v>
      </c>
      <c r="M120" s="28" t="s">
        <v>109</v>
      </c>
      <c r="N120" s="28" t="s">
        <v>109</v>
      </c>
      <c r="O120" s="28" t="s">
        <v>61</v>
      </c>
      <c r="P120" s="28" t="s">
        <v>131</v>
      </c>
      <c r="Q120" s="28" t="s">
        <v>274</v>
      </c>
      <c r="R120" s="28" t="s">
        <v>62</v>
      </c>
      <c r="S120" s="28" t="s">
        <v>512</v>
      </c>
      <c r="T120" s="28" t="s">
        <v>115</v>
      </c>
      <c r="U120" s="111">
        <f t="shared" si="3"/>
        <v>0.83</v>
      </c>
      <c r="V120" s="28" t="s">
        <v>109</v>
      </c>
    </row>
    <row r="121" spans="1:22" x14ac:dyDescent="0.3">
      <c r="A121" s="52">
        <v>120</v>
      </c>
      <c r="B121" s="52" t="s">
        <v>23</v>
      </c>
      <c r="C121" s="52" t="s">
        <v>2755</v>
      </c>
      <c r="D121" s="52">
        <v>50226122</v>
      </c>
      <c r="E121" s="52">
        <v>150</v>
      </c>
      <c r="F121" s="52">
        <v>203</v>
      </c>
      <c r="G121" s="52">
        <v>143</v>
      </c>
      <c r="H121" s="52" t="s">
        <v>79</v>
      </c>
      <c r="I121" s="52" t="s">
        <v>109</v>
      </c>
      <c r="J121" s="52" t="s">
        <v>130</v>
      </c>
      <c r="K121" s="54">
        <v>0.91597222222222219</v>
      </c>
      <c r="L121" s="52" t="s">
        <v>109</v>
      </c>
      <c r="M121" s="52" t="s">
        <v>109</v>
      </c>
      <c r="N121" s="52" t="s">
        <v>109</v>
      </c>
      <c r="O121" s="52" t="s">
        <v>61</v>
      </c>
      <c r="P121" s="52" t="s">
        <v>131</v>
      </c>
      <c r="Q121" s="52" t="s">
        <v>67</v>
      </c>
      <c r="R121" s="52" t="s">
        <v>62</v>
      </c>
      <c r="S121" s="52" t="s">
        <v>512</v>
      </c>
      <c r="T121" s="52" t="s">
        <v>115</v>
      </c>
      <c r="U121" s="112">
        <f t="shared" si="3"/>
        <v>0.95333333333333337</v>
      </c>
      <c r="V121" s="52" t="s">
        <v>1945</v>
      </c>
    </row>
    <row r="122" spans="1:22" x14ac:dyDescent="0.3">
      <c r="A122" s="28">
        <v>121</v>
      </c>
      <c r="B122" s="28" t="s">
        <v>23</v>
      </c>
      <c r="C122" s="28" t="s">
        <v>958</v>
      </c>
      <c r="D122" s="28">
        <v>51125186</v>
      </c>
      <c r="E122" s="28">
        <v>100</v>
      </c>
      <c r="F122" s="28">
        <v>82</v>
      </c>
      <c r="G122" s="28">
        <v>18</v>
      </c>
      <c r="H122" s="28" t="s">
        <v>196</v>
      </c>
      <c r="I122" s="28" t="s">
        <v>109</v>
      </c>
      <c r="J122" s="28" t="s">
        <v>130</v>
      </c>
      <c r="K122" s="28" t="s">
        <v>2766</v>
      </c>
      <c r="L122" s="28" t="s">
        <v>109</v>
      </c>
      <c r="M122" s="28" t="s">
        <v>109</v>
      </c>
      <c r="N122" s="28" t="s">
        <v>109</v>
      </c>
      <c r="O122" s="28" t="s">
        <v>61</v>
      </c>
      <c r="P122" s="28" t="s">
        <v>131</v>
      </c>
      <c r="Q122" s="28" t="s">
        <v>196</v>
      </c>
      <c r="R122" s="28" t="s">
        <v>62</v>
      </c>
      <c r="S122" s="28" t="s">
        <v>512</v>
      </c>
      <c r="T122" s="28" t="s">
        <v>959</v>
      </c>
      <c r="U122" s="111">
        <f t="shared" si="3"/>
        <v>0.18</v>
      </c>
      <c r="V122" s="28" t="s">
        <v>109</v>
      </c>
    </row>
    <row r="123" spans="1:22" x14ac:dyDescent="0.3">
      <c r="A123" s="28">
        <v>122</v>
      </c>
      <c r="B123" s="28" t="s">
        <v>24</v>
      </c>
      <c r="C123" s="28" t="s">
        <v>2027</v>
      </c>
      <c r="D123" s="28">
        <v>60226015</v>
      </c>
      <c r="E123" s="28">
        <v>41</v>
      </c>
      <c r="F123" s="28">
        <v>199</v>
      </c>
      <c r="G123" s="28">
        <v>28</v>
      </c>
      <c r="H123" s="28" t="s">
        <v>154</v>
      </c>
      <c r="I123" s="28" t="s">
        <v>109</v>
      </c>
      <c r="J123" s="28" t="s">
        <v>130</v>
      </c>
      <c r="K123" s="28" t="s">
        <v>109</v>
      </c>
      <c r="L123" s="41">
        <v>5.5555555555555558E-3</v>
      </c>
      <c r="M123" s="28" t="s">
        <v>109</v>
      </c>
      <c r="N123" s="28" t="s">
        <v>109</v>
      </c>
      <c r="O123" s="28" t="s">
        <v>61</v>
      </c>
      <c r="P123" s="28" t="s">
        <v>131</v>
      </c>
      <c r="Q123" s="28" t="s">
        <v>154</v>
      </c>
      <c r="R123" s="28" t="s">
        <v>62</v>
      </c>
      <c r="S123" s="28" t="s">
        <v>123</v>
      </c>
      <c r="T123" s="28" t="s">
        <v>1562</v>
      </c>
      <c r="U123" s="111">
        <f t="shared" si="3"/>
        <v>0.68292682926829273</v>
      </c>
      <c r="V123" s="28" t="s">
        <v>2762</v>
      </c>
    </row>
    <row r="124" spans="1:22" x14ac:dyDescent="0.3">
      <c r="A124" s="28">
        <v>123</v>
      </c>
      <c r="B124" s="28" t="s">
        <v>24</v>
      </c>
      <c r="C124" s="28" t="s">
        <v>2029</v>
      </c>
      <c r="D124" s="28">
        <v>60226016</v>
      </c>
      <c r="E124" s="28">
        <v>39</v>
      </c>
      <c r="F124" s="28">
        <v>124</v>
      </c>
      <c r="G124" s="28">
        <v>33</v>
      </c>
      <c r="H124" s="28" t="s">
        <v>88</v>
      </c>
      <c r="I124" s="28" t="s">
        <v>109</v>
      </c>
      <c r="J124" s="28" t="s">
        <v>130</v>
      </c>
      <c r="K124" s="28" t="s">
        <v>109</v>
      </c>
      <c r="L124" s="41">
        <v>9.7222222222222224E-3</v>
      </c>
      <c r="M124" s="28" t="s">
        <v>109</v>
      </c>
      <c r="N124" s="28" t="s">
        <v>109</v>
      </c>
      <c r="O124" s="28" t="s">
        <v>2763</v>
      </c>
      <c r="P124" s="28" t="s">
        <v>131</v>
      </c>
      <c r="Q124" s="28" t="s">
        <v>88</v>
      </c>
      <c r="R124" s="28" t="s">
        <v>62</v>
      </c>
      <c r="S124" s="28" t="s">
        <v>123</v>
      </c>
      <c r="T124" s="28" t="s">
        <v>1562</v>
      </c>
      <c r="U124" s="111">
        <f t="shared" si="3"/>
        <v>0.84615384615384615</v>
      </c>
      <c r="V124" s="28" t="s">
        <v>2762</v>
      </c>
    </row>
    <row r="125" spans="1:22" x14ac:dyDescent="0.3">
      <c r="A125" s="28">
        <v>124</v>
      </c>
      <c r="B125" s="28" t="s">
        <v>24</v>
      </c>
      <c r="C125" s="28" t="s">
        <v>2761</v>
      </c>
      <c r="D125" s="28">
        <v>60226018</v>
      </c>
      <c r="E125" s="28">
        <v>58</v>
      </c>
      <c r="F125" s="28">
        <v>33</v>
      </c>
      <c r="G125" s="28">
        <v>6</v>
      </c>
      <c r="H125" s="28" t="s">
        <v>87</v>
      </c>
      <c r="I125" s="28" t="s">
        <v>109</v>
      </c>
      <c r="J125" s="28" t="s">
        <v>130</v>
      </c>
      <c r="K125" s="28" t="s">
        <v>109</v>
      </c>
      <c r="L125" s="41">
        <v>0.8208333333333333</v>
      </c>
      <c r="M125" s="28" t="s">
        <v>109</v>
      </c>
      <c r="N125" s="28" t="s">
        <v>109</v>
      </c>
      <c r="O125" s="28" t="s">
        <v>145</v>
      </c>
      <c r="P125" s="28" t="s">
        <v>131</v>
      </c>
      <c r="Q125" s="28" t="s">
        <v>87</v>
      </c>
      <c r="R125" s="28" t="s">
        <v>62</v>
      </c>
      <c r="S125" s="28" t="s">
        <v>123</v>
      </c>
      <c r="T125" s="28" t="s">
        <v>1562</v>
      </c>
      <c r="U125" s="111">
        <f t="shared" si="3"/>
        <v>0.10344827586206896</v>
      </c>
      <c r="V125" s="28" t="s">
        <v>145</v>
      </c>
    </row>
    <row r="126" spans="1:22" x14ac:dyDescent="0.3">
      <c r="A126" s="28">
        <v>125</v>
      </c>
      <c r="B126" s="28" t="s">
        <v>24</v>
      </c>
      <c r="C126" s="28" t="s">
        <v>2028</v>
      </c>
      <c r="D126" s="28">
        <v>60226017</v>
      </c>
      <c r="E126" s="28">
        <v>51</v>
      </c>
      <c r="F126" s="28">
        <v>129</v>
      </c>
      <c r="G126" s="28">
        <v>35</v>
      </c>
      <c r="H126" s="28" t="s">
        <v>94</v>
      </c>
      <c r="I126" s="28" t="s">
        <v>109</v>
      </c>
      <c r="J126" s="28" t="s">
        <v>130</v>
      </c>
      <c r="K126" s="28" t="s">
        <v>109</v>
      </c>
      <c r="L126" s="41">
        <v>4.1666666666666666E-3</v>
      </c>
      <c r="M126" s="28" t="s">
        <v>109</v>
      </c>
      <c r="N126" s="28" t="s">
        <v>109</v>
      </c>
      <c r="O126" s="28" t="s">
        <v>145</v>
      </c>
      <c r="P126" s="28" t="s">
        <v>131</v>
      </c>
      <c r="Q126" s="28" t="s">
        <v>94</v>
      </c>
      <c r="R126" s="28" t="s">
        <v>62</v>
      </c>
      <c r="S126" s="28" t="s">
        <v>123</v>
      </c>
      <c r="T126" s="28" t="s">
        <v>1562</v>
      </c>
      <c r="U126" s="111">
        <f t="shared" si="3"/>
        <v>0.68627450980392157</v>
      </c>
      <c r="V126" s="28" t="s">
        <v>1945</v>
      </c>
    </row>
    <row r="127" spans="1:22" x14ac:dyDescent="0.3">
      <c r="A127" s="28">
        <v>126</v>
      </c>
      <c r="B127" s="28" t="s">
        <v>23</v>
      </c>
      <c r="C127" s="28" t="s">
        <v>755</v>
      </c>
      <c r="D127" s="28">
        <v>50126149</v>
      </c>
      <c r="E127" s="28">
        <v>49</v>
      </c>
      <c r="F127" s="28">
        <v>49</v>
      </c>
      <c r="G127" s="28">
        <v>34</v>
      </c>
      <c r="H127" s="28" t="s">
        <v>91</v>
      </c>
      <c r="I127" s="28" t="s">
        <v>109</v>
      </c>
      <c r="J127" s="28" t="s">
        <v>130</v>
      </c>
      <c r="K127" s="28" t="s">
        <v>109</v>
      </c>
      <c r="L127" s="28" t="s">
        <v>109</v>
      </c>
      <c r="M127" s="28" t="s">
        <v>109</v>
      </c>
      <c r="N127" s="28" t="s">
        <v>109</v>
      </c>
      <c r="O127" s="28" t="s">
        <v>145</v>
      </c>
      <c r="P127" s="28" t="s">
        <v>131</v>
      </c>
      <c r="Q127" s="28" t="s">
        <v>91</v>
      </c>
      <c r="R127" s="28" t="s">
        <v>62</v>
      </c>
      <c r="S127" s="28" t="s">
        <v>1273</v>
      </c>
      <c r="T127" s="28" t="s">
        <v>480</v>
      </c>
      <c r="U127" s="111">
        <f t="shared" si="3"/>
        <v>0.69387755102040816</v>
      </c>
      <c r="V127" s="28" t="s">
        <v>109</v>
      </c>
    </row>
  </sheetData>
  <conditionalFormatting sqref="D1">
    <cfRule type="duplicateValues" dxfId="54" priority="1"/>
  </conditionalFormatting>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C87E5-2898-48A7-9B11-EA81AF985776}">
  <dimension ref="A1:V116"/>
  <sheetViews>
    <sheetView topLeftCell="G1" workbookViewId="0">
      <pane ySplit="1" topLeftCell="A2" activePane="bottomLeft" state="frozen"/>
      <selection activeCell="E1" sqref="E1"/>
      <selection pane="bottomLeft" activeCell="U2" sqref="U2"/>
    </sheetView>
  </sheetViews>
  <sheetFormatPr defaultRowHeight="14.4" x14ac:dyDescent="0.3"/>
  <cols>
    <col min="1" max="1" width="3.109375" style="31" bestFit="1" customWidth="1"/>
    <col min="2" max="2" width="8.6640625" style="31" bestFit="1" customWidth="1"/>
    <col min="3" max="3" width="14.5546875" style="31" bestFit="1" customWidth="1"/>
    <col min="4" max="4" width="10.44140625" style="31" bestFit="1" customWidth="1"/>
    <col min="5" max="5" width="13.88671875" style="31" bestFit="1" customWidth="1"/>
    <col min="6" max="6" width="15.109375" style="31" bestFit="1" customWidth="1"/>
    <col min="7" max="7" width="8.5546875" style="31" bestFit="1" customWidth="1"/>
    <col min="8" max="8" width="7.33203125" style="31" bestFit="1" customWidth="1"/>
    <col min="9" max="9" width="15.88671875" style="31" bestFit="1" customWidth="1"/>
    <col min="10" max="10" width="6.21875" style="31" bestFit="1" customWidth="1"/>
    <col min="11" max="12" width="16.21875" style="31" bestFit="1" customWidth="1"/>
    <col min="13" max="13" width="12.5546875" style="31" bestFit="1" customWidth="1"/>
    <col min="14" max="14" width="8.21875" style="31" bestFit="1" customWidth="1"/>
    <col min="15" max="15" width="6.77734375" style="31" bestFit="1" customWidth="1"/>
    <col min="16" max="16" width="14.33203125" style="31" bestFit="1" customWidth="1"/>
    <col min="17" max="17" width="11.77734375" style="31" bestFit="1" customWidth="1"/>
    <col min="18" max="18" width="14.33203125" style="31" bestFit="1" customWidth="1"/>
    <col min="19" max="19" width="12.21875" style="31" bestFit="1" customWidth="1"/>
    <col min="20" max="20" width="5.77734375" style="31" bestFit="1" customWidth="1"/>
    <col min="21" max="21" width="37.44140625" style="31" bestFit="1" customWidth="1"/>
    <col min="22" max="22" width="10.109375" style="31" bestFit="1" customWidth="1"/>
    <col min="23" max="16384" width="8.88671875" style="31"/>
  </cols>
  <sheetData>
    <row r="1" spans="1:22" x14ac:dyDescent="0.3">
      <c r="A1" s="1" t="s">
        <v>0</v>
      </c>
      <c r="B1" s="1" t="s">
        <v>1</v>
      </c>
      <c r="C1" s="1" t="s">
        <v>2</v>
      </c>
      <c r="D1" s="1" t="s">
        <v>3</v>
      </c>
      <c r="E1" s="1" t="s">
        <v>4</v>
      </c>
      <c r="F1" s="1" t="s">
        <v>5</v>
      </c>
      <c r="G1" s="1" t="s">
        <v>6</v>
      </c>
      <c r="H1" s="1" t="s">
        <v>7</v>
      </c>
      <c r="I1" s="1" t="s">
        <v>8</v>
      </c>
      <c r="J1" s="1" t="s">
        <v>9</v>
      </c>
      <c r="K1" s="2" t="s">
        <v>2218</v>
      </c>
      <c r="L1" s="2" t="s">
        <v>2219</v>
      </c>
      <c r="M1" s="3" t="s">
        <v>2281</v>
      </c>
      <c r="N1" s="4" t="s">
        <v>13</v>
      </c>
      <c r="O1" s="1" t="s">
        <v>14</v>
      </c>
      <c r="P1" s="1" t="s">
        <v>15</v>
      </c>
      <c r="Q1" s="1" t="s">
        <v>16</v>
      </c>
      <c r="R1" s="1" t="s">
        <v>17</v>
      </c>
      <c r="S1" s="127" t="s">
        <v>2282</v>
      </c>
      <c r="T1" s="1" t="s">
        <v>19</v>
      </c>
      <c r="U1" s="1" t="s">
        <v>20</v>
      </c>
      <c r="V1" s="1" t="s">
        <v>21</v>
      </c>
    </row>
    <row r="2" spans="1:22" x14ac:dyDescent="0.3">
      <c r="A2" s="7">
        <v>1</v>
      </c>
      <c r="B2" s="29" t="s">
        <v>24</v>
      </c>
      <c r="C2" s="29" t="s">
        <v>2767</v>
      </c>
      <c r="D2" s="91">
        <v>60226028</v>
      </c>
      <c r="E2" s="29">
        <v>65</v>
      </c>
      <c r="F2" s="7">
        <v>131</v>
      </c>
      <c r="G2" s="7">
        <v>19</v>
      </c>
      <c r="H2" s="53" t="s">
        <v>65</v>
      </c>
      <c r="I2" s="53" t="s">
        <v>209</v>
      </c>
      <c r="J2" s="7" t="s">
        <v>130</v>
      </c>
      <c r="K2" s="11">
        <v>0.70416666666666672</v>
      </c>
      <c r="L2" s="11">
        <v>0.76111111111111107</v>
      </c>
      <c r="M2" s="7" t="s">
        <v>109</v>
      </c>
      <c r="N2" s="32" t="s">
        <v>2768</v>
      </c>
      <c r="O2" s="29" t="s">
        <v>61</v>
      </c>
      <c r="P2" s="7" t="s">
        <v>131</v>
      </c>
      <c r="Q2" s="7" t="s">
        <v>209</v>
      </c>
      <c r="R2" s="7" t="s">
        <v>63</v>
      </c>
      <c r="S2" s="7" t="s">
        <v>123</v>
      </c>
      <c r="T2" s="29" t="s">
        <v>2769</v>
      </c>
      <c r="U2" s="111">
        <f t="shared" ref="U2:U33" si="0">G2/E2</f>
        <v>0.29230769230769232</v>
      </c>
      <c r="V2" s="7" t="s">
        <v>1313</v>
      </c>
    </row>
    <row r="3" spans="1:22" x14ac:dyDescent="0.3">
      <c r="A3" s="7">
        <v>2</v>
      </c>
      <c r="B3" s="29" t="s">
        <v>24</v>
      </c>
      <c r="C3" s="29" t="s">
        <v>2770</v>
      </c>
      <c r="D3" s="91">
        <v>60226029</v>
      </c>
      <c r="E3" s="29">
        <v>124</v>
      </c>
      <c r="F3" s="7">
        <v>209</v>
      </c>
      <c r="G3" s="7">
        <v>122</v>
      </c>
      <c r="H3" s="7" t="s">
        <v>938</v>
      </c>
      <c r="I3" s="7" t="s">
        <v>1549</v>
      </c>
      <c r="J3" s="7" t="s">
        <v>130</v>
      </c>
      <c r="K3" s="11">
        <v>0.72361111111111109</v>
      </c>
      <c r="L3" s="11">
        <v>0.75763888888888886</v>
      </c>
      <c r="M3" s="7" t="s">
        <v>109</v>
      </c>
      <c r="N3" s="32" t="s">
        <v>2768</v>
      </c>
      <c r="O3" s="29" t="s">
        <v>61</v>
      </c>
      <c r="P3" s="7" t="s">
        <v>131</v>
      </c>
      <c r="Q3" s="7" t="s">
        <v>94</v>
      </c>
      <c r="R3" s="7" t="s">
        <v>63</v>
      </c>
      <c r="S3" s="7" t="s">
        <v>123</v>
      </c>
      <c r="T3" s="29" t="s">
        <v>2769</v>
      </c>
      <c r="U3" s="111">
        <f t="shared" si="0"/>
        <v>0.9838709677419355</v>
      </c>
      <c r="V3" s="7" t="s">
        <v>1945</v>
      </c>
    </row>
    <row r="4" spans="1:22" x14ac:dyDescent="0.3">
      <c r="A4" s="7">
        <v>3</v>
      </c>
      <c r="B4" s="29" t="s">
        <v>24</v>
      </c>
      <c r="C4" s="29" t="s">
        <v>890</v>
      </c>
      <c r="D4" s="91">
        <v>60126003</v>
      </c>
      <c r="E4" s="29">
        <v>246</v>
      </c>
      <c r="F4" s="7">
        <v>171</v>
      </c>
      <c r="G4" s="7">
        <v>26</v>
      </c>
      <c r="H4" s="53" t="s">
        <v>2771</v>
      </c>
      <c r="I4" s="7" t="s">
        <v>2772</v>
      </c>
      <c r="J4" s="7" t="s">
        <v>130</v>
      </c>
      <c r="K4" s="11">
        <v>0.93402777777777779</v>
      </c>
      <c r="L4" s="11">
        <v>0.94791666666666663</v>
      </c>
      <c r="M4" s="7" t="s">
        <v>109</v>
      </c>
      <c r="N4" s="29" t="s">
        <v>109</v>
      </c>
      <c r="O4" s="29" t="s">
        <v>61</v>
      </c>
      <c r="P4" s="7" t="s">
        <v>131</v>
      </c>
      <c r="Q4" s="7" t="s">
        <v>86</v>
      </c>
      <c r="R4" s="7" t="s">
        <v>63</v>
      </c>
      <c r="S4" s="7" t="s">
        <v>123</v>
      </c>
      <c r="T4" s="29" t="s">
        <v>891</v>
      </c>
      <c r="U4" s="111">
        <f t="shared" si="0"/>
        <v>0.10569105691056911</v>
      </c>
      <c r="V4" s="7" t="s">
        <v>152</v>
      </c>
    </row>
    <row r="5" spans="1:22" x14ac:dyDescent="0.3">
      <c r="A5" s="7">
        <v>4</v>
      </c>
      <c r="B5" s="29" t="s">
        <v>24</v>
      </c>
      <c r="C5" s="29" t="s">
        <v>893</v>
      </c>
      <c r="D5" s="91">
        <v>60126004</v>
      </c>
      <c r="E5" s="29">
        <v>154</v>
      </c>
      <c r="F5" s="7">
        <v>90</v>
      </c>
      <c r="G5" s="7">
        <v>20</v>
      </c>
      <c r="H5" s="7" t="s">
        <v>1292</v>
      </c>
      <c r="I5" s="7" t="s">
        <v>2773</v>
      </c>
      <c r="J5" s="7" t="s">
        <v>130</v>
      </c>
      <c r="K5" s="11">
        <v>0.70347222222222228</v>
      </c>
      <c r="L5" s="11">
        <v>0.72569444444444442</v>
      </c>
      <c r="M5" s="7" t="s">
        <v>109</v>
      </c>
      <c r="N5" s="29" t="s">
        <v>109</v>
      </c>
      <c r="O5" s="29" t="s">
        <v>61</v>
      </c>
      <c r="P5" s="7" t="s">
        <v>131</v>
      </c>
      <c r="Q5" s="7" t="s">
        <v>87</v>
      </c>
      <c r="R5" s="7" t="s">
        <v>63</v>
      </c>
      <c r="S5" s="7" t="s">
        <v>123</v>
      </c>
      <c r="T5" s="29" t="s">
        <v>891</v>
      </c>
      <c r="U5" s="111">
        <f t="shared" si="0"/>
        <v>0.12987012987012986</v>
      </c>
      <c r="V5" s="7" t="s">
        <v>152</v>
      </c>
    </row>
    <row r="6" spans="1:22" x14ac:dyDescent="0.3">
      <c r="A6" s="7">
        <v>5</v>
      </c>
      <c r="B6" s="29" t="s">
        <v>24</v>
      </c>
      <c r="C6" s="29" t="s">
        <v>894</v>
      </c>
      <c r="D6" s="91">
        <v>60126005</v>
      </c>
      <c r="E6" s="29">
        <v>73</v>
      </c>
      <c r="F6" s="7">
        <v>143</v>
      </c>
      <c r="G6" s="7">
        <v>33</v>
      </c>
      <c r="H6" s="53" t="s">
        <v>70</v>
      </c>
      <c r="I6" s="7" t="s">
        <v>95</v>
      </c>
      <c r="J6" s="7" t="s">
        <v>130</v>
      </c>
      <c r="K6" s="11">
        <v>0.66249999999999998</v>
      </c>
      <c r="L6" s="11">
        <v>0.69097222222222221</v>
      </c>
      <c r="M6" s="7" t="s">
        <v>109</v>
      </c>
      <c r="N6" s="29" t="s">
        <v>109</v>
      </c>
      <c r="O6" s="29" t="s">
        <v>61</v>
      </c>
      <c r="P6" s="7" t="s">
        <v>131</v>
      </c>
      <c r="Q6" s="7" t="s">
        <v>95</v>
      </c>
      <c r="R6" s="7" t="s">
        <v>63</v>
      </c>
      <c r="S6" s="7" t="s">
        <v>123</v>
      </c>
      <c r="T6" s="29" t="s">
        <v>891</v>
      </c>
      <c r="U6" s="111">
        <f t="shared" si="0"/>
        <v>0.45205479452054792</v>
      </c>
      <c r="V6" s="7" t="s">
        <v>152</v>
      </c>
    </row>
    <row r="7" spans="1:22" x14ac:dyDescent="0.3">
      <c r="A7" s="7">
        <v>6</v>
      </c>
      <c r="B7" s="29" t="s">
        <v>24</v>
      </c>
      <c r="C7" s="29" t="s">
        <v>895</v>
      </c>
      <c r="D7" s="91">
        <v>60126006</v>
      </c>
      <c r="E7" s="29">
        <v>99</v>
      </c>
      <c r="F7" s="7">
        <v>164</v>
      </c>
      <c r="G7" s="7">
        <v>79</v>
      </c>
      <c r="H7" s="53" t="s">
        <v>241</v>
      </c>
      <c r="I7" s="53" t="s">
        <v>154</v>
      </c>
      <c r="J7" s="7" t="s">
        <v>130</v>
      </c>
      <c r="K7" s="11">
        <v>0.88472222222222219</v>
      </c>
      <c r="L7" s="11">
        <v>0.93125000000000002</v>
      </c>
      <c r="M7" s="7" t="s">
        <v>109</v>
      </c>
      <c r="N7" s="29" t="s">
        <v>109</v>
      </c>
      <c r="O7" s="29" t="s">
        <v>61</v>
      </c>
      <c r="P7" s="7" t="s">
        <v>131</v>
      </c>
      <c r="Q7" s="7" t="s">
        <v>154</v>
      </c>
      <c r="R7" s="7" t="s">
        <v>63</v>
      </c>
      <c r="S7" s="7" t="s">
        <v>123</v>
      </c>
      <c r="T7" s="29" t="s">
        <v>891</v>
      </c>
      <c r="U7" s="111">
        <f t="shared" si="0"/>
        <v>0.79797979797979801</v>
      </c>
      <c r="V7" s="7" t="s">
        <v>1313</v>
      </c>
    </row>
    <row r="8" spans="1:22" x14ac:dyDescent="0.3">
      <c r="A8" s="7">
        <v>7</v>
      </c>
      <c r="B8" s="29" t="s">
        <v>24</v>
      </c>
      <c r="C8" s="29" t="s">
        <v>896</v>
      </c>
      <c r="D8" s="91">
        <v>60126008</v>
      </c>
      <c r="E8" s="29">
        <v>102</v>
      </c>
      <c r="F8" s="7">
        <v>122</v>
      </c>
      <c r="G8" s="7">
        <v>47</v>
      </c>
      <c r="H8" s="7" t="s">
        <v>65</v>
      </c>
      <c r="I8" s="53" t="s">
        <v>88</v>
      </c>
      <c r="J8" s="7" t="s">
        <v>130</v>
      </c>
      <c r="K8" s="11">
        <v>0.93125000000000002</v>
      </c>
      <c r="L8" s="11">
        <v>0.98333333333333328</v>
      </c>
      <c r="M8" s="7" t="s">
        <v>109</v>
      </c>
      <c r="N8" s="29" t="s">
        <v>109</v>
      </c>
      <c r="O8" s="29" t="s">
        <v>61</v>
      </c>
      <c r="P8" s="7" t="s">
        <v>131</v>
      </c>
      <c r="Q8" s="7" t="s">
        <v>88</v>
      </c>
      <c r="R8" s="7" t="s">
        <v>63</v>
      </c>
      <c r="S8" s="7" t="s">
        <v>123</v>
      </c>
      <c r="T8" s="29" t="s">
        <v>891</v>
      </c>
      <c r="U8" s="111">
        <f t="shared" si="0"/>
        <v>0.46078431372549017</v>
      </c>
      <c r="V8" s="7" t="s">
        <v>2391</v>
      </c>
    </row>
    <row r="9" spans="1:22" x14ac:dyDescent="0.3">
      <c r="A9" s="7">
        <v>8</v>
      </c>
      <c r="B9" s="29" t="s">
        <v>24</v>
      </c>
      <c r="C9" s="29" t="s">
        <v>897</v>
      </c>
      <c r="D9" s="91">
        <v>60126007</v>
      </c>
      <c r="E9" s="29">
        <v>299</v>
      </c>
      <c r="F9" s="7">
        <v>499</v>
      </c>
      <c r="G9" s="7">
        <v>173</v>
      </c>
      <c r="H9" s="7" t="s">
        <v>2774</v>
      </c>
      <c r="I9" s="53" t="s">
        <v>2775</v>
      </c>
      <c r="J9" s="7" t="s">
        <v>130</v>
      </c>
      <c r="K9" s="11">
        <v>0.8666666666666667</v>
      </c>
      <c r="L9" s="11">
        <v>0.96805555555555556</v>
      </c>
      <c r="M9" s="7" t="s">
        <v>109</v>
      </c>
      <c r="N9" s="29" t="s">
        <v>109</v>
      </c>
      <c r="O9" s="29" t="s">
        <v>61</v>
      </c>
      <c r="P9" s="7" t="s">
        <v>131</v>
      </c>
      <c r="Q9" s="7" t="s">
        <v>209</v>
      </c>
      <c r="R9" s="7" t="s">
        <v>63</v>
      </c>
      <c r="S9" s="7" t="s">
        <v>123</v>
      </c>
      <c r="T9" s="29" t="s">
        <v>891</v>
      </c>
      <c r="U9" s="111">
        <f t="shared" si="0"/>
        <v>0.57859531772575246</v>
      </c>
      <c r="V9" s="7" t="s">
        <v>1313</v>
      </c>
    </row>
    <row r="10" spans="1:22" x14ac:dyDescent="0.3">
      <c r="A10" s="7">
        <v>9</v>
      </c>
      <c r="B10" s="29" t="s">
        <v>26</v>
      </c>
      <c r="C10" s="29" t="s">
        <v>769</v>
      </c>
      <c r="D10" s="91">
        <v>40126006</v>
      </c>
      <c r="E10" s="29">
        <v>58</v>
      </c>
      <c r="F10" s="7">
        <v>55</v>
      </c>
      <c r="G10" s="7">
        <v>7</v>
      </c>
      <c r="H10" s="53" t="s">
        <v>84</v>
      </c>
      <c r="I10" s="53" t="s">
        <v>89</v>
      </c>
      <c r="J10" s="7" t="s">
        <v>130</v>
      </c>
      <c r="K10" s="11">
        <v>0.8618055555555556</v>
      </c>
      <c r="L10" s="11">
        <v>0.91736111111111107</v>
      </c>
      <c r="M10" s="7" t="s">
        <v>109</v>
      </c>
      <c r="N10" s="29" t="s">
        <v>109</v>
      </c>
      <c r="O10" s="29" t="s">
        <v>61</v>
      </c>
      <c r="P10" s="7" t="s">
        <v>131</v>
      </c>
      <c r="Q10" s="7" t="s">
        <v>89</v>
      </c>
      <c r="R10" s="7" t="s">
        <v>63</v>
      </c>
      <c r="S10" s="7" t="s">
        <v>123</v>
      </c>
      <c r="T10" s="29" t="s">
        <v>767</v>
      </c>
      <c r="U10" s="111">
        <f t="shared" si="0"/>
        <v>0.1206896551724138</v>
      </c>
      <c r="V10" s="7" t="s">
        <v>152</v>
      </c>
    </row>
    <row r="11" spans="1:22" x14ac:dyDescent="0.3">
      <c r="A11" s="7">
        <v>10</v>
      </c>
      <c r="B11" s="29" t="s">
        <v>26</v>
      </c>
      <c r="C11" s="29" t="s">
        <v>770</v>
      </c>
      <c r="D11" s="91">
        <v>40126003</v>
      </c>
      <c r="E11" s="29">
        <v>162</v>
      </c>
      <c r="F11" s="7">
        <v>313</v>
      </c>
      <c r="G11" s="7">
        <v>137</v>
      </c>
      <c r="H11" s="53" t="s">
        <v>933</v>
      </c>
      <c r="I11" s="7" t="s">
        <v>989</v>
      </c>
      <c r="J11" s="7" t="s">
        <v>130</v>
      </c>
      <c r="K11" s="11">
        <v>0.76249999999999996</v>
      </c>
      <c r="L11" s="11">
        <v>0.79513888888888884</v>
      </c>
      <c r="M11" s="7" t="s">
        <v>109</v>
      </c>
      <c r="N11" s="29" t="s">
        <v>109</v>
      </c>
      <c r="O11" s="29" t="s">
        <v>61</v>
      </c>
      <c r="P11" s="7" t="s">
        <v>131</v>
      </c>
      <c r="Q11" s="7" t="s">
        <v>89</v>
      </c>
      <c r="R11" s="7" t="s">
        <v>63</v>
      </c>
      <c r="S11" s="7" t="s">
        <v>123</v>
      </c>
      <c r="T11" s="29" t="s">
        <v>767</v>
      </c>
      <c r="U11" s="111">
        <f t="shared" si="0"/>
        <v>0.84567901234567899</v>
      </c>
      <c r="V11" s="7" t="s">
        <v>1313</v>
      </c>
    </row>
    <row r="12" spans="1:22" x14ac:dyDescent="0.3">
      <c r="A12" s="7">
        <v>11</v>
      </c>
      <c r="B12" s="29" t="s">
        <v>26</v>
      </c>
      <c r="C12" s="29" t="s">
        <v>773</v>
      </c>
      <c r="D12" s="91">
        <v>40126002</v>
      </c>
      <c r="E12" s="29">
        <v>129</v>
      </c>
      <c r="F12" s="7">
        <v>194</v>
      </c>
      <c r="G12" s="7">
        <v>109</v>
      </c>
      <c r="H12" s="7" t="s">
        <v>969</v>
      </c>
      <c r="I12" s="53" t="s">
        <v>2776</v>
      </c>
      <c r="J12" s="7" t="s">
        <v>130</v>
      </c>
      <c r="K12" s="11">
        <v>0.88263888888888886</v>
      </c>
      <c r="L12" s="11">
        <v>0.94513888888888886</v>
      </c>
      <c r="M12" s="7" t="s">
        <v>109</v>
      </c>
      <c r="N12" s="29" t="s">
        <v>109</v>
      </c>
      <c r="O12" s="29" t="s">
        <v>61</v>
      </c>
      <c r="P12" s="7" t="s">
        <v>131</v>
      </c>
      <c r="Q12" s="7" t="s">
        <v>90</v>
      </c>
      <c r="R12" s="7" t="s">
        <v>63</v>
      </c>
      <c r="S12" s="7" t="s">
        <v>123</v>
      </c>
      <c r="T12" s="29" t="s">
        <v>767</v>
      </c>
      <c r="U12" s="111">
        <f t="shared" si="0"/>
        <v>0.84496124031007747</v>
      </c>
      <c r="V12" s="7" t="s">
        <v>1313</v>
      </c>
    </row>
    <row r="13" spans="1:22" x14ac:dyDescent="0.3">
      <c r="A13" s="7">
        <v>12</v>
      </c>
      <c r="B13" s="29" t="s">
        <v>26</v>
      </c>
      <c r="C13" s="29" t="s">
        <v>774</v>
      </c>
      <c r="D13" s="91">
        <v>40126001</v>
      </c>
      <c r="E13" s="29">
        <v>122</v>
      </c>
      <c r="F13" s="7">
        <v>253</v>
      </c>
      <c r="G13" s="7">
        <v>69</v>
      </c>
      <c r="H13" s="7" t="s">
        <v>941</v>
      </c>
      <c r="I13" s="7" t="s">
        <v>1549</v>
      </c>
      <c r="J13" s="7" t="s">
        <v>130</v>
      </c>
      <c r="K13" s="11">
        <v>0.86111111111111116</v>
      </c>
      <c r="L13" s="11">
        <v>0.9868055555555556</v>
      </c>
      <c r="M13" s="7" t="s">
        <v>109</v>
      </c>
      <c r="N13" s="29" t="s">
        <v>109</v>
      </c>
      <c r="O13" s="29" t="s">
        <v>61</v>
      </c>
      <c r="P13" s="7" t="s">
        <v>131</v>
      </c>
      <c r="Q13" s="7" t="s">
        <v>94</v>
      </c>
      <c r="R13" s="7" t="s">
        <v>63</v>
      </c>
      <c r="S13" s="7" t="s">
        <v>123</v>
      </c>
      <c r="T13" s="29" t="s">
        <v>767</v>
      </c>
      <c r="U13" s="111">
        <f t="shared" si="0"/>
        <v>0.56557377049180324</v>
      </c>
      <c r="V13" s="7" t="s">
        <v>1313</v>
      </c>
    </row>
    <row r="14" spans="1:22" x14ac:dyDescent="0.3">
      <c r="A14" s="7">
        <v>13</v>
      </c>
      <c r="B14" s="29" t="s">
        <v>26</v>
      </c>
      <c r="C14" s="29" t="s">
        <v>1394</v>
      </c>
      <c r="D14" s="91">
        <v>40126021</v>
      </c>
      <c r="E14" s="29">
        <v>161</v>
      </c>
      <c r="F14" s="7">
        <v>310</v>
      </c>
      <c r="G14" s="7">
        <v>170</v>
      </c>
      <c r="H14" s="53" t="s">
        <v>2358</v>
      </c>
      <c r="I14" s="7" t="s">
        <v>2581</v>
      </c>
      <c r="J14" s="7" t="s">
        <v>130</v>
      </c>
      <c r="K14" s="11">
        <v>0.72638888888888886</v>
      </c>
      <c r="L14" s="11">
        <v>0.87777777777777777</v>
      </c>
      <c r="M14" s="7" t="s">
        <v>109</v>
      </c>
      <c r="N14" s="29" t="s">
        <v>109</v>
      </c>
      <c r="O14" s="29" t="s">
        <v>61</v>
      </c>
      <c r="P14" s="7" t="s">
        <v>131</v>
      </c>
      <c r="Q14" s="7" t="s">
        <v>89</v>
      </c>
      <c r="R14" s="7" t="s">
        <v>62</v>
      </c>
      <c r="S14" s="7" t="s">
        <v>123</v>
      </c>
      <c r="T14" s="29" t="s">
        <v>1397</v>
      </c>
      <c r="U14" s="111">
        <f t="shared" si="0"/>
        <v>1.0559006211180124</v>
      </c>
      <c r="V14" s="7" t="s">
        <v>1945</v>
      </c>
    </row>
    <row r="15" spans="1:22" x14ac:dyDescent="0.3">
      <c r="A15" s="7">
        <v>14</v>
      </c>
      <c r="B15" s="29" t="s">
        <v>1550</v>
      </c>
      <c r="C15" s="29" t="s">
        <v>1551</v>
      </c>
      <c r="D15" s="91">
        <v>40126035</v>
      </c>
      <c r="E15" s="29">
        <v>50</v>
      </c>
      <c r="F15" s="7">
        <v>60</v>
      </c>
      <c r="G15" s="7">
        <v>55</v>
      </c>
      <c r="H15" s="53" t="s">
        <v>71</v>
      </c>
      <c r="I15" s="53" t="s">
        <v>91</v>
      </c>
      <c r="J15" s="7" t="s">
        <v>130</v>
      </c>
      <c r="K15" s="11">
        <v>0.67638888888888893</v>
      </c>
      <c r="L15" s="11">
        <v>0.75763888888888886</v>
      </c>
      <c r="M15" s="7" t="s">
        <v>109</v>
      </c>
      <c r="N15" s="29" t="s">
        <v>109</v>
      </c>
      <c r="O15" s="29" t="s">
        <v>61</v>
      </c>
      <c r="P15" s="7" t="s">
        <v>131</v>
      </c>
      <c r="Q15" s="7" t="s">
        <v>91</v>
      </c>
      <c r="R15" s="7" t="s">
        <v>1640</v>
      </c>
      <c r="S15" s="7" t="s">
        <v>123</v>
      </c>
      <c r="T15" s="29" t="s">
        <v>1554</v>
      </c>
      <c r="U15" s="111">
        <f t="shared" si="0"/>
        <v>1.1000000000000001</v>
      </c>
      <c r="V15" s="7" t="s">
        <v>1945</v>
      </c>
    </row>
    <row r="16" spans="1:22" x14ac:dyDescent="0.3">
      <c r="A16" s="7">
        <v>15</v>
      </c>
      <c r="B16" s="29" t="s">
        <v>1550</v>
      </c>
      <c r="C16" s="29" t="s">
        <v>1556</v>
      </c>
      <c r="D16" s="91">
        <v>40126034</v>
      </c>
      <c r="E16" s="29">
        <v>50</v>
      </c>
      <c r="F16" s="7">
        <v>69</v>
      </c>
      <c r="G16" s="7">
        <v>51</v>
      </c>
      <c r="H16" s="53" t="s">
        <v>70</v>
      </c>
      <c r="I16" s="53" t="s">
        <v>94</v>
      </c>
      <c r="J16" s="7" t="s">
        <v>130</v>
      </c>
      <c r="K16" s="11">
        <v>0.74236111111111114</v>
      </c>
      <c r="L16" s="11">
        <v>0.80277777777777781</v>
      </c>
      <c r="M16" s="7" t="s">
        <v>109</v>
      </c>
      <c r="N16" s="29" t="s">
        <v>109</v>
      </c>
      <c r="O16" s="29" t="s">
        <v>61</v>
      </c>
      <c r="P16" s="7" t="s">
        <v>131</v>
      </c>
      <c r="Q16" s="7" t="s">
        <v>94</v>
      </c>
      <c r="R16" s="7" t="s">
        <v>1640</v>
      </c>
      <c r="S16" s="7" t="s">
        <v>123</v>
      </c>
      <c r="T16" s="29" t="s">
        <v>1554</v>
      </c>
      <c r="U16" s="111">
        <f t="shared" si="0"/>
        <v>1.02</v>
      </c>
      <c r="V16" s="7" t="s">
        <v>1945</v>
      </c>
    </row>
    <row r="17" spans="1:22" x14ac:dyDescent="0.3">
      <c r="A17" s="7">
        <v>16</v>
      </c>
      <c r="B17" s="29" t="s">
        <v>23</v>
      </c>
      <c r="C17" s="29" t="s">
        <v>1913</v>
      </c>
      <c r="D17" s="91">
        <v>50226029</v>
      </c>
      <c r="E17" s="29">
        <v>300</v>
      </c>
      <c r="F17" s="7">
        <v>567</v>
      </c>
      <c r="G17" s="7">
        <v>278</v>
      </c>
      <c r="H17" s="7" t="s">
        <v>2775</v>
      </c>
      <c r="I17" s="7" t="s">
        <v>109</v>
      </c>
      <c r="J17" s="7" t="s">
        <v>130</v>
      </c>
      <c r="K17" s="11">
        <v>0.75277777777777777</v>
      </c>
      <c r="L17" s="7" t="s">
        <v>109</v>
      </c>
      <c r="M17" s="7" t="s">
        <v>109</v>
      </c>
      <c r="N17" s="32" t="s">
        <v>110</v>
      </c>
      <c r="O17" s="29" t="s">
        <v>61</v>
      </c>
      <c r="P17" s="7" t="s">
        <v>131</v>
      </c>
      <c r="Q17" s="7" t="s">
        <v>209</v>
      </c>
      <c r="R17" s="7" t="s">
        <v>62</v>
      </c>
      <c r="S17" s="7" t="s">
        <v>123</v>
      </c>
      <c r="T17" s="29" t="s">
        <v>424</v>
      </c>
      <c r="U17" s="111">
        <f t="shared" si="0"/>
        <v>0.92666666666666664</v>
      </c>
      <c r="V17" s="7" t="s">
        <v>1313</v>
      </c>
    </row>
    <row r="18" spans="1:22" x14ac:dyDescent="0.3">
      <c r="A18" s="7">
        <v>17</v>
      </c>
      <c r="B18" s="29" t="s">
        <v>23</v>
      </c>
      <c r="C18" s="29" t="s">
        <v>1919</v>
      </c>
      <c r="D18" s="91">
        <v>50226021</v>
      </c>
      <c r="E18" s="29">
        <v>350</v>
      </c>
      <c r="F18" s="7">
        <v>448</v>
      </c>
      <c r="G18" s="7">
        <v>404</v>
      </c>
      <c r="H18" s="53" t="s">
        <v>2777</v>
      </c>
      <c r="I18" s="7" t="s">
        <v>109</v>
      </c>
      <c r="J18" s="7" t="s">
        <v>130</v>
      </c>
      <c r="K18" s="11">
        <v>0.88888888888888884</v>
      </c>
      <c r="L18" s="7" t="s">
        <v>109</v>
      </c>
      <c r="M18" s="7" t="s">
        <v>109</v>
      </c>
      <c r="N18" s="32" t="s">
        <v>110</v>
      </c>
      <c r="O18" s="29" t="s">
        <v>61</v>
      </c>
      <c r="P18" s="7" t="s">
        <v>131</v>
      </c>
      <c r="Q18" s="7" t="s">
        <v>94</v>
      </c>
      <c r="R18" s="7" t="s">
        <v>62</v>
      </c>
      <c r="S18" s="7" t="s">
        <v>123</v>
      </c>
      <c r="T18" s="29" t="s">
        <v>424</v>
      </c>
      <c r="U18" s="111">
        <f t="shared" si="0"/>
        <v>1.1542857142857144</v>
      </c>
      <c r="V18" s="7" t="s">
        <v>1945</v>
      </c>
    </row>
    <row r="19" spans="1:22" x14ac:dyDescent="0.3">
      <c r="A19" s="7">
        <v>18</v>
      </c>
      <c r="B19" s="29" t="s">
        <v>23</v>
      </c>
      <c r="C19" s="29" t="s">
        <v>1921</v>
      </c>
      <c r="D19" s="91">
        <v>50226017</v>
      </c>
      <c r="E19" s="29">
        <v>200</v>
      </c>
      <c r="F19" s="7">
        <v>176</v>
      </c>
      <c r="G19" s="7">
        <v>143</v>
      </c>
      <c r="H19" s="7" t="s">
        <v>2776</v>
      </c>
      <c r="I19" s="7" t="s">
        <v>109</v>
      </c>
      <c r="J19" s="7" t="s">
        <v>130</v>
      </c>
      <c r="K19" s="11">
        <v>0.76458333333333328</v>
      </c>
      <c r="L19" s="7" t="s">
        <v>109</v>
      </c>
      <c r="M19" s="7" t="s">
        <v>109</v>
      </c>
      <c r="N19" s="32" t="s">
        <v>110</v>
      </c>
      <c r="O19" s="29" t="s">
        <v>61</v>
      </c>
      <c r="P19" s="7" t="s">
        <v>131</v>
      </c>
      <c r="Q19" s="7" t="s">
        <v>87</v>
      </c>
      <c r="R19" s="7" t="s">
        <v>62</v>
      </c>
      <c r="S19" s="7" t="s">
        <v>123</v>
      </c>
      <c r="T19" s="29" t="s">
        <v>424</v>
      </c>
      <c r="U19" s="111">
        <f t="shared" si="0"/>
        <v>0.71499999999999997</v>
      </c>
      <c r="V19" s="7" t="s">
        <v>1313</v>
      </c>
    </row>
    <row r="20" spans="1:22" x14ac:dyDescent="0.3">
      <c r="A20" s="7">
        <v>19</v>
      </c>
      <c r="B20" s="29" t="s">
        <v>23</v>
      </c>
      <c r="C20" s="29" t="s">
        <v>2038</v>
      </c>
      <c r="D20" s="91">
        <v>50226044</v>
      </c>
      <c r="E20" s="29">
        <v>125</v>
      </c>
      <c r="F20" s="7">
        <v>160</v>
      </c>
      <c r="G20" s="7">
        <v>135</v>
      </c>
      <c r="H20" s="53" t="s">
        <v>962</v>
      </c>
      <c r="I20" s="7" t="s">
        <v>109</v>
      </c>
      <c r="J20" s="7" t="s">
        <v>130</v>
      </c>
      <c r="K20" s="11">
        <v>0.83819444444444446</v>
      </c>
      <c r="L20" s="7" t="s">
        <v>109</v>
      </c>
      <c r="M20" s="7" t="s">
        <v>109</v>
      </c>
      <c r="N20" s="32" t="s">
        <v>110</v>
      </c>
      <c r="O20" s="29" t="s">
        <v>61</v>
      </c>
      <c r="P20" s="7" t="s">
        <v>131</v>
      </c>
      <c r="Q20" s="7" t="s">
        <v>65</v>
      </c>
      <c r="R20" s="7" t="s">
        <v>62</v>
      </c>
      <c r="S20" s="7" t="s">
        <v>123</v>
      </c>
      <c r="T20" s="29" t="s">
        <v>424</v>
      </c>
      <c r="U20" s="111">
        <f t="shared" si="0"/>
        <v>1.08</v>
      </c>
      <c r="V20" s="7" t="s">
        <v>1945</v>
      </c>
    </row>
    <row r="21" spans="1:22" x14ac:dyDescent="0.3">
      <c r="A21" s="7">
        <v>20</v>
      </c>
      <c r="B21" s="29" t="s">
        <v>23</v>
      </c>
      <c r="C21" s="29" t="s">
        <v>2178</v>
      </c>
      <c r="D21" s="91">
        <v>50226073</v>
      </c>
      <c r="E21" s="29">
        <v>150</v>
      </c>
      <c r="F21" s="7">
        <v>180</v>
      </c>
      <c r="G21" s="7">
        <v>161</v>
      </c>
      <c r="H21" s="53" t="s">
        <v>1774</v>
      </c>
      <c r="I21" s="7" t="s">
        <v>109</v>
      </c>
      <c r="J21" s="7" t="s">
        <v>130</v>
      </c>
      <c r="K21" s="11">
        <v>0.69374999999999998</v>
      </c>
      <c r="L21" s="7" t="s">
        <v>109</v>
      </c>
      <c r="M21" s="7" t="s">
        <v>109</v>
      </c>
      <c r="N21" s="32" t="s">
        <v>110</v>
      </c>
      <c r="O21" s="29" t="s">
        <v>61</v>
      </c>
      <c r="P21" s="7" t="s">
        <v>131</v>
      </c>
      <c r="Q21" s="7" t="s">
        <v>71</v>
      </c>
      <c r="R21" s="7" t="s">
        <v>62</v>
      </c>
      <c r="S21" s="7" t="s">
        <v>123</v>
      </c>
      <c r="T21" s="29" t="s">
        <v>424</v>
      </c>
      <c r="U21" s="111">
        <f t="shared" si="0"/>
        <v>1.0733333333333333</v>
      </c>
      <c r="V21" s="7" t="s">
        <v>1945</v>
      </c>
    </row>
    <row r="22" spans="1:22" x14ac:dyDescent="0.3">
      <c r="A22" s="7">
        <v>21</v>
      </c>
      <c r="B22" s="29" t="s">
        <v>23</v>
      </c>
      <c r="C22" s="29" t="s">
        <v>707</v>
      </c>
      <c r="D22" s="91">
        <v>50126169</v>
      </c>
      <c r="E22" s="29">
        <v>40</v>
      </c>
      <c r="F22" s="7">
        <v>50</v>
      </c>
      <c r="G22" s="7">
        <v>38</v>
      </c>
      <c r="H22" s="53" t="s">
        <v>84</v>
      </c>
      <c r="I22" s="7" t="s">
        <v>109</v>
      </c>
      <c r="J22" s="7" t="s">
        <v>130</v>
      </c>
      <c r="K22" s="11">
        <v>0.97361111111111109</v>
      </c>
      <c r="L22" s="7" t="s">
        <v>109</v>
      </c>
      <c r="M22" s="7" t="s">
        <v>109</v>
      </c>
      <c r="N22" s="29" t="s">
        <v>109</v>
      </c>
      <c r="O22" s="29" t="s">
        <v>61</v>
      </c>
      <c r="P22" s="7" t="s">
        <v>131</v>
      </c>
      <c r="Q22" s="7" t="s">
        <v>84</v>
      </c>
      <c r="R22" s="7" t="s">
        <v>62</v>
      </c>
      <c r="S22" s="7" t="s">
        <v>123</v>
      </c>
      <c r="T22" s="29" t="s">
        <v>424</v>
      </c>
      <c r="U22" s="111">
        <f t="shared" si="0"/>
        <v>0.95</v>
      </c>
      <c r="V22" s="7" t="s">
        <v>1945</v>
      </c>
    </row>
    <row r="23" spans="1:22" x14ac:dyDescent="0.3">
      <c r="A23" s="7">
        <v>22</v>
      </c>
      <c r="B23" s="29" t="s">
        <v>23</v>
      </c>
      <c r="C23" s="29" t="s">
        <v>708</v>
      </c>
      <c r="D23" s="91">
        <v>50126163</v>
      </c>
      <c r="E23" s="29">
        <v>40</v>
      </c>
      <c r="F23" s="7">
        <v>80</v>
      </c>
      <c r="G23" s="7">
        <v>40</v>
      </c>
      <c r="H23" s="53" t="s">
        <v>69</v>
      </c>
      <c r="I23" s="7" t="s">
        <v>109</v>
      </c>
      <c r="J23" s="7" t="s">
        <v>130</v>
      </c>
      <c r="K23" s="11">
        <v>0.85486111111111107</v>
      </c>
      <c r="L23" s="7" t="s">
        <v>109</v>
      </c>
      <c r="M23" s="7" t="s">
        <v>109</v>
      </c>
      <c r="N23" s="29" t="s">
        <v>109</v>
      </c>
      <c r="O23" s="29" t="s">
        <v>61</v>
      </c>
      <c r="P23" s="7" t="s">
        <v>131</v>
      </c>
      <c r="Q23" s="7" t="s">
        <v>69</v>
      </c>
      <c r="R23" s="7" t="s">
        <v>62</v>
      </c>
      <c r="S23" s="7" t="s">
        <v>123</v>
      </c>
      <c r="T23" s="29" t="s">
        <v>424</v>
      </c>
      <c r="U23" s="111">
        <f t="shared" si="0"/>
        <v>1</v>
      </c>
      <c r="V23" s="7" t="s">
        <v>1945</v>
      </c>
    </row>
    <row r="24" spans="1:22" x14ac:dyDescent="0.3">
      <c r="A24" s="7">
        <v>23</v>
      </c>
      <c r="B24" s="29" t="s">
        <v>23</v>
      </c>
      <c r="C24" s="29" t="s">
        <v>709</v>
      </c>
      <c r="D24" s="91">
        <v>50126164</v>
      </c>
      <c r="E24" s="29">
        <v>40</v>
      </c>
      <c r="F24" s="7">
        <v>83</v>
      </c>
      <c r="G24" s="7">
        <v>31</v>
      </c>
      <c r="H24" s="53" t="s">
        <v>67</v>
      </c>
      <c r="I24" s="7" t="s">
        <v>109</v>
      </c>
      <c r="J24" s="7" t="s">
        <v>130</v>
      </c>
      <c r="K24" s="11">
        <v>0.95972222222222225</v>
      </c>
      <c r="L24" s="7" t="s">
        <v>109</v>
      </c>
      <c r="M24" s="7" t="s">
        <v>109</v>
      </c>
      <c r="N24" s="29" t="s">
        <v>109</v>
      </c>
      <c r="O24" s="29" t="s">
        <v>61</v>
      </c>
      <c r="P24" s="7" t="s">
        <v>131</v>
      </c>
      <c r="Q24" s="7" t="s">
        <v>67</v>
      </c>
      <c r="R24" s="7" t="s">
        <v>62</v>
      </c>
      <c r="S24" s="7" t="s">
        <v>123</v>
      </c>
      <c r="T24" s="29" t="s">
        <v>424</v>
      </c>
      <c r="U24" s="111">
        <f t="shared" si="0"/>
        <v>0.77500000000000002</v>
      </c>
      <c r="V24" s="7" t="s">
        <v>1313</v>
      </c>
    </row>
    <row r="25" spans="1:22" x14ac:dyDescent="0.3">
      <c r="A25" s="7">
        <v>24</v>
      </c>
      <c r="B25" s="29" t="s">
        <v>23</v>
      </c>
      <c r="C25" s="29" t="s">
        <v>711</v>
      </c>
      <c r="D25" s="91">
        <v>50126166</v>
      </c>
      <c r="E25" s="29">
        <v>40</v>
      </c>
      <c r="F25" s="7">
        <v>83</v>
      </c>
      <c r="G25" s="7">
        <v>46</v>
      </c>
      <c r="H25" s="53" t="s">
        <v>82</v>
      </c>
      <c r="I25" s="7" t="s">
        <v>109</v>
      </c>
      <c r="J25" s="7" t="s">
        <v>130</v>
      </c>
      <c r="K25" s="11">
        <v>0.84930555555555554</v>
      </c>
      <c r="L25" s="7" t="s">
        <v>109</v>
      </c>
      <c r="M25" s="7" t="s">
        <v>109</v>
      </c>
      <c r="N25" s="29" t="s">
        <v>109</v>
      </c>
      <c r="O25" s="29" t="s">
        <v>61</v>
      </c>
      <c r="P25" s="7" t="s">
        <v>131</v>
      </c>
      <c r="Q25" s="7" t="s">
        <v>82</v>
      </c>
      <c r="R25" s="7" t="s">
        <v>62</v>
      </c>
      <c r="S25" s="7" t="s">
        <v>123</v>
      </c>
      <c r="T25" s="29" t="s">
        <v>424</v>
      </c>
      <c r="U25" s="111">
        <f t="shared" si="0"/>
        <v>1.1499999999999999</v>
      </c>
      <c r="V25" s="7" t="s">
        <v>1945</v>
      </c>
    </row>
    <row r="26" spans="1:22" x14ac:dyDescent="0.3">
      <c r="A26" s="7">
        <v>25</v>
      </c>
      <c r="B26" s="29" t="s">
        <v>23</v>
      </c>
      <c r="C26" s="29" t="s">
        <v>712</v>
      </c>
      <c r="D26" s="91">
        <v>50126170</v>
      </c>
      <c r="E26" s="29">
        <v>75</v>
      </c>
      <c r="F26" s="7">
        <v>109</v>
      </c>
      <c r="G26" s="7">
        <v>76</v>
      </c>
      <c r="H26" s="53" t="s">
        <v>88</v>
      </c>
      <c r="I26" s="7" t="s">
        <v>109</v>
      </c>
      <c r="J26" s="7" t="s">
        <v>130</v>
      </c>
      <c r="K26" s="11">
        <v>0.86597222222222225</v>
      </c>
      <c r="L26" s="7" t="s">
        <v>109</v>
      </c>
      <c r="M26" s="7" t="s">
        <v>109</v>
      </c>
      <c r="N26" s="29" t="s">
        <v>109</v>
      </c>
      <c r="O26" s="29" t="s">
        <v>61</v>
      </c>
      <c r="P26" s="7" t="s">
        <v>131</v>
      </c>
      <c r="Q26" s="7" t="s">
        <v>88</v>
      </c>
      <c r="R26" s="7" t="s">
        <v>62</v>
      </c>
      <c r="S26" s="7" t="s">
        <v>123</v>
      </c>
      <c r="T26" s="29" t="s">
        <v>424</v>
      </c>
      <c r="U26" s="111">
        <f t="shared" si="0"/>
        <v>1.0133333333333334</v>
      </c>
      <c r="V26" s="7" t="s">
        <v>1945</v>
      </c>
    </row>
    <row r="27" spans="1:22" x14ac:dyDescent="0.3">
      <c r="A27" s="7">
        <v>26</v>
      </c>
      <c r="B27" s="29" t="s">
        <v>23</v>
      </c>
      <c r="C27" s="29" t="s">
        <v>713</v>
      </c>
      <c r="D27" s="91">
        <v>50126167</v>
      </c>
      <c r="E27" s="29">
        <v>40</v>
      </c>
      <c r="F27" s="7">
        <v>88</v>
      </c>
      <c r="G27" s="7">
        <v>33</v>
      </c>
      <c r="H27" s="53" t="s">
        <v>64</v>
      </c>
      <c r="I27" s="7" t="s">
        <v>109</v>
      </c>
      <c r="J27" s="7" t="s">
        <v>130</v>
      </c>
      <c r="K27" s="11">
        <v>0.95694444444444449</v>
      </c>
      <c r="L27" s="7" t="s">
        <v>109</v>
      </c>
      <c r="M27" s="7" t="s">
        <v>109</v>
      </c>
      <c r="N27" s="29" t="s">
        <v>109</v>
      </c>
      <c r="O27" s="29" t="s">
        <v>61</v>
      </c>
      <c r="P27" s="7" t="s">
        <v>131</v>
      </c>
      <c r="Q27" s="7" t="s">
        <v>184</v>
      </c>
      <c r="R27" s="7" t="s">
        <v>62</v>
      </c>
      <c r="S27" s="7" t="s">
        <v>123</v>
      </c>
      <c r="T27" s="29" t="s">
        <v>424</v>
      </c>
      <c r="U27" s="111">
        <f t="shared" si="0"/>
        <v>0.82499999999999996</v>
      </c>
      <c r="V27" s="7" t="s">
        <v>1313</v>
      </c>
    </row>
    <row r="28" spans="1:22" x14ac:dyDescent="0.3">
      <c r="A28" s="7">
        <v>27</v>
      </c>
      <c r="B28" s="29" t="s">
        <v>23</v>
      </c>
      <c r="C28" s="29" t="s">
        <v>819</v>
      </c>
      <c r="D28" s="91">
        <v>50126227</v>
      </c>
      <c r="E28" s="29">
        <v>65</v>
      </c>
      <c r="F28" s="7">
        <v>130</v>
      </c>
      <c r="G28" s="7">
        <v>33</v>
      </c>
      <c r="H28" s="53" t="s">
        <v>68</v>
      </c>
      <c r="I28" s="7" t="s">
        <v>109</v>
      </c>
      <c r="J28" s="7" t="s">
        <v>130</v>
      </c>
      <c r="K28" s="11">
        <v>0.95972222222222225</v>
      </c>
      <c r="L28" s="7" t="s">
        <v>109</v>
      </c>
      <c r="M28" s="7" t="s">
        <v>109</v>
      </c>
      <c r="N28" s="29" t="s">
        <v>109</v>
      </c>
      <c r="O28" s="29" t="s">
        <v>61</v>
      </c>
      <c r="P28" s="7" t="s">
        <v>131</v>
      </c>
      <c r="Q28" s="7" t="s">
        <v>68</v>
      </c>
      <c r="R28" s="7" t="s">
        <v>62</v>
      </c>
      <c r="S28" s="7" t="s">
        <v>123</v>
      </c>
      <c r="T28" s="29" t="s">
        <v>424</v>
      </c>
      <c r="U28" s="111">
        <f t="shared" si="0"/>
        <v>0.50769230769230766</v>
      </c>
      <c r="V28" s="7" t="s">
        <v>1313</v>
      </c>
    </row>
    <row r="29" spans="1:22" x14ac:dyDescent="0.3">
      <c r="A29" s="7">
        <v>28</v>
      </c>
      <c r="B29" s="29" t="s">
        <v>23</v>
      </c>
      <c r="C29" s="29" t="s">
        <v>824</v>
      </c>
      <c r="D29" s="91">
        <v>50126209</v>
      </c>
      <c r="E29" s="29">
        <v>40</v>
      </c>
      <c r="F29" s="7">
        <v>57</v>
      </c>
      <c r="G29" s="7">
        <v>41</v>
      </c>
      <c r="H29" s="53" t="s">
        <v>68</v>
      </c>
      <c r="I29" s="7" t="s">
        <v>109</v>
      </c>
      <c r="J29" s="7" t="s">
        <v>130</v>
      </c>
      <c r="K29" s="11">
        <v>0.98472222222222228</v>
      </c>
      <c r="L29" s="7" t="s">
        <v>109</v>
      </c>
      <c r="M29" s="7" t="s">
        <v>109</v>
      </c>
      <c r="N29" s="29" t="s">
        <v>109</v>
      </c>
      <c r="O29" s="29" t="s">
        <v>61</v>
      </c>
      <c r="P29" s="7" t="s">
        <v>131</v>
      </c>
      <c r="Q29" s="7" t="s">
        <v>68</v>
      </c>
      <c r="R29" s="7" t="s">
        <v>62</v>
      </c>
      <c r="S29" s="7" t="s">
        <v>123</v>
      </c>
      <c r="T29" s="29" t="s">
        <v>424</v>
      </c>
      <c r="U29" s="111">
        <f t="shared" si="0"/>
        <v>1.0249999999999999</v>
      </c>
      <c r="V29" s="7" t="s">
        <v>1945</v>
      </c>
    </row>
    <row r="30" spans="1:22" x14ac:dyDescent="0.3">
      <c r="A30" s="7">
        <v>29</v>
      </c>
      <c r="B30" s="29" t="s">
        <v>23</v>
      </c>
      <c r="C30" s="29" t="s">
        <v>1650</v>
      </c>
      <c r="D30" s="91">
        <v>50126374</v>
      </c>
      <c r="E30" s="29">
        <v>40</v>
      </c>
      <c r="F30" s="7">
        <v>46</v>
      </c>
      <c r="G30" s="7">
        <v>41</v>
      </c>
      <c r="H30" s="53" t="s">
        <v>200</v>
      </c>
      <c r="I30" s="7" t="s">
        <v>109</v>
      </c>
      <c r="J30" s="7" t="s">
        <v>130</v>
      </c>
      <c r="K30" s="11">
        <v>0.90763888888888888</v>
      </c>
      <c r="L30" s="7" t="s">
        <v>109</v>
      </c>
      <c r="M30" s="7" t="s">
        <v>109</v>
      </c>
      <c r="N30" s="29" t="s">
        <v>109</v>
      </c>
      <c r="O30" s="29" t="s">
        <v>61</v>
      </c>
      <c r="P30" s="7" t="s">
        <v>131</v>
      </c>
      <c r="Q30" s="7" t="s">
        <v>200</v>
      </c>
      <c r="R30" s="7" t="s">
        <v>62</v>
      </c>
      <c r="S30" s="7" t="s">
        <v>123</v>
      </c>
      <c r="T30" s="29" t="s">
        <v>424</v>
      </c>
      <c r="U30" s="111">
        <f t="shared" si="0"/>
        <v>1.0249999999999999</v>
      </c>
      <c r="V30" s="7" t="s">
        <v>1945</v>
      </c>
    </row>
    <row r="31" spans="1:22" x14ac:dyDescent="0.3">
      <c r="A31" s="7">
        <v>30</v>
      </c>
      <c r="B31" s="29" t="s">
        <v>23</v>
      </c>
      <c r="C31" s="29" t="s">
        <v>1656</v>
      </c>
      <c r="D31" s="91">
        <v>50126379</v>
      </c>
      <c r="E31" s="29">
        <v>30</v>
      </c>
      <c r="F31" s="7">
        <v>42</v>
      </c>
      <c r="G31" s="7">
        <v>32</v>
      </c>
      <c r="H31" s="53" t="s">
        <v>214</v>
      </c>
      <c r="I31" s="7" t="s">
        <v>109</v>
      </c>
      <c r="J31" s="7" t="s">
        <v>130</v>
      </c>
      <c r="K31" s="11">
        <v>0.94861111111111107</v>
      </c>
      <c r="L31" s="7" t="s">
        <v>109</v>
      </c>
      <c r="M31" s="7" t="s">
        <v>109</v>
      </c>
      <c r="N31" s="29" t="s">
        <v>109</v>
      </c>
      <c r="O31" s="29" t="s">
        <v>61</v>
      </c>
      <c r="P31" s="7" t="s">
        <v>131</v>
      </c>
      <c r="Q31" s="7" t="s">
        <v>214</v>
      </c>
      <c r="R31" s="7" t="s">
        <v>62</v>
      </c>
      <c r="S31" s="7" t="s">
        <v>123</v>
      </c>
      <c r="T31" s="29" t="s">
        <v>424</v>
      </c>
      <c r="U31" s="111">
        <f t="shared" si="0"/>
        <v>1.0666666666666667</v>
      </c>
      <c r="V31" s="7" t="s">
        <v>1945</v>
      </c>
    </row>
    <row r="32" spans="1:22" x14ac:dyDescent="0.3">
      <c r="A32" s="7">
        <v>31</v>
      </c>
      <c r="B32" s="29" t="s">
        <v>23</v>
      </c>
      <c r="C32" s="29" t="s">
        <v>1657</v>
      </c>
      <c r="D32" s="91">
        <v>50126380</v>
      </c>
      <c r="E32" s="29">
        <v>50</v>
      </c>
      <c r="F32" s="7">
        <v>60</v>
      </c>
      <c r="G32" s="7">
        <v>49</v>
      </c>
      <c r="H32" s="53" t="s">
        <v>241</v>
      </c>
      <c r="I32" s="7" t="s">
        <v>109</v>
      </c>
      <c r="J32" s="7" t="s">
        <v>130</v>
      </c>
      <c r="K32" s="11">
        <v>0.72083333333333333</v>
      </c>
      <c r="L32" s="7" t="s">
        <v>109</v>
      </c>
      <c r="M32" s="7" t="s">
        <v>109</v>
      </c>
      <c r="N32" s="29" t="s">
        <v>109</v>
      </c>
      <c r="O32" s="29" t="s">
        <v>61</v>
      </c>
      <c r="P32" s="7" t="s">
        <v>131</v>
      </c>
      <c r="Q32" s="7" t="s">
        <v>241</v>
      </c>
      <c r="R32" s="7" t="s">
        <v>62</v>
      </c>
      <c r="S32" s="7" t="s">
        <v>123</v>
      </c>
      <c r="T32" s="29" t="s">
        <v>424</v>
      </c>
      <c r="U32" s="111">
        <f t="shared" si="0"/>
        <v>0.98</v>
      </c>
      <c r="V32" s="7" t="s">
        <v>1945</v>
      </c>
    </row>
    <row r="33" spans="1:22" x14ac:dyDescent="0.3">
      <c r="A33" s="7">
        <v>32</v>
      </c>
      <c r="B33" s="29" t="s">
        <v>23</v>
      </c>
      <c r="C33" s="29" t="s">
        <v>1662</v>
      </c>
      <c r="D33" s="91">
        <v>50126388</v>
      </c>
      <c r="E33" s="29">
        <v>40</v>
      </c>
      <c r="F33" s="7">
        <v>48</v>
      </c>
      <c r="G33" s="7">
        <v>40</v>
      </c>
      <c r="H33" s="53" t="s">
        <v>71</v>
      </c>
      <c r="I33" s="7" t="s">
        <v>109</v>
      </c>
      <c r="J33" s="7" t="s">
        <v>130</v>
      </c>
      <c r="K33" s="11">
        <v>0.96875</v>
      </c>
      <c r="L33" s="7" t="s">
        <v>109</v>
      </c>
      <c r="M33" s="7" t="s">
        <v>109</v>
      </c>
      <c r="N33" s="29" t="s">
        <v>109</v>
      </c>
      <c r="O33" s="29" t="s">
        <v>61</v>
      </c>
      <c r="P33" s="7" t="s">
        <v>131</v>
      </c>
      <c r="Q33" s="7" t="s">
        <v>71</v>
      </c>
      <c r="R33" s="7" t="s">
        <v>62</v>
      </c>
      <c r="S33" s="7" t="s">
        <v>123</v>
      </c>
      <c r="T33" s="29" t="s">
        <v>424</v>
      </c>
      <c r="U33" s="111">
        <f t="shared" si="0"/>
        <v>1</v>
      </c>
      <c r="V33" s="7" t="s">
        <v>1945</v>
      </c>
    </row>
    <row r="34" spans="1:22" x14ac:dyDescent="0.3">
      <c r="A34" s="7">
        <v>33</v>
      </c>
      <c r="B34" s="29" t="s">
        <v>23</v>
      </c>
      <c r="C34" s="29" t="s">
        <v>835</v>
      </c>
      <c r="D34" s="91">
        <v>50126103</v>
      </c>
      <c r="E34" s="29">
        <v>75</v>
      </c>
      <c r="F34" s="7">
        <v>97</v>
      </c>
      <c r="G34" s="7">
        <v>82</v>
      </c>
      <c r="H34" s="53" t="s">
        <v>209</v>
      </c>
      <c r="I34" s="7" t="s">
        <v>109</v>
      </c>
      <c r="J34" s="7" t="s">
        <v>130</v>
      </c>
      <c r="K34" s="11">
        <v>0.90138888888888891</v>
      </c>
      <c r="L34" s="7" t="s">
        <v>109</v>
      </c>
      <c r="M34" s="7" t="s">
        <v>109</v>
      </c>
      <c r="N34" s="29" t="s">
        <v>109</v>
      </c>
      <c r="O34" s="29" t="s">
        <v>61</v>
      </c>
      <c r="P34" s="7" t="s">
        <v>131</v>
      </c>
      <c r="Q34" s="7" t="s">
        <v>209</v>
      </c>
      <c r="R34" s="7" t="s">
        <v>62</v>
      </c>
      <c r="S34" s="7" t="s">
        <v>123</v>
      </c>
      <c r="T34" s="29" t="s">
        <v>424</v>
      </c>
      <c r="U34" s="111">
        <f t="shared" ref="U34:U65" si="1">G34/E34</f>
        <v>1.0933333333333333</v>
      </c>
      <c r="V34" s="7" t="s">
        <v>1945</v>
      </c>
    </row>
    <row r="35" spans="1:22" x14ac:dyDescent="0.3">
      <c r="A35" s="7">
        <v>34</v>
      </c>
      <c r="B35" s="29" t="s">
        <v>23</v>
      </c>
      <c r="C35" s="29" t="s">
        <v>836</v>
      </c>
      <c r="D35" s="91">
        <v>50126104</v>
      </c>
      <c r="E35" s="29">
        <v>65</v>
      </c>
      <c r="F35" s="7">
        <v>137</v>
      </c>
      <c r="G35" s="7">
        <v>67</v>
      </c>
      <c r="H35" s="53" t="s">
        <v>200</v>
      </c>
      <c r="I35" s="7" t="s">
        <v>109</v>
      </c>
      <c r="J35" s="7" t="s">
        <v>130</v>
      </c>
      <c r="K35" s="11">
        <v>0.95625000000000004</v>
      </c>
      <c r="L35" s="7" t="s">
        <v>109</v>
      </c>
      <c r="M35" s="7" t="s">
        <v>109</v>
      </c>
      <c r="N35" s="29" t="s">
        <v>109</v>
      </c>
      <c r="O35" s="29" t="s">
        <v>61</v>
      </c>
      <c r="P35" s="7" t="s">
        <v>131</v>
      </c>
      <c r="Q35" s="7" t="s">
        <v>200</v>
      </c>
      <c r="R35" s="7" t="s">
        <v>62</v>
      </c>
      <c r="S35" s="7" t="s">
        <v>123</v>
      </c>
      <c r="T35" s="29" t="s">
        <v>424</v>
      </c>
      <c r="U35" s="111">
        <f t="shared" si="1"/>
        <v>1.0307692307692307</v>
      </c>
      <c r="V35" s="7" t="s">
        <v>1945</v>
      </c>
    </row>
    <row r="36" spans="1:22" x14ac:dyDescent="0.3">
      <c r="A36" s="7">
        <v>35</v>
      </c>
      <c r="B36" s="29" t="s">
        <v>23</v>
      </c>
      <c r="C36" s="29" t="s">
        <v>838</v>
      </c>
      <c r="D36" s="91">
        <v>50126105</v>
      </c>
      <c r="E36" s="29">
        <v>60</v>
      </c>
      <c r="F36" s="7">
        <v>96</v>
      </c>
      <c r="G36" s="7">
        <v>48</v>
      </c>
      <c r="H36" s="53" t="s">
        <v>69</v>
      </c>
      <c r="I36" s="7" t="s">
        <v>109</v>
      </c>
      <c r="J36" s="7" t="s">
        <v>130</v>
      </c>
      <c r="K36" s="11">
        <v>0.89583333333333337</v>
      </c>
      <c r="L36" s="7" t="s">
        <v>109</v>
      </c>
      <c r="M36" s="7" t="s">
        <v>109</v>
      </c>
      <c r="N36" s="29" t="s">
        <v>109</v>
      </c>
      <c r="O36" s="29" t="s">
        <v>61</v>
      </c>
      <c r="P36" s="7" t="s">
        <v>131</v>
      </c>
      <c r="Q36" s="7" t="s">
        <v>69</v>
      </c>
      <c r="R36" s="7" t="s">
        <v>62</v>
      </c>
      <c r="S36" s="7" t="s">
        <v>123</v>
      </c>
      <c r="T36" s="29" t="s">
        <v>424</v>
      </c>
      <c r="U36" s="111">
        <f t="shared" si="1"/>
        <v>0.8</v>
      </c>
      <c r="V36" s="7" t="s">
        <v>152</v>
      </c>
    </row>
    <row r="37" spans="1:22" x14ac:dyDescent="0.3">
      <c r="A37" s="7">
        <v>36</v>
      </c>
      <c r="B37" s="29" t="s">
        <v>23</v>
      </c>
      <c r="C37" s="29" t="s">
        <v>425</v>
      </c>
      <c r="D37" s="91">
        <v>50126025</v>
      </c>
      <c r="E37" s="29">
        <v>85</v>
      </c>
      <c r="F37" s="7">
        <v>143</v>
      </c>
      <c r="G37" s="7">
        <v>87</v>
      </c>
      <c r="H37" s="53" t="s">
        <v>154</v>
      </c>
      <c r="I37" s="7" t="s">
        <v>109</v>
      </c>
      <c r="J37" s="7" t="s">
        <v>130</v>
      </c>
      <c r="K37" s="11">
        <v>0.78749999999999998</v>
      </c>
      <c r="L37" s="7" t="s">
        <v>109</v>
      </c>
      <c r="M37" s="7" t="s">
        <v>109</v>
      </c>
      <c r="N37" s="29" t="s">
        <v>109</v>
      </c>
      <c r="O37" s="29" t="s">
        <v>61</v>
      </c>
      <c r="P37" s="7" t="s">
        <v>131</v>
      </c>
      <c r="Q37" s="7" t="s">
        <v>154</v>
      </c>
      <c r="R37" s="7" t="s">
        <v>62</v>
      </c>
      <c r="S37" s="7" t="s">
        <v>123</v>
      </c>
      <c r="T37" s="29" t="s">
        <v>424</v>
      </c>
      <c r="U37" s="111">
        <f t="shared" si="1"/>
        <v>1.0235294117647058</v>
      </c>
      <c r="V37" s="7" t="s">
        <v>1945</v>
      </c>
    </row>
    <row r="38" spans="1:22" x14ac:dyDescent="0.3">
      <c r="A38" s="7">
        <v>37</v>
      </c>
      <c r="B38" s="29" t="s">
        <v>23</v>
      </c>
      <c r="C38" s="29" t="s">
        <v>426</v>
      </c>
      <c r="D38" s="91">
        <v>50126023</v>
      </c>
      <c r="E38" s="29">
        <v>50</v>
      </c>
      <c r="F38" s="7">
        <v>29</v>
      </c>
      <c r="G38" s="7">
        <v>25</v>
      </c>
      <c r="H38" s="53" t="s">
        <v>84</v>
      </c>
      <c r="I38" s="7" t="s">
        <v>109</v>
      </c>
      <c r="J38" s="7" t="s">
        <v>130</v>
      </c>
      <c r="K38" s="11">
        <v>0.98611111111111116</v>
      </c>
      <c r="L38" s="7" t="s">
        <v>109</v>
      </c>
      <c r="M38" s="7" t="s">
        <v>109</v>
      </c>
      <c r="N38" s="29" t="s">
        <v>109</v>
      </c>
      <c r="O38" s="29" t="s">
        <v>61</v>
      </c>
      <c r="P38" s="7" t="s">
        <v>131</v>
      </c>
      <c r="Q38" s="7" t="s">
        <v>84</v>
      </c>
      <c r="R38" s="7" t="s">
        <v>62</v>
      </c>
      <c r="S38" s="7" t="s">
        <v>123</v>
      </c>
      <c r="T38" s="29" t="s">
        <v>424</v>
      </c>
      <c r="U38" s="111">
        <f t="shared" si="1"/>
        <v>0.5</v>
      </c>
      <c r="V38" s="7" t="s">
        <v>152</v>
      </c>
    </row>
    <row r="39" spans="1:22" x14ac:dyDescent="0.3">
      <c r="A39" s="7">
        <v>38</v>
      </c>
      <c r="B39" s="29" t="s">
        <v>23</v>
      </c>
      <c r="C39" s="29" t="s">
        <v>812</v>
      </c>
      <c r="D39" s="91">
        <v>50126224</v>
      </c>
      <c r="E39" s="29">
        <v>40</v>
      </c>
      <c r="F39" s="7">
        <v>48</v>
      </c>
      <c r="G39" s="7">
        <v>45</v>
      </c>
      <c r="H39" s="53" t="s">
        <v>196</v>
      </c>
      <c r="I39" s="7" t="s">
        <v>109</v>
      </c>
      <c r="J39" s="7" t="s">
        <v>130</v>
      </c>
      <c r="K39" s="11">
        <v>0.81944444444444442</v>
      </c>
      <c r="L39" s="7" t="s">
        <v>109</v>
      </c>
      <c r="M39" s="7" t="s">
        <v>109</v>
      </c>
      <c r="N39" s="29" t="s">
        <v>109</v>
      </c>
      <c r="O39" s="29" t="s">
        <v>61</v>
      </c>
      <c r="P39" s="7" t="s">
        <v>131</v>
      </c>
      <c r="Q39" s="7" t="s">
        <v>196</v>
      </c>
      <c r="R39" s="7" t="s">
        <v>62</v>
      </c>
      <c r="S39" s="7" t="s">
        <v>123</v>
      </c>
      <c r="T39" s="29" t="s">
        <v>424</v>
      </c>
      <c r="U39" s="111">
        <f t="shared" si="1"/>
        <v>1.125</v>
      </c>
      <c r="V39" s="7" t="s">
        <v>1945</v>
      </c>
    </row>
    <row r="40" spans="1:22" x14ac:dyDescent="0.3">
      <c r="A40" s="7">
        <v>39</v>
      </c>
      <c r="B40" s="29" t="s">
        <v>23</v>
      </c>
      <c r="C40" s="29" t="s">
        <v>813</v>
      </c>
      <c r="D40" s="91">
        <v>50126225</v>
      </c>
      <c r="E40" s="29">
        <v>40</v>
      </c>
      <c r="F40" s="7">
        <v>60</v>
      </c>
      <c r="G40" s="7">
        <v>48</v>
      </c>
      <c r="H40" s="53" t="s">
        <v>274</v>
      </c>
      <c r="I40" s="7" t="s">
        <v>109</v>
      </c>
      <c r="J40" s="7" t="s">
        <v>130</v>
      </c>
      <c r="K40" s="11">
        <v>3.1944444444444442E-2</v>
      </c>
      <c r="L40" s="7" t="s">
        <v>109</v>
      </c>
      <c r="M40" s="7" t="s">
        <v>109</v>
      </c>
      <c r="N40" s="29" t="s">
        <v>109</v>
      </c>
      <c r="O40" s="29" t="s">
        <v>61</v>
      </c>
      <c r="P40" s="7" t="s">
        <v>131</v>
      </c>
      <c r="Q40" s="7" t="s">
        <v>274</v>
      </c>
      <c r="R40" s="7" t="s">
        <v>62</v>
      </c>
      <c r="S40" s="7" t="s">
        <v>123</v>
      </c>
      <c r="T40" s="29" t="s">
        <v>424</v>
      </c>
      <c r="U40" s="111">
        <f t="shared" si="1"/>
        <v>1.2</v>
      </c>
      <c r="V40" s="7" t="s">
        <v>1945</v>
      </c>
    </row>
    <row r="41" spans="1:22" x14ac:dyDescent="0.3">
      <c r="A41" s="7">
        <v>40</v>
      </c>
      <c r="B41" s="29" t="s">
        <v>23</v>
      </c>
      <c r="C41" s="29" t="s">
        <v>530</v>
      </c>
      <c r="D41" s="91">
        <v>50126056</v>
      </c>
      <c r="E41" s="29">
        <v>30</v>
      </c>
      <c r="F41" s="7">
        <v>35</v>
      </c>
      <c r="G41" s="7">
        <v>31</v>
      </c>
      <c r="H41" s="53" t="s">
        <v>66</v>
      </c>
      <c r="I41" s="7" t="s">
        <v>109</v>
      </c>
      <c r="J41" s="7" t="s">
        <v>130</v>
      </c>
      <c r="K41" s="11">
        <v>0.66041666666666665</v>
      </c>
      <c r="L41" s="7" t="s">
        <v>109</v>
      </c>
      <c r="M41" s="7" t="s">
        <v>109</v>
      </c>
      <c r="N41" s="29" t="s">
        <v>109</v>
      </c>
      <c r="O41" s="29" t="s">
        <v>61</v>
      </c>
      <c r="P41" s="7" t="s">
        <v>131</v>
      </c>
      <c r="Q41" s="7" t="s">
        <v>66</v>
      </c>
      <c r="R41" s="7" t="s">
        <v>62</v>
      </c>
      <c r="S41" s="7" t="s">
        <v>123</v>
      </c>
      <c r="T41" s="29" t="s">
        <v>424</v>
      </c>
      <c r="U41" s="111">
        <f t="shared" si="1"/>
        <v>1.0333333333333334</v>
      </c>
      <c r="V41" s="7" t="s">
        <v>1945</v>
      </c>
    </row>
    <row r="42" spans="1:22" x14ac:dyDescent="0.3">
      <c r="A42" s="7">
        <v>41</v>
      </c>
      <c r="B42" s="29" t="s">
        <v>23</v>
      </c>
      <c r="C42" s="29" t="s">
        <v>2356</v>
      </c>
      <c r="D42" s="91">
        <v>50226081</v>
      </c>
      <c r="E42" s="29">
        <v>40</v>
      </c>
      <c r="F42" s="7">
        <v>92</v>
      </c>
      <c r="G42" s="7">
        <v>32</v>
      </c>
      <c r="H42" s="53" t="s">
        <v>65</v>
      </c>
      <c r="I42" s="7" t="s">
        <v>109</v>
      </c>
      <c r="J42" s="7" t="s">
        <v>130</v>
      </c>
      <c r="K42" s="11">
        <v>0.97916666666666663</v>
      </c>
      <c r="L42" s="7" t="s">
        <v>109</v>
      </c>
      <c r="M42" s="7" t="s">
        <v>109</v>
      </c>
      <c r="N42" s="29" t="s">
        <v>109</v>
      </c>
      <c r="O42" s="29" t="s">
        <v>61</v>
      </c>
      <c r="P42" s="7" t="s">
        <v>131</v>
      </c>
      <c r="Q42" s="7" t="s">
        <v>65</v>
      </c>
      <c r="R42" s="7" t="s">
        <v>62</v>
      </c>
      <c r="S42" s="7" t="s">
        <v>123</v>
      </c>
      <c r="T42" s="29" t="s">
        <v>424</v>
      </c>
      <c r="U42" s="111">
        <f t="shared" si="1"/>
        <v>0.8</v>
      </c>
      <c r="V42" s="7" t="s">
        <v>1313</v>
      </c>
    </row>
    <row r="43" spans="1:22" x14ac:dyDescent="0.3">
      <c r="A43" s="7">
        <v>42</v>
      </c>
      <c r="B43" s="29" t="s">
        <v>23</v>
      </c>
      <c r="C43" s="29" t="s">
        <v>2355</v>
      </c>
      <c r="D43" s="91">
        <v>50226082</v>
      </c>
      <c r="E43" s="29">
        <v>40</v>
      </c>
      <c r="F43" s="7">
        <v>74</v>
      </c>
      <c r="G43" s="7">
        <v>40</v>
      </c>
      <c r="H43" s="53" t="s">
        <v>222</v>
      </c>
      <c r="I43" s="7" t="s">
        <v>109</v>
      </c>
      <c r="J43" s="7" t="s">
        <v>130</v>
      </c>
      <c r="K43" s="11">
        <v>0.76388888888888884</v>
      </c>
      <c r="L43" s="7" t="s">
        <v>109</v>
      </c>
      <c r="M43" s="7" t="s">
        <v>109</v>
      </c>
      <c r="N43" s="29" t="s">
        <v>109</v>
      </c>
      <c r="O43" s="29" t="s">
        <v>61</v>
      </c>
      <c r="P43" s="7" t="s">
        <v>131</v>
      </c>
      <c r="Q43" s="7" t="s">
        <v>222</v>
      </c>
      <c r="R43" s="7" t="s">
        <v>62</v>
      </c>
      <c r="S43" s="7" t="s">
        <v>123</v>
      </c>
      <c r="T43" s="29" t="s">
        <v>424</v>
      </c>
      <c r="U43" s="111">
        <f t="shared" si="1"/>
        <v>1</v>
      </c>
      <c r="V43" s="7" t="s">
        <v>1945</v>
      </c>
    </row>
    <row r="44" spans="1:22" x14ac:dyDescent="0.3">
      <c r="A44" s="7">
        <v>43</v>
      </c>
      <c r="B44" s="29" t="s">
        <v>23</v>
      </c>
      <c r="C44" s="29" t="s">
        <v>2354</v>
      </c>
      <c r="D44" s="91">
        <v>50226083</v>
      </c>
      <c r="E44" s="29">
        <v>40</v>
      </c>
      <c r="F44" s="7">
        <v>80</v>
      </c>
      <c r="G44" s="7">
        <v>16</v>
      </c>
      <c r="H44" s="53" t="s">
        <v>184</v>
      </c>
      <c r="I44" s="7" t="s">
        <v>109</v>
      </c>
      <c r="J44" s="7" t="s">
        <v>130</v>
      </c>
      <c r="K44" s="11">
        <v>0.95625000000000004</v>
      </c>
      <c r="L44" s="7" t="s">
        <v>109</v>
      </c>
      <c r="M44" s="7" t="s">
        <v>109</v>
      </c>
      <c r="N44" s="29" t="s">
        <v>109</v>
      </c>
      <c r="O44" s="29" t="s">
        <v>61</v>
      </c>
      <c r="P44" s="7" t="s">
        <v>131</v>
      </c>
      <c r="Q44" s="7" t="s">
        <v>184</v>
      </c>
      <c r="R44" s="7" t="s">
        <v>62</v>
      </c>
      <c r="S44" s="7" t="s">
        <v>123</v>
      </c>
      <c r="T44" s="29" t="s">
        <v>424</v>
      </c>
      <c r="U44" s="111">
        <f t="shared" si="1"/>
        <v>0.4</v>
      </c>
      <c r="V44" s="7" t="s">
        <v>1313</v>
      </c>
    </row>
    <row r="45" spans="1:22" x14ac:dyDescent="0.3">
      <c r="A45" s="7">
        <v>44</v>
      </c>
      <c r="B45" s="29" t="s">
        <v>23</v>
      </c>
      <c r="C45" s="29" t="s">
        <v>2357</v>
      </c>
      <c r="D45" s="91">
        <v>50226084</v>
      </c>
      <c r="E45" s="29">
        <v>40</v>
      </c>
      <c r="F45" s="7">
        <v>76</v>
      </c>
      <c r="G45" s="7">
        <v>45</v>
      </c>
      <c r="H45" s="53" t="s">
        <v>70</v>
      </c>
      <c r="I45" s="7" t="s">
        <v>109</v>
      </c>
      <c r="J45" s="7" t="s">
        <v>130</v>
      </c>
      <c r="K45" s="11">
        <v>0.98750000000000004</v>
      </c>
      <c r="L45" s="7" t="s">
        <v>109</v>
      </c>
      <c r="M45" s="7" t="s">
        <v>109</v>
      </c>
      <c r="N45" s="29" t="s">
        <v>109</v>
      </c>
      <c r="O45" s="29" t="s">
        <v>61</v>
      </c>
      <c r="P45" s="7" t="s">
        <v>131</v>
      </c>
      <c r="Q45" s="7" t="s">
        <v>70</v>
      </c>
      <c r="R45" s="7" t="s">
        <v>62</v>
      </c>
      <c r="S45" s="7" t="s">
        <v>123</v>
      </c>
      <c r="T45" s="29" t="s">
        <v>424</v>
      </c>
      <c r="U45" s="111">
        <f t="shared" si="1"/>
        <v>1.125</v>
      </c>
      <c r="V45" s="7" t="s">
        <v>1945</v>
      </c>
    </row>
    <row r="46" spans="1:22" x14ac:dyDescent="0.3">
      <c r="A46" s="7">
        <v>45</v>
      </c>
      <c r="B46" s="29" t="s">
        <v>23</v>
      </c>
      <c r="C46" s="29" t="s">
        <v>840</v>
      </c>
      <c r="D46" s="91">
        <v>50126075</v>
      </c>
      <c r="E46" s="29">
        <v>65</v>
      </c>
      <c r="F46" s="7">
        <v>87</v>
      </c>
      <c r="G46" s="7">
        <v>73</v>
      </c>
      <c r="H46" s="53" t="s">
        <v>214</v>
      </c>
      <c r="I46" s="7" t="s">
        <v>109</v>
      </c>
      <c r="J46" s="7" t="s">
        <v>130</v>
      </c>
      <c r="K46" s="11">
        <v>0.90138888888888891</v>
      </c>
      <c r="L46" s="7" t="s">
        <v>109</v>
      </c>
      <c r="M46" s="7" t="s">
        <v>109</v>
      </c>
      <c r="N46" s="29" t="s">
        <v>109</v>
      </c>
      <c r="O46" s="29" t="s">
        <v>61</v>
      </c>
      <c r="P46" s="7" t="s">
        <v>131</v>
      </c>
      <c r="Q46" s="7" t="s">
        <v>214</v>
      </c>
      <c r="R46" s="7" t="s">
        <v>62</v>
      </c>
      <c r="S46" s="7" t="s">
        <v>123</v>
      </c>
      <c r="T46" s="29" t="s">
        <v>424</v>
      </c>
      <c r="U46" s="111">
        <f t="shared" si="1"/>
        <v>1.1230769230769231</v>
      </c>
      <c r="V46" s="7" t="s">
        <v>1945</v>
      </c>
    </row>
    <row r="47" spans="1:22" x14ac:dyDescent="0.3">
      <c r="A47" s="7">
        <v>46</v>
      </c>
      <c r="B47" s="29" t="s">
        <v>23</v>
      </c>
      <c r="C47" s="29" t="s">
        <v>432</v>
      </c>
      <c r="D47" s="91">
        <v>50126040</v>
      </c>
      <c r="E47" s="29">
        <v>60</v>
      </c>
      <c r="F47" s="7">
        <v>83</v>
      </c>
      <c r="G47" s="7">
        <v>70</v>
      </c>
      <c r="H47" s="53" t="s">
        <v>67</v>
      </c>
      <c r="I47" s="7" t="s">
        <v>109</v>
      </c>
      <c r="J47" s="7" t="s">
        <v>130</v>
      </c>
      <c r="K47" s="11">
        <v>0.98333333333333328</v>
      </c>
      <c r="L47" s="7" t="s">
        <v>109</v>
      </c>
      <c r="M47" s="7" t="s">
        <v>109</v>
      </c>
      <c r="N47" s="29" t="s">
        <v>109</v>
      </c>
      <c r="O47" s="29" t="s">
        <v>61</v>
      </c>
      <c r="P47" s="7" t="s">
        <v>131</v>
      </c>
      <c r="Q47" s="7" t="s">
        <v>67</v>
      </c>
      <c r="R47" s="7" t="s">
        <v>62</v>
      </c>
      <c r="S47" s="7" t="s">
        <v>123</v>
      </c>
      <c r="T47" s="29" t="s">
        <v>424</v>
      </c>
      <c r="U47" s="111">
        <f t="shared" si="1"/>
        <v>1.1666666666666667</v>
      </c>
      <c r="V47" s="7" t="s">
        <v>1945</v>
      </c>
    </row>
    <row r="48" spans="1:22" x14ac:dyDescent="0.3">
      <c r="A48" s="7">
        <v>47</v>
      </c>
      <c r="B48" s="29" t="s">
        <v>23</v>
      </c>
      <c r="C48" s="29" t="s">
        <v>431</v>
      </c>
      <c r="D48" s="91">
        <v>50126041</v>
      </c>
      <c r="E48" s="29">
        <v>65</v>
      </c>
      <c r="F48" s="7">
        <v>110</v>
      </c>
      <c r="G48" s="7">
        <v>70</v>
      </c>
      <c r="H48" s="53" t="s">
        <v>154</v>
      </c>
      <c r="I48" s="7" t="s">
        <v>109</v>
      </c>
      <c r="J48" s="7" t="s">
        <v>130</v>
      </c>
      <c r="K48" s="11">
        <v>0.70763888888888893</v>
      </c>
      <c r="L48" s="7" t="s">
        <v>109</v>
      </c>
      <c r="M48" s="7" t="s">
        <v>109</v>
      </c>
      <c r="N48" s="29" t="s">
        <v>109</v>
      </c>
      <c r="O48" s="29" t="s">
        <v>61</v>
      </c>
      <c r="P48" s="7" t="s">
        <v>131</v>
      </c>
      <c r="Q48" s="7" t="s">
        <v>154</v>
      </c>
      <c r="R48" s="7" t="s">
        <v>62</v>
      </c>
      <c r="S48" s="7" t="s">
        <v>123</v>
      </c>
      <c r="T48" s="29" t="s">
        <v>424</v>
      </c>
      <c r="U48" s="111">
        <f t="shared" si="1"/>
        <v>1.0769230769230769</v>
      </c>
      <c r="V48" s="7" t="s">
        <v>1945</v>
      </c>
    </row>
    <row r="49" spans="1:22" x14ac:dyDescent="0.3">
      <c r="A49" s="7">
        <v>48</v>
      </c>
      <c r="B49" s="29" t="s">
        <v>23</v>
      </c>
      <c r="C49" s="29" t="s">
        <v>430</v>
      </c>
      <c r="D49" s="91">
        <v>50126042</v>
      </c>
      <c r="E49" s="29">
        <v>75</v>
      </c>
      <c r="F49" s="7">
        <v>110</v>
      </c>
      <c r="G49" s="7">
        <v>78</v>
      </c>
      <c r="H49" s="53" t="s">
        <v>91</v>
      </c>
      <c r="I49" s="7" t="s">
        <v>109</v>
      </c>
      <c r="J49" s="7" t="s">
        <v>130</v>
      </c>
      <c r="K49" s="11">
        <v>0.99791666666666667</v>
      </c>
      <c r="L49" s="7" t="s">
        <v>109</v>
      </c>
      <c r="M49" s="7" t="s">
        <v>109</v>
      </c>
      <c r="N49" s="29" t="s">
        <v>109</v>
      </c>
      <c r="O49" s="29" t="s">
        <v>61</v>
      </c>
      <c r="P49" s="7" t="s">
        <v>131</v>
      </c>
      <c r="Q49" s="7" t="s">
        <v>91</v>
      </c>
      <c r="R49" s="7" t="s">
        <v>62</v>
      </c>
      <c r="S49" s="7" t="s">
        <v>123</v>
      </c>
      <c r="T49" s="29" t="s">
        <v>424</v>
      </c>
      <c r="U49" s="111">
        <f t="shared" si="1"/>
        <v>1.04</v>
      </c>
      <c r="V49" s="7" t="s">
        <v>1945</v>
      </c>
    </row>
    <row r="50" spans="1:22" x14ac:dyDescent="0.3">
      <c r="A50" s="7">
        <v>49</v>
      </c>
      <c r="B50" s="29" t="s">
        <v>23</v>
      </c>
      <c r="C50" s="29" t="s">
        <v>841</v>
      </c>
      <c r="D50" s="91">
        <v>50126201</v>
      </c>
      <c r="E50" s="29">
        <v>40</v>
      </c>
      <c r="F50" s="7">
        <v>60</v>
      </c>
      <c r="G50" s="7">
        <v>42</v>
      </c>
      <c r="H50" s="53" t="s">
        <v>241</v>
      </c>
      <c r="I50" s="7" t="s">
        <v>109</v>
      </c>
      <c r="J50" s="7" t="s">
        <v>130</v>
      </c>
      <c r="K50" s="11">
        <v>0.75</v>
      </c>
      <c r="L50" s="7" t="s">
        <v>109</v>
      </c>
      <c r="M50" s="7" t="s">
        <v>109</v>
      </c>
      <c r="N50" s="29" t="s">
        <v>109</v>
      </c>
      <c r="O50" s="29" t="s">
        <v>61</v>
      </c>
      <c r="P50" s="7" t="s">
        <v>131</v>
      </c>
      <c r="Q50" s="7" t="s">
        <v>241</v>
      </c>
      <c r="R50" s="7" t="s">
        <v>62</v>
      </c>
      <c r="S50" s="7" t="s">
        <v>123</v>
      </c>
      <c r="T50" s="29" t="s">
        <v>424</v>
      </c>
      <c r="U50" s="111">
        <f t="shared" si="1"/>
        <v>1.05</v>
      </c>
      <c r="V50" s="7" t="s">
        <v>1945</v>
      </c>
    </row>
    <row r="51" spans="1:22" x14ac:dyDescent="0.3">
      <c r="A51" s="7">
        <v>50</v>
      </c>
      <c r="B51" s="29" t="s">
        <v>23</v>
      </c>
      <c r="C51" s="29" t="s">
        <v>842</v>
      </c>
      <c r="D51" s="91">
        <v>50126202</v>
      </c>
      <c r="E51" s="29">
        <v>75</v>
      </c>
      <c r="F51" s="7">
        <v>151</v>
      </c>
      <c r="G51" s="7">
        <v>40</v>
      </c>
      <c r="H51" s="53" t="s">
        <v>86</v>
      </c>
      <c r="I51" s="7" t="s">
        <v>109</v>
      </c>
      <c r="J51" s="7" t="s">
        <v>130</v>
      </c>
      <c r="K51" s="11">
        <v>0.77222222222222225</v>
      </c>
      <c r="L51" s="7" t="s">
        <v>109</v>
      </c>
      <c r="M51" s="7" t="s">
        <v>109</v>
      </c>
      <c r="N51" s="29" t="s">
        <v>109</v>
      </c>
      <c r="O51" s="29" t="s">
        <v>61</v>
      </c>
      <c r="P51" s="7" t="s">
        <v>131</v>
      </c>
      <c r="Q51" s="7" t="s">
        <v>86</v>
      </c>
      <c r="R51" s="7" t="s">
        <v>62</v>
      </c>
      <c r="S51" s="7" t="s">
        <v>123</v>
      </c>
      <c r="T51" s="29" t="s">
        <v>424</v>
      </c>
      <c r="U51" s="111">
        <f t="shared" si="1"/>
        <v>0.53333333333333333</v>
      </c>
      <c r="V51" s="7" t="s">
        <v>2391</v>
      </c>
    </row>
    <row r="52" spans="1:22" x14ac:dyDescent="0.3">
      <c r="A52" s="7">
        <v>51</v>
      </c>
      <c r="B52" s="29" t="s">
        <v>23</v>
      </c>
      <c r="C52" s="29" t="s">
        <v>844</v>
      </c>
      <c r="D52" s="91">
        <v>50126204</v>
      </c>
      <c r="E52" s="29">
        <v>60</v>
      </c>
      <c r="F52" s="7">
        <v>121</v>
      </c>
      <c r="G52" s="7">
        <v>38</v>
      </c>
      <c r="H52" s="53" t="s">
        <v>64</v>
      </c>
      <c r="I52" s="7" t="s">
        <v>109</v>
      </c>
      <c r="J52" s="7" t="s">
        <v>130</v>
      </c>
      <c r="K52" s="11">
        <v>0.82222222222222219</v>
      </c>
      <c r="L52" s="7" t="s">
        <v>109</v>
      </c>
      <c r="M52" s="7" t="s">
        <v>109</v>
      </c>
      <c r="N52" s="29" t="s">
        <v>109</v>
      </c>
      <c r="O52" s="29" t="s">
        <v>61</v>
      </c>
      <c r="P52" s="7" t="s">
        <v>131</v>
      </c>
      <c r="Q52" s="7" t="s">
        <v>64</v>
      </c>
      <c r="R52" s="7" t="s">
        <v>62</v>
      </c>
      <c r="S52" s="7" t="s">
        <v>123</v>
      </c>
      <c r="T52" s="29" t="s">
        <v>424</v>
      </c>
      <c r="U52" s="111">
        <f t="shared" si="1"/>
        <v>0.6333333333333333</v>
      </c>
      <c r="V52" s="7" t="s">
        <v>1313</v>
      </c>
    </row>
    <row r="53" spans="1:22" x14ac:dyDescent="0.3">
      <c r="A53" s="7">
        <v>52</v>
      </c>
      <c r="B53" s="29" t="s">
        <v>23</v>
      </c>
      <c r="C53" s="29" t="s">
        <v>546</v>
      </c>
      <c r="D53" s="91">
        <v>50126085</v>
      </c>
      <c r="E53" s="29">
        <v>65</v>
      </c>
      <c r="F53" s="7">
        <v>93</v>
      </c>
      <c r="G53" s="7">
        <v>70</v>
      </c>
      <c r="H53" s="53" t="s">
        <v>94</v>
      </c>
      <c r="I53" s="7" t="s">
        <v>109</v>
      </c>
      <c r="J53" s="7" t="s">
        <v>130</v>
      </c>
      <c r="K53" s="11">
        <v>0.73263888888888884</v>
      </c>
      <c r="L53" s="7" t="s">
        <v>109</v>
      </c>
      <c r="M53" s="7" t="s">
        <v>109</v>
      </c>
      <c r="N53" s="29" t="s">
        <v>109</v>
      </c>
      <c r="O53" s="29" t="s">
        <v>61</v>
      </c>
      <c r="P53" s="7" t="s">
        <v>131</v>
      </c>
      <c r="Q53" s="7" t="s">
        <v>94</v>
      </c>
      <c r="R53" s="7" t="s">
        <v>62</v>
      </c>
      <c r="S53" s="7" t="s">
        <v>123</v>
      </c>
      <c r="T53" s="29" t="s">
        <v>424</v>
      </c>
      <c r="U53" s="111">
        <f t="shared" si="1"/>
        <v>1.0769230769230769</v>
      </c>
      <c r="V53" s="7" t="s">
        <v>1945</v>
      </c>
    </row>
    <row r="54" spans="1:22" x14ac:dyDescent="0.3">
      <c r="A54" s="7">
        <v>53</v>
      </c>
      <c r="B54" s="29" t="s">
        <v>23</v>
      </c>
      <c r="C54" s="29" t="s">
        <v>543</v>
      </c>
      <c r="D54" s="91">
        <v>50126088</v>
      </c>
      <c r="E54" s="29">
        <v>75</v>
      </c>
      <c r="F54" s="7">
        <v>95</v>
      </c>
      <c r="G54" s="7">
        <v>84</v>
      </c>
      <c r="H54" s="53" t="s">
        <v>95</v>
      </c>
      <c r="I54" s="7" t="s">
        <v>109</v>
      </c>
      <c r="J54" s="7" t="s">
        <v>130</v>
      </c>
      <c r="K54" s="11">
        <v>0.72986111111111107</v>
      </c>
      <c r="L54" s="7" t="s">
        <v>109</v>
      </c>
      <c r="M54" s="7" t="s">
        <v>109</v>
      </c>
      <c r="N54" s="29" t="s">
        <v>109</v>
      </c>
      <c r="O54" s="29" t="s">
        <v>61</v>
      </c>
      <c r="P54" s="7" t="s">
        <v>131</v>
      </c>
      <c r="Q54" s="7" t="s">
        <v>95</v>
      </c>
      <c r="R54" s="7" t="s">
        <v>62</v>
      </c>
      <c r="S54" s="7" t="s">
        <v>123</v>
      </c>
      <c r="T54" s="29" t="s">
        <v>424</v>
      </c>
      <c r="U54" s="111">
        <f t="shared" si="1"/>
        <v>1.1200000000000001</v>
      </c>
      <c r="V54" s="7" t="s">
        <v>1945</v>
      </c>
    </row>
    <row r="55" spans="1:22" x14ac:dyDescent="0.3">
      <c r="A55" s="7">
        <v>54</v>
      </c>
      <c r="B55" s="29" t="s">
        <v>23</v>
      </c>
      <c r="C55" s="29" t="s">
        <v>551</v>
      </c>
      <c r="D55" s="91">
        <v>50126092</v>
      </c>
      <c r="E55" s="29">
        <v>65</v>
      </c>
      <c r="F55" s="7">
        <v>107</v>
      </c>
      <c r="G55" s="7">
        <v>75</v>
      </c>
      <c r="H55" s="53" t="s">
        <v>90</v>
      </c>
      <c r="I55" s="7" t="s">
        <v>109</v>
      </c>
      <c r="J55" s="7" t="s">
        <v>130</v>
      </c>
      <c r="K55" s="11">
        <v>0.80902777777777779</v>
      </c>
      <c r="L55" s="7" t="s">
        <v>109</v>
      </c>
      <c r="M55" s="7" t="s">
        <v>109</v>
      </c>
      <c r="N55" s="29" t="s">
        <v>109</v>
      </c>
      <c r="O55" s="29" t="s">
        <v>61</v>
      </c>
      <c r="P55" s="7" t="s">
        <v>131</v>
      </c>
      <c r="Q55" s="7" t="s">
        <v>90</v>
      </c>
      <c r="R55" s="7" t="s">
        <v>62</v>
      </c>
      <c r="S55" s="7" t="s">
        <v>123</v>
      </c>
      <c r="T55" s="29" t="s">
        <v>424</v>
      </c>
      <c r="U55" s="111">
        <f t="shared" si="1"/>
        <v>1.1538461538461537</v>
      </c>
      <c r="V55" s="7" t="s">
        <v>1945</v>
      </c>
    </row>
    <row r="56" spans="1:22" x14ac:dyDescent="0.3">
      <c r="A56" s="7">
        <v>55</v>
      </c>
      <c r="B56" s="29" t="s">
        <v>23</v>
      </c>
      <c r="C56" s="29" t="s">
        <v>550</v>
      </c>
      <c r="D56" s="91">
        <v>50126093</v>
      </c>
      <c r="E56" s="29">
        <v>65</v>
      </c>
      <c r="F56" s="7">
        <v>105</v>
      </c>
      <c r="G56" s="7">
        <v>65</v>
      </c>
      <c r="H56" s="53" t="s">
        <v>89</v>
      </c>
      <c r="I56" s="7" t="s">
        <v>109</v>
      </c>
      <c r="J56" s="7" t="s">
        <v>130</v>
      </c>
      <c r="K56" s="11">
        <v>0.71944444444444444</v>
      </c>
      <c r="L56" s="7" t="s">
        <v>109</v>
      </c>
      <c r="M56" s="7" t="s">
        <v>109</v>
      </c>
      <c r="N56" s="29" t="s">
        <v>109</v>
      </c>
      <c r="O56" s="29" t="s">
        <v>61</v>
      </c>
      <c r="P56" s="7" t="s">
        <v>131</v>
      </c>
      <c r="Q56" s="7" t="s">
        <v>89</v>
      </c>
      <c r="R56" s="7" t="s">
        <v>62</v>
      </c>
      <c r="S56" s="7" t="s">
        <v>123</v>
      </c>
      <c r="T56" s="29" t="s">
        <v>424</v>
      </c>
      <c r="U56" s="111">
        <f t="shared" si="1"/>
        <v>1</v>
      </c>
      <c r="V56" s="7" t="s">
        <v>1945</v>
      </c>
    </row>
    <row r="57" spans="1:22" x14ac:dyDescent="0.3">
      <c r="A57" s="7">
        <v>56</v>
      </c>
      <c r="B57" s="29" t="s">
        <v>23</v>
      </c>
      <c r="C57" s="29" t="s">
        <v>549</v>
      </c>
      <c r="D57" s="91">
        <v>50126094</v>
      </c>
      <c r="E57" s="29">
        <v>65</v>
      </c>
      <c r="F57" s="7">
        <v>88</v>
      </c>
      <c r="G57" s="7">
        <v>70</v>
      </c>
      <c r="H57" s="53" t="s">
        <v>87</v>
      </c>
      <c r="I57" s="7" t="s">
        <v>109</v>
      </c>
      <c r="J57" s="7" t="s">
        <v>130</v>
      </c>
      <c r="K57" s="11">
        <v>0.70972222222222225</v>
      </c>
      <c r="L57" s="7" t="s">
        <v>109</v>
      </c>
      <c r="M57" s="7" t="s">
        <v>109</v>
      </c>
      <c r="N57" s="29" t="s">
        <v>109</v>
      </c>
      <c r="O57" s="29" t="s">
        <v>61</v>
      </c>
      <c r="P57" s="7" t="s">
        <v>131</v>
      </c>
      <c r="Q57" s="7" t="s">
        <v>87</v>
      </c>
      <c r="R57" s="7" t="s">
        <v>62</v>
      </c>
      <c r="S57" s="7" t="s">
        <v>123</v>
      </c>
      <c r="T57" s="29" t="s">
        <v>424</v>
      </c>
      <c r="U57" s="111">
        <f t="shared" si="1"/>
        <v>1.0769230769230769</v>
      </c>
      <c r="V57" s="7" t="s">
        <v>1945</v>
      </c>
    </row>
    <row r="58" spans="1:22" x14ac:dyDescent="0.3">
      <c r="A58" s="7">
        <v>57</v>
      </c>
      <c r="B58" s="29" t="s">
        <v>23</v>
      </c>
      <c r="C58" s="29" t="s">
        <v>730</v>
      </c>
      <c r="D58" s="91">
        <v>50126120</v>
      </c>
      <c r="E58" s="29">
        <v>40</v>
      </c>
      <c r="F58" s="7">
        <v>60</v>
      </c>
      <c r="G58" s="7">
        <v>43</v>
      </c>
      <c r="H58" s="53" t="s">
        <v>184</v>
      </c>
      <c r="I58" s="7" t="s">
        <v>109</v>
      </c>
      <c r="J58" s="7" t="s">
        <v>130</v>
      </c>
      <c r="K58" s="11">
        <v>0.98263888888888884</v>
      </c>
      <c r="L58" s="7" t="s">
        <v>109</v>
      </c>
      <c r="M58" s="7" t="s">
        <v>109</v>
      </c>
      <c r="N58" s="29" t="s">
        <v>109</v>
      </c>
      <c r="O58" s="29" t="s">
        <v>61</v>
      </c>
      <c r="P58" s="7" t="s">
        <v>131</v>
      </c>
      <c r="Q58" s="7" t="s">
        <v>184</v>
      </c>
      <c r="R58" s="7" t="s">
        <v>62</v>
      </c>
      <c r="S58" s="7" t="s">
        <v>123</v>
      </c>
      <c r="T58" s="29" t="s">
        <v>424</v>
      </c>
      <c r="U58" s="111">
        <f t="shared" si="1"/>
        <v>1.075</v>
      </c>
      <c r="V58" s="7" t="s">
        <v>1945</v>
      </c>
    </row>
    <row r="59" spans="1:22" x14ac:dyDescent="0.3">
      <c r="A59" s="7">
        <v>58</v>
      </c>
      <c r="B59" s="29" t="s">
        <v>23</v>
      </c>
      <c r="C59" s="29" t="s">
        <v>1696</v>
      </c>
      <c r="D59" s="91">
        <v>50126362</v>
      </c>
      <c r="E59" s="29">
        <v>80</v>
      </c>
      <c r="F59" s="7">
        <v>158</v>
      </c>
      <c r="G59" s="7">
        <v>90</v>
      </c>
      <c r="H59" s="53" t="s">
        <v>241</v>
      </c>
      <c r="I59" s="7" t="s">
        <v>109</v>
      </c>
      <c r="J59" s="7" t="s">
        <v>130</v>
      </c>
      <c r="K59" s="11">
        <v>0.6791666666666667</v>
      </c>
      <c r="L59" s="7" t="s">
        <v>109</v>
      </c>
      <c r="M59" s="7" t="s">
        <v>109</v>
      </c>
      <c r="N59" s="32" t="s">
        <v>2055</v>
      </c>
      <c r="O59" s="29" t="s">
        <v>61</v>
      </c>
      <c r="P59" s="7" t="s">
        <v>131</v>
      </c>
      <c r="Q59" s="7" t="s">
        <v>241</v>
      </c>
      <c r="R59" s="7" t="s">
        <v>62</v>
      </c>
      <c r="S59" s="7" t="s">
        <v>123</v>
      </c>
      <c r="T59" s="29" t="s">
        <v>1568</v>
      </c>
      <c r="U59" s="111">
        <f t="shared" si="1"/>
        <v>1.125</v>
      </c>
      <c r="V59" s="7" t="s">
        <v>1945</v>
      </c>
    </row>
    <row r="60" spans="1:22" x14ac:dyDescent="0.3">
      <c r="A60" s="7">
        <v>59</v>
      </c>
      <c r="B60" s="29" t="s">
        <v>23</v>
      </c>
      <c r="C60" s="29" t="s">
        <v>2736</v>
      </c>
      <c r="D60" s="91">
        <v>50226124</v>
      </c>
      <c r="E60" s="29">
        <v>100</v>
      </c>
      <c r="F60" s="7">
        <v>155</v>
      </c>
      <c r="G60" s="7">
        <v>3</v>
      </c>
      <c r="H60" s="53" t="s">
        <v>184</v>
      </c>
      <c r="I60" s="7" t="s">
        <v>109</v>
      </c>
      <c r="J60" s="7" t="s">
        <v>130</v>
      </c>
      <c r="K60" s="11">
        <v>0.90277777777777779</v>
      </c>
      <c r="L60" s="7" t="s">
        <v>109</v>
      </c>
      <c r="M60" s="7" t="s">
        <v>109</v>
      </c>
      <c r="N60" s="29" t="s">
        <v>109</v>
      </c>
      <c r="O60" s="29" t="s">
        <v>61</v>
      </c>
      <c r="P60" s="7" t="s">
        <v>131</v>
      </c>
      <c r="Q60" s="7" t="s">
        <v>184</v>
      </c>
      <c r="R60" s="7" t="s">
        <v>62</v>
      </c>
      <c r="S60" s="7" t="s">
        <v>123</v>
      </c>
      <c r="T60" s="29" t="s">
        <v>1341</v>
      </c>
      <c r="U60" s="111">
        <f t="shared" si="1"/>
        <v>0.03</v>
      </c>
      <c r="V60" s="7" t="s">
        <v>152</v>
      </c>
    </row>
    <row r="61" spans="1:22" x14ac:dyDescent="0.3">
      <c r="A61" s="7">
        <v>60</v>
      </c>
      <c r="B61" s="29" t="s">
        <v>23</v>
      </c>
      <c r="C61" s="29" t="s">
        <v>2698</v>
      </c>
      <c r="D61" s="91">
        <v>50226116</v>
      </c>
      <c r="E61" s="29">
        <v>100</v>
      </c>
      <c r="F61" s="7">
        <v>6</v>
      </c>
      <c r="G61" s="7">
        <v>4</v>
      </c>
      <c r="H61" s="53" t="s">
        <v>196</v>
      </c>
      <c r="I61" s="7" t="s">
        <v>109</v>
      </c>
      <c r="J61" s="7" t="s">
        <v>130</v>
      </c>
      <c r="K61" s="11">
        <v>0.96319444444444446</v>
      </c>
      <c r="L61" s="7" t="s">
        <v>109</v>
      </c>
      <c r="M61" s="7" t="s">
        <v>109</v>
      </c>
      <c r="N61" s="29" t="s">
        <v>109</v>
      </c>
      <c r="O61" s="29" t="s">
        <v>61</v>
      </c>
      <c r="P61" s="7" t="s">
        <v>131</v>
      </c>
      <c r="Q61" s="7" t="s">
        <v>196</v>
      </c>
      <c r="R61" s="7" t="s">
        <v>62</v>
      </c>
      <c r="S61" s="7" t="s">
        <v>123</v>
      </c>
      <c r="T61" s="29" t="s">
        <v>252</v>
      </c>
      <c r="U61" s="111">
        <f t="shared" si="1"/>
        <v>0.04</v>
      </c>
      <c r="V61" s="7" t="s">
        <v>152</v>
      </c>
    </row>
    <row r="62" spans="1:22" x14ac:dyDescent="0.3">
      <c r="A62" s="7">
        <v>61</v>
      </c>
      <c r="B62" s="29" t="s">
        <v>23</v>
      </c>
      <c r="C62" s="29" t="s">
        <v>2474</v>
      </c>
      <c r="D62" s="91">
        <v>50226106</v>
      </c>
      <c r="E62" s="29">
        <v>75</v>
      </c>
      <c r="F62" s="7">
        <v>60</v>
      </c>
      <c r="G62" s="7">
        <v>42</v>
      </c>
      <c r="H62" s="53" t="s">
        <v>274</v>
      </c>
      <c r="I62" s="7" t="s">
        <v>109</v>
      </c>
      <c r="J62" s="7" t="s">
        <v>130</v>
      </c>
      <c r="K62" s="11">
        <v>1.4583333333333334E-2</v>
      </c>
      <c r="L62" s="7" t="s">
        <v>109</v>
      </c>
      <c r="M62" s="7" t="s">
        <v>109</v>
      </c>
      <c r="N62" s="32" t="s">
        <v>2778</v>
      </c>
      <c r="O62" s="29" t="s">
        <v>61</v>
      </c>
      <c r="P62" s="7" t="s">
        <v>131</v>
      </c>
      <c r="Q62" s="7" t="s">
        <v>109</v>
      </c>
      <c r="R62" s="7" t="s">
        <v>62</v>
      </c>
      <c r="S62" s="7" t="s">
        <v>123</v>
      </c>
      <c r="T62" s="29" t="s">
        <v>2473</v>
      </c>
      <c r="U62" s="111">
        <f t="shared" si="1"/>
        <v>0.56000000000000005</v>
      </c>
      <c r="V62" s="7" t="s">
        <v>1945</v>
      </c>
    </row>
    <row r="63" spans="1:22" x14ac:dyDescent="0.3">
      <c r="A63" s="7">
        <v>62</v>
      </c>
      <c r="B63" s="29" t="s">
        <v>23</v>
      </c>
      <c r="C63" s="29" t="s">
        <v>2475</v>
      </c>
      <c r="D63" s="91">
        <v>50226103</v>
      </c>
      <c r="E63" s="29">
        <v>150</v>
      </c>
      <c r="F63" s="7">
        <v>148</v>
      </c>
      <c r="G63" s="7">
        <v>36</v>
      </c>
      <c r="H63" s="53" t="s">
        <v>2779</v>
      </c>
      <c r="I63" s="7" t="s">
        <v>109</v>
      </c>
      <c r="J63" s="7" t="s">
        <v>130</v>
      </c>
      <c r="K63" s="11">
        <v>0.94930555555555551</v>
      </c>
      <c r="L63" s="7" t="s">
        <v>109</v>
      </c>
      <c r="M63" s="7" t="s">
        <v>109</v>
      </c>
      <c r="N63" s="29" t="s">
        <v>109</v>
      </c>
      <c r="O63" s="29" t="s">
        <v>61</v>
      </c>
      <c r="P63" s="7" t="s">
        <v>131</v>
      </c>
      <c r="Q63" s="7" t="s">
        <v>82</v>
      </c>
      <c r="R63" s="7" t="s">
        <v>62</v>
      </c>
      <c r="S63" s="7" t="s">
        <v>123</v>
      </c>
      <c r="T63" s="29" t="s">
        <v>2473</v>
      </c>
      <c r="U63" s="111">
        <f t="shared" si="1"/>
        <v>0.24</v>
      </c>
      <c r="V63" s="7" t="s">
        <v>152</v>
      </c>
    </row>
    <row r="64" spans="1:22" x14ac:dyDescent="0.3">
      <c r="A64" s="7">
        <v>63</v>
      </c>
      <c r="B64" s="29" t="s">
        <v>23</v>
      </c>
      <c r="C64" s="29" t="s">
        <v>2476</v>
      </c>
      <c r="D64" s="91">
        <v>50226102</v>
      </c>
      <c r="E64" s="29">
        <v>50</v>
      </c>
      <c r="F64" s="7">
        <v>25</v>
      </c>
      <c r="G64" s="7">
        <v>7</v>
      </c>
      <c r="H64" s="53" t="s">
        <v>69</v>
      </c>
      <c r="I64" s="7" t="s">
        <v>109</v>
      </c>
      <c r="J64" s="7" t="s">
        <v>130</v>
      </c>
      <c r="K64" s="11">
        <v>0.82777777777777772</v>
      </c>
      <c r="L64" s="7" t="s">
        <v>109</v>
      </c>
      <c r="M64" s="7" t="s">
        <v>109</v>
      </c>
      <c r="N64" s="32" t="s">
        <v>2778</v>
      </c>
      <c r="O64" s="29" t="s">
        <v>61</v>
      </c>
      <c r="P64" s="7" t="s">
        <v>131</v>
      </c>
      <c r="Q64" s="7" t="s">
        <v>69</v>
      </c>
      <c r="R64" s="7" t="s">
        <v>62</v>
      </c>
      <c r="S64" s="7" t="s">
        <v>123</v>
      </c>
      <c r="T64" s="29" t="s">
        <v>2473</v>
      </c>
      <c r="U64" s="111">
        <f t="shared" si="1"/>
        <v>0.14000000000000001</v>
      </c>
      <c r="V64" s="7" t="s">
        <v>152</v>
      </c>
    </row>
    <row r="65" spans="1:22" x14ac:dyDescent="0.3">
      <c r="A65" s="7">
        <v>64</v>
      </c>
      <c r="B65" s="29" t="s">
        <v>23</v>
      </c>
      <c r="C65" s="29" t="s">
        <v>2477</v>
      </c>
      <c r="D65" s="91">
        <v>50226105</v>
      </c>
      <c r="E65" s="29">
        <v>250</v>
      </c>
      <c r="F65" s="7">
        <v>406</v>
      </c>
      <c r="G65" s="7">
        <v>192</v>
      </c>
      <c r="H65" s="53" t="s">
        <v>2780</v>
      </c>
      <c r="I65" s="7" t="s">
        <v>109</v>
      </c>
      <c r="J65" s="7" t="s">
        <v>130</v>
      </c>
      <c r="K65" s="11">
        <v>0.93194444444444446</v>
      </c>
      <c r="L65" s="7" t="s">
        <v>109</v>
      </c>
      <c r="M65" s="7" t="s">
        <v>109</v>
      </c>
      <c r="N65" s="32" t="s">
        <v>2778</v>
      </c>
      <c r="O65" s="29" t="s">
        <v>61</v>
      </c>
      <c r="P65" s="7" t="s">
        <v>131</v>
      </c>
      <c r="Q65" s="7" t="s">
        <v>82</v>
      </c>
      <c r="R65" s="7" t="s">
        <v>62</v>
      </c>
      <c r="S65" s="7" t="s">
        <v>123</v>
      </c>
      <c r="T65" s="29" t="s">
        <v>2473</v>
      </c>
      <c r="U65" s="111">
        <f t="shared" si="1"/>
        <v>0.76800000000000002</v>
      </c>
      <c r="V65" s="7" t="s">
        <v>1313</v>
      </c>
    </row>
    <row r="66" spans="1:22" x14ac:dyDescent="0.3">
      <c r="A66" s="7">
        <v>65</v>
      </c>
      <c r="B66" s="29" t="s">
        <v>23</v>
      </c>
      <c r="C66" s="29" t="s">
        <v>2478</v>
      </c>
      <c r="D66" s="91">
        <v>50226101</v>
      </c>
      <c r="E66" s="29">
        <v>400</v>
      </c>
      <c r="F66" s="7">
        <v>727</v>
      </c>
      <c r="G66" s="7">
        <v>172</v>
      </c>
      <c r="H66" s="7" t="s">
        <v>2781</v>
      </c>
      <c r="I66" s="7" t="s">
        <v>109</v>
      </c>
      <c r="J66" s="7" t="s">
        <v>130</v>
      </c>
      <c r="K66" s="11">
        <v>0.85416666666666663</v>
      </c>
      <c r="L66" s="7" t="s">
        <v>109</v>
      </c>
      <c r="M66" s="7" t="s">
        <v>109</v>
      </c>
      <c r="N66" s="29" t="s">
        <v>109</v>
      </c>
      <c r="O66" s="29" t="s">
        <v>61</v>
      </c>
      <c r="P66" s="7" t="s">
        <v>131</v>
      </c>
      <c r="Q66" s="7" t="s">
        <v>200</v>
      </c>
      <c r="R66" s="7" t="s">
        <v>62</v>
      </c>
      <c r="S66" s="7" t="s">
        <v>123</v>
      </c>
      <c r="T66" s="29" t="s">
        <v>2473</v>
      </c>
      <c r="U66" s="111">
        <f t="shared" ref="U66:U76" si="2">G66/E66</f>
        <v>0.43</v>
      </c>
      <c r="V66" s="7" t="s">
        <v>1313</v>
      </c>
    </row>
    <row r="67" spans="1:22" x14ac:dyDescent="0.3">
      <c r="A67" s="7">
        <v>66</v>
      </c>
      <c r="B67" s="29" t="s">
        <v>23</v>
      </c>
      <c r="C67" s="29" t="s">
        <v>2481</v>
      </c>
      <c r="D67" s="91">
        <v>50226096</v>
      </c>
      <c r="E67" s="29">
        <v>300</v>
      </c>
      <c r="F67" s="7">
        <v>499</v>
      </c>
      <c r="G67" s="7">
        <v>101</v>
      </c>
      <c r="H67" s="7" t="s">
        <v>2782</v>
      </c>
      <c r="I67" s="7" t="s">
        <v>109</v>
      </c>
      <c r="J67" s="7" t="s">
        <v>130</v>
      </c>
      <c r="K67" s="11">
        <v>0.88888888888888884</v>
      </c>
      <c r="L67" s="7" t="s">
        <v>109</v>
      </c>
      <c r="M67" s="7" t="s">
        <v>109</v>
      </c>
      <c r="N67" s="29" t="s">
        <v>109</v>
      </c>
      <c r="O67" s="29" t="s">
        <v>61</v>
      </c>
      <c r="P67" s="7" t="s">
        <v>131</v>
      </c>
      <c r="Q67" s="7" t="s">
        <v>66</v>
      </c>
      <c r="R67" s="7" t="s">
        <v>62</v>
      </c>
      <c r="S67" s="7" t="s">
        <v>123</v>
      </c>
      <c r="T67" s="29" t="s">
        <v>2473</v>
      </c>
      <c r="U67" s="111">
        <f t="shared" si="2"/>
        <v>0.33666666666666667</v>
      </c>
      <c r="V67" s="7" t="s">
        <v>2391</v>
      </c>
    </row>
    <row r="68" spans="1:22" x14ac:dyDescent="0.3">
      <c r="A68" s="7">
        <v>67</v>
      </c>
      <c r="B68" s="29" t="s">
        <v>23</v>
      </c>
      <c r="C68" s="29" t="s">
        <v>852</v>
      </c>
      <c r="D68" s="91">
        <v>50126207</v>
      </c>
      <c r="E68" s="29">
        <v>70</v>
      </c>
      <c r="F68" s="7">
        <v>140</v>
      </c>
      <c r="G68" s="7">
        <v>39</v>
      </c>
      <c r="H68" s="53" t="s">
        <v>71</v>
      </c>
      <c r="I68" s="7" t="s">
        <v>109</v>
      </c>
      <c r="J68" s="7" t="s">
        <v>130</v>
      </c>
      <c r="K68" s="11">
        <v>0.90138888888888891</v>
      </c>
      <c r="L68" s="7" t="s">
        <v>109</v>
      </c>
      <c r="M68" s="7" t="s">
        <v>109</v>
      </c>
      <c r="N68" s="29" t="s">
        <v>109</v>
      </c>
      <c r="O68" s="29" t="s">
        <v>61</v>
      </c>
      <c r="P68" s="7" t="s">
        <v>131</v>
      </c>
      <c r="Q68" s="7" t="s">
        <v>71</v>
      </c>
      <c r="R68" s="7" t="s">
        <v>62</v>
      </c>
      <c r="S68" s="7" t="s">
        <v>123</v>
      </c>
      <c r="T68" s="29" t="s">
        <v>853</v>
      </c>
      <c r="U68" s="111">
        <f t="shared" si="2"/>
        <v>0.55714285714285716</v>
      </c>
      <c r="V68" s="7" t="s">
        <v>1313</v>
      </c>
    </row>
    <row r="69" spans="1:22" x14ac:dyDescent="0.3">
      <c r="A69" s="7">
        <v>68</v>
      </c>
      <c r="B69" s="29" t="s">
        <v>23</v>
      </c>
      <c r="C69" s="29" t="s">
        <v>854</v>
      </c>
      <c r="D69" s="91">
        <v>50126208</v>
      </c>
      <c r="E69" s="29">
        <v>100</v>
      </c>
      <c r="F69" s="7">
        <v>185</v>
      </c>
      <c r="G69" s="7">
        <v>86</v>
      </c>
      <c r="H69" s="53" t="s">
        <v>82</v>
      </c>
      <c r="I69" s="7" t="s">
        <v>109</v>
      </c>
      <c r="J69" s="7" t="s">
        <v>130</v>
      </c>
      <c r="K69" s="11">
        <v>0.81388888888888888</v>
      </c>
      <c r="L69" s="7" t="s">
        <v>109</v>
      </c>
      <c r="M69" s="7" t="s">
        <v>109</v>
      </c>
      <c r="N69" s="29" t="s">
        <v>109</v>
      </c>
      <c r="O69" s="29" t="s">
        <v>61</v>
      </c>
      <c r="P69" s="7" t="s">
        <v>131</v>
      </c>
      <c r="Q69" s="7" t="s">
        <v>82</v>
      </c>
      <c r="R69" s="7" t="s">
        <v>62</v>
      </c>
      <c r="S69" s="7" t="s">
        <v>123</v>
      </c>
      <c r="T69" s="29" t="s">
        <v>853</v>
      </c>
      <c r="U69" s="111">
        <f t="shared" si="2"/>
        <v>0.86</v>
      </c>
      <c r="V69" s="7" t="s">
        <v>1313</v>
      </c>
    </row>
    <row r="70" spans="1:22" x14ac:dyDescent="0.3">
      <c r="A70" s="7">
        <v>69</v>
      </c>
      <c r="B70" s="29" t="s">
        <v>23</v>
      </c>
      <c r="C70" s="29" t="s">
        <v>1858</v>
      </c>
      <c r="D70" s="91">
        <v>50226006</v>
      </c>
      <c r="E70" s="29">
        <v>50</v>
      </c>
      <c r="F70" s="7">
        <v>98</v>
      </c>
      <c r="G70" s="7">
        <v>51</v>
      </c>
      <c r="H70" s="53" t="s">
        <v>200</v>
      </c>
      <c r="I70" s="7" t="s">
        <v>109</v>
      </c>
      <c r="J70" s="7" t="s">
        <v>130</v>
      </c>
      <c r="K70" s="11">
        <v>0.69374999999999998</v>
      </c>
      <c r="L70" s="7" t="s">
        <v>109</v>
      </c>
      <c r="M70" s="7" t="s">
        <v>109</v>
      </c>
      <c r="N70" s="7" t="s">
        <v>109</v>
      </c>
      <c r="O70" s="29" t="s">
        <v>61</v>
      </c>
      <c r="P70" s="7" t="s">
        <v>131</v>
      </c>
      <c r="Q70" s="7" t="s">
        <v>200</v>
      </c>
      <c r="R70" s="7" t="s">
        <v>62</v>
      </c>
      <c r="S70" s="7" t="s">
        <v>123</v>
      </c>
      <c r="T70" s="29" t="s">
        <v>1859</v>
      </c>
      <c r="U70" s="111">
        <f t="shared" si="2"/>
        <v>1.02</v>
      </c>
      <c r="V70" s="7" t="s">
        <v>1945</v>
      </c>
    </row>
    <row r="71" spans="1:22" x14ac:dyDescent="0.3">
      <c r="A71" s="7">
        <v>70</v>
      </c>
      <c r="B71" s="29" t="s">
        <v>23</v>
      </c>
      <c r="C71" s="29" t="s">
        <v>2416</v>
      </c>
      <c r="D71" s="91">
        <v>50226095</v>
      </c>
      <c r="E71" s="29">
        <v>30</v>
      </c>
      <c r="F71" s="7">
        <v>62</v>
      </c>
      <c r="G71" s="7">
        <v>27</v>
      </c>
      <c r="H71" s="53" t="s">
        <v>67</v>
      </c>
      <c r="I71" s="7" t="s">
        <v>109</v>
      </c>
      <c r="J71" s="7" t="s">
        <v>130</v>
      </c>
      <c r="K71" s="11">
        <v>0.93472222222222223</v>
      </c>
      <c r="L71" s="7" t="s">
        <v>109</v>
      </c>
      <c r="M71" s="7" t="s">
        <v>109</v>
      </c>
      <c r="N71" s="7" t="s">
        <v>109</v>
      </c>
      <c r="O71" s="29" t="s">
        <v>61</v>
      </c>
      <c r="P71" s="7" t="s">
        <v>131</v>
      </c>
      <c r="Q71" s="7" t="s">
        <v>67</v>
      </c>
      <c r="R71" s="7" t="s">
        <v>62</v>
      </c>
      <c r="S71" s="7" t="s">
        <v>123</v>
      </c>
      <c r="T71" s="29" t="s">
        <v>275</v>
      </c>
      <c r="U71" s="111">
        <f t="shared" si="2"/>
        <v>0.9</v>
      </c>
      <c r="V71" s="7" t="s">
        <v>1945</v>
      </c>
    </row>
    <row r="72" spans="1:22" x14ac:dyDescent="0.3">
      <c r="A72" s="7">
        <v>71</v>
      </c>
      <c r="B72" s="29" t="s">
        <v>23</v>
      </c>
      <c r="C72" s="29" t="s">
        <v>1064</v>
      </c>
      <c r="D72" s="91">
        <v>50126306</v>
      </c>
      <c r="E72" s="29">
        <v>100</v>
      </c>
      <c r="F72" s="7">
        <v>191</v>
      </c>
      <c r="G72" s="7">
        <v>15</v>
      </c>
      <c r="H72" s="53" t="s">
        <v>84</v>
      </c>
      <c r="I72" s="7" t="s">
        <v>109</v>
      </c>
      <c r="J72" s="7" t="s">
        <v>130</v>
      </c>
      <c r="K72" s="11">
        <v>0.93958333333333333</v>
      </c>
      <c r="L72" s="7" t="s">
        <v>109</v>
      </c>
      <c r="M72" s="7" t="s">
        <v>109</v>
      </c>
      <c r="N72" s="7" t="s">
        <v>109</v>
      </c>
      <c r="O72" s="29" t="s">
        <v>61</v>
      </c>
      <c r="P72" s="7" t="s">
        <v>131</v>
      </c>
      <c r="Q72" s="7" t="s">
        <v>84</v>
      </c>
      <c r="R72" s="7" t="s">
        <v>62</v>
      </c>
      <c r="S72" s="7" t="s">
        <v>123</v>
      </c>
      <c r="T72" s="29" t="s">
        <v>1063</v>
      </c>
      <c r="U72" s="111">
        <f t="shared" si="2"/>
        <v>0.15</v>
      </c>
      <c r="V72" s="7" t="s">
        <v>1313</v>
      </c>
    </row>
    <row r="73" spans="1:22" x14ac:dyDescent="0.3">
      <c r="A73" s="7">
        <v>72</v>
      </c>
      <c r="B73" s="29" t="s">
        <v>23</v>
      </c>
      <c r="C73" s="29" t="s">
        <v>1095</v>
      </c>
      <c r="D73" s="91">
        <v>50126318</v>
      </c>
      <c r="E73" s="29">
        <v>100</v>
      </c>
      <c r="F73" s="7">
        <v>201</v>
      </c>
      <c r="G73" s="7">
        <v>35</v>
      </c>
      <c r="H73" s="53" t="s">
        <v>64</v>
      </c>
      <c r="I73" s="7" t="s">
        <v>109</v>
      </c>
      <c r="J73" s="7" t="s">
        <v>130</v>
      </c>
      <c r="K73" s="11">
        <v>0.84097222222222223</v>
      </c>
      <c r="L73" s="7" t="s">
        <v>109</v>
      </c>
      <c r="M73" s="7" t="s">
        <v>109</v>
      </c>
      <c r="N73" s="7" t="s">
        <v>109</v>
      </c>
      <c r="O73" s="29" t="s">
        <v>61</v>
      </c>
      <c r="P73" s="7" t="s">
        <v>131</v>
      </c>
      <c r="Q73" s="7" t="s">
        <v>64</v>
      </c>
      <c r="R73" s="7" t="s">
        <v>62</v>
      </c>
      <c r="S73" s="7" t="s">
        <v>123</v>
      </c>
      <c r="T73" s="29" t="s">
        <v>1096</v>
      </c>
      <c r="U73" s="111">
        <f t="shared" si="2"/>
        <v>0.35</v>
      </c>
      <c r="V73" s="7" t="s">
        <v>1313</v>
      </c>
    </row>
    <row r="74" spans="1:22" x14ac:dyDescent="0.3">
      <c r="A74" s="7">
        <v>73</v>
      </c>
      <c r="B74" s="29" t="s">
        <v>23</v>
      </c>
      <c r="C74" s="29" t="s">
        <v>743</v>
      </c>
      <c r="D74" s="91">
        <v>50126124</v>
      </c>
      <c r="E74" s="29">
        <v>75</v>
      </c>
      <c r="F74" s="7">
        <v>140</v>
      </c>
      <c r="G74" s="7">
        <v>43</v>
      </c>
      <c r="H74" s="53" t="s">
        <v>196</v>
      </c>
      <c r="I74" s="7" t="s">
        <v>109</v>
      </c>
      <c r="J74" s="7" t="s">
        <v>130</v>
      </c>
      <c r="K74" s="11">
        <v>0.92569444444444449</v>
      </c>
      <c r="L74" s="7" t="s">
        <v>109</v>
      </c>
      <c r="M74" s="7" t="s">
        <v>109</v>
      </c>
      <c r="N74" s="7" t="s">
        <v>109</v>
      </c>
      <c r="O74" s="29" t="s">
        <v>61</v>
      </c>
      <c r="P74" s="7" t="s">
        <v>131</v>
      </c>
      <c r="Q74" s="7" t="s">
        <v>196</v>
      </c>
      <c r="R74" s="7" t="s">
        <v>62</v>
      </c>
      <c r="S74" s="7" t="s">
        <v>123</v>
      </c>
      <c r="T74" s="29" t="s">
        <v>278</v>
      </c>
      <c r="U74" s="111">
        <f t="shared" si="2"/>
        <v>0.57333333333333336</v>
      </c>
      <c r="V74" s="7" t="s">
        <v>1313</v>
      </c>
    </row>
    <row r="75" spans="1:22" x14ac:dyDescent="0.3">
      <c r="A75" s="7">
        <v>74</v>
      </c>
      <c r="B75" s="29" t="s">
        <v>23</v>
      </c>
      <c r="C75" s="29" t="s">
        <v>869</v>
      </c>
      <c r="D75" s="91">
        <v>50126215</v>
      </c>
      <c r="E75" s="29">
        <v>40</v>
      </c>
      <c r="F75" s="7">
        <v>109</v>
      </c>
      <c r="G75" s="7">
        <v>0</v>
      </c>
      <c r="H75" s="53" t="s">
        <v>66</v>
      </c>
      <c r="I75" s="7" t="s">
        <v>109</v>
      </c>
      <c r="J75" s="7" t="s">
        <v>130</v>
      </c>
      <c r="K75" s="11">
        <v>1.8055555555555554E-2</v>
      </c>
      <c r="L75" s="7" t="s">
        <v>109</v>
      </c>
      <c r="M75" s="7" t="s">
        <v>109</v>
      </c>
      <c r="N75" s="7" t="s">
        <v>109</v>
      </c>
      <c r="O75" s="29" t="s">
        <v>61</v>
      </c>
      <c r="P75" s="7" t="s">
        <v>131</v>
      </c>
      <c r="Q75" s="7" t="s">
        <v>66</v>
      </c>
      <c r="R75" s="7" t="s">
        <v>62</v>
      </c>
      <c r="S75" s="7" t="s">
        <v>123</v>
      </c>
      <c r="T75" s="29" t="s">
        <v>870</v>
      </c>
      <c r="U75" s="111">
        <f t="shared" si="2"/>
        <v>0</v>
      </c>
      <c r="V75" s="7" t="s">
        <v>2391</v>
      </c>
    </row>
    <row r="76" spans="1:22" x14ac:dyDescent="0.3">
      <c r="A76" s="7">
        <v>75</v>
      </c>
      <c r="B76" s="29" t="s">
        <v>143</v>
      </c>
      <c r="C76" s="29" t="s">
        <v>1598</v>
      </c>
      <c r="D76" s="91">
        <v>10126044</v>
      </c>
      <c r="E76" s="29">
        <v>150</v>
      </c>
      <c r="F76" s="7">
        <f>245+36</f>
        <v>281</v>
      </c>
      <c r="G76" s="7">
        <v>24</v>
      </c>
      <c r="H76" s="53" t="s">
        <v>1785</v>
      </c>
      <c r="I76" s="7" t="s">
        <v>1830</v>
      </c>
      <c r="J76" s="7" t="s">
        <v>130</v>
      </c>
      <c r="K76" s="11">
        <v>0.78888888888888886</v>
      </c>
      <c r="L76" s="11">
        <v>0.7944444444444444</v>
      </c>
      <c r="M76" s="7" t="s">
        <v>109</v>
      </c>
      <c r="N76" s="7" t="s">
        <v>109</v>
      </c>
      <c r="O76" s="29" t="s">
        <v>61</v>
      </c>
      <c r="P76" s="7" t="s">
        <v>131</v>
      </c>
      <c r="Q76" s="7" t="s">
        <v>154</v>
      </c>
      <c r="R76" s="7" t="s">
        <v>62</v>
      </c>
      <c r="S76" s="7" t="s">
        <v>123</v>
      </c>
      <c r="T76" s="29" t="s">
        <v>480</v>
      </c>
      <c r="U76" s="111">
        <f t="shared" si="2"/>
        <v>0.16</v>
      </c>
      <c r="V76" s="7" t="s">
        <v>152</v>
      </c>
    </row>
    <row r="77" spans="1:22" x14ac:dyDescent="0.3">
      <c r="A77" s="7">
        <v>76</v>
      </c>
      <c r="B77" s="29" t="s">
        <v>143</v>
      </c>
      <c r="C77" s="29" t="s">
        <v>2703</v>
      </c>
      <c r="D77" s="91">
        <v>10226065</v>
      </c>
      <c r="E77" s="29" t="s">
        <v>287</v>
      </c>
      <c r="F77" s="7">
        <v>3</v>
      </c>
      <c r="G77" s="7">
        <v>1</v>
      </c>
      <c r="H77" s="7" t="s">
        <v>86</v>
      </c>
      <c r="I77" s="7" t="s">
        <v>109</v>
      </c>
      <c r="J77" s="7" t="s">
        <v>130</v>
      </c>
      <c r="K77" s="11">
        <v>0.86597222222222225</v>
      </c>
      <c r="L77" s="7" t="s">
        <v>109</v>
      </c>
      <c r="M77" s="7" t="s">
        <v>109</v>
      </c>
      <c r="N77" s="7" t="s">
        <v>109</v>
      </c>
      <c r="O77" s="29" t="s">
        <v>61</v>
      </c>
      <c r="P77" s="7" t="s">
        <v>131</v>
      </c>
      <c r="Q77" s="7" t="s">
        <v>86</v>
      </c>
      <c r="R77" s="7" t="s">
        <v>62</v>
      </c>
      <c r="S77" s="7" t="s">
        <v>123</v>
      </c>
      <c r="T77" s="29" t="s">
        <v>2661</v>
      </c>
      <c r="U77" s="111" t="s">
        <v>109</v>
      </c>
      <c r="V77" s="7" t="s">
        <v>2391</v>
      </c>
    </row>
    <row r="78" spans="1:22" x14ac:dyDescent="0.3">
      <c r="A78" s="7">
        <v>77</v>
      </c>
      <c r="B78" s="29" t="s">
        <v>143</v>
      </c>
      <c r="C78" s="29" t="s">
        <v>2704</v>
      </c>
      <c r="D78" s="91">
        <v>10226066</v>
      </c>
      <c r="E78" s="29" t="s">
        <v>60</v>
      </c>
      <c r="F78" s="7" t="s">
        <v>109</v>
      </c>
      <c r="G78" s="7" t="s">
        <v>109</v>
      </c>
      <c r="H78" s="7" t="s">
        <v>109</v>
      </c>
      <c r="I78" s="7" t="s">
        <v>109</v>
      </c>
      <c r="J78" s="18" t="s">
        <v>85</v>
      </c>
      <c r="K78" s="7" t="s">
        <v>109</v>
      </c>
      <c r="L78" s="7" t="s">
        <v>109</v>
      </c>
      <c r="M78" s="7" t="s">
        <v>109</v>
      </c>
      <c r="N78" s="7" t="s">
        <v>109</v>
      </c>
      <c r="O78" s="29" t="s">
        <v>61</v>
      </c>
      <c r="P78" s="7" t="s">
        <v>109</v>
      </c>
      <c r="Q78" s="7" t="s">
        <v>109</v>
      </c>
      <c r="R78" s="7" t="s">
        <v>62</v>
      </c>
      <c r="S78" s="7" t="s">
        <v>123</v>
      </c>
      <c r="T78" s="29" t="s">
        <v>2661</v>
      </c>
      <c r="U78" s="111" t="e">
        <f t="shared" ref="U78:U104" si="3">G78/E78</f>
        <v>#VALUE!</v>
      </c>
      <c r="V78" s="7" t="s">
        <v>109</v>
      </c>
    </row>
    <row r="79" spans="1:22" x14ac:dyDescent="0.3">
      <c r="A79" s="7">
        <v>78</v>
      </c>
      <c r="B79" s="29" t="s">
        <v>143</v>
      </c>
      <c r="C79" s="29" t="s">
        <v>2783</v>
      </c>
      <c r="D79" s="91">
        <v>11225004</v>
      </c>
      <c r="E79" s="29">
        <v>15</v>
      </c>
      <c r="F79" s="7">
        <v>62</v>
      </c>
      <c r="G79" s="7">
        <v>16</v>
      </c>
      <c r="H79" s="53" t="s">
        <v>68</v>
      </c>
      <c r="I79" s="7" t="s">
        <v>89</v>
      </c>
      <c r="J79" s="7" t="s">
        <v>130</v>
      </c>
      <c r="K79" s="11">
        <v>0.73819444444444449</v>
      </c>
      <c r="L79" s="11">
        <v>0.76180555555555551</v>
      </c>
      <c r="M79" s="7" t="s">
        <v>109</v>
      </c>
      <c r="N79" s="7" t="s">
        <v>109</v>
      </c>
      <c r="O79" s="29" t="s">
        <v>61</v>
      </c>
      <c r="P79" s="7" t="s">
        <v>131</v>
      </c>
      <c r="Q79" s="7" t="s">
        <v>89</v>
      </c>
      <c r="R79" s="7" t="s">
        <v>62</v>
      </c>
      <c r="S79" s="7" t="s">
        <v>123</v>
      </c>
      <c r="T79" s="29" t="s">
        <v>2784</v>
      </c>
      <c r="U79" s="111">
        <f t="shared" si="3"/>
        <v>1.0666666666666667</v>
      </c>
      <c r="V79" s="7" t="s">
        <v>1945</v>
      </c>
    </row>
    <row r="80" spans="1:22" x14ac:dyDescent="0.3">
      <c r="A80" s="7">
        <v>79</v>
      </c>
      <c r="B80" s="29" t="s">
        <v>143</v>
      </c>
      <c r="C80" s="29" t="s">
        <v>2785</v>
      </c>
      <c r="D80" s="91">
        <v>11125051</v>
      </c>
      <c r="E80" s="29">
        <v>15</v>
      </c>
      <c r="F80" s="7">
        <v>27</v>
      </c>
      <c r="G80" s="7">
        <v>15</v>
      </c>
      <c r="H80" s="53" t="s">
        <v>84</v>
      </c>
      <c r="I80" s="53" t="s">
        <v>90</v>
      </c>
      <c r="J80" s="7" t="s">
        <v>130</v>
      </c>
      <c r="K80" s="11">
        <v>0.83888888888888891</v>
      </c>
      <c r="L80" s="11">
        <v>0.86527777777777781</v>
      </c>
      <c r="M80" s="7" t="s">
        <v>109</v>
      </c>
      <c r="N80" s="7" t="s">
        <v>109</v>
      </c>
      <c r="O80" s="29" t="s">
        <v>61</v>
      </c>
      <c r="P80" s="7" t="s">
        <v>131</v>
      </c>
      <c r="Q80" s="7" t="s">
        <v>90</v>
      </c>
      <c r="R80" s="7" t="s">
        <v>62</v>
      </c>
      <c r="S80" s="7" t="s">
        <v>123</v>
      </c>
      <c r="T80" s="29" t="s">
        <v>2784</v>
      </c>
      <c r="U80" s="111">
        <f t="shared" si="3"/>
        <v>1</v>
      </c>
      <c r="V80" s="7" t="s">
        <v>1945</v>
      </c>
    </row>
    <row r="81" spans="1:22" x14ac:dyDescent="0.3">
      <c r="A81" s="7">
        <v>80</v>
      </c>
      <c r="B81" s="29" t="s">
        <v>143</v>
      </c>
      <c r="C81" s="29" t="s">
        <v>2368</v>
      </c>
      <c r="D81" s="91">
        <v>10226036</v>
      </c>
      <c r="E81" s="29">
        <v>66</v>
      </c>
      <c r="F81" s="7">
        <v>27</v>
      </c>
      <c r="G81" s="7">
        <v>7</v>
      </c>
      <c r="H81" s="53" t="s">
        <v>66</v>
      </c>
      <c r="I81" s="53" t="s">
        <v>209</v>
      </c>
      <c r="J81" s="7" t="s">
        <v>130</v>
      </c>
      <c r="K81" s="11">
        <v>0.68125000000000002</v>
      </c>
      <c r="L81" s="11">
        <v>0.7006944444444444</v>
      </c>
      <c r="M81" s="7" t="s">
        <v>109</v>
      </c>
      <c r="N81" s="7" t="s">
        <v>109</v>
      </c>
      <c r="O81" s="29" t="s">
        <v>61</v>
      </c>
      <c r="P81" s="7" t="s">
        <v>131</v>
      </c>
      <c r="Q81" s="7" t="s">
        <v>209</v>
      </c>
      <c r="R81" s="7" t="s">
        <v>62</v>
      </c>
      <c r="S81" s="7" t="s">
        <v>123</v>
      </c>
      <c r="T81" s="29" t="s">
        <v>121</v>
      </c>
      <c r="U81" s="111">
        <f t="shared" si="3"/>
        <v>0.10606060606060606</v>
      </c>
      <c r="V81" s="7" t="s">
        <v>152</v>
      </c>
    </row>
    <row r="82" spans="1:22" x14ac:dyDescent="0.3">
      <c r="A82" s="7">
        <v>81</v>
      </c>
      <c r="B82" s="29" t="s">
        <v>143</v>
      </c>
      <c r="C82" s="91" t="s">
        <v>2786</v>
      </c>
      <c r="D82" s="135">
        <v>10326002</v>
      </c>
      <c r="E82" s="91">
        <v>38</v>
      </c>
      <c r="F82" s="7">
        <v>84</v>
      </c>
      <c r="G82" s="7">
        <v>13</v>
      </c>
      <c r="H82" s="53" t="s">
        <v>64</v>
      </c>
      <c r="I82" s="53" t="s">
        <v>86</v>
      </c>
      <c r="J82" s="7" t="s">
        <v>130</v>
      </c>
      <c r="K82" s="11">
        <v>0.89027777777777772</v>
      </c>
      <c r="L82" s="11">
        <v>0.90555555555555556</v>
      </c>
      <c r="M82" s="7" t="s">
        <v>109</v>
      </c>
      <c r="N82" s="7" t="s">
        <v>109</v>
      </c>
      <c r="O82" s="29" t="s">
        <v>61</v>
      </c>
      <c r="P82" s="7" t="s">
        <v>131</v>
      </c>
      <c r="Q82" s="7" t="s">
        <v>86</v>
      </c>
      <c r="R82" s="7" t="s">
        <v>62</v>
      </c>
      <c r="S82" s="7" t="s">
        <v>123</v>
      </c>
      <c r="T82" s="29" t="s">
        <v>121</v>
      </c>
      <c r="U82" s="111">
        <f t="shared" si="3"/>
        <v>0.34210526315789475</v>
      </c>
      <c r="V82" s="7" t="s">
        <v>1313</v>
      </c>
    </row>
    <row r="83" spans="1:22" x14ac:dyDescent="0.3">
      <c r="A83" s="7">
        <v>82</v>
      </c>
      <c r="B83" s="29" t="s">
        <v>143</v>
      </c>
      <c r="C83" s="91" t="s">
        <v>2787</v>
      </c>
      <c r="D83" s="135">
        <v>10326003</v>
      </c>
      <c r="E83" s="91">
        <v>20</v>
      </c>
      <c r="F83" s="7">
        <v>32</v>
      </c>
      <c r="G83" s="7">
        <v>22</v>
      </c>
      <c r="H83" s="53" t="s">
        <v>67</v>
      </c>
      <c r="I83" s="53" t="s">
        <v>89</v>
      </c>
      <c r="J83" s="11" t="s">
        <v>130</v>
      </c>
      <c r="K83" s="11">
        <v>0.78749999999999998</v>
      </c>
      <c r="L83" s="11">
        <v>0.80972222222222223</v>
      </c>
      <c r="M83" s="7" t="s">
        <v>109</v>
      </c>
      <c r="N83" s="7" t="s">
        <v>109</v>
      </c>
      <c r="O83" s="29" t="s">
        <v>61</v>
      </c>
      <c r="P83" s="7" t="s">
        <v>131</v>
      </c>
      <c r="Q83" s="7" t="s">
        <v>89</v>
      </c>
      <c r="R83" s="7" t="s">
        <v>62</v>
      </c>
      <c r="S83" s="7" t="s">
        <v>123</v>
      </c>
      <c r="T83" s="29" t="s">
        <v>121</v>
      </c>
      <c r="U83" s="111">
        <f t="shared" si="3"/>
        <v>1.1000000000000001</v>
      </c>
      <c r="V83" s="7" t="s">
        <v>1945</v>
      </c>
    </row>
    <row r="84" spans="1:22" x14ac:dyDescent="0.3">
      <c r="A84" s="7">
        <v>83</v>
      </c>
      <c r="B84" s="29" t="s">
        <v>143</v>
      </c>
      <c r="C84" s="91" t="s">
        <v>2788</v>
      </c>
      <c r="D84" s="135">
        <v>10326004</v>
      </c>
      <c r="E84" s="91">
        <v>28</v>
      </c>
      <c r="F84" s="7">
        <v>50</v>
      </c>
      <c r="G84" s="7">
        <v>32</v>
      </c>
      <c r="H84" s="53" t="s">
        <v>196</v>
      </c>
      <c r="I84" s="53" t="s">
        <v>87</v>
      </c>
      <c r="J84" s="7" t="s">
        <v>130</v>
      </c>
      <c r="K84" s="11">
        <v>0.83611111111111114</v>
      </c>
      <c r="L84" s="11">
        <v>0.84791666666666665</v>
      </c>
      <c r="M84" s="7" t="s">
        <v>109</v>
      </c>
      <c r="N84" s="7" t="s">
        <v>109</v>
      </c>
      <c r="O84" s="29" t="s">
        <v>61</v>
      </c>
      <c r="P84" s="7" t="s">
        <v>131</v>
      </c>
      <c r="Q84" s="7" t="s">
        <v>87</v>
      </c>
      <c r="R84" s="7" t="s">
        <v>62</v>
      </c>
      <c r="S84" s="7" t="s">
        <v>123</v>
      </c>
      <c r="T84" s="29" t="s">
        <v>121</v>
      </c>
      <c r="U84" s="111">
        <f t="shared" si="3"/>
        <v>1.1428571428571428</v>
      </c>
      <c r="V84" s="7" t="s">
        <v>1945</v>
      </c>
    </row>
    <row r="85" spans="1:22" x14ac:dyDescent="0.3">
      <c r="A85" s="7">
        <v>84</v>
      </c>
      <c r="B85" s="29" t="s">
        <v>143</v>
      </c>
      <c r="C85" s="91" t="s">
        <v>2789</v>
      </c>
      <c r="D85" s="135">
        <v>10326005</v>
      </c>
      <c r="E85" s="91">
        <v>30</v>
      </c>
      <c r="F85" s="7">
        <v>64</v>
      </c>
      <c r="G85" s="7">
        <v>35</v>
      </c>
      <c r="H85" s="53" t="s">
        <v>65</v>
      </c>
      <c r="I85" s="7" t="s">
        <v>91</v>
      </c>
      <c r="J85" s="7" t="s">
        <v>130</v>
      </c>
      <c r="K85" s="11">
        <v>0.94861111111111107</v>
      </c>
      <c r="L85" s="11">
        <v>2.1527777777777778E-2</v>
      </c>
      <c r="M85" s="7" t="s">
        <v>109</v>
      </c>
      <c r="N85" s="7" t="s">
        <v>109</v>
      </c>
      <c r="O85" s="29" t="s">
        <v>61</v>
      </c>
      <c r="P85" s="7" t="s">
        <v>131</v>
      </c>
      <c r="Q85" s="7" t="s">
        <v>91</v>
      </c>
      <c r="R85" s="7" t="s">
        <v>62</v>
      </c>
      <c r="S85" s="7" t="s">
        <v>123</v>
      </c>
      <c r="T85" s="29" t="s">
        <v>121</v>
      </c>
      <c r="U85" s="111">
        <f t="shared" si="3"/>
        <v>1.1666666666666667</v>
      </c>
      <c r="V85" s="7" t="s">
        <v>1945</v>
      </c>
    </row>
    <row r="86" spans="1:22" x14ac:dyDescent="0.3">
      <c r="A86" s="7">
        <v>85</v>
      </c>
      <c r="B86" s="29" t="s">
        <v>143</v>
      </c>
      <c r="C86" s="29" t="s">
        <v>2705</v>
      </c>
      <c r="D86" s="91">
        <v>10226067</v>
      </c>
      <c r="E86" s="29">
        <v>50</v>
      </c>
      <c r="F86" s="7">
        <v>130</v>
      </c>
      <c r="G86" s="7">
        <v>35</v>
      </c>
      <c r="H86" s="53" t="s">
        <v>184</v>
      </c>
      <c r="I86" s="53" t="s">
        <v>87</v>
      </c>
      <c r="J86" s="7" t="s">
        <v>130</v>
      </c>
      <c r="K86" s="11">
        <v>0.80694444444444446</v>
      </c>
      <c r="L86" s="11">
        <v>0.83472222222222225</v>
      </c>
      <c r="M86" s="7" t="s">
        <v>109</v>
      </c>
      <c r="N86" s="7" t="s">
        <v>109</v>
      </c>
      <c r="O86" s="29" t="s">
        <v>61</v>
      </c>
      <c r="P86" s="7" t="s">
        <v>131</v>
      </c>
      <c r="Q86" s="7" t="s">
        <v>87</v>
      </c>
      <c r="R86" s="7" t="s">
        <v>62</v>
      </c>
      <c r="S86" s="7" t="s">
        <v>123</v>
      </c>
      <c r="T86" s="29" t="s">
        <v>2719</v>
      </c>
      <c r="U86" s="111">
        <f t="shared" si="3"/>
        <v>0.7</v>
      </c>
      <c r="V86" s="7" t="s">
        <v>1313</v>
      </c>
    </row>
    <row r="87" spans="1:22" x14ac:dyDescent="0.3">
      <c r="A87" s="7">
        <v>86</v>
      </c>
      <c r="B87" s="29" t="s">
        <v>143</v>
      </c>
      <c r="C87" s="29" t="s">
        <v>2611</v>
      </c>
      <c r="D87" s="91">
        <v>10226052</v>
      </c>
      <c r="E87" s="29">
        <v>30</v>
      </c>
      <c r="F87" s="7">
        <v>65</v>
      </c>
      <c r="G87" s="7">
        <v>26</v>
      </c>
      <c r="H87" s="53" t="s">
        <v>222</v>
      </c>
      <c r="I87" s="53" t="s">
        <v>88</v>
      </c>
      <c r="J87" s="7" t="s">
        <v>130</v>
      </c>
      <c r="K87" s="11">
        <v>0.87847222222222221</v>
      </c>
      <c r="L87" s="11">
        <v>0.93888888888888888</v>
      </c>
      <c r="M87" s="7" t="s">
        <v>109</v>
      </c>
      <c r="N87" s="7" t="s">
        <v>109</v>
      </c>
      <c r="O87" s="29" t="s">
        <v>61</v>
      </c>
      <c r="P87" s="7" t="s">
        <v>131</v>
      </c>
      <c r="Q87" s="7" t="s">
        <v>88</v>
      </c>
      <c r="R87" s="7" t="s">
        <v>62</v>
      </c>
      <c r="S87" s="7" t="s">
        <v>123</v>
      </c>
      <c r="T87" s="29" t="s">
        <v>2612</v>
      </c>
      <c r="U87" s="111">
        <f t="shared" si="3"/>
        <v>0.8666666666666667</v>
      </c>
      <c r="V87" s="7" t="s">
        <v>1313</v>
      </c>
    </row>
    <row r="88" spans="1:22" x14ac:dyDescent="0.3">
      <c r="A88" s="7">
        <v>87</v>
      </c>
      <c r="B88" s="29" t="s">
        <v>143</v>
      </c>
      <c r="C88" s="29" t="s">
        <v>2613</v>
      </c>
      <c r="D88" s="91">
        <v>10226053</v>
      </c>
      <c r="E88" s="29">
        <v>30</v>
      </c>
      <c r="F88" s="7">
        <v>121</v>
      </c>
      <c r="G88" s="7">
        <v>34</v>
      </c>
      <c r="H88" s="53" t="s">
        <v>82</v>
      </c>
      <c r="I88" s="53" t="s">
        <v>95</v>
      </c>
      <c r="J88" s="7" t="s">
        <v>130</v>
      </c>
      <c r="K88" s="11">
        <v>0.75138888888888888</v>
      </c>
      <c r="L88" s="11">
        <v>0.75972222222222219</v>
      </c>
      <c r="M88" s="7" t="s">
        <v>109</v>
      </c>
      <c r="N88" s="7" t="s">
        <v>109</v>
      </c>
      <c r="O88" s="29" t="s">
        <v>61</v>
      </c>
      <c r="P88" s="7" t="s">
        <v>131</v>
      </c>
      <c r="Q88" s="7" t="s">
        <v>95</v>
      </c>
      <c r="R88" s="7" t="s">
        <v>62</v>
      </c>
      <c r="S88" s="7" t="s">
        <v>123</v>
      </c>
      <c r="T88" s="29" t="s">
        <v>2612</v>
      </c>
      <c r="U88" s="111">
        <f t="shared" si="3"/>
        <v>1.1333333333333333</v>
      </c>
      <c r="V88" s="7" t="s">
        <v>1945</v>
      </c>
    </row>
    <row r="89" spans="1:22" x14ac:dyDescent="0.3">
      <c r="A89" s="7">
        <v>88</v>
      </c>
      <c r="B89" s="29" t="s">
        <v>143</v>
      </c>
      <c r="C89" s="29" t="s">
        <v>2512</v>
      </c>
      <c r="D89" s="91">
        <v>10226047</v>
      </c>
      <c r="E89" s="29">
        <v>25</v>
      </c>
      <c r="F89" s="7">
        <v>76</v>
      </c>
      <c r="G89" s="7">
        <v>6</v>
      </c>
      <c r="H89" s="53" t="s">
        <v>241</v>
      </c>
      <c r="I89" s="53" t="s">
        <v>154</v>
      </c>
      <c r="J89" s="7" t="s">
        <v>130</v>
      </c>
      <c r="K89" s="11">
        <v>0.84583333333333333</v>
      </c>
      <c r="L89" s="11">
        <v>0.93611111111111112</v>
      </c>
      <c r="M89" s="7" t="s">
        <v>109</v>
      </c>
      <c r="N89" s="7" t="s">
        <v>109</v>
      </c>
      <c r="O89" s="29" t="s">
        <v>61</v>
      </c>
      <c r="P89" s="7" t="s">
        <v>131</v>
      </c>
      <c r="Q89" s="7" t="s">
        <v>154</v>
      </c>
      <c r="R89" s="7" t="s">
        <v>62</v>
      </c>
      <c r="S89" s="7" t="s">
        <v>123</v>
      </c>
      <c r="T89" s="29" t="s">
        <v>398</v>
      </c>
      <c r="U89" s="111">
        <f t="shared" si="3"/>
        <v>0.24</v>
      </c>
      <c r="V89" s="7" t="s">
        <v>152</v>
      </c>
    </row>
    <row r="90" spans="1:22" x14ac:dyDescent="0.3">
      <c r="A90" s="7">
        <v>89</v>
      </c>
      <c r="B90" s="29" t="s">
        <v>143</v>
      </c>
      <c r="C90" s="29" t="s">
        <v>1869</v>
      </c>
      <c r="D90" s="91">
        <v>10226004</v>
      </c>
      <c r="E90" s="29">
        <v>50</v>
      </c>
      <c r="F90" s="7">
        <v>101</v>
      </c>
      <c r="G90" s="7">
        <v>17</v>
      </c>
      <c r="H90" s="53" t="s">
        <v>274</v>
      </c>
      <c r="I90" s="53" t="s">
        <v>91</v>
      </c>
      <c r="J90" s="7" t="s">
        <v>130</v>
      </c>
      <c r="K90" s="11">
        <v>0.97361111111111109</v>
      </c>
      <c r="L90" s="11">
        <v>4.027777777777778E-2</v>
      </c>
      <c r="M90" s="7" t="s">
        <v>109</v>
      </c>
      <c r="N90" s="7" t="s">
        <v>109</v>
      </c>
      <c r="O90" s="29" t="s">
        <v>61</v>
      </c>
      <c r="P90" s="7" t="s">
        <v>131</v>
      </c>
      <c r="Q90" s="7" t="s">
        <v>603</v>
      </c>
      <c r="R90" s="7" t="s">
        <v>62</v>
      </c>
      <c r="S90" s="7" t="s">
        <v>123</v>
      </c>
      <c r="T90" s="29" t="s">
        <v>398</v>
      </c>
      <c r="U90" s="111">
        <f t="shared" si="3"/>
        <v>0.34</v>
      </c>
      <c r="V90" s="7" t="s">
        <v>1313</v>
      </c>
    </row>
    <row r="91" spans="1:22" x14ac:dyDescent="0.3">
      <c r="A91" s="7">
        <v>90</v>
      </c>
      <c r="B91" s="29" t="s">
        <v>143</v>
      </c>
      <c r="C91" s="91" t="s">
        <v>2790</v>
      </c>
      <c r="D91" s="135">
        <v>10326001</v>
      </c>
      <c r="E91" s="91">
        <v>75</v>
      </c>
      <c r="F91" s="7">
        <v>116</v>
      </c>
      <c r="G91" s="7">
        <v>75</v>
      </c>
      <c r="H91" s="53" t="s">
        <v>70</v>
      </c>
      <c r="I91" s="7" t="s">
        <v>94</v>
      </c>
      <c r="J91" s="7" t="s">
        <v>130</v>
      </c>
      <c r="K91" s="11">
        <v>0.8256944444444444</v>
      </c>
      <c r="L91" s="11">
        <v>1.5972222222222221E-2</v>
      </c>
      <c r="M91" s="7" t="s">
        <v>109</v>
      </c>
      <c r="N91" s="7" t="s">
        <v>109</v>
      </c>
      <c r="O91" s="29" t="s">
        <v>61</v>
      </c>
      <c r="P91" s="7" t="s">
        <v>131</v>
      </c>
      <c r="Q91" s="7" t="s">
        <v>94</v>
      </c>
      <c r="R91" s="7" t="s">
        <v>62</v>
      </c>
      <c r="S91" s="7" t="s">
        <v>123</v>
      </c>
      <c r="T91" s="29" t="s">
        <v>398</v>
      </c>
      <c r="U91" s="111">
        <f t="shared" si="3"/>
        <v>1</v>
      </c>
      <c r="V91" s="7" t="s">
        <v>1945</v>
      </c>
    </row>
    <row r="92" spans="1:22" x14ac:dyDescent="0.3">
      <c r="A92" s="7">
        <v>91</v>
      </c>
      <c r="B92" s="29" t="s">
        <v>23</v>
      </c>
      <c r="C92" s="29" t="s">
        <v>2263</v>
      </c>
      <c r="D92" s="91">
        <v>50226070</v>
      </c>
      <c r="E92" s="29">
        <v>50</v>
      </c>
      <c r="F92" s="7" t="s">
        <v>109</v>
      </c>
      <c r="G92" s="7" t="s">
        <v>109</v>
      </c>
      <c r="H92" s="53" t="s">
        <v>214</v>
      </c>
      <c r="I92" s="7" t="s">
        <v>109</v>
      </c>
      <c r="J92" s="18" t="s">
        <v>85</v>
      </c>
      <c r="K92" s="7" t="s">
        <v>109</v>
      </c>
      <c r="L92" s="7" t="s">
        <v>109</v>
      </c>
      <c r="M92" s="7" t="s">
        <v>109</v>
      </c>
      <c r="N92" s="7" t="s">
        <v>109</v>
      </c>
      <c r="O92" s="29" t="s">
        <v>61</v>
      </c>
      <c r="P92" s="7" t="s">
        <v>109</v>
      </c>
      <c r="Q92" s="7" t="s">
        <v>109</v>
      </c>
      <c r="R92" s="7" t="s">
        <v>62</v>
      </c>
      <c r="S92" s="7" t="s">
        <v>123</v>
      </c>
      <c r="T92" s="29" t="s">
        <v>2264</v>
      </c>
      <c r="U92" s="111" t="e">
        <f t="shared" si="3"/>
        <v>#VALUE!</v>
      </c>
      <c r="V92" s="7" t="s">
        <v>109</v>
      </c>
    </row>
    <row r="93" spans="1:22" x14ac:dyDescent="0.3">
      <c r="A93" s="7">
        <v>92</v>
      </c>
      <c r="B93" s="29" t="s">
        <v>23</v>
      </c>
      <c r="C93" s="29" t="s">
        <v>2266</v>
      </c>
      <c r="D93" s="91">
        <v>50226071</v>
      </c>
      <c r="E93" s="29">
        <v>150</v>
      </c>
      <c r="F93" s="7">
        <v>301</v>
      </c>
      <c r="G93" s="7">
        <v>44</v>
      </c>
      <c r="H93" s="53" t="s">
        <v>2791</v>
      </c>
      <c r="I93" s="7" t="s">
        <v>109</v>
      </c>
      <c r="J93" s="7" t="s">
        <v>130</v>
      </c>
      <c r="K93" s="11">
        <v>0.99305555555555558</v>
      </c>
      <c r="L93" s="11" t="s">
        <v>109</v>
      </c>
      <c r="M93" s="7" t="s">
        <v>109</v>
      </c>
      <c r="N93" s="7" t="s">
        <v>109</v>
      </c>
      <c r="O93" s="29" t="s">
        <v>61</v>
      </c>
      <c r="P93" s="7" t="s">
        <v>131</v>
      </c>
      <c r="Q93" s="7" t="s">
        <v>200</v>
      </c>
      <c r="R93" s="7" t="s">
        <v>62</v>
      </c>
      <c r="S93" s="7" t="s">
        <v>123</v>
      </c>
      <c r="T93" s="29" t="s">
        <v>2264</v>
      </c>
      <c r="U93" s="111">
        <f t="shared" si="3"/>
        <v>0.29333333333333333</v>
      </c>
      <c r="V93" s="7" t="s">
        <v>1313</v>
      </c>
    </row>
    <row r="94" spans="1:22" x14ac:dyDescent="0.3">
      <c r="A94" s="7">
        <v>93</v>
      </c>
      <c r="B94" s="29" t="s">
        <v>23</v>
      </c>
      <c r="C94" s="29" t="s">
        <v>754</v>
      </c>
      <c r="D94" s="91">
        <v>50126148</v>
      </c>
      <c r="E94" s="29">
        <v>100</v>
      </c>
      <c r="F94" s="7">
        <v>146</v>
      </c>
      <c r="G94" s="7">
        <v>62</v>
      </c>
      <c r="H94" s="53" t="s">
        <v>70</v>
      </c>
      <c r="I94" s="7" t="s">
        <v>154</v>
      </c>
      <c r="J94" s="7" t="s">
        <v>130</v>
      </c>
      <c r="K94" s="11">
        <v>9.0277777777777769E-3</v>
      </c>
      <c r="L94" s="11">
        <v>2.5694444444444443E-2</v>
      </c>
      <c r="M94" s="7" t="s">
        <v>109</v>
      </c>
      <c r="N94" s="7" t="s">
        <v>109</v>
      </c>
      <c r="O94" s="29" t="s">
        <v>61</v>
      </c>
      <c r="P94" s="7" t="s">
        <v>131</v>
      </c>
      <c r="Q94" s="7" t="s">
        <v>154</v>
      </c>
      <c r="R94" s="7" t="s">
        <v>62</v>
      </c>
      <c r="S94" s="7" t="s">
        <v>123</v>
      </c>
      <c r="T94" s="29" t="s">
        <v>480</v>
      </c>
      <c r="U94" s="111">
        <f t="shared" si="3"/>
        <v>0.62</v>
      </c>
      <c r="V94" s="7" t="s">
        <v>1313</v>
      </c>
    </row>
    <row r="95" spans="1:22" x14ac:dyDescent="0.3">
      <c r="A95" s="7">
        <v>94</v>
      </c>
      <c r="B95" s="29" t="s">
        <v>23</v>
      </c>
      <c r="C95" s="29" t="s">
        <v>1370</v>
      </c>
      <c r="D95" s="91">
        <v>50126342</v>
      </c>
      <c r="E95" s="29">
        <v>75</v>
      </c>
      <c r="F95" s="7">
        <v>15</v>
      </c>
      <c r="G95" s="7">
        <v>5</v>
      </c>
      <c r="H95" s="53" t="s">
        <v>82</v>
      </c>
      <c r="I95" s="7" t="s">
        <v>109</v>
      </c>
      <c r="J95" s="7" t="s">
        <v>130</v>
      </c>
      <c r="K95" s="11">
        <v>0.99930555555555556</v>
      </c>
      <c r="L95" s="7" t="s">
        <v>109</v>
      </c>
      <c r="M95" s="7" t="s">
        <v>109</v>
      </c>
      <c r="N95" s="7" t="s">
        <v>109</v>
      </c>
      <c r="O95" s="29" t="s">
        <v>61</v>
      </c>
      <c r="P95" s="7" t="s">
        <v>131</v>
      </c>
      <c r="Q95" s="7" t="s">
        <v>82</v>
      </c>
      <c r="R95" s="7" t="s">
        <v>62</v>
      </c>
      <c r="S95" s="7" t="s">
        <v>123</v>
      </c>
      <c r="T95" s="29" t="s">
        <v>1365</v>
      </c>
      <c r="U95" s="111">
        <f t="shared" si="3"/>
        <v>6.6666666666666666E-2</v>
      </c>
      <c r="V95" s="7" t="s">
        <v>2808</v>
      </c>
    </row>
    <row r="96" spans="1:22" x14ac:dyDescent="0.3">
      <c r="A96" s="7">
        <v>95</v>
      </c>
      <c r="B96" s="29" t="s">
        <v>23</v>
      </c>
      <c r="C96" s="29" t="s">
        <v>980</v>
      </c>
      <c r="D96" s="91">
        <v>50126278</v>
      </c>
      <c r="E96" s="29">
        <v>300</v>
      </c>
      <c r="F96" s="7">
        <v>548</v>
      </c>
      <c r="G96" s="7">
        <v>212</v>
      </c>
      <c r="H96" s="7" t="s">
        <v>2792</v>
      </c>
      <c r="I96" s="7" t="s">
        <v>109</v>
      </c>
      <c r="J96" s="7" t="s">
        <v>130</v>
      </c>
      <c r="K96" s="11">
        <v>0.84791666666666665</v>
      </c>
      <c r="L96" s="7" t="s">
        <v>109</v>
      </c>
      <c r="M96" s="7" t="s">
        <v>109</v>
      </c>
      <c r="N96" s="7" t="s">
        <v>109</v>
      </c>
      <c r="O96" s="29" t="s">
        <v>61</v>
      </c>
      <c r="P96" s="7" t="s">
        <v>131</v>
      </c>
      <c r="Q96" s="7" t="s">
        <v>274</v>
      </c>
      <c r="R96" s="7" t="s">
        <v>62</v>
      </c>
      <c r="S96" s="7" t="s">
        <v>123</v>
      </c>
      <c r="T96" s="29" t="s">
        <v>334</v>
      </c>
      <c r="U96" s="111">
        <f t="shared" si="3"/>
        <v>0.70666666666666667</v>
      </c>
      <c r="V96" s="7" t="s">
        <v>1313</v>
      </c>
    </row>
    <row r="97" spans="1:22" x14ac:dyDescent="0.3">
      <c r="A97" s="7">
        <v>96</v>
      </c>
      <c r="B97" s="29" t="s">
        <v>23</v>
      </c>
      <c r="C97" s="29" t="s">
        <v>1906</v>
      </c>
      <c r="D97" s="91">
        <v>50226027</v>
      </c>
      <c r="E97" s="29">
        <v>350</v>
      </c>
      <c r="F97" s="7">
        <v>681</v>
      </c>
      <c r="G97" s="7">
        <v>299</v>
      </c>
      <c r="H97" s="7" t="s">
        <v>1805</v>
      </c>
      <c r="I97" s="7" t="s">
        <v>2793</v>
      </c>
      <c r="J97" s="7" t="s">
        <v>130</v>
      </c>
      <c r="K97" s="11">
        <v>0.79722222222222228</v>
      </c>
      <c r="L97" s="11">
        <v>0.84722222222222221</v>
      </c>
      <c r="M97" s="7" t="s">
        <v>109</v>
      </c>
      <c r="N97" s="7" t="s">
        <v>109</v>
      </c>
      <c r="O97" s="29" t="s">
        <v>61</v>
      </c>
      <c r="P97" s="7" t="s">
        <v>131</v>
      </c>
      <c r="Q97" s="7" t="s">
        <v>91</v>
      </c>
      <c r="R97" s="7" t="s">
        <v>62</v>
      </c>
      <c r="S97" s="7" t="s">
        <v>123</v>
      </c>
      <c r="T97" s="29" t="s">
        <v>480</v>
      </c>
      <c r="U97" s="111">
        <f t="shared" si="3"/>
        <v>0.85428571428571431</v>
      </c>
      <c r="V97" s="7" t="s">
        <v>1313</v>
      </c>
    </row>
    <row r="98" spans="1:22" x14ac:dyDescent="0.3">
      <c r="A98" s="7">
        <v>97</v>
      </c>
      <c r="B98" s="29" t="s">
        <v>23</v>
      </c>
      <c r="C98" s="29" t="s">
        <v>1366</v>
      </c>
      <c r="D98" s="91">
        <v>50126343</v>
      </c>
      <c r="E98" s="29">
        <v>100</v>
      </c>
      <c r="F98" s="7">
        <v>151</v>
      </c>
      <c r="G98" s="7">
        <v>58</v>
      </c>
      <c r="H98" s="53" t="s">
        <v>222</v>
      </c>
      <c r="I98" s="7" t="s">
        <v>109</v>
      </c>
      <c r="J98" s="7" t="s">
        <v>130</v>
      </c>
      <c r="K98" s="11">
        <v>0.9819444444444444</v>
      </c>
      <c r="L98" s="7" t="s">
        <v>109</v>
      </c>
      <c r="M98" s="7" t="s">
        <v>109</v>
      </c>
      <c r="N98" s="7" t="s">
        <v>109</v>
      </c>
      <c r="O98" s="29" t="s">
        <v>61</v>
      </c>
      <c r="P98" s="7" t="s">
        <v>131</v>
      </c>
      <c r="Q98" s="7" t="s">
        <v>222</v>
      </c>
      <c r="R98" s="7" t="s">
        <v>62</v>
      </c>
      <c r="S98" s="7" t="s">
        <v>123</v>
      </c>
      <c r="T98" s="29" t="s">
        <v>1365</v>
      </c>
      <c r="U98" s="111">
        <f t="shared" si="3"/>
        <v>0.57999999999999996</v>
      </c>
      <c r="V98" s="7" t="s">
        <v>1313</v>
      </c>
    </row>
    <row r="99" spans="1:22" x14ac:dyDescent="0.3">
      <c r="A99" s="7">
        <v>98</v>
      </c>
      <c r="B99" s="29" t="s">
        <v>23</v>
      </c>
      <c r="C99" s="29" t="s">
        <v>1054</v>
      </c>
      <c r="D99" s="91">
        <v>50126315</v>
      </c>
      <c r="E99" s="29">
        <v>200</v>
      </c>
      <c r="F99" s="7">
        <v>326</v>
      </c>
      <c r="G99" s="7">
        <v>130</v>
      </c>
      <c r="H99" s="7" t="s">
        <v>1308</v>
      </c>
      <c r="I99" s="7" t="s">
        <v>963</v>
      </c>
      <c r="J99" s="7" t="s">
        <v>130</v>
      </c>
      <c r="K99" s="11">
        <v>0.82986111111111116</v>
      </c>
      <c r="L99" s="11">
        <v>0.85069444444444442</v>
      </c>
      <c r="M99" s="7" t="s">
        <v>109</v>
      </c>
      <c r="N99" s="7" t="s">
        <v>109</v>
      </c>
      <c r="O99" s="29" t="s">
        <v>61</v>
      </c>
      <c r="P99" s="7" t="s">
        <v>131</v>
      </c>
      <c r="Q99" s="7" t="s">
        <v>209</v>
      </c>
      <c r="R99" s="7" t="s">
        <v>62</v>
      </c>
      <c r="S99" s="7" t="s">
        <v>123</v>
      </c>
      <c r="T99" s="29" t="s">
        <v>480</v>
      </c>
      <c r="U99" s="111">
        <f t="shared" si="3"/>
        <v>0.65</v>
      </c>
      <c r="V99" s="7" t="s">
        <v>1313</v>
      </c>
    </row>
    <row r="100" spans="1:22" x14ac:dyDescent="0.3">
      <c r="A100" s="7">
        <v>99</v>
      </c>
      <c r="B100" s="29" t="s">
        <v>23</v>
      </c>
      <c r="C100" s="29" t="s">
        <v>1909</v>
      </c>
      <c r="D100" s="91">
        <v>50226025</v>
      </c>
      <c r="E100" s="29">
        <v>400</v>
      </c>
      <c r="F100" s="7">
        <v>726</v>
      </c>
      <c r="G100" s="7">
        <v>252</v>
      </c>
      <c r="H100" s="53" t="s">
        <v>2794</v>
      </c>
      <c r="I100" s="7" t="s">
        <v>2795</v>
      </c>
      <c r="J100" s="7" t="s">
        <v>130</v>
      </c>
      <c r="K100" s="11">
        <v>0.95972222222222225</v>
      </c>
      <c r="L100" s="11">
        <v>0.98888888888888893</v>
      </c>
      <c r="M100" s="7" t="s">
        <v>109</v>
      </c>
      <c r="N100" s="7" t="s">
        <v>109</v>
      </c>
      <c r="O100" s="29" t="s">
        <v>61</v>
      </c>
      <c r="P100" s="7" t="s">
        <v>131</v>
      </c>
      <c r="Q100" s="7" t="s">
        <v>154</v>
      </c>
      <c r="R100" s="7" t="s">
        <v>62</v>
      </c>
      <c r="S100" s="7" t="s">
        <v>123</v>
      </c>
      <c r="T100" s="29" t="s">
        <v>480</v>
      </c>
      <c r="U100" s="111">
        <f t="shared" si="3"/>
        <v>0.63</v>
      </c>
      <c r="V100" s="7" t="s">
        <v>1313</v>
      </c>
    </row>
    <row r="101" spans="1:22" x14ac:dyDescent="0.3">
      <c r="A101" s="7">
        <v>100</v>
      </c>
      <c r="B101" s="29" t="s">
        <v>23</v>
      </c>
      <c r="C101" s="29" t="s">
        <v>2115</v>
      </c>
      <c r="D101" s="91">
        <v>50226055</v>
      </c>
      <c r="E101" s="29">
        <v>200</v>
      </c>
      <c r="F101" s="7">
        <v>320</v>
      </c>
      <c r="G101" s="7">
        <v>80</v>
      </c>
      <c r="H101" s="7" t="s">
        <v>1774</v>
      </c>
      <c r="I101" s="7" t="s">
        <v>109</v>
      </c>
      <c r="J101" s="7" t="s">
        <v>130</v>
      </c>
      <c r="K101" s="11">
        <v>1.3888888888888889E-3</v>
      </c>
      <c r="L101" s="7" t="s">
        <v>109</v>
      </c>
      <c r="M101" s="7" t="s">
        <v>109</v>
      </c>
      <c r="N101" s="7" t="s">
        <v>109</v>
      </c>
      <c r="O101" s="29" t="s">
        <v>61</v>
      </c>
      <c r="P101" s="7" t="s">
        <v>131</v>
      </c>
      <c r="Q101" s="7" t="s">
        <v>71</v>
      </c>
      <c r="R101" s="7" t="s">
        <v>62</v>
      </c>
      <c r="S101" s="7" t="s">
        <v>123</v>
      </c>
      <c r="T101" s="29" t="s">
        <v>289</v>
      </c>
      <c r="U101" s="111">
        <f t="shared" si="3"/>
        <v>0.4</v>
      </c>
      <c r="V101" s="7" t="s">
        <v>2391</v>
      </c>
    </row>
    <row r="102" spans="1:22" x14ac:dyDescent="0.3">
      <c r="A102" s="7">
        <v>101</v>
      </c>
      <c r="B102" s="29" t="s">
        <v>23</v>
      </c>
      <c r="C102" s="29" t="s">
        <v>2117</v>
      </c>
      <c r="D102" s="91">
        <v>50226054</v>
      </c>
      <c r="E102" s="29">
        <v>400</v>
      </c>
      <c r="F102" s="7">
        <v>745</v>
      </c>
      <c r="G102" s="7">
        <v>310</v>
      </c>
      <c r="H102" s="53" t="s">
        <v>2796</v>
      </c>
      <c r="I102" s="7" t="s">
        <v>109</v>
      </c>
      <c r="J102" s="7" t="s">
        <v>130</v>
      </c>
      <c r="K102" s="11">
        <v>0.78541666666666665</v>
      </c>
      <c r="L102" s="7" t="s">
        <v>109</v>
      </c>
      <c r="M102" s="7" t="s">
        <v>109</v>
      </c>
      <c r="N102" s="7" t="s">
        <v>109</v>
      </c>
      <c r="O102" s="29" t="s">
        <v>61</v>
      </c>
      <c r="P102" s="7" t="s">
        <v>131</v>
      </c>
      <c r="Q102" s="7" t="s">
        <v>69</v>
      </c>
      <c r="R102" s="7" t="s">
        <v>62</v>
      </c>
      <c r="S102" s="7" t="s">
        <v>123</v>
      </c>
      <c r="T102" s="29" t="s">
        <v>289</v>
      </c>
      <c r="U102" s="111">
        <f t="shared" si="3"/>
        <v>0.77500000000000002</v>
      </c>
      <c r="V102" s="7" t="s">
        <v>1313</v>
      </c>
    </row>
    <row r="103" spans="1:22" x14ac:dyDescent="0.3">
      <c r="A103" s="7">
        <v>102</v>
      </c>
      <c r="B103" s="29" t="s">
        <v>23</v>
      </c>
      <c r="C103" s="29" t="s">
        <v>2199</v>
      </c>
      <c r="D103" s="91">
        <v>50226057</v>
      </c>
      <c r="E103" s="29">
        <v>200</v>
      </c>
      <c r="F103" s="7">
        <v>303</v>
      </c>
      <c r="G103" s="7">
        <v>200</v>
      </c>
      <c r="H103" s="7" t="s">
        <v>2598</v>
      </c>
      <c r="I103" s="7" t="s">
        <v>109</v>
      </c>
      <c r="J103" s="7" t="s">
        <v>130</v>
      </c>
      <c r="K103" s="11">
        <v>0.93819444444444444</v>
      </c>
      <c r="L103" s="7" t="s">
        <v>109</v>
      </c>
      <c r="M103" s="7" t="s">
        <v>109</v>
      </c>
      <c r="N103" s="7" t="s">
        <v>109</v>
      </c>
      <c r="O103" s="29" t="s">
        <v>61</v>
      </c>
      <c r="P103" s="7" t="s">
        <v>131</v>
      </c>
      <c r="Q103" s="7" t="s">
        <v>222</v>
      </c>
      <c r="R103" s="7" t="s">
        <v>62</v>
      </c>
      <c r="S103" s="7" t="s">
        <v>123</v>
      </c>
      <c r="T103" s="29" t="s">
        <v>289</v>
      </c>
      <c r="U103" s="111">
        <f t="shared" si="3"/>
        <v>1</v>
      </c>
      <c r="V103" s="7" t="s">
        <v>1945</v>
      </c>
    </row>
    <row r="104" spans="1:22" x14ac:dyDescent="0.3">
      <c r="A104" s="7">
        <v>103</v>
      </c>
      <c r="B104" s="29" t="s">
        <v>23</v>
      </c>
      <c r="C104" s="29" t="s">
        <v>586</v>
      </c>
      <c r="D104" s="91">
        <v>50126061</v>
      </c>
      <c r="E104" s="29">
        <v>75</v>
      </c>
      <c r="F104" s="7">
        <v>184</v>
      </c>
      <c r="G104" s="7">
        <v>21</v>
      </c>
      <c r="H104" s="53" t="s">
        <v>184</v>
      </c>
      <c r="I104" s="7" t="s">
        <v>109</v>
      </c>
      <c r="J104" s="7" t="s">
        <v>130</v>
      </c>
      <c r="K104" s="11">
        <v>0.9375</v>
      </c>
      <c r="L104" s="7" t="s">
        <v>109</v>
      </c>
      <c r="M104" s="7" t="s">
        <v>109</v>
      </c>
      <c r="N104" s="7" t="s">
        <v>109</v>
      </c>
      <c r="O104" s="29" t="s">
        <v>61</v>
      </c>
      <c r="P104" s="7" t="s">
        <v>131</v>
      </c>
      <c r="Q104" s="7" t="s">
        <v>184</v>
      </c>
      <c r="R104" s="7" t="s">
        <v>62</v>
      </c>
      <c r="S104" s="7" t="s">
        <v>123</v>
      </c>
      <c r="T104" s="29" t="s">
        <v>610</v>
      </c>
      <c r="U104" s="111">
        <f t="shared" si="3"/>
        <v>0.28000000000000003</v>
      </c>
      <c r="V104" s="7" t="s">
        <v>1313</v>
      </c>
    </row>
    <row r="105" spans="1:22" x14ac:dyDescent="0.3">
      <c r="A105" s="7">
        <v>104</v>
      </c>
      <c r="B105" s="29" t="s">
        <v>23</v>
      </c>
      <c r="C105" s="29" t="s">
        <v>590</v>
      </c>
      <c r="D105" s="91">
        <v>50126065</v>
      </c>
      <c r="E105" s="29">
        <v>100</v>
      </c>
      <c r="F105" s="7">
        <v>160</v>
      </c>
      <c r="G105" s="7">
        <v>38</v>
      </c>
      <c r="H105" s="7" t="s">
        <v>66</v>
      </c>
      <c r="I105" s="7" t="s">
        <v>109</v>
      </c>
      <c r="J105" s="7" t="s">
        <v>130</v>
      </c>
      <c r="K105" s="11">
        <v>0.96319444444444446</v>
      </c>
      <c r="L105" s="7" t="s">
        <v>109</v>
      </c>
      <c r="M105" s="7" t="s">
        <v>109</v>
      </c>
      <c r="N105" s="7" t="s">
        <v>109</v>
      </c>
      <c r="O105" s="29" t="s">
        <v>61</v>
      </c>
      <c r="P105" s="7" t="s">
        <v>131</v>
      </c>
      <c r="Q105" s="7" t="s">
        <v>66</v>
      </c>
      <c r="R105" s="7" t="s">
        <v>62</v>
      </c>
      <c r="S105" s="7" t="s">
        <v>123</v>
      </c>
      <c r="T105" s="29" t="s">
        <v>610</v>
      </c>
      <c r="U105" s="111">
        <f t="shared" ref="U105:U116" si="4">G105/E105</f>
        <v>0.38</v>
      </c>
      <c r="V105" s="7" t="s">
        <v>1313</v>
      </c>
    </row>
    <row r="106" spans="1:22" x14ac:dyDescent="0.3">
      <c r="A106" s="7">
        <v>105</v>
      </c>
      <c r="B106" s="29" t="s">
        <v>143</v>
      </c>
      <c r="C106" s="29" t="s">
        <v>1430</v>
      </c>
      <c r="D106" s="48">
        <v>10126033</v>
      </c>
      <c r="E106" s="29">
        <v>35</v>
      </c>
      <c r="F106" s="7">
        <v>62</v>
      </c>
      <c r="G106" s="7">
        <v>31</v>
      </c>
      <c r="H106" s="53" t="s">
        <v>214</v>
      </c>
      <c r="I106" s="7" t="s">
        <v>209</v>
      </c>
      <c r="J106" s="7" t="s">
        <v>130</v>
      </c>
      <c r="K106" s="11">
        <v>0.94027777777777777</v>
      </c>
      <c r="L106" s="7" t="s">
        <v>109</v>
      </c>
      <c r="M106" s="7" t="s">
        <v>109</v>
      </c>
      <c r="N106" s="33" t="s">
        <v>2797</v>
      </c>
      <c r="O106" s="29" t="s">
        <v>61</v>
      </c>
      <c r="P106" s="7" t="s">
        <v>131</v>
      </c>
      <c r="Q106" s="11" t="s">
        <v>209</v>
      </c>
      <c r="R106" s="7" t="s">
        <v>62</v>
      </c>
      <c r="S106" s="7" t="s">
        <v>2249</v>
      </c>
      <c r="T106" s="29" t="s">
        <v>1433</v>
      </c>
      <c r="U106" s="111">
        <f t="shared" si="4"/>
        <v>0.88571428571428568</v>
      </c>
      <c r="V106" s="7" t="s">
        <v>1945</v>
      </c>
    </row>
    <row r="107" spans="1:22" x14ac:dyDescent="0.3">
      <c r="A107" s="7">
        <v>106</v>
      </c>
      <c r="B107" s="29" t="s">
        <v>170</v>
      </c>
      <c r="C107" s="29" t="s">
        <v>1355</v>
      </c>
      <c r="D107" s="91">
        <v>40126027</v>
      </c>
      <c r="E107" s="29">
        <v>100</v>
      </c>
      <c r="F107" s="7">
        <v>197</v>
      </c>
      <c r="G107" s="7">
        <v>83</v>
      </c>
      <c r="H107" s="7" t="s">
        <v>2799</v>
      </c>
      <c r="I107" s="7" t="s">
        <v>2800</v>
      </c>
      <c r="J107" s="7" t="s">
        <v>130</v>
      </c>
      <c r="K107" s="11">
        <v>0.99236111111111114</v>
      </c>
      <c r="L107" s="11">
        <v>2.0833333333333332E-2</v>
      </c>
      <c r="M107" s="7" t="s">
        <v>109</v>
      </c>
      <c r="N107" s="33" t="s">
        <v>2798</v>
      </c>
      <c r="O107" s="29" t="s">
        <v>61</v>
      </c>
      <c r="P107" s="7" t="s">
        <v>131</v>
      </c>
      <c r="Q107" s="7" t="s">
        <v>94</v>
      </c>
      <c r="R107" s="7" t="s">
        <v>62</v>
      </c>
      <c r="S107" s="7" t="s">
        <v>136</v>
      </c>
      <c r="T107" s="7" t="s">
        <v>1356</v>
      </c>
      <c r="U107" s="111">
        <f t="shared" si="4"/>
        <v>0.83</v>
      </c>
      <c r="V107" s="7" t="s">
        <v>1313</v>
      </c>
    </row>
    <row r="108" spans="1:22" ht="15" thickBot="1" x14ac:dyDescent="0.35">
      <c r="A108" s="7">
        <v>107</v>
      </c>
      <c r="B108" s="38" t="s">
        <v>23</v>
      </c>
      <c r="C108" s="38" t="s">
        <v>990</v>
      </c>
      <c r="D108" s="142">
        <v>50126268</v>
      </c>
      <c r="E108" s="38">
        <v>80</v>
      </c>
      <c r="F108" s="7">
        <v>157</v>
      </c>
      <c r="G108" s="7">
        <v>94</v>
      </c>
      <c r="H108" s="7" t="s">
        <v>2802</v>
      </c>
      <c r="I108" s="7" t="s">
        <v>109</v>
      </c>
      <c r="J108" s="7" t="s">
        <v>130</v>
      </c>
      <c r="K108" s="11">
        <v>2.8472222222222222E-2</v>
      </c>
      <c r="L108" s="7" t="s">
        <v>109</v>
      </c>
      <c r="M108" s="7" t="s">
        <v>109</v>
      </c>
      <c r="N108" s="7" t="s">
        <v>109</v>
      </c>
      <c r="O108" s="29" t="s">
        <v>145</v>
      </c>
      <c r="P108" s="7" t="s">
        <v>131</v>
      </c>
      <c r="Q108" s="7" t="s">
        <v>200</v>
      </c>
      <c r="R108" s="7" t="s">
        <v>62</v>
      </c>
      <c r="S108" s="7" t="s">
        <v>1525</v>
      </c>
      <c r="T108" s="7" t="s">
        <v>402</v>
      </c>
      <c r="U108" s="111">
        <f t="shared" si="4"/>
        <v>1.175</v>
      </c>
      <c r="V108" s="7" t="s">
        <v>2384</v>
      </c>
    </row>
    <row r="109" spans="1:22" x14ac:dyDescent="0.3">
      <c r="A109" s="69">
        <v>108</v>
      </c>
      <c r="B109" s="102" t="s">
        <v>23</v>
      </c>
      <c r="C109" s="102" t="s">
        <v>992</v>
      </c>
      <c r="D109" s="143">
        <v>50126269</v>
      </c>
      <c r="E109" s="102">
        <v>80</v>
      </c>
      <c r="F109" s="69">
        <v>145</v>
      </c>
      <c r="G109" s="69">
        <v>86</v>
      </c>
      <c r="H109" s="69" t="s">
        <v>2803</v>
      </c>
      <c r="I109" s="69" t="s">
        <v>109</v>
      </c>
      <c r="J109" s="69" t="s">
        <v>130</v>
      </c>
      <c r="K109" s="100">
        <v>2.2916666666666665E-2</v>
      </c>
      <c r="L109" s="69" t="s">
        <v>109</v>
      </c>
      <c r="M109" s="69" t="s">
        <v>109</v>
      </c>
      <c r="N109" s="69" t="s">
        <v>109</v>
      </c>
      <c r="O109" s="93" t="s">
        <v>145</v>
      </c>
      <c r="P109" s="69" t="s">
        <v>131</v>
      </c>
      <c r="Q109" s="69" t="s">
        <v>70</v>
      </c>
      <c r="R109" s="69" t="s">
        <v>62</v>
      </c>
      <c r="S109" s="69" t="s">
        <v>1525</v>
      </c>
      <c r="T109" s="69" t="s">
        <v>402</v>
      </c>
      <c r="U109" s="111">
        <f t="shared" si="4"/>
        <v>1.075</v>
      </c>
      <c r="V109" s="7" t="s">
        <v>2384</v>
      </c>
    </row>
    <row r="110" spans="1:22" x14ac:dyDescent="0.3">
      <c r="A110" s="7">
        <v>109</v>
      </c>
      <c r="B110" s="38" t="s">
        <v>23</v>
      </c>
      <c r="C110" s="29" t="s">
        <v>845</v>
      </c>
      <c r="D110" s="7">
        <v>50126206</v>
      </c>
      <c r="E110" s="29">
        <v>49</v>
      </c>
      <c r="F110" s="7">
        <v>34</v>
      </c>
      <c r="G110" s="7">
        <v>18</v>
      </c>
      <c r="H110" s="7" t="s">
        <v>68</v>
      </c>
      <c r="I110" s="7" t="s">
        <v>109</v>
      </c>
      <c r="J110" s="7" t="s">
        <v>130</v>
      </c>
      <c r="K110" s="11">
        <v>2.7777777777777779E-3</v>
      </c>
      <c r="L110" s="7" t="s">
        <v>109</v>
      </c>
      <c r="M110" s="7" t="s">
        <v>109</v>
      </c>
      <c r="N110" s="7" t="s">
        <v>109</v>
      </c>
      <c r="O110" s="29" t="s">
        <v>145</v>
      </c>
      <c r="P110" s="7" t="s">
        <v>131</v>
      </c>
      <c r="Q110" s="7" t="s">
        <v>68</v>
      </c>
      <c r="R110" s="7" t="s">
        <v>62</v>
      </c>
      <c r="S110" s="7" t="s">
        <v>2686</v>
      </c>
      <c r="T110" s="7" t="s">
        <v>424</v>
      </c>
      <c r="U110" s="111">
        <f t="shared" si="4"/>
        <v>0.36734693877551022</v>
      </c>
      <c r="V110" s="7" t="s">
        <v>2384</v>
      </c>
    </row>
    <row r="111" spans="1:22" x14ac:dyDescent="0.3">
      <c r="A111" s="7">
        <v>110</v>
      </c>
      <c r="B111" s="7" t="s">
        <v>23</v>
      </c>
      <c r="C111" s="29" t="s">
        <v>1572</v>
      </c>
      <c r="D111" s="7">
        <v>50126354</v>
      </c>
      <c r="E111" s="29">
        <v>100</v>
      </c>
      <c r="F111" s="7">
        <v>95</v>
      </c>
      <c r="G111" s="7">
        <v>37</v>
      </c>
      <c r="H111" s="7" t="s">
        <v>241</v>
      </c>
      <c r="I111" s="7" t="s">
        <v>109</v>
      </c>
      <c r="J111" s="7" t="s">
        <v>130</v>
      </c>
      <c r="K111" s="11">
        <v>0.98263888888888884</v>
      </c>
      <c r="L111" s="7" t="s">
        <v>109</v>
      </c>
      <c r="M111" s="7" t="s">
        <v>109</v>
      </c>
      <c r="N111" s="7" t="s">
        <v>109</v>
      </c>
      <c r="O111" s="29" t="s">
        <v>145</v>
      </c>
      <c r="P111" s="7" t="s">
        <v>131</v>
      </c>
      <c r="Q111" s="7" t="s">
        <v>241</v>
      </c>
      <c r="R111" s="7" t="s">
        <v>62</v>
      </c>
      <c r="S111" s="7" t="s">
        <v>2686</v>
      </c>
      <c r="T111" s="74" t="s">
        <v>1568</v>
      </c>
      <c r="U111" s="111">
        <f t="shared" si="4"/>
        <v>0.37</v>
      </c>
      <c r="V111" s="7" t="s">
        <v>2384</v>
      </c>
    </row>
    <row r="112" spans="1:22" x14ac:dyDescent="0.3">
      <c r="A112" s="7">
        <v>111</v>
      </c>
      <c r="B112" s="7" t="s">
        <v>23</v>
      </c>
      <c r="C112" s="29" t="s">
        <v>1025</v>
      </c>
      <c r="D112" s="7">
        <v>51225087</v>
      </c>
      <c r="E112" s="29">
        <v>10</v>
      </c>
      <c r="F112" s="7">
        <v>23</v>
      </c>
      <c r="G112" s="7">
        <v>7</v>
      </c>
      <c r="H112" s="7" t="s">
        <v>91</v>
      </c>
      <c r="I112" s="7" t="s">
        <v>109</v>
      </c>
      <c r="J112" s="7" t="s">
        <v>130</v>
      </c>
      <c r="K112" s="11">
        <v>0.95486111111111116</v>
      </c>
      <c r="L112" s="7" t="s">
        <v>109</v>
      </c>
      <c r="M112" s="7" t="s">
        <v>109</v>
      </c>
      <c r="N112" s="7" t="s">
        <v>2801</v>
      </c>
      <c r="O112" s="29" t="s">
        <v>145</v>
      </c>
      <c r="P112" s="7" t="s">
        <v>131</v>
      </c>
      <c r="Q112" s="7" t="s">
        <v>91</v>
      </c>
      <c r="R112" s="7" t="s">
        <v>62</v>
      </c>
      <c r="S112" s="7" t="s">
        <v>876</v>
      </c>
      <c r="T112" s="7" t="s">
        <v>1024</v>
      </c>
      <c r="U112" s="111">
        <f t="shared" si="4"/>
        <v>0.7</v>
      </c>
      <c r="V112" s="7" t="s">
        <v>2384</v>
      </c>
    </row>
    <row r="113" spans="1:22" x14ac:dyDescent="0.3">
      <c r="A113" s="69">
        <v>112</v>
      </c>
      <c r="B113" s="69" t="s">
        <v>23</v>
      </c>
      <c r="C113" s="93" t="s">
        <v>2480</v>
      </c>
      <c r="D113" s="69">
        <v>50226097</v>
      </c>
      <c r="E113" s="93">
        <v>446</v>
      </c>
      <c r="F113" s="69">
        <v>358</v>
      </c>
      <c r="G113" s="69">
        <v>72</v>
      </c>
      <c r="H113" s="69" t="s">
        <v>2807</v>
      </c>
      <c r="I113" s="69" t="s">
        <v>109</v>
      </c>
      <c r="J113" s="69" t="s">
        <v>130</v>
      </c>
      <c r="K113" s="100">
        <v>5.5555555555555558E-3</v>
      </c>
      <c r="L113" s="69" t="s">
        <v>109</v>
      </c>
      <c r="M113" s="69" t="s">
        <v>109</v>
      </c>
      <c r="N113" s="69" t="s">
        <v>109</v>
      </c>
      <c r="O113" s="69" t="s">
        <v>145</v>
      </c>
      <c r="P113" s="69" t="s">
        <v>131</v>
      </c>
      <c r="Q113" s="69" t="s">
        <v>274</v>
      </c>
      <c r="R113" s="69" t="s">
        <v>62</v>
      </c>
      <c r="S113" s="69" t="s">
        <v>2804</v>
      </c>
      <c r="T113" s="136" t="s">
        <v>2473</v>
      </c>
      <c r="U113" s="144">
        <f t="shared" si="4"/>
        <v>0.16143497757847533</v>
      </c>
      <c r="V113" s="7" t="s">
        <v>2384</v>
      </c>
    </row>
    <row r="114" spans="1:22" x14ac:dyDescent="0.3">
      <c r="A114" s="7">
        <v>113</v>
      </c>
      <c r="B114" s="7" t="s">
        <v>23</v>
      </c>
      <c r="C114" s="29" t="s">
        <v>423</v>
      </c>
      <c r="D114" s="7">
        <v>50126026</v>
      </c>
      <c r="E114" s="29">
        <v>59</v>
      </c>
      <c r="F114" s="7">
        <v>59</v>
      </c>
      <c r="G114" s="7">
        <v>57</v>
      </c>
      <c r="H114" s="53" t="s">
        <v>90</v>
      </c>
      <c r="I114" s="7" t="s">
        <v>109</v>
      </c>
      <c r="J114" s="7" t="s">
        <v>130</v>
      </c>
      <c r="K114" s="11">
        <v>2.7083333333333334E-2</v>
      </c>
      <c r="L114" s="7" t="s">
        <v>109</v>
      </c>
      <c r="M114" s="7" t="s">
        <v>109</v>
      </c>
      <c r="N114" s="7" t="s">
        <v>109</v>
      </c>
      <c r="O114" s="7" t="s">
        <v>145</v>
      </c>
      <c r="P114" s="7" t="s">
        <v>131</v>
      </c>
      <c r="Q114" s="7" t="s">
        <v>90</v>
      </c>
      <c r="R114" s="7" t="s">
        <v>62</v>
      </c>
      <c r="S114" s="7" t="s">
        <v>2805</v>
      </c>
      <c r="T114" s="7" t="s">
        <v>424</v>
      </c>
      <c r="U114" s="108">
        <f t="shared" si="4"/>
        <v>0.96610169491525422</v>
      </c>
      <c r="V114" s="7" t="s">
        <v>2384</v>
      </c>
    </row>
    <row r="115" spans="1:22" x14ac:dyDescent="0.3">
      <c r="A115" s="7">
        <v>114</v>
      </c>
      <c r="B115" s="7" t="s">
        <v>23</v>
      </c>
      <c r="C115" s="29" t="s">
        <v>729</v>
      </c>
      <c r="D115" s="7">
        <v>50126119</v>
      </c>
      <c r="E115" s="29">
        <v>21</v>
      </c>
      <c r="F115" s="7">
        <v>21</v>
      </c>
      <c r="G115" s="7">
        <v>20</v>
      </c>
      <c r="H115" s="7" t="s">
        <v>95</v>
      </c>
      <c r="I115" s="7" t="s">
        <v>109</v>
      </c>
      <c r="J115" s="7" t="s">
        <v>130</v>
      </c>
      <c r="K115" s="11">
        <v>8.3333333333333332E-3</v>
      </c>
      <c r="L115" s="7" t="s">
        <v>109</v>
      </c>
      <c r="M115" s="7" t="s">
        <v>109</v>
      </c>
      <c r="N115" s="7" t="s">
        <v>109</v>
      </c>
      <c r="O115" s="7" t="s">
        <v>145</v>
      </c>
      <c r="P115" s="7" t="s">
        <v>131</v>
      </c>
      <c r="Q115" s="7" t="s">
        <v>95</v>
      </c>
      <c r="R115" s="7" t="s">
        <v>62</v>
      </c>
      <c r="S115" s="7" t="s">
        <v>2687</v>
      </c>
      <c r="T115" s="74" t="s">
        <v>424</v>
      </c>
      <c r="U115" s="108">
        <f t="shared" si="4"/>
        <v>0.95238095238095233</v>
      </c>
      <c r="V115" s="7" t="s">
        <v>2384</v>
      </c>
    </row>
    <row r="116" spans="1:22" x14ac:dyDescent="0.3">
      <c r="A116" s="7">
        <v>115</v>
      </c>
      <c r="B116" s="7" t="s">
        <v>23</v>
      </c>
      <c r="C116" s="29" t="s">
        <v>728</v>
      </c>
      <c r="D116" s="7">
        <v>50126118</v>
      </c>
      <c r="E116" s="29">
        <v>20</v>
      </c>
      <c r="F116" s="7">
        <v>16</v>
      </c>
      <c r="G116" s="7">
        <v>14</v>
      </c>
      <c r="H116" s="7" t="s">
        <v>154</v>
      </c>
      <c r="I116" s="7" t="s">
        <v>109</v>
      </c>
      <c r="J116" s="7" t="s">
        <v>130</v>
      </c>
      <c r="K116" s="11">
        <v>3.8194444444444448E-2</v>
      </c>
      <c r="L116" s="7" t="s">
        <v>109</v>
      </c>
      <c r="M116" s="7" t="s">
        <v>109</v>
      </c>
      <c r="N116" s="7" t="s">
        <v>109</v>
      </c>
      <c r="O116" s="7" t="s">
        <v>145</v>
      </c>
      <c r="P116" s="7" t="s">
        <v>131</v>
      </c>
      <c r="Q116" s="7" t="s">
        <v>154</v>
      </c>
      <c r="R116" s="7" t="s">
        <v>62</v>
      </c>
      <c r="S116" s="7" t="s">
        <v>2806</v>
      </c>
      <c r="T116" s="7" t="s">
        <v>424</v>
      </c>
      <c r="U116" s="108">
        <f t="shared" si="4"/>
        <v>0.7</v>
      </c>
      <c r="V116" s="7" t="s">
        <v>2384</v>
      </c>
    </row>
  </sheetData>
  <conditionalFormatting sqref="D1">
    <cfRule type="duplicateValues" dxfId="53" priority="1"/>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95E09-856F-4565-B303-2D7761682FBF}">
  <dimension ref="A1:V143"/>
  <sheetViews>
    <sheetView workbookViewId="0">
      <pane ySplit="1" topLeftCell="A2" activePane="bottomLeft" state="frozen"/>
      <selection pane="bottomLeft"/>
    </sheetView>
  </sheetViews>
  <sheetFormatPr defaultRowHeight="14.4" x14ac:dyDescent="0.3"/>
  <cols>
    <col min="1" max="1" width="3.109375" bestFit="1" customWidth="1"/>
    <col min="2" max="2" width="8.6640625" bestFit="1" customWidth="1"/>
    <col min="3" max="3" width="14.5546875" bestFit="1" customWidth="1"/>
    <col min="4" max="4" width="10.44140625" bestFit="1" customWidth="1"/>
    <col min="5" max="5" width="13.88671875" bestFit="1" customWidth="1"/>
    <col min="6" max="6" width="15.109375" bestFit="1" customWidth="1"/>
    <col min="7" max="7" width="8.5546875" bestFit="1" customWidth="1"/>
    <col min="8" max="8" width="7.33203125" bestFit="1" customWidth="1"/>
    <col min="9" max="9" width="15.88671875" bestFit="1" customWidth="1"/>
    <col min="10" max="10" width="6.21875" bestFit="1" customWidth="1"/>
    <col min="11" max="12" width="16.21875" bestFit="1" customWidth="1"/>
    <col min="13" max="13" width="12.5546875" bestFit="1" customWidth="1"/>
    <col min="14" max="14" width="8.21875" bestFit="1" customWidth="1"/>
    <col min="15" max="15" width="6.77734375" bestFit="1" customWidth="1"/>
    <col min="16" max="16" width="14.33203125" bestFit="1" customWidth="1"/>
    <col min="17" max="17" width="11.77734375" bestFit="1" customWidth="1"/>
    <col min="18" max="18" width="14.33203125" bestFit="1" customWidth="1"/>
    <col min="19" max="19" width="12.21875" bestFit="1" customWidth="1"/>
    <col min="20" max="20" width="5.77734375" bestFit="1" customWidth="1"/>
    <col min="21" max="21" width="37.44140625" bestFit="1" customWidth="1"/>
    <col min="22" max="22" width="10.109375" bestFit="1" customWidth="1"/>
  </cols>
  <sheetData>
    <row r="1" spans="1:22" x14ac:dyDescent="0.3">
      <c r="A1" s="1" t="s">
        <v>0</v>
      </c>
      <c r="B1" s="1" t="s">
        <v>1</v>
      </c>
      <c r="C1" s="1" t="s">
        <v>2</v>
      </c>
      <c r="D1" s="1" t="s">
        <v>3</v>
      </c>
      <c r="E1" s="1" t="s">
        <v>4</v>
      </c>
      <c r="F1" s="1" t="s">
        <v>5</v>
      </c>
      <c r="G1" s="1" t="s">
        <v>6</v>
      </c>
      <c r="H1" s="1" t="s">
        <v>7</v>
      </c>
      <c r="I1" s="1" t="s">
        <v>8</v>
      </c>
      <c r="J1" s="1" t="s">
        <v>9</v>
      </c>
      <c r="K1" s="2" t="s">
        <v>2218</v>
      </c>
      <c r="L1" s="2" t="s">
        <v>2219</v>
      </c>
      <c r="M1" s="3" t="s">
        <v>2281</v>
      </c>
      <c r="N1" s="4" t="s">
        <v>13</v>
      </c>
      <c r="O1" s="1" t="s">
        <v>14</v>
      </c>
      <c r="P1" s="1" t="s">
        <v>15</v>
      </c>
      <c r="Q1" s="1" t="s">
        <v>16</v>
      </c>
      <c r="R1" s="1" t="s">
        <v>17</v>
      </c>
      <c r="S1" s="127" t="s">
        <v>2282</v>
      </c>
      <c r="T1" s="1" t="s">
        <v>19</v>
      </c>
      <c r="U1" s="1" t="s">
        <v>20</v>
      </c>
      <c r="V1" s="1" t="s">
        <v>21</v>
      </c>
    </row>
    <row r="2" spans="1:22" x14ac:dyDescent="0.3">
      <c r="A2" s="7">
        <v>1</v>
      </c>
      <c r="B2" s="7" t="s">
        <v>24</v>
      </c>
      <c r="C2" s="7" t="s">
        <v>2542</v>
      </c>
      <c r="D2" s="7">
        <v>60226026</v>
      </c>
      <c r="E2" s="7">
        <v>187</v>
      </c>
      <c r="F2" s="7">
        <v>7</v>
      </c>
      <c r="G2" s="7">
        <v>4</v>
      </c>
      <c r="H2" s="7" t="s">
        <v>1462</v>
      </c>
      <c r="I2" s="7" t="s">
        <v>336</v>
      </c>
      <c r="J2" s="7" t="s">
        <v>130</v>
      </c>
      <c r="K2" s="46">
        <v>0.71250000000000002</v>
      </c>
      <c r="L2" s="46">
        <v>0.74027777777777781</v>
      </c>
      <c r="M2" s="7" t="s">
        <v>109</v>
      </c>
      <c r="N2" s="7" t="s">
        <v>1006</v>
      </c>
      <c r="O2" s="7" t="s">
        <v>61</v>
      </c>
      <c r="P2" s="7" t="s">
        <v>131</v>
      </c>
      <c r="Q2" s="7" t="s">
        <v>86</v>
      </c>
      <c r="R2" s="7" t="s">
        <v>62</v>
      </c>
      <c r="S2" s="7" t="s">
        <v>123</v>
      </c>
      <c r="T2" s="7" t="s">
        <v>2543</v>
      </c>
      <c r="U2" s="111">
        <f t="shared" ref="U2:U33" si="0">G2/E2</f>
        <v>2.1390374331550801E-2</v>
      </c>
      <c r="V2" s="7" t="s">
        <v>2008</v>
      </c>
    </row>
    <row r="3" spans="1:22" x14ac:dyDescent="0.3">
      <c r="A3" s="7">
        <v>2</v>
      </c>
      <c r="B3" s="7" t="s">
        <v>24</v>
      </c>
      <c r="C3" s="7" t="s">
        <v>2544</v>
      </c>
      <c r="D3" s="7">
        <v>60226025</v>
      </c>
      <c r="E3" s="7">
        <v>188</v>
      </c>
      <c r="F3" s="7">
        <v>13</v>
      </c>
      <c r="G3" s="7">
        <v>4</v>
      </c>
      <c r="H3" s="7" t="s">
        <v>241</v>
      </c>
      <c r="I3" s="7" t="s">
        <v>89</v>
      </c>
      <c r="J3" s="7" t="s">
        <v>130</v>
      </c>
      <c r="K3" s="46">
        <v>0.73958333333333337</v>
      </c>
      <c r="L3" s="46">
        <v>0.75555555555555554</v>
      </c>
      <c r="M3" s="7" t="s">
        <v>109</v>
      </c>
      <c r="N3" s="7" t="s">
        <v>1006</v>
      </c>
      <c r="O3" s="7" t="s">
        <v>61</v>
      </c>
      <c r="P3" s="7" t="s">
        <v>131</v>
      </c>
      <c r="Q3" s="7" t="s">
        <v>89</v>
      </c>
      <c r="R3" s="7" t="s">
        <v>62</v>
      </c>
      <c r="S3" s="7" t="s">
        <v>123</v>
      </c>
      <c r="T3" s="7" t="s">
        <v>2543</v>
      </c>
      <c r="U3" s="111">
        <f t="shared" si="0"/>
        <v>2.1276595744680851E-2</v>
      </c>
      <c r="V3" s="7" t="s">
        <v>2008</v>
      </c>
    </row>
    <row r="4" spans="1:22" x14ac:dyDescent="0.3">
      <c r="A4" s="7">
        <v>3</v>
      </c>
      <c r="B4" s="7" t="s">
        <v>24</v>
      </c>
      <c r="C4" s="7" t="s">
        <v>1535</v>
      </c>
      <c r="D4" s="7">
        <v>60126011</v>
      </c>
      <c r="E4" s="7">
        <v>151</v>
      </c>
      <c r="F4" s="7">
        <v>255</v>
      </c>
      <c r="G4" s="7">
        <v>134</v>
      </c>
      <c r="H4" s="7" t="s">
        <v>172</v>
      </c>
      <c r="I4" s="7" t="s">
        <v>99</v>
      </c>
      <c r="J4" s="7" t="s">
        <v>130</v>
      </c>
      <c r="K4" s="46">
        <v>0.72430555555555554</v>
      </c>
      <c r="L4" s="46">
        <v>0.78819444444444442</v>
      </c>
      <c r="M4" s="7" t="s">
        <v>109</v>
      </c>
      <c r="N4" s="7" t="s">
        <v>109</v>
      </c>
      <c r="O4" s="7" t="s">
        <v>61</v>
      </c>
      <c r="P4" s="7" t="s">
        <v>131</v>
      </c>
      <c r="Q4" s="7" t="s">
        <v>91</v>
      </c>
      <c r="R4" s="7" t="s">
        <v>62</v>
      </c>
      <c r="S4" s="7" t="s">
        <v>123</v>
      </c>
      <c r="T4" s="7" t="s">
        <v>1536</v>
      </c>
      <c r="U4" s="111">
        <f t="shared" si="0"/>
        <v>0.88741721854304634</v>
      </c>
      <c r="V4" s="7" t="s">
        <v>2862</v>
      </c>
    </row>
    <row r="5" spans="1:22" x14ac:dyDescent="0.3">
      <c r="A5" s="7">
        <v>4</v>
      </c>
      <c r="B5" s="7" t="s">
        <v>26</v>
      </c>
      <c r="C5" s="7" t="s">
        <v>1389</v>
      </c>
      <c r="D5" s="7">
        <v>40126028</v>
      </c>
      <c r="E5" s="7">
        <v>245</v>
      </c>
      <c r="F5" s="7">
        <v>482</v>
      </c>
      <c r="G5" s="7">
        <v>32</v>
      </c>
      <c r="H5" s="7" t="s">
        <v>2239</v>
      </c>
      <c r="I5" s="7" t="s">
        <v>2809</v>
      </c>
      <c r="J5" s="7" t="s">
        <v>130</v>
      </c>
      <c r="K5" s="46">
        <v>0.94305555555555554</v>
      </c>
      <c r="L5" s="7" t="s">
        <v>109</v>
      </c>
      <c r="M5" s="7" t="s">
        <v>109</v>
      </c>
      <c r="N5" s="7" t="s">
        <v>109</v>
      </c>
      <c r="O5" s="7" t="s">
        <v>61</v>
      </c>
      <c r="P5" s="7" t="s">
        <v>131</v>
      </c>
      <c r="Q5" s="7" t="s">
        <v>179</v>
      </c>
      <c r="R5" s="7" t="s">
        <v>63</v>
      </c>
      <c r="S5" s="7" t="s">
        <v>123</v>
      </c>
      <c r="T5" s="7" t="s">
        <v>121</v>
      </c>
      <c r="U5" s="111">
        <f t="shared" si="0"/>
        <v>0.1306122448979592</v>
      </c>
      <c r="V5" s="7" t="s">
        <v>2862</v>
      </c>
    </row>
    <row r="6" spans="1:22" x14ac:dyDescent="0.3">
      <c r="A6" s="7">
        <v>5</v>
      </c>
      <c r="B6" s="7" t="s">
        <v>26</v>
      </c>
      <c r="C6" s="7" t="s">
        <v>1778</v>
      </c>
      <c r="D6" s="7">
        <v>40226001</v>
      </c>
      <c r="E6" s="7">
        <v>354</v>
      </c>
      <c r="F6" s="7">
        <v>375</v>
      </c>
      <c r="G6" s="7">
        <v>18</v>
      </c>
      <c r="H6" s="7" t="s">
        <v>2810</v>
      </c>
      <c r="I6" s="7" t="s">
        <v>2811</v>
      </c>
      <c r="J6" s="7" t="s">
        <v>130</v>
      </c>
      <c r="K6" s="46">
        <v>0.74305555555555558</v>
      </c>
      <c r="L6" s="46">
        <v>0.80972222222222223</v>
      </c>
      <c r="M6" s="7" t="s">
        <v>109</v>
      </c>
      <c r="N6" s="7" t="s">
        <v>109</v>
      </c>
      <c r="O6" s="7" t="s">
        <v>61</v>
      </c>
      <c r="P6" s="7" t="s">
        <v>131</v>
      </c>
      <c r="Q6" s="7" t="s">
        <v>179</v>
      </c>
      <c r="R6" s="7" t="s">
        <v>63</v>
      </c>
      <c r="S6" s="7" t="s">
        <v>123</v>
      </c>
      <c r="T6" s="7" t="s">
        <v>121</v>
      </c>
      <c r="U6" s="111">
        <f t="shared" si="0"/>
        <v>5.0847457627118647E-2</v>
      </c>
      <c r="V6" s="7" t="s">
        <v>889</v>
      </c>
    </row>
    <row r="7" spans="1:22" x14ac:dyDescent="0.3">
      <c r="A7" s="7">
        <v>6</v>
      </c>
      <c r="B7" s="7" t="s">
        <v>26</v>
      </c>
      <c r="C7" s="7" t="s">
        <v>1391</v>
      </c>
      <c r="D7" s="7">
        <v>40126023</v>
      </c>
      <c r="E7" s="7">
        <v>91</v>
      </c>
      <c r="F7" s="7">
        <v>120</v>
      </c>
      <c r="G7" s="7">
        <v>34</v>
      </c>
      <c r="H7" s="7" t="s">
        <v>274</v>
      </c>
      <c r="I7" s="7" t="s">
        <v>88</v>
      </c>
      <c r="J7" s="7" t="s">
        <v>130</v>
      </c>
      <c r="K7" s="46">
        <v>0.96527777777777779</v>
      </c>
      <c r="L7" s="46">
        <v>0.99375000000000002</v>
      </c>
      <c r="M7" s="7" t="s">
        <v>109</v>
      </c>
      <c r="N7" s="7" t="s">
        <v>109</v>
      </c>
      <c r="O7" s="7" t="s">
        <v>61</v>
      </c>
      <c r="P7" s="7" t="s">
        <v>131</v>
      </c>
      <c r="Q7" s="7" t="s">
        <v>88</v>
      </c>
      <c r="R7" s="7" t="s">
        <v>63</v>
      </c>
      <c r="S7" s="7" t="s">
        <v>123</v>
      </c>
      <c r="T7" s="7" t="s">
        <v>121</v>
      </c>
      <c r="U7" s="111">
        <f t="shared" si="0"/>
        <v>0.37362637362637363</v>
      </c>
      <c r="V7" s="7" t="s">
        <v>2008</v>
      </c>
    </row>
    <row r="8" spans="1:22" x14ac:dyDescent="0.3">
      <c r="A8" s="7">
        <v>7</v>
      </c>
      <c r="B8" s="7" t="s">
        <v>26</v>
      </c>
      <c r="C8" s="7" t="s">
        <v>2632</v>
      </c>
      <c r="D8" s="7">
        <v>40226018</v>
      </c>
      <c r="E8" s="7">
        <v>354</v>
      </c>
      <c r="F8" s="7" t="s">
        <v>109</v>
      </c>
      <c r="G8" s="7" t="s">
        <v>109</v>
      </c>
      <c r="H8" s="7" t="s">
        <v>2812</v>
      </c>
      <c r="I8" s="7" t="s">
        <v>2813</v>
      </c>
      <c r="J8" s="7" t="s">
        <v>130</v>
      </c>
      <c r="K8" s="46">
        <v>6.0416666666666667E-2</v>
      </c>
      <c r="L8" s="7" t="s">
        <v>109</v>
      </c>
      <c r="M8" s="7" t="s">
        <v>109</v>
      </c>
      <c r="N8" s="7" t="s">
        <v>109</v>
      </c>
      <c r="O8" s="7" t="s">
        <v>61</v>
      </c>
      <c r="P8" s="7" t="s">
        <v>109</v>
      </c>
      <c r="Q8" s="7" t="s">
        <v>109</v>
      </c>
      <c r="R8" s="7" t="s">
        <v>63</v>
      </c>
      <c r="S8" s="7" t="s">
        <v>123</v>
      </c>
      <c r="T8" s="7" t="s">
        <v>2636</v>
      </c>
      <c r="U8" s="111" t="e">
        <f t="shared" si="0"/>
        <v>#VALUE!</v>
      </c>
      <c r="V8" s="7" t="s">
        <v>109</v>
      </c>
    </row>
    <row r="9" spans="1:22" x14ac:dyDescent="0.3">
      <c r="A9" s="7">
        <v>8</v>
      </c>
      <c r="B9" s="7" t="s">
        <v>26</v>
      </c>
      <c r="C9" s="7" t="s">
        <v>2637</v>
      </c>
      <c r="D9" s="7">
        <v>40226019</v>
      </c>
      <c r="E9" s="7">
        <v>371</v>
      </c>
      <c r="F9" s="7">
        <v>571</v>
      </c>
      <c r="G9" s="7">
        <v>122</v>
      </c>
      <c r="H9" s="7" t="s">
        <v>2814</v>
      </c>
      <c r="I9" s="7" t="s">
        <v>2815</v>
      </c>
      <c r="J9" s="7" t="s">
        <v>130</v>
      </c>
      <c r="K9" s="46">
        <v>0.99652777777777779</v>
      </c>
      <c r="L9" s="46">
        <v>1.7361111111111112E-2</v>
      </c>
      <c r="M9" s="7" t="s">
        <v>109</v>
      </c>
      <c r="N9" s="7" t="s">
        <v>109</v>
      </c>
      <c r="O9" s="7" t="s">
        <v>61</v>
      </c>
      <c r="P9" s="7" t="s">
        <v>131</v>
      </c>
      <c r="Q9" s="7" t="s">
        <v>209</v>
      </c>
      <c r="R9" s="7" t="s">
        <v>63</v>
      </c>
      <c r="S9" s="7" t="s">
        <v>123</v>
      </c>
      <c r="T9" s="7" t="s">
        <v>2636</v>
      </c>
      <c r="U9" s="111">
        <f t="shared" si="0"/>
        <v>0.32884097035040433</v>
      </c>
      <c r="V9" s="7" t="s">
        <v>2862</v>
      </c>
    </row>
    <row r="10" spans="1:22" x14ac:dyDescent="0.3">
      <c r="A10" s="7">
        <v>9</v>
      </c>
      <c r="B10" s="7" t="s">
        <v>23</v>
      </c>
      <c r="C10" s="7" t="s">
        <v>2643</v>
      </c>
      <c r="D10" s="7">
        <v>50226121</v>
      </c>
      <c r="E10" s="7">
        <v>50</v>
      </c>
      <c r="F10" s="7">
        <v>18</v>
      </c>
      <c r="G10" s="7">
        <v>5</v>
      </c>
      <c r="H10" s="7" t="s">
        <v>84</v>
      </c>
      <c r="I10" s="7" t="s">
        <v>109</v>
      </c>
      <c r="J10" s="7" t="s">
        <v>130</v>
      </c>
      <c r="K10" s="46">
        <v>5.7638888888888892E-2</v>
      </c>
      <c r="L10" s="7" t="s">
        <v>109</v>
      </c>
      <c r="M10" s="7" t="s">
        <v>109</v>
      </c>
      <c r="N10" s="7" t="s">
        <v>109</v>
      </c>
      <c r="O10" s="7" t="s">
        <v>61</v>
      </c>
      <c r="P10" s="7" t="s">
        <v>131</v>
      </c>
      <c r="Q10" s="7" t="s">
        <v>1141</v>
      </c>
      <c r="R10" s="7" t="s">
        <v>62</v>
      </c>
      <c r="S10" s="7" t="s">
        <v>123</v>
      </c>
      <c r="T10" s="7" t="s">
        <v>166</v>
      </c>
      <c r="U10" s="111">
        <f t="shared" si="0"/>
        <v>0.1</v>
      </c>
      <c r="V10" s="7" t="s">
        <v>889</v>
      </c>
    </row>
    <row r="11" spans="1:22" x14ac:dyDescent="0.3">
      <c r="A11" s="7">
        <v>10</v>
      </c>
      <c r="B11" s="7" t="s">
        <v>23</v>
      </c>
      <c r="C11" s="7" t="s">
        <v>958</v>
      </c>
      <c r="D11" s="7">
        <v>51125186</v>
      </c>
      <c r="E11" s="7">
        <v>50</v>
      </c>
      <c r="F11" s="7">
        <v>38</v>
      </c>
      <c r="G11" s="7">
        <v>4</v>
      </c>
      <c r="H11" s="7" t="s">
        <v>66</v>
      </c>
      <c r="I11" s="7" t="s">
        <v>109</v>
      </c>
      <c r="J11" s="7" t="s">
        <v>130</v>
      </c>
      <c r="K11" s="46">
        <v>0.97638888888888886</v>
      </c>
      <c r="L11" s="7" t="s">
        <v>109</v>
      </c>
      <c r="M11" s="7" t="s">
        <v>109</v>
      </c>
      <c r="N11" s="7" t="s">
        <v>109</v>
      </c>
      <c r="O11" s="7" t="s">
        <v>61</v>
      </c>
      <c r="P11" s="7" t="s">
        <v>131</v>
      </c>
      <c r="Q11" s="7" t="s">
        <v>66</v>
      </c>
      <c r="R11" s="7" t="s">
        <v>62</v>
      </c>
      <c r="S11" s="7" t="s">
        <v>123</v>
      </c>
      <c r="T11" s="7" t="s">
        <v>959</v>
      </c>
      <c r="U11" s="111">
        <f t="shared" si="0"/>
        <v>0.08</v>
      </c>
      <c r="V11" s="7" t="s">
        <v>889</v>
      </c>
    </row>
    <row r="12" spans="1:22" x14ac:dyDescent="0.3">
      <c r="A12" s="7">
        <v>11</v>
      </c>
      <c r="B12" s="7" t="s">
        <v>23</v>
      </c>
      <c r="C12" s="7" t="s">
        <v>137</v>
      </c>
      <c r="D12" s="7">
        <v>51225033</v>
      </c>
      <c r="E12" s="7">
        <v>100</v>
      </c>
      <c r="F12" s="7">
        <v>160</v>
      </c>
      <c r="G12" s="7">
        <v>56</v>
      </c>
      <c r="H12" s="7" t="s">
        <v>527</v>
      </c>
      <c r="I12" s="7" t="s">
        <v>109</v>
      </c>
      <c r="J12" s="7" t="s">
        <v>130</v>
      </c>
      <c r="K12" s="46">
        <v>0.9604166666666667</v>
      </c>
      <c r="L12" s="7" t="s">
        <v>109</v>
      </c>
      <c r="M12" s="7" t="s">
        <v>109</v>
      </c>
      <c r="N12" s="7" t="s">
        <v>109</v>
      </c>
      <c r="O12" s="7" t="s">
        <v>61</v>
      </c>
      <c r="P12" s="7" t="s">
        <v>131</v>
      </c>
      <c r="Q12" s="7" t="s">
        <v>527</v>
      </c>
      <c r="R12" s="7" t="s">
        <v>62</v>
      </c>
      <c r="S12" s="7" t="s">
        <v>123</v>
      </c>
      <c r="T12" s="7" t="s">
        <v>142</v>
      </c>
      <c r="U12" s="111">
        <f t="shared" si="0"/>
        <v>0.56000000000000005</v>
      </c>
      <c r="V12" s="7" t="s">
        <v>2008</v>
      </c>
    </row>
    <row r="13" spans="1:22" x14ac:dyDescent="0.3">
      <c r="A13" s="7">
        <v>12</v>
      </c>
      <c r="B13" s="7" t="s">
        <v>23</v>
      </c>
      <c r="C13" s="7" t="s">
        <v>139</v>
      </c>
      <c r="D13" s="7">
        <v>51225032</v>
      </c>
      <c r="E13" s="7">
        <v>100</v>
      </c>
      <c r="F13" s="7">
        <v>150</v>
      </c>
      <c r="G13" s="7">
        <v>8</v>
      </c>
      <c r="H13" s="7" t="s">
        <v>66</v>
      </c>
      <c r="I13" s="7" t="s">
        <v>109</v>
      </c>
      <c r="J13" s="7" t="s">
        <v>130</v>
      </c>
      <c r="K13" s="46">
        <v>1.5972222222222221E-2</v>
      </c>
      <c r="L13" s="7" t="s">
        <v>109</v>
      </c>
      <c r="M13" s="7" t="s">
        <v>109</v>
      </c>
      <c r="N13" s="7" t="s">
        <v>109</v>
      </c>
      <c r="O13" s="7" t="s">
        <v>61</v>
      </c>
      <c r="P13" s="7" t="s">
        <v>131</v>
      </c>
      <c r="Q13" s="7" t="s">
        <v>66</v>
      </c>
      <c r="R13" s="7" t="s">
        <v>62</v>
      </c>
      <c r="S13" s="7" t="s">
        <v>123</v>
      </c>
      <c r="T13" s="7" t="s">
        <v>142</v>
      </c>
      <c r="U13" s="111">
        <f t="shared" si="0"/>
        <v>0.08</v>
      </c>
      <c r="V13" s="7" t="s">
        <v>2008</v>
      </c>
    </row>
    <row r="14" spans="1:22" x14ac:dyDescent="0.3">
      <c r="A14" s="7">
        <v>13</v>
      </c>
      <c r="B14" s="7" t="s">
        <v>23</v>
      </c>
      <c r="C14" s="7" t="s">
        <v>140</v>
      </c>
      <c r="D14" s="7">
        <v>51225035</v>
      </c>
      <c r="E14" s="7">
        <v>60</v>
      </c>
      <c r="F14" s="7">
        <v>59</v>
      </c>
      <c r="G14" s="7">
        <v>11</v>
      </c>
      <c r="H14" s="7" t="s">
        <v>69</v>
      </c>
      <c r="I14" s="7" t="s">
        <v>109</v>
      </c>
      <c r="J14" s="7" t="s">
        <v>130</v>
      </c>
      <c r="K14" s="7" t="s">
        <v>109</v>
      </c>
      <c r="L14" s="7" t="s">
        <v>2866</v>
      </c>
      <c r="M14" s="7" t="s">
        <v>109</v>
      </c>
      <c r="N14" s="7" t="s">
        <v>109</v>
      </c>
      <c r="O14" s="7" t="s">
        <v>61</v>
      </c>
      <c r="P14" s="7" t="s">
        <v>131</v>
      </c>
      <c r="Q14" s="7" t="s">
        <v>69</v>
      </c>
      <c r="R14" s="7" t="s">
        <v>62</v>
      </c>
      <c r="S14" s="7" t="s">
        <v>123</v>
      </c>
      <c r="T14" s="7" t="s">
        <v>142</v>
      </c>
      <c r="U14" s="111">
        <f t="shared" si="0"/>
        <v>0.18333333333333332</v>
      </c>
      <c r="V14" s="7" t="s">
        <v>109</v>
      </c>
    </row>
    <row r="15" spans="1:22" x14ac:dyDescent="0.3">
      <c r="A15" s="7">
        <v>14</v>
      </c>
      <c r="B15" s="7" t="s">
        <v>23</v>
      </c>
      <c r="C15" s="7" t="s">
        <v>485</v>
      </c>
      <c r="D15" s="7">
        <v>50126039</v>
      </c>
      <c r="E15" s="7">
        <v>70</v>
      </c>
      <c r="F15" s="7">
        <v>95</v>
      </c>
      <c r="G15" s="7">
        <v>51</v>
      </c>
      <c r="H15" s="7" t="s">
        <v>241</v>
      </c>
      <c r="I15" s="7" t="s">
        <v>154</v>
      </c>
      <c r="J15" s="7" t="s">
        <v>130</v>
      </c>
      <c r="K15" s="46">
        <v>0.84513888888888888</v>
      </c>
      <c r="L15" s="46">
        <v>0.88611111111111107</v>
      </c>
      <c r="M15" s="7" t="s">
        <v>109</v>
      </c>
      <c r="N15" s="7" t="s">
        <v>109</v>
      </c>
      <c r="O15" s="7" t="s">
        <v>61</v>
      </c>
      <c r="P15" s="7" t="s">
        <v>131</v>
      </c>
      <c r="Q15" s="7" t="s">
        <v>154</v>
      </c>
      <c r="R15" s="7" t="s">
        <v>62</v>
      </c>
      <c r="S15" s="7" t="s">
        <v>123</v>
      </c>
      <c r="T15" s="7" t="s">
        <v>480</v>
      </c>
      <c r="U15" s="111">
        <f t="shared" si="0"/>
        <v>0.72857142857142854</v>
      </c>
      <c r="V15" s="7" t="s">
        <v>889</v>
      </c>
    </row>
    <row r="16" spans="1:22" x14ac:dyDescent="0.3">
      <c r="A16" s="7">
        <v>15</v>
      </c>
      <c r="B16" s="7" t="s">
        <v>23</v>
      </c>
      <c r="C16" s="7" t="s">
        <v>484</v>
      </c>
      <c r="D16" s="7">
        <v>50126012</v>
      </c>
      <c r="E16" s="7">
        <v>50</v>
      </c>
      <c r="F16" s="7">
        <v>91</v>
      </c>
      <c r="G16" s="7">
        <v>8</v>
      </c>
      <c r="H16" s="7" t="s">
        <v>184</v>
      </c>
      <c r="I16" s="7" t="s">
        <v>86</v>
      </c>
      <c r="J16" s="7" t="s">
        <v>130</v>
      </c>
      <c r="K16" s="46">
        <v>0.92361111111111116</v>
      </c>
      <c r="L16" s="46">
        <v>0.99930555555555556</v>
      </c>
      <c r="M16" s="7" t="s">
        <v>109</v>
      </c>
      <c r="N16" s="7" t="s">
        <v>109</v>
      </c>
      <c r="O16" s="7" t="s">
        <v>61</v>
      </c>
      <c r="P16" s="7" t="s">
        <v>131</v>
      </c>
      <c r="Q16" s="7" t="s">
        <v>86</v>
      </c>
      <c r="R16" s="7" t="s">
        <v>62</v>
      </c>
      <c r="S16" s="7" t="s">
        <v>123</v>
      </c>
      <c r="T16" s="7" t="s">
        <v>480</v>
      </c>
      <c r="U16" s="111">
        <f t="shared" si="0"/>
        <v>0.16</v>
      </c>
      <c r="V16" s="7" t="s">
        <v>2862</v>
      </c>
    </row>
    <row r="17" spans="1:22" x14ac:dyDescent="0.3">
      <c r="A17" s="7">
        <v>16</v>
      </c>
      <c r="B17" s="7" t="s">
        <v>23</v>
      </c>
      <c r="C17" s="7" t="s">
        <v>532</v>
      </c>
      <c r="D17" s="7">
        <v>50126057</v>
      </c>
      <c r="E17" s="7">
        <v>65</v>
      </c>
      <c r="F17" s="7">
        <v>67</v>
      </c>
      <c r="G17" s="7">
        <v>48</v>
      </c>
      <c r="H17" s="7" t="s">
        <v>70</v>
      </c>
      <c r="I17" s="7" t="s">
        <v>109</v>
      </c>
      <c r="J17" s="7" t="s">
        <v>130</v>
      </c>
      <c r="K17" s="46">
        <v>0.81319444444444444</v>
      </c>
      <c r="L17" s="7" t="s">
        <v>109</v>
      </c>
      <c r="M17" s="7" t="s">
        <v>109</v>
      </c>
      <c r="N17" s="7" t="s">
        <v>110</v>
      </c>
      <c r="O17" s="7" t="s">
        <v>61</v>
      </c>
      <c r="P17" s="7" t="s">
        <v>131</v>
      </c>
      <c r="Q17" s="7" t="s">
        <v>70</v>
      </c>
      <c r="R17" s="7" t="s">
        <v>62</v>
      </c>
      <c r="S17" s="7" t="s">
        <v>123</v>
      </c>
      <c r="T17" s="7" t="s">
        <v>424</v>
      </c>
      <c r="U17" s="111">
        <f t="shared" si="0"/>
        <v>0.7384615384615385</v>
      </c>
      <c r="V17" s="7" t="s">
        <v>889</v>
      </c>
    </row>
    <row r="18" spans="1:22" x14ac:dyDescent="0.3">
      <c r="A18" s="7">
        <v>17</v>
      </c>
      <c r="B18" s="7" t="s">
        <v>23</v>
      </c>
      <c r="C18" s="7" t="s">
        <v>540</v>
      </c>
      <c r="D18" s="7">
        <v>50126082</v>
      </c>
      <c r="E18" s="7">
        <v>85</v>
      </c>
      <c r="F18" s="7">
        <v>122</v>
      </c>
      <c r="G18" s="7">
        <v>110</v>
      </c>
      <c r="H18" s="7" t="s">
        <v>95</v>
      </c>
      <c r="I18" s="7" t="s">
        <v>109</v>
      </c>
      <c r="J18" s="7" t="s">
        <v>130</v>
      </c>
      <c r="K18" s="46">
        <v>0.96250000000000002</v>
      </c>
      <c r="L18" s="7" t="s">
        <v>109</v>
      </c>
      <c r="M18" s="7" t="s">
        <v>109</v>
      </c>
      <c r="N18" s="7" t="s">
        <v>110</v>
      </c>
      <c r="O18" s="7" t="s">
        <v>61</v>
      </c>
      <c r="P18" s="7" t="s">
        <v>131</v>
      </c>
      <c r="Q18" s="7" t="s">
        <v>95</v>
      </c>
      <c r="R18" s="7" t="s">
        <v>62</v>
      </c>
      <c r="S18" s="7" t="s">
        <v>123</v>
      </c>
      <c r="T18" s="7" t="s">
        <v>424</v>
      </c>
      <c r="U18" s="111">
        <f t="shared" si="0"/>
        <v>1.2941176470588236</v>
      </c>
      <c r="V18" s="7" t="s">
        <v>1941</v>
      </c>
    </row>
    <row r="19" spans="1:22" x14ac:dyDescent="0.3">
      <c r="A19" s="7">
        <v>18</v>
      </c>
      <c r="B19" s="7" t="s">
        <v>23</v>
      </c>
      <c r="C19" s="7" t="s">
        <v>539</v>
      </c>
      <c r="D19" s="7">
        <v>50126083</v>
      </c>
      <c r="E19" s="7">
        <v>85</v>
      </c>
      <c r="F19" s="7">
        <v>115</v>
      </c>
      <c r="G19" s="7">
        <v>94</v>
      </c>
      <c r="H19" s="7" t="s">
        <v>154</v>
      </c>
      <c r="I19" s="7" t="s">
        <v>109</v>
      </c>
      <c r="J19" s="7" t="s">
        <v>130</v>
      </c>
      <c r="K19" s="46">
        <v>0.80208333333333337</v>
      </c>
      <c r="L19" s="7" t="s">
        <v>109</v>
      </c>
      <c r="M19" s="7" t="s">
        <v>109</v>
      </c>
      <c r="N19" s="7" t="s">
        <v>110</v>
      </c>
      <c r="O19" s="7" t="s">
        <v>61</v>
      </c>
      <c r="P19" s="7" t="s">
        <v>131</v>
      </c>
      <c r="Q19" s="7" t="s">
        <v>154</v>
      </c>
      <c r="R19" s="7" t="s">
        <v>62</v>
      </c>
      <c r="S19" s="7" t="s">
        <v>123</v>
      </c>
      <c r="T19" s="7" t="s">
        <v>424</v>
      </c>
      <c r="U19" s="111">
        <f t="shared" si="0"/>
        <v>1.1058823529411765</v>
      </c>
      <c r="V19" s="7" t="s">
        <v>1941</v>
      </c>
    </row>
    <row r="20" spans="1:22" x14ac:dyDescent="0.3">
      <c r="A20" s="7">
        <v>19</v>
      </c>
      <c r="B20" s="7" t="s">
        <v>23</v>
      </c>
      <c r="C20" s="7" t="s">
        <v>928</v>
      </c>
      <c r="D20" s="7">
        <v>50126264</v>
      </c>
      <c r="E20" s="7">
        <v>160</v>
      </c>
      <c r="F20" s="7">
        <v>231</v>
      </c>
      <c r="G20" s="7">
        <v>174</v>
      </c>
      <c r="H20" s="7" t="s">
        <v>2816</v>
      </c>
      <c r="I20" s="7" t="s">
        <v>109</v>
      </c>
      <c r="J20" s="7" t="s">
        <v>130</v>
      </c>
      <c r="K20" s="46">
        <v>0.71666666666666667</v>
      </c>
      <c r="L20" s="7" t="s">
        <v>109</v>
      </c>
      <c r="M20" s="7" t="s">
        <v>109</v>
      </c>
      <c r="N20" s="7" t="s">
        <v>110</v>
      </c>
      <c r="O20" s="7" t="s">
        <v>61</v>
      </c>
      <c r="P20" s="7" t="s">
        <v>131</v>
      </c>
      <c r="Q20" s="7" t="s">
        <v>84</v>
      </c>
      <c r="R20" s="7" t="s">
        <v>62</v>
      </c>
      <c r="S20" s="7" t="s">
        <v>123</v>
      </c>
      <c r="T20" s="7" t="s">
        <v>424</v>
      </c>
      <c r="U20" s="111">
        <f t="shared" si="0"/>
        <v>1.0874999999999999</v>
      </c>
      <c r="V20" s="7" t="s">
        <v>1941</v>
      </c>
    </row>
    <row r="21" spans="1:22" x14ac:dyDescent="0.3">
      <c r="A21" s="7">
        <v>20</v>
      </c>
      <c r="B21" s="7" t="s">
        <v>23</v>
      </c>
      <c r="C21" s="7" t="s">
        <v>932</v>
      </c>
      <c r="D21" s="7">
        <v>50126263</v>
      </c>
      <c r="E21" s="7">
        <v>85</v>
      </c>
      <c r="F21" s="7">
        <v>54</v>
      </c>
      <c r="G21" s="7">
        <v>43</v>
      </c>
      <c r="H21" s="7" t="s">
        <v>71</v>
      </c>
      <c r="I21" s="7" t="s">
        <v>109</v>
      </c>
      <c r="J21" s="7" t="s">
        <v>130</v>
      </c>
      <c r="K21" s="46">
        <v>0.74027777777777781</v>
      </c>
      <c r="L21" s="7" t="s">
        <v>109</v>
      </c>
      <c r="M21" s="7" t="s">
        <v>109</v>
      </c>
      <c r="N21" s="7" t="s">
        <v>110</v>
      </c>
      <c r="O21" s="7" t="s">
        <v>61</v>
      </c>
      <c r="P21" s="7" t="s">
        <v>131</v>
      </c>
      <c r="Q21" s="7" t="s">
        <v>71</v>
      </c>
      <c r="R21" s="7" t="s">
        <v>62</v>
      </c>
      <c r="S21" s="7" t="s">
        <v>123</v>
      </c>
      <c r="T21" s="7" t="s">
        <v>424</v>
      </c>
      <c r="U21" s="111">
        <f t="shared" si="0"/>
        <v>0.50588235294117645</v>
      </c>
      <c r="V21" s="7" t="s">
        <v>889</v>
      </c>
    </row>
    <row r="22" spans="1:22" x14ac:dyDescent="0.3">
      <c r="A22" s="7">
        <v>21</v>
      </c>
      <c r="B22" s="7" t="s">
        <v>23</v>
      </c>
      <c r="C22" s="7" t="s">
        <v>943</v>
      </c>
      <c r="D22" s="7">
        <v>50126234</v>
      </c>
      <c r="E22" s="7">
        <v>50</v>
      </c>
      <c r="F22" s="7">
        <v>84</v>
      </c>
      <c r="G22" s="7">
        <v>49</v>
      </c>
      <c r="H22" s="7" t="s">
        <v>68</v>
      </c>
      <c r="I22" s="7" t="s">
        <v>109</v>
      </c>
      <c r="J22" s="7" t="s">
        <v>130</v>
      </c>
      <c r="K22" s="46">
        <v>0.85138888888888886</v>
      </c>
      <c r="L22" s="7" t="s">
        <v>109</v>
      </c>
      <c r="M22" s="7" t="s">
        <v>109</v>
      </c>
      <c r="N22" s="7" t="s">
        <v>110</v>
      </c>
      <c r="O22" s="7" t="s">
        <v>61</v>
      </c>
      <c r="P22" s="7" t="s">
        <v>131</v>
      </c>
      <c r="Q22" s="7" t="s">
        <v>68</v>
      </c>
      <c r="R22" s="7" t="s">
        <v>62</v>
      </c>
      <c r="S22" s="7" t="s">
        <v>123</v>
      </c>
      <c r="T22" s="7" t="s">
        <v>424</v>
      </c>
      <c r="U22" s="111">
        <f t="shared" si="0"/>
        <v>0.98</v>
      </c>
      <c r="V22" s="7" t="s">
        <v>1941</v>
      </c>
    </row>
    <row r="23" spans="1:22" x14ac:dyDescent="0.3">
      <c r="A23" s="7">
        <v>22</v>
      </c>
      <c r="B23" s="7" t="s">
        <v>23</v>
      </c>
      <c r="C23" s="7" t="s">
        <v>946</v>
      </c>
      <c r="D23" s="7">
        <v>50126236</v>
      </c>
      <c r="E23" s="7">
        <v>55</v>
      </c>
      <c r="F23" s="7">
        <v>119</v>
      </c>
      <c r="G23" s="7">
        <v>71</v>
      </c>
      <c r="H23" s="7" t="s">
        <v>527</v>
      </c>
      <c r="I23" s="7" t="s">
        <v>109</v>
      </c>
      <c r="J23" s="7" t="s">
        <v>130</v>
      </c>
      <c r="K23" s="46">
        <v>0.74236111111111114</v>
      </c>
      <c r="L23" s="7" t="s">
        <v>109</v>
      </c>
      <c r="M23" s="7" t="s">
        <v>109</v>
      </c>
      <c r="N23" s="7" t="s">
        <v>110</v>
      </c>
      <c r="O23" s="7" t="s">
        <v>61</v>
      </c>
      <c r="P23" s="7" t="s">
        <v>131</v>
      </c>
      <c r="Q23" s="7" t="s">
        <v>527</v>
      </c>
      <c r="R23" s="7" t="s">
        <v>62</v>
      </c>
      <c r="S23" s="7" t="s">
        <v>123</v>
      </c>
      <c r="T23" s="7" t="s">
        <v>424</v>
      </c>
      <c r="U23" s="111">
        <f t="shared" si="0"/>
        <v>1.290909090909091</v>
      </c>
      <c r="V23" s="7" t="s">
        <v>1941</v>
      </c>
    </row>
    <row r="24" spans="1:22" x14ac:dyDescent="0.3">
      <c r="A24" s="7">
        <v>23</v>
      </c>
      <c r="B24" s="7" t="s">
        <v>23</v>
      </c>
      <c r="C24" s="7" t="s">
        <v>950</v>
      </c>
      <c r="D24" s="7">
        <v>50126239</v>
      </c>
      <c r="E24" s="7">
        <v>55</v>
      </c>
      <c r="F24" s="7">
        <v>92</v>
      </c>
      <c r="G24" s="7">
        <v>43</v>
      </c>
      <c r="H24" s="7" t="s">
        <v>65</v>
      </c>
      <c r="I24" s="7" t="s">
        <v>109</v>
      </c>
      <c r="J24" s="7" t="s">
        <v>130</v>
      </c>
      <c r="K24" s="46">
        <v>0.67569444444444449</v>
      </c>
      <c r="L24" s="7" t="s">
        <v>109</v>
      </c>
      <c r="M24" s="7" t="s">
        <v>109</v>
      </c>
      <c r="N24" s="7" t="s">
        <v>110</v>
      </c>
      <c r="O24" s="7" t="s">
        <v>61</v>
      </c>
      <c r="P24" s="7" t="s">
        <v>131</v>
      </c>
      <c r="Q24" s="7" t="s">
        <v>65</v>
      </c>
      <c r="R24" s="7" t="s">
        <v>62</v>
      </c>
      <c r="S24" s="7" t="s">
        <v>123</v>
      </c>
      <c r="T24" s="7" t="s">
        <v>424</v>
      </c>
      <c r="U24" s="111">
        <f t="shared" si="0"/>
        <v>0.78181818181818186</v>
      </c>
      <c r="V24" s="7" t="s">
        <v>889</v>
      </c>
    </row>
    <row r="25" spans="1:22" x14ac:dyDescent="0.3">
      <c r="A25" s="7">
        <v>24</v>
      </c>
      <c r="B25" s="7" t="s">
        <v>23</v>
      </c>
      <c r="C25" s="7" t="s">
        <v>514</v>
      </c>
      <c r="D25" s="7">
        <v>50126046</v>
      </c>
      <c r="E25" s="7">
        <v>65</v>
      </c>
      <c r="F25" s="7">
        <v>100</v>
      </c>
      <c r="G25" s="7">
        <v>67</v>
      </c>
      <c r="H25" s="7" t="s">
        <v>69</v>
      </c>
      <c r="I25" s="7" t="s">
        <v>109</v>
      </c>
      <c r="J25" s="7" t="s">
        <v>130</v>
      </c>
      <c r="K25" s="46">
        <v>0.65694444444444444</v>
      </c>
      <c r="L25" s="7" t="s">
        <v>109</v>
      </c>
      <c r="M25" s="7" t="s">
        <v>109</v>
      </c>
      <c r="N25" s="7" t="s">
        <v>110</v>
      </c>
      <c r="O25" s="7" t="s">
        <v>61</v>
      </c>
      <c r="P25" s="7" t="s">
        <v>131</v>
      </c>
      <c r="Q25" s="7" t="s">
        <v>69</v>
      </c>
      <c r="R25" s="7" t="s">
        <v>62</v>
      </c>
      <c r="S25" s="7" t="s">
        <v>123</v>
      </c>
      <c r="T25" s="7" t="s">
        <v>424</v>
      </c>
      <c r="U25" s="111">
        <f t="shared" si="0"/>
        <v>1.0307692307692307</v>
      </c>
      <c r="V25" s="7" t="s">
        <v>1941</v>
      </c>
    </row>
    <row r="26" spans="1:22" x14ac:dyDescent="0.3">
      <c r="A26" s="7">
        <v>25</v>
      </c>
      <c r="B26" s="7" t="s">
        <v>23</v>
      </c>
      <c r="C26" s="7" t="s">
        <v>704</v>
      </c>
      <c r="D26" s="7">
        <v>50126160</v>
      </c>
      <c r="E26" s="7">
        <v>65</v>
      </c>
      <c r="F26" s="7">
        <v>95</v>
      </c>
      <c r="G26" s="7">
        <v>72</v>
      </c>
      <c r="H26" s="7" t="s">
        <v>214</v>
      </c>
      <c r="I26" s="7" t="s">
        <v>109</v>
      </c>
      <c r="J26" s="7" t="s">
        <v>130</v>
      </c>
      <c r="K26" s="46">
        <v>0.68402777777777779</v>
      </c>
      <c r="L26" s="7" t="s">
        <v>109</v>
      </c>
      <c r="M26" s="7" t="s">
        <v>109</v>
      </c>
      <c r="N26" s="7" t="s">
        <v>110</v>
      </c>
      <c r="O26" s="7" t="s">
        <v>61</v>
      </c>
      <c r="P26" s="7" t="s">
        <v>131</v>
      </c>
      <c r="Q26" s="7" t="s">
        <v>214</v>
      </c>
      <c r="R26" s="7" t="s">
        <v>62</v>
      </c>
      <c r="S26" s="7" t="s">
        <v>123</v>
      </c>
      <c r="T26" s="7" t="s">
        <v>424</v>
      </c>
      <c r="U26" s="111">
        <f t="shared" si="0"/>
        <v>1.1076923076923078</v>
      </c>
      <c r="V26" s="7" t="s">
        <v>1941</v>
      </c>
    </row>
    <row r="27" spans="1:22" x14ac:dyDescent="0.3">
      <c r="A27" s="7">
        <v>26</v>
      </c>
      <c r="B27" s="7" t="s">
        <v>23</v>
      </c>
      <c r="C27" s="7" t="s">
        <v>823</v>
      </c>
      <c r="D27" s="7">
        <v>50126221</v>
      </c>
      <c r="E27" s="7">
        <v>50</v>
      </c>
      <c r="F27" s="7">
        <v>73</v>
      </c>
      <c r="G27" s="7">
        <v>29</v>
      </c>
      <c r="H27" s="7" t="s">
        <v>66</v>
      </c>
      <c r="I27" s="7" t="s">
        <v>109</v>
      </c>
      <c r="J27" s="7" t="s">
        <v>130</v>
      </c>
      <c r="K27" s="46">
        <v>0.72916666666666663</v>
      </c>
      <c r="L27" s="7" t="s">
        <v>109</v>
      </c>
      <c r="M27" s="7" t="s">
        <v>109</v>
      </c>
      <c r="N27" s="7" t="s">
        <v>110</v>
      </c>
      <c r="O27" s="7" t="s">
        <v>61</v>
      </c>
      <c r="P27" s="7" t="s">
        <v>131</v>
      </c>
      <c r="Q27" s="7" t="s">
        <v>66</v>
      </c>
      <c r="R27" s="7" t="s">
        <v>62</v>
      </c>
      <c r="S27" s="7" t="s">
        <v>123</v>
      </c>
      <c r="T27" s="7" t="s">
        <v>424</v>
      </c>
      <c r="U27" s="111">
        <f t="shared" si="0"/>
        <v>0.57999999999999996</v>
      </c>
      <c r="V27" s="7" t="s">
        <v>889</v>
      </c>
    </row>
    <row r="28" spans="1:22" x14ac:dyDescent="0.3">
      <c r="A28" s="7">
        <v>27</v>
      </c>
      <c r="B28" s="7" t="s">
        <v>23</v>
      </c>
      <c r="C28" s="7" t="s">
        <v>789</v>
      </c>
      <c r="D28" s="7">
        <v>50126191</v>
      </c>
      <c r="E28" s="7">
        <v>20</v>
      </c>
      <c r="F28" s="7">
        <v>20</v>
      </c>
      <c r="G28" s="7">
        <v>16</v>
      </c>
      <c r="H28" s="44" t="s">
        <v>67</v>
      </c>
      <c r="I28" s="7" t="s">
        <v>109</v>
      </c>
      <c r="J28" s="7" t="s">
        <v>130</v>
      </c>
      <c r="K28" s="46">
        <v>0.66666666666666663</v>
      </c>
      <c r="L28" s="7" t="s">
        <v>109</v>
      </c>
      <c r="M28" s="7" t="s">
        <v>109</v>
      </c>
      <c r="N28" s="7" t="s">
        <v>109</v>
      </c>
      <c r="O28" s="7" t="s">
        <v>61</v>
      </c>
      <c r="P28" s="7" t="s">
        <v>131</v>
      </c>
      <c r="Q28" s="7" t="s">
        <v>67</v>
      </c>
      <c r="R28" s="7" t="s">
        <v>62</v>
      </c>
      <c r="S28" s="7" t="s">
        <v>123</v>
      </c>
      <c r="T28" s="7" t="s">
        <v>424</v>
      </c>
      <c r="U28" s="111">
        <f t="shared" si="0"/>
        <v>0.8</v>
      </c>
      <c r="V28" s="7" t="s">
        <v>889</v>
      </c>
    </row>
    <row r="29" spans="1:22" x14ac:dyDescent="0.3">
      <c r="A29" s="7">
        <v>28</v>
      </c>
      <c r="B29" s="7" t="s">
        <v>23</v>
      </c>
      <c r="C29" s="7" t="s">
        <v>906</v>
      </c>
      <c r="D29" s="7">
        <v>50126311</v>
      </c>
      <c r="E29" s="7">
        <v>45</v>
      </c>
      <c r="F29" s="7">
        <v>64</v>
      </c>
      <c r="G29" s="7">
        <v>42</v>
      </c>
      <c r="H29" s="7" t="s">
        <v>184</v>
      </c>
      <c r="I29" s="7" t="s">
        <v>109</v>
      </c>
      <c r="J29" s="7" t="s">
        <v>130</v>
      </c>
      <c r="K29" s="46">
        <v>6.2500000000000003E-3</v>
      </c>
      <c r="L29" s="7" t="s">
        <v>109</v>
      </c>
      <c r="M29" s="7" t="s">
        <v>109</v>
      </c>
      <c r="N29" s="7" t="s">
        <v>109</v>
      </c>
      <c r="O29" s="7" t="s">
        <v>61</v>
      </c>
      <c r="P29" s="7" t="s">
        <v>131</v>
      </c>
      <c r="Q29" s="7" t="s">
        <v>520</v>
      </c>
      <c r="R29" s="7" t="s">
        <v>62</v>
      </c>
      <c r="S29" s="7" t="s">
        <v>123</v>
      </c>
      <c r="T29" s="7" t="s">
        <v>424</v>
      </c>
      <c r="U29" s="111">
        <f t="shared" si="0"/>
        <v>0.93333333333333335</v>
      </c>
      <c r="V29" s="7" t="s">
        <v>1941</v>
      </c>
    </row>
    <row r="30" spans="1:22" x14ac:dyDescent="0.3">
      <c r="A30" s="7">
        <v>29</v>
      </c>
      <c r="B30" s="7" t="s">
        <v>23</v>
      </c>
      <c r="C30" s="7" t="s">
        <v>811</v>
      </c>
      <c r="D30" s="7">
        <v>50126222</v>
      </c>
      <c r="E30" s="7">
        <v>100</v>
      </c>
      <c r="F30" s="7">
        <v>138</v>
      </c>
      <c r="G30" s="7">
        <v>104</v>
      </c>
      <c r="H30" s="7" t="s">
        <v>1409</v>
      </c>
      <c r="I30" s="7" t="s">
        <v>109</v>
      </c>
      <c r="J30" s="7" t="s">
        <v>130</v>
      </c>
      <c r="K30" s="46">
        <v>0.92083333333333328</v>
      </c>
      <c r="L30" s="7" t="s">
        <v>109</v>
      </c>
      <c r="M30" s="7" t="s">
        <v>109</v>
      </c>
      <c r="N30" s="7" t="s">
        <v>109</v>
      </c>
      <c r="O30" s="7" t="s">
        <v>61</v>
      </c>
      <c r="P30" s="7" t="s">
        <v>131</v>
      </c>
      <c r="Q30" s="7" t="s">
        <v>82</v>
      </c>
      <c r="R30" s="7" t="s">
        <v>62</v>
      </c>
      <c r="S30" s="7" t="s">
        <v>123</v>
      </c>
      <c r="T30" s="7" t="s">
        <v>424</v>
      </c>
      <c r="U30" s="111">
        <f t="shared" si="0"/>
        <v>1.04</v>
      </c>
      <c r="V30" s="7" t="s">
        <v>1941</v>
      </c>
    </row>
    <row r="31" spans="1:22" x14ac:dyDescent="0.3">
      <c r="A31" s="7">
        <v>30</v>
      </c>
      <c r="B31" s="7" t="s">
        <v>23</v>
      </c>
      <c r="C31" s="7" t="s">
        <v>1648</v>
      </c>
      <c r="D31" s="7">
        <v>50126383</v>
      </c>
      <c r="E31" s="7">
        <v>45</v>
      </c>
      <c r="F31" s="7">
        <v>76</v>
      </c>
      <c r="G31" s="7">
        <v>50</v>
      </c>
      <c r="H31" s="7" t="s">
        <v>241</v>
      </c>
      <c r="I31" s="7" t="s">
        <v>109</v>
      </c>
      <c r="J31" s="7" t="s">
        <v>130</v>
      </c>
      <c r="K31" s="46">
        <v>0.75624999999999998</v>
      </c>
      <c r="L31" s="7" t="s">
        <v>109</v>
      </c>
      <c r="M31" s="7" t="s">
        <v>109</v>
      </c>
      <c r="N31" s="7" t="s">
        <v>109</v>
      </c>
      <c r="O31" s="7" t="s">
        <v>61</v>
      </c>
      <c r="P31" s="7" t="s">
        <v>131</v>
      </c>
      <c r="Q31" s="7" t="s">
        <v>241</v>
      </c>
      <c r="R31" s="7" t="s">
        <v>62</v>
      </c>
      <c r="S31" s="7" t="s">
        <v>123</v>
      </c>
      <c r="T31" s="7" t="s">
        <v>424</v>
      </c>
      <c r="U31" s="111">
        <f t="shared" si="0"/>
        <v>1.1111111111111112</v>
      </c>
      <c r="V31" s="7" t="s">
        <v>1941</v>
      </c>
    </row>
    <row r="32" spans="1:22" x14ac:dyDescent="0.3">
      <c r="A32" s="7">
        <v>31</v>
      </c>
      <c r="B32" s="7" t="s">
        <v>23</v>
      </c>
      <c r="C32" s="7" t="s">
        <v>1663</v>
      </c>
      <c r="D32" s="7">
        <v>50126389</v>
      </c>
      <c r="E32" s="7">
        <v>20</v>
      </c>
      <c r="F32" s="7">
        <v>25</v>
      </c>
      <c r="G32" s="7">
        <v>21</v>
      </c>
      <c r="H32" s="7" t="s">
        <v>241</v>
      </c>
      <c r="I32" s="7" t="s">
        <v>109</v>
      </c>
      <c r="J32" s="7" t="s">
        <v>130</v>
      </c>
      <c r="K32" s="46">
        <v>0.76944444444444449</v>
      </c>
      <c r="L32" s="7" t="s">
        <v>109</v>
      </c>
      <c r="M32" s="7" t="s">
        <v>109</v>
      </c>
      <c r="N32" s="7" t="s">
        <v>109</v>
      </c>
      <c r="O32" s="7" t="s">
        <v>61</v>
      </c>
      <c r="P32" s="7" t="s">
        <v>131</v>
      </c>
      <c r="Q32" s="7" t="s">
        <v>241</v>
      </c>
      <c r="R32" s="7" t="s">
        <v>62</v>
      </c>
      <c r="S32" s="7" t="s">
        <v>123</v>
      </c>
      <c r="T32" s="7" t="s">
        <v>424</v>
      </c>
      <c r="U32" s="111">
        <f t="shared" si="0"/>
        <v>1.05</v>
      </c>
      <c r="V32" s="7" t="s">
        <v>1941</v>
      </c>
    </row>
    <row r="33" spans="1:22" x14ac:dyDescent="0.3">
      <c r="A33" s="7">
        <v>32</v>
      </c>
      <c r="B33" s="7" t="s">
        <v>23</v>
      </c>
      <c r="C33" s="7" t="s">
        <v>538</v>
      </c>
      <c r="D33" s="7">
        <v>50126084</v>
      </c>
      <c r="E33" s="7">
        <v>65</v>
      </c>
      <c r="F33" s="7">
        <v>109</v>
      </c>
      <c r="G33" s="7">
        <v>68</v>
      </c>
      <c r="H33" s="7" t="s">
        <v>91</v>
      </c>
      <c r="I33" s="7" t="s">
        <v>109</v>
      </c>
      <c r="J33" s="7" t="s">
        <v>130</v>
      </c>
      <c r="K33" s="46">
        <v>0.80277777777777781</v>
      </c>
      <c r="L33" s="7" t="s">
        <v>109</v>
      </c>
      <c r="M33" s="7" t="s">
        <v>109</v>
      </c>
      <c r="N33" s="7" t="s">
        <v>109</v>
      </c>
      <c r="O33" s="7" t="s">
        <v>61</v>
      </c>
      <c r="P33" s="7" t="s">
        <v>131</v>
      </c>
      <c r="Q33" s="7" t="s">
        <v>91</v>
      </c>
      <c r="R33" s="7" t="s">
        <v>62</v>
      </c>
      <c r="S33" s="7" t="s">
        <v>123</v>
      </c>
      <c r="T33" s="7" t="s">
        <v>424</v>
      </c>
      <c r="U33" s="111">
        <f t="shared" si="0"/>
        <v>1.0461538461538462</v>
      </c>
      <c r="V33" s="7" t="s">
        <v>1941</v>
      </c>
    </row>
    <row r="34" spans="1:22" x14ac:dyDescent="0.3">
      <c r="A34" s="7">
        <v>33</v>
      </c>
      <c r="B34" s="7" t="s">
        <v>23</v>
      </c>
      <c r="C34" s="7" t="s">
        <v>937</v>
      </c>
      <c r="D34" s="7">
        <v>50126267</v>
      </c>
      <c r="E34" s="7">
        <v>160</v>
      </c>
      <c r="F34" s="7">
        <v>203</v>
      </c>
      <c r="G34" s="7">
        <v>182</v>
      </c>
      <c r="H34" s="7" t="s">
        <v>2759</v>
      </c>
      <c r="I34" s="7" t="s">
        <v>109</v>
      </c>
      <c r="J34" s="7" t="s">
        <v>130</v>
      </c>
      <c r="K34" s="46">
        <v>4.791666666666667E-2</v>
      </c>
      <c r="L34" s="7" t="s">
        <v>109</v>
      </c>
      <c r="M34" s="7" t="s">
        <v>109</v>
      </c>
      <c r="N34" s="7" t="s">
        <v>109</v>
      </c>
      <c r="O34" s="7" t="s">
        <v>61</v>
      </c>
      <c r="P34" s="7" t="s">
        <v>131</v>
      </c>
      <c r="Q34" s="7" t="s">
        <v>65</v>
      </c>
      <c r="R34" s="7" t="s">
        <v>62</v>
      </c>
      <c r="S34" s="7" t="s">
        <v>123</v>
      </c>
      <c r="T34" s="7" t="s">
        <v>424</v>
      </c>
      <c r="U34" s="111">
        <f t="shared" ref="U34:U65" si="1">G34/E34</f>
        <v>1.1375</v>
      </c>
      <c r="V34" s="7" t="s">
        <v>1941</v>
      </c>
    </row>
    <row r="35" spans="1:22" x14ac:dyDescent="0.3">
      <c r="A35" s="7">
        <v>34</v>
      </c>
      <c r="B35" s="7" t="s">
        <v>23</v>
      </c>
      <c r="C35" s="7" t="s">
        <v>429</v>
      </c>
      <c r="D35" s="7">
        <v>50126043</v>
      </c>
      <c r="E35" s="7">
        <v>35</v>
      </c>
      <c r="F35" s="7">
        <v>55</v>
      </c>
      <c r="G35" s="7">
        <v>36</v>
      </c>
      <c r="H35" s="7" t="s">
        <v>214</v>
      </c>
      <c r="I35" s="7" t="s">
        <v>109</v>
      </c>
      <c r="J35" s="7" t="s">
        <v>130</v>
      </c>
      <c r="K35" s="46">
        <v>2.2222222222222223E-2</v>
      </c>
      <c r="L35" s="7" t="s">
        <v>109</v>
      </c>
      <c r="M35" s="7" t="s">
        <v>109</v>
      </c>
      <c r="N35" s="7" t="s">
        <v>109</v>
      </c>
      <c r="O35" s="7" t="s">
        <v>61</v>
      </c>
      <c r="P35" s="7" t="s">
        <v>131</v>
      </c>
      <c r="Q35" s="7" t="s">
        <v>214</v>
      </c>
      <c r="R35" s="7" t="s">
        <v>62</v>
      </c>
      <c r="S35" s="7" t="s">
        <v>123</v>
      </c>
      <c r="T35" s="7" t="s">
        <v>424</v>
      </c>
      <c r="U35" s="111">
        <f t="shared" si="1"/>
        <v>1.0285714285714285</v>
      </c>
      <c r="V35" s="7" t="s">
        <v>1941</v>
      </c>
    </row>
    <row r="36" spans="1:22" x14ac:dyDescent="0.3">
      <c r="A36" s="7">
        <v>35</v>
      </c>
      <c r="B36" s="7" t="s">
        <v>23</v>
      </c>
      <c r="C36" s="7" t="s">
        <v>847</v>
      </c>
      <c r="D36" s="7">
        <v>50126171</v>
      </c>
      <c r="E36" s="7">
        <v>35</v>
      </c>
      <c r="F36" s="7">
        <v>64</v>
      </c>
      <c r="G36" s="7">
        <v>43</v>
      </c>
      <c r="H36" s="7" t="s">
        <v>196</v>
      </c>
      <c r="I36" s="7" t="s">
        <v>109</v>
      </c>
      <c r="J36" s="7" t="s">
        <v>130</v>
      </c>
      <c r="K36" s="46">
        <v>0.69097222222222221</v>
      </c>
      <c r="L36" s="7" t="s">
        <v>109</v>
      </c>
      <c r="M36" s="7" t="s">
        <v>109</v>
      </c>
      <c r="N36" s="7" t="s">
        <v>109</v>
      </c>
      <c r="O36" s="7" t="s">
        <v>61</v>
      </c>
      <c r="P36" s="7" t="s">
        <v>131</v>
      </c>
      <c r="Q36" s="7" t="s">
        <v>196</v>
      </c>
      <c r="R36" s="7" t="s">
        <v>62</v>
      </c>
      <c r="S36" s="7" t="s">
        <v>123</v>
      </c>
      <c r="T36" s="7" t="s">
        <v>424</v>
      </c>
      <c r="U36" s="111">
        <f t="shared" si="1"/>
        <v>1.2285714285714286</v>
      </c>
      <c r="V36" s="7" t="s">
        <v>1941</v>
      </c>
    </row>
    <row r="37" spans="1:22" x14ac:dyDescent="0.3">
      <c r="A37" s="7">
        <v>36</v>
      </c>
      <c r="B37" s="7" t="s">
        <v>23</v>
      </c>
      <c r="C37" s="7" t="s">
        <v>542</v>
      </c>
      <c r="D37" s="7">
        <v>50126089</v>
      </c>
      <c r="E37" s="7">
        <v>20</v>
      </c>
      <c r="F37" s="7">
        <v>49</v>
      </c>
      <c r="G37" s="7">
        <v>6</v>
      </c>
      <c r="H37" s="7" t="s">
        <v>66</v>
      </c>
      <c r="I37" s="7" t="s">
        <v>109</v>
      </c>
      <c r="J37" s="7" t="s">
        <v>130</v>
      </c>
      <c r="K37" s="46">
        <v>0.65069444444444446</v>
      </c>
      <c r="L37" s="7" t="s">
        <v>109</v>
      </c>
      <c r="M37" s="7" t="s">
        <v>109</v>
      </c>
      <c r="N37" s="7" t="s">
        <v>109</v>
      </c>
      <c r="O37" s="7" t="s">
        <v>61</v>
      </c>
      <c r="P37" s="7" t="s">
        <v>131</v>
      </c>
      <c r="Q37" s="7" t="s">
        <v>66</v>
      </c>
      <c r="R37" s="7" t="s">
        <v>62</v>
      </c>
      <c r="S37" s="7" t="s">
        <v>123</v>
      </c>
      <c r="T37" s="7" t="s">
        <v>424</v>
      </c>
      <c r="U37" s="111">
        <f t="shared" si="1"/>
        <v>0.3</v>
      </c>
      <c r="V37" s="7" t="s">
        <v>889</v>
      </c>
    </row>
    <row r="38" spans="1:22" x14ac:dyDescent="0.3">
      <c r="A38" s="7">
        <v>37</v>
      </c>
      <c r="B38" s="7" t="s">
        <v>23</v>
      </c>
      <c r="C38" s="7" t="s">
        <v>1123</v>
      </c>
      <c r="D38" s="7">
        <v>50126211</v>
      </c>
      <c r="E38" s="7">
        <v>100</v>
      </c>
      <c r="F38" s="7">
        <v>115</v>
      </c>
      <c r="G38" s="7">
        <v>19</v>
      </c>
      <c r="H38" s="7" t="s">
        <v>229</v>
      </c>
      <c r="I38" s="7" t="s">
        <v>109</v>
      </c>
      <c r="J38" s="7" t="s">
        <v>130</v>
      </c>
      <c r="K38" s="46">
        <v>3.0555555555555555E-2</v>
      </c>
      <c r="L38" s="7" t="s">
        <v>109</v>
      </c>
      <c r="M38" s="7" t="s">
        <v>109</v>
      </c>
      <c r="N38" s="7" t="s">
        <v>109</v>
      </c>
      <c r="O38" s="7" t="s">
        <v>61</v>
      </c>
      <c r="P38" s="7" t="s">
        <v>131</v>
      </c>
      <c r="Q38" s="7" t="s">
        <v>68</v>
      </c>
      <c r="R38" s="7" t="s">
        <v>62</v>
      </c>
      <c r="S38" s="7" t="s">
        <v>123</v>
      </c>
      <c r="T38" s="7" t="s">
        <v>424</v>
      </c>
      <c r="U38" s="111">
        <f t="shared" si="1"/>
        <v>0.19</v>
      </c>
      <c r="V38" s="7" t="s">
        <v>889</v>
      </c>
    </row>
    <row r="39" spans="1:22" x14ac:dyDescent="0.3">
      <c r="A39" s="7">
        <v>38</v>
      </c>
      <c r="B39" s="7" t="s">
        <v>23</v>
      </c>
      <c r="C39" s="7" t="s">
        <v>849</v>
      </c>
      <c r="D39" s="7">
        <v>50126213</v>
      </c>
      <c r="E39" s="7">
        <v>160</v>
      </c>
      <c r="F39" s="7">
        <v>186</v>
      </c>
      <c r="G39" s="7">
        <v>166</v>
      </c>
      <c r="H39" s="7" t="s">
        <v>2299</v>
      </c>
      <c r="I39" s="7" t="s">
        <v>109</v>
      </c>
      <c r="J39" s="7" t="s">
        <v>130</v>
      </c>
      <c r="K39" s="46">
        <v>3.9583333333333331E-2</v>
      </c>
      <c r="L39" s="7" t="s">
        <v>109</v>
      </c>
      <c r="M39" s="7" t="s">
        <v>109</v>
      </c>
      <c r="N39" s="7" t="s">
        <v>109</v>
      </c>
      <c r="O39" s="7" t="s">
        <v>61</v>
      </c>
      <c r="P39" s="7" t="s">
        <v>131</v>
      </c>
      <c r="Q39" s="7" t="s">
        <v>200</v>
      </c>
      <c r="R39" s="7" t="s">
        <v>62</v>
      </c>
      <c r="S39" s="7" t="s">
        <v>123</v>
      </c>
      <c r="T39" s="7" t="s">
        <v>424</v>
      </c>
      <c r="U39" s="111">
        <f t="shared" si="1"/>
        <v>1.0375000000000001</v>
      </c>
      <c r="V39" s="7" t="s">
        <v>1941</v>
      </c>
    </row>
    <row r="40" spans="1:22" x14ac:dyDescent="0.3">
      <c r="A40" s="7">
        <v>39</v>
      </c>
      <c r="B40" s="7" t="s">
        <v>23</v>
      </c>
      <c r="C40" s="7" t="s">
        <v>940</v>
      </c>
      <c r="D40" s="7">
        <v>50126249</v>
      </c>
      <c r="E40" s="7">
        <v>220</v>
      </c>
      <c r="F40" s="7">
        <v>440</v>
      </c>
      <c r="G40" s="7">
        <v>153</v>
      </c>
      <c r="H40" s="7" t="s">
        <v>2817</v>
      </c>
      <c r="I40" s="7" t="s">
        <v>109</v>
      </c>
      <c r="J40" s="7" t="s">
        <v>130</v>
      </c>
      <c r="K40" s="46">
        <v>0.80694444444444446</v>
      </c>
      <c r="L40" s="7" t="s">
        <v>109</v>
      </c>
      <c r="M40" s="7" t="s">
        <v>109</v>
      </c>
      <c r="N40" s="7" t="s">
        <v>109</v>
      </c>
      <c r="O40" s="7" t="s">
        <v>61</v>
      </c>
      <c r="P40" s="7" t="s">
        <v>131</v>
      </c>
      <c r="Q40" s="7" t="s">
        <v>520</v>
      </c>
      <c r="R40" s="7" t="s">
        <v>62</v>
      </c>
      <c r="S40" s="7" t="s">
        <v>123</v>
      </c>
      <c r="T40" s="7" t="s">
        <v>424</v>
      </c>
      <c r="U40" s="111">
        <f t="shared" si="1"/>
        <v>0.69545454545454544</v>
      </c>
      <c r="V40" s="7" t="s">
        <v>2862</v>
      </c>
    </row>
    <row r="41" spans="1:22" x14ac:dyDescent="0.3">
      <c r="A41" s="7">
        <v>40</v>
      </c>
      <c r="B41" s="7" t="s">
        <v>23</v>
      </c>
      <c r="C41" s="7" t="s">
        <v>947</v>
      </c>
      <c r="D41" s="7">
        <v>50126237</v>
      </c>
      <c r="E41" s="7">
        <v>40</v>
      </c>
      <c r="F41" s="7">
        <v>50</v>
      </c>
      <c r="G41" s="7">
        <v>40</v>
      </c>
      <c r="H41" s="7" t="s">
        <v>71</v>
      </c>
      <c r="I41" s="7" t="s">
        <v>109</v>
      </c>
      <c r="J41" s="7" t="s">
        <v>130</v>
      </c>
      <c r="K41" s="46">
        <v>0.87847222222222221</v>
      </c>
      <c r="L41" s="7" t="s">
        <v>109</v>
      </c>
      <c r="M41" s="7" t="s">
        <v>109</v>
      </c>
      <c r="N41" s="7" t="s">
        <v>109</v>
      </c>
      <c r="O41" s="7" t="s">
        <v>61</v>
      </c>
      <c r="P41" s="7" t="s">
        <v>131</v>
      </c>
      <c r="Q41" s="7" t="s">
        <v>71</v>
      </c>
      <c r="R41" s="7" t="s">
        <v>62</v>
      </c>
      <c r="S41" s="7" t="s">
        <v>123</v>
      </c>
      <c r="T41" s="7" t="s">
        <v>424</v>
      </c>
      <c r="U41" s="111">
        <f t="shared" si="1"/>
        <v>1</v>
      </c>
      <c r="V41" s="7" t="s">
        <v>1941</v>
      </c>
    </row>
    <row r="42" spans="1:22" x14ac:dyDescent="0.3">
      <c r="A42" s="7">
        <v>41</v>
      </c>
      <c r="B42" s="7" t="s">
        <v>23</v>
      </c>
      <c r="C42" s="7" t="s">
        <v>949</v>
      </c>
      <c r="D42" s="7">
        <v>50126238</v>
      </c>
      <c r="E42" s="7">
        <v>30</v>
      </c>
      <c r="F42" s="7">
        <v>39</v>
      </c>
      <c r="G42" s="7">
        <v>22</v>
      </c>
      <c r="H42" s="7" t="s">
        <v>84</v>
      </c>
      <c r="I42" s="7" t="s">
        <v>109</v>
      </c>
      <c r="J42" s="7" t="s">
        <v>130</v>
      </c>
      <c r="K42" s="7" t="s">
        <v>109</v>
      </c>
      <c r="L42" s="11">
        <v>0.10694444444444444</v>
      </c>
      <c r="M42" s="7" t="s">
        <v>109</v>
      </c>
      <c r="N42" s="7" t="s">
        <v>109</v>
      </c>
      <c r="O42" s="7" t="s">
        <v>61</v>
      </c>
      <c r="P42" s="7" t="s">
        <v>131</v>
      </c>
      <c r="Q42" s="7" t="s">
        <v>1141</v>
      </c>
      <c r="R42" s="7" t="s">
        <v>62</v>
      </c>
      <c r="S42" s="7" t="s">
        <v>123</v>
      </c>
      <c r="T42" s="7" t="s">
        <v>424</v>
      </c>
      <c r="U42" s="111">
        <f t="shared" si="1"/>
        <v>0.73333333333333328</v>
      </c>
      <c r="V42" s="7" t="s">
        <v>109</v>
      </c>
    </row>
    <row r="43" spans="1:22" x14ac:dyDescent="0.3">
      <c r="A43" s="7">
        <v>42</v>
      </c>
      <c r="B43" s="7" t="s">
        <v>23</v>
      </c>
      <c r="C43" s="7" t="s">
        <v>2489</v>
      </c>
      <c r="D43" s="7">
        <v>50226110</v>
      </c>
      <c r="E43" s="7">
        <v>35</v>
      </c>
      <c r="F43" s="7">
        <v>54</v>
      </c>
      <c r="G43" s="7">
        <v>38</v>
      </c>
      <c r="H43" s="7" t="s">
        <v>70</v>
      </c>
      <c r="I43" s="7" t="s">
        <v>109</v>
      </c>
      <c r="J43" s="7" t="s">
        <v>130</v>
      </c>
      <c r="K43" s="46">
        <v>0.99305555555555558</v>
      </c>
      <c r="L43" s="7" t="s">
        <v>109</v>
      </c>
      <c r="M43" s="7" t="s">
        <v>109</v>
      </c>
      <c r="N43" s="7" t="s">
        <v>109</v>
      </c>
      <c r="O43" s="7" t="s">
        <v>61</v>
      </c>
      <c r="P43" s="7" t="s">
        <v>131</v>
      </c>
      <c r="Q43" s="7" t="s">
        <v>70</v>
      </c>
      <c r="R43" s="7" t="s">
        <v>62</v>
      </c>
      <c r="S43" s="7" t="s">
        <v>123</v>
      </c>
      <c r="T43" s="7" t="s">
        <v>424</v>
      </c>
      <c r="U43" s="111">
        <f t="shared" si="1"/>
        <v>1.0857142857142856</v>
      </c>
      <c r="V43" s="7" t="s">
        <v>1941</v>
      </c>
    </row>
    <row r="44" spans="1:22" x14ac:dyDescent="0.3">
      <c r="A44" s="7">
        <v>43</v>
      </c>
      <c r="B44" s="7" t="s">
        <v>23</v>
      </c>
      <c r="C44" s="7" t="s">
        <v>850</v>
      </c>
      <c r="D44" s="7">
        <v>50126214</v>
      </c>
      <c r="E44" s="7">
        <v>100</v>
      </c>
      <c r="F44" s="7">
        <v>150</v>
      </c>
      <c r="G44" s="7">
        <v>77</v>
      </c>
      <c r="H44" s="7" t="s">
        <v>527</v>
      </c>
      <c r="I44" s="7" t="s">
        <v>109</v>
      </c>
      <c r="J44" s="7" t="s">
        <v>130</v>
      </c>
      <c r="K44" s="46">
        <v>0.77847222222222223</v>
      </c>
      <c r="L44" s="7" t="s">
        <v>109</v>
      </c>
      <c r="M44" s="7" t="s">
        <v>109</v>
      </c>
      <c r="N44" s="7" t="s">
        <v>109</v>
      </c>
      <c r="O44" s="7" t="s">
        <v>61</v>
      </c>
      <c r="P44" s="7" t="s">
        <v>131</v>
      </c>
      <c r="Q44" s="7" t="s">
        <v>527</v>
      </c>
      <c r="R44" s="7" t="s">
        <v>62</v>
      </c>
      <c r="S44" s="7" t="s">
        <v>123</v>
      </c>
      <c r="T44" s="7" t="s">
        <v>424</v>
      </c>
      <c r="U44" s="111">
        <f t="shared" si="1"/>
        <v>0.77</v>
      </c>
      <c r="V44" s="7" t="s">
        <v>889</v>
      </c>
    </row>
    <row r="45" spans="1:22" x14ac:dyDescent="0.3">
      <c r="A45" s="7">
        <v>44</v>
      </c>
      <c r="B45" s="7" t="s">
        <v>23</v>
      </c>
      <c r="C45" s="7" t="s">
        <v>511</v>
      </c>
      <c r="D45" s="7">
        <v>50126044</v>
      </c>
      <c r="E45" s="7">
        <v>35</v>
      </c>
      <c r="F45" s="7">
        <v>49</v>
      </c>
      <c r="G45" s="7">
        <v>32</v>
      </c>
      <c r="H45" s="7" t="s">
        <v>68</v>
      </c>
      <c r="I45" s="7" t="s">
        <v>109</v>
      </c>
      <c r="J45" s="7" t="s">
        <v>130</v>
      </c>
      <c r="K45" s="46">
        <v>4.3055555555555555E-2</v>
      </c>
      <c r="L45" s="7" t="s">
        <v>109</v>
      </c>
      <c r="M45" s="7" t="s">
        <v>109</v>
      </c>
      <c r="N45" s="7" t="s">
        <v>109</v>
      </c>
      <c r="O45" s="7" t="s">
        <v>61</v>
      </c>
      <c r="P45" s="7" t="s">
        <v>131</v>
      </c>
      <c r="Q45" s="7" t="s">
        <v>68</v>
      </c>
      <c r="R45" s="7" t="s">
        <v>62</v>
      </c>
      <c r="S45" s="7" t="s">
        <v>123</v>
      </c>
      <c r="T45" s="7" t="s">
        <v>424</v>
      </c>
      <c r="U45" s="111">
        <f t="shared" si="1"/>
        <v>0.91428571428571426</v>
      </c>
      <c r="V45" s="7" t="s">
        <v>889</v>
      </c>
    </row>
    <row r="46" spans="1:22" x14ac:dyDescent="0.3">
      <c r="A46" s="7">
        <v>45</v>
      </c>
      <c r="B46" s="7" t="s">
        <v>23</v>
      </c>
      <c r="C46" s="7" t="s">
        <v>513</v>
      </c>
      <c r="D46" s="7">
        <v>50126045</v>
      </c>
      <c r="E46" s="7">
        <v>35</v>
      </c>
      <c r="F46" s="7">
        <v>60</v>
      </c>
      <c r="G46" s="7">
        <v>57</v>
      </c>
      <c r="H46" s="7" t="s">
        <v>527</v>
      </c>
      <c r="I46" s="7" t="s">
        <v>109</v>
      </c>
      <c r="J46" s="7" t="s">
        <v>130</v>
      </c>
      <c r="K46" s="46">
        <v>0.64166666666666672</v>
      </c>
      <c r="L46" s="7" t="s">
        <v>109</v>
      </c>
      <c r="M46" s="7" t="s">
        <v>109</v>
      </c>
      <c r="N46" s="7" t="s">
        <v>109</v>
      </c>
      <c r="O46" s="7" t="s">
        <v>61</v>
      </c>
      <c r="P46" s="7" t="s">
        <v>131</v>
      </c>
      <c r="Q46" s="7" t="s">
        <v>527</v>
      </c>
      <c r="R46" s="7" t="s">
        <v>62</v>
      </c>
      <c r="S46" s="7" t="s">
        <v>123</v>
      </c>
      <c r="T46" s="7" t="s">
        <v>424</v>
      </c>
      <c r="U46" s="111">
        <f t="shared" si="1"/>
        <v>1.6285714285714286</v>
      </c>
      <c r="V46" s="7" t="s">
        <v>1941</v>
      </c>
    </row>
    <row r="47" spans="1:22" x14ac:dyDescent="0.3">
      <c r="A47" s="7">
        <v>46</v>
      </c>
      <c r="B47" s="7" t="s">
        <v>23</v>
      </c>
      <c r="C47" s="7" t="s">
        <v>515</v>
      </c>
      <c r="D47" s="7">
        <v>50126047</v>
      </c>
      <c r="E47" s="7">
        <v>40</v>
      </c>
      <c r="F47" s="7">
        <v>61</v>
      </c>
      <c r="G47" s="7">
        <v>47</v>
      </c>
      <c r="H47" s="7" t="s">
        <v>209</v>
      </c>
      <c r="I47" s="7" t="s">
        <v>109</v>
      </c>
      <c r="J47" s="7" t="s">
        <v>130</v>
      </c>
      <c r="K47" s="46">
        <v>0.70486111111111116</v>
      </c>
      <c r="L47" s="7" t="s">
        <v>109</v>
      </c>
      <c r="M47" s="7" t="s">
        <v>109</v>
      </c>
      <c r="N47" s="7" t="s">
        <v>109</v>
      </c>
      <c r="O47" s="7" t="s">
        <v>61</v>
      </c>
      <c r="P47" s="7" t="s">
        <v>131</v>
      </c>
      <c r="Q47" s="7" t="s">
        <v>209</v>
      </c>
      <c r="R47" s="7" t="s">
        <v>62</v>
      </c>
      <c r="S47" s="7" t="s">
        <v>123</v>
      </c>
      <c r="T47" s="7" t="s">
        <v>424</v>
      </c>
      <c r="U47" s="111">
        <f t="shared" si="1"/>
        <v>1.175</v>
      </c>
      <c r="V47" s="7" t="s">
        <v>1941</v>
      </c>
    </row>
    <row r="48" spans="1:22" x14ac:dyDescent="0.3">
      <c r="A48" s="7">
        <v>47</v>
      </c>
      <c r="B48" s="7" t="s">
        <v>23</v>
      </c>
      <c r="C48" s="7" t="s">
        <v>517</v>
      </c>
      <c r="D48" s="7">
        <v>50126049</v>
      </c>
      <c r="E48" s="7">
        <v>45</v>
      </c>
      <c r="F48" s="7">
        <v>77</v>
      </c>
      <c r="G48" s="7">
        <v>45</v>
      </c>
      <c r="H48" s="44" t="s">
        <v>67</v>
      </c>
      <c r="I48" s="7" t="s">
        <v>109</v>
      </c>
      <c r="J48" s="7" t="s">
        <v>130</v>
      </c>
      <c r="K48" s="46">
        <v>0.69652777777777775</v>
      </c>
      <c r="L48" s="7" t="s">
        <v>109</v>
      </c>
      <c r="M48" s="7" t="s">
        <v>109</v>
      </c>
      <c r="N48" s="7" t="s">
        <v>109</v>
      </c>
      <c r="O48" s="7" t="s">
        <v>61</v>
      </c>
      <c r="P48" s="7" t="s">
        <v>131</v>
      </c>
      <c r="Q48" s="7" t="s">
        <v>67</v>
      </c>
      <c r="R48" s="7" t="s">
        <v>62</v>
      </c>
      <c r="S48" s="7" t="s">
        <v>123</v>
      </c>
      <c r="T48" s="7" t="s">
        <v>424</v>
      </c>
      <c r="U48" s="111">
        <f t="shared" si="1"/>
        <v>1</v>
      </c>
      <c r="V48" s="7" t="s">
        <v>1941</v>
      </c>
    </row>
    <row r="49" spans="1:22" x14ac:dyDescent="0.3">
      <c r="A49" s="7">
        <v>48</v>
      </c>
      <c r="B49" s="7" t="s">
        <v>23</v>
      </c>
      <c r="C49" s="7" t="s">
        <v>792</v>
      </c>
      <c r="D49" s="7">
        <v>50126180</v>
      </c>
      <c r="E49" s="7">
        <v>40</v>
      </c>
      <c r="F49" s="7">
        <v>53</v>
      </c>
      <c r="G49" s="7">
        <v>47</v>
      </c>
      <c r="H49" s="7" t="s">
        <v>91</v>
      </c>
      <c r="I49" s="7" t="s">
        <v>109</v>
      </c>
      <c r="J49" s="7" t="s">
        <v>130</v>
      </c>
      <c r="K49" s="46">
        <v>3.4027777777777775E-2</v>
      </c>
      <c r="L49" s="7" t="s">
        <v>109</v>
      </c>
      <c r="M49" s="7" t="s">
        <v>109</v>
      </c>
      <c r="N49" s="7" t="s">
        <v>109</v>
      </c>
      <c r="O49" s="7" t="s">
        <v>61</v>
      </c>
      <c r="P49" s="7" t="s">
        <v>131</v>
      </c>
      <c r="Q49" s="7" t="s">
        <v>91</v>
      </c>
      <c r="R49" s="7" t="s">
        <v>62</v>
      </c>
      <c r="S49" s="7" t="s">
        <v>123</v>
      </c>
      <c r="T49" s="7" t="s">
        <v>424</v>
      </c>
      <c r="U49" s="111">
        <f t="shared" si="1"/>
        <v>1.175</v>
      </c>
      <c r="V49" s="7" t="s">
        <v>1941</v>
      </c>
    </row>
    <row r="50" spans="1:22" x14ac:dyDescent="0.3">
      <c r="A50" s="7">
        <v>49</v>
      </c>
      <c r="B50" s="7" t="s">
        <v>23</v>
      </c>
      <c r="C50" s="7" t="s">
        <v>518</v>
      </c>
      <c r="D50" s="7">
        <v>50126050</v>
      </c>
      <c r="E50" s="7">
        <v>35</v>
      </c>
      <c r="F50" s="7">
        <v>36</v>
      </c>
      <c r="G50" s="7">
        <v>33</v>
      </c>
      <c r="H50" s="7" t="s">
        <v>65</v>
      </c>
      <c r="I50" s="7" t="s">
        <v>109</v>
      </c>
      <c r="J50" s="7" t="s">
        <v>130</v>
      </c>
      <c r="K50" s="46">
        <v>3.9583333333333331E-2</v>
      </c>
      <c r="L50" s="7" t="s">
        <v>109</v>
      </c>
      <c r="M50" s="7" t="s">
        <v>109</v>
      </c>
      <c r="N50" s="7" t="s">
        <v>109</v>
      </c>
      <c r="O50" s="7" t="s">
        <v>61</v>
      </c>
      <c r="P50" s="7" t="s">
        <v>131</v>
      </c>
      <c r="Q50" s="7" t="s">
        <v>65</v>
      </c>
      <c r="R50" s="7" t="s">
        <v>62</v>
      </c>
      <c r="S50" s="7" t="s">
        <v>123</v>
      </c>
      <c r="T50" s="7" t="s">
        <v>424</v>
      </c>
      <c r="U50" s="111">
        <f t="shared" si="1"/>
        <v>0.94285714285714284</v>
      </c>
      <c r="V50" s="7" t="s">
        <v>1941</v>
      </c>
    </row>
    <row r="51" spans="1:22" x14ac:dyDescent="0.3">
      <c r="A51" s="7">
        <v>50</v>
      </c>
      <c r="B51" s="7" t="s">
        <v>23</v>
      </c>
      <c r="C51" s="7" t="s">
        <v>519</v>
      </c>
      <c r="D51" s="7">
        <v>50126051</v>
      </c>
      <c r="E51" s="7">
        <v>30</v>
      </c>
      <c r="F51" s="7">
        <v>37</v>
      </c>
      <c r="G51" s="7">
        <v>33</v>
      </c>
      <c r="H51" s="7" t="s">
        <v>64</v>
      </c>
      <c r="I51" s="7" t="s">
        <v>109</v>
      </c>
      <c r="J51" s="7" t="s">
        <v>130</v>
      </c>
      <c r="K51" s="46">
        <v>0.70833333333333337</v>
      </c>
      <c r="L51" s="7" t="s">
        <v>109</v>
      </c>
      <c r="M51" s="7" t="s">
        <v>109</v>
      </c>
      <c r="N51" s="7" t="s">
        <v>109</v>
      </c>
      <c r="O51" s="7" t="s">
        <v>61</v>
      </c>
      <c r="P51" s="7" t="s">
        <v>131</v>
      </c>
      <c r="Q51" s="7" t="s">
        <v>64</v>
      </c>
      <c r="R51" s="7" t="s">
        <v>62</v>
      </c>
      <c r="S51" s="7" t="s">
        <v>123</v>
      </c>
      <c r="T51" s="7" t="s">
        <v>424</v>
      </c>
      <c r="U51" s="111">
        <f t="shared" si="1"/>
        <v>1.1000000000000001</v>
      </c>
      <c r="V51" s="7" t="s">
        <v>1941</v>
      </c>
    </row>
    <row r="52" spans="1:22" x14ac:dyDescent="0.3">
      <c r="A52" s="7">
        <v>51</v>
      </c>
      <c r="B52" s="7" t="s">
        <v>23</v>
      </c>
      <c r="C52" s="7" t="s">
        <v>805</v>
      </c>
      <c r="D52" s="7">
        <v>50126189</v>
      </c>
      <c r="E52" s="7">
        <v>20</v>
      </c>
      <c r="F52" s="7">
        <v>39</v>
      </c>
      <c r="G52" s="7">
        <v>23</v>
      </c>
      <c r="H52" s="7" t="s">
        <v>184</v>
      </c>
      <c r="I52" s="7" t="s">
        <v>109</v>
      </c>
      <c r="J52" s="7" t="s">
        <v>130</v>
      </c>
      <c r="K52" s="46">
        <v>0.97777777777777775</v>
      </c>
      <c r="L52" s="7" t="s">
        <v>109</v>
      </c>
      <c r="M52" s="7" t="s">
        <v>109</v>
      </c>
      <c r="N52" s="7" t="s">
        <v>109</v>
      </c>
      <c r="O52" s="7" t="s">
        <v>61</v>
      </c>
      <c r="P52" s="7" t="s">
        <v>131</v>
      </c>
      <c r="Q52" s="7" t="s">
        <v>520</v>
      </c>
      <c r="R52" s="7" t="s">
        <v>62</v>
      </c>
      <c r="S52" s="7" t="s">
        <v>123</v>
      </c>
      <c r="T52" s="7" t="s">
        <v>424</v>
      </c>
      <c r="U52" s="111">
        <f t="shared" si="1"/>
        <v>1.1499999999999999</v>
      </c>
      <c r="V52" s="7" t="s">
        <v>889</v>
      </c>
    </row>
    <row r="53" spans="1:22" x14ac:dyDescent="0.3">
      <c r="A53" s="7">
        <v>52</v>
      </c>
      <c r="B53" s="7" t="s">
        <v>23</v>
      </c>
      <c r="C53" s="7" t="s">
        <v>522</v>
      </c>
      <c r="D53" s="7">
        <v>50126053</v>
      </c>
      <c r="E53" s="7">
        <v>40</v>
      </c>
      <c r="F53" s="7">
        <v>60</v>
      </c>
      <c r="G53" s="7">
        <v>50</v>
      </c>
      <c r="H53" s="7" t="s">
        <v>86</v>
      </c>
      <c r="I53" s="7" t="s">
        <v>109</v>
      </c>
      <c r="J53" s="7" t="s">
        <v>130</v>
      </c>
      <c r="K53" s="46">
        <v>0.73124999999999996</v>
      </c>
      <c r="L53" s="7" t="s">
        <v>109</v>
      </c>
      <c r="M53" s="7" t="s">
        <v>109</v>
      </c>
      <c r="N53" s="7" t="s">
        <v>109</v>
      </c>
      <c r="O53" s="7" t="s">
        <v>61</v>
      </c>
      <c r="P53" s="7" t="s">
        <v>131</v>
      </c>
      <c r="Q53" s="7" t="s">
        <v>86</v>
      </c>
      <c r="R53" s="7" t="s">
        <v>62</v>
      </c>
      <c r="S53" s="7" t="s">
        <v>123</v>
      </c>
      <c r="T53" s="7" t="s">
        <v>424</v>
      </c>
      <c r="U53" s="111">
        <f t="shared" si="1"/>
        <v>1.25</v>
      </c>
      <c r="V53" s="7" t="s">
        <v>1941</v>
      </c>
    </row>
    <row r="54" spans="1:22" x14ac:dyDescent="0.3">
      <c r="A54" s="7">
        <v>53</v>
      </c>
      <c r="B54" s="7" t="s">
        <v>23</v>
      </c>
      <c r="C54" s="7" t="s">
        <v>523</v>
      </c>
      <c r="D54" s="7">
        <v>50126054</v>
      </c>
      <c r="E54" s="7">
        <v>40</v>
      </c>
      <c r="F54" s="7">
        <v>53</v>
      </c>
      <c r="G54" s="7">
        <v>44</v>
      </c>
      <c r="H54" s="7" t="s">
        <v>89</v>
      </c>
      <c r="I54" s="7" t="s">
        <v>109</v>
      </c>
      <c r="J54" s="7" t="s">
        <v>130</v>
      </c>
      <c r="K54" s="46">
        <v>0.70208333333333328</v>
      </c>
      <c r="L54" s="7" t="s">
        <v>109</v>
      </c>
      <c r="M54" s="7" t="s">
        <v>109</v>
      </c>
      <c r="N54" s="7" t="s">
        <v>109</v>
      </c>
      <c r="O54" s="7" t="s">
        <v>61</v>
      </c>
      <c r="P54" s="7" t="s">
        <v>131</v>
      </c>
      <c r="Q54" s="7" t="s">
        <v>89</v>
      </c>
      <c r="R54" s="7" t="s">
        <v>62</v>
      </c>
      <c r="S54" s="7" t="s">
        <v>123</v>
      </c>
      <c r="T54" s="7" t="s">
        <v>424</v>
      </c>
      <c r="U54" s="111">
        <f t="shared" si="1"/>
        <v>1.1000000000000001</v>
      </c>
      <c r="V54" s="7" t="s">
        <v>1941</v>
      </c>
    </row>
    <row r="55" spans="1:22" x14ac:dyDescent="0.3">
      <c r="A55" s="7">
        <v>54</v>
      </c>
      <c r="B55" s="7" t="s">
        <v>23</v>
      </c>
      <c r="C55" s="7" t="s">
        <v>699</v>
      </c>
      <c r="D55" s="7">
        <v>50126155</v>
      </c>
      <c r="E55" s="7">
        <v>40</v>
      </c>
      <c r="F55" s="7">
        <v>59</v>
      </c>
      <c r="G55" s="7">
        <v>48</v>
      </c>
      <c r="H55" s="7" t="s">
        <v>179</v>
      </c>
      <c r="I55" s="7" t="s">
        <v>109</v>
      </c>
      <c r="J55" s="7" t="s">
        <v>130</v>
      </c>
      <c r="K55" s="46">
        <v>0.70416666666666672</v>
      </c>
      <c r="L55" s="7" t="s">
        <v>109</v>
      </c>
      <c r="M55" s="7" t="s">
        <v>109</v>
      </c>
      <c r="N55" s="7" t="s">
        <v>109</v>
      </c>
      <c r="O55" s="7" t="s">
        <v>61</v>
      </c>
      <c r="P55" s="7" t="s">
        <v>131</v>
      </c>
      <c r="Q55" s="7" t="s">
        <v>179</v>
      </c>
      <c r="R55" s="7" t="s">
        <v>62</v>
      </c>
      <c r="S55" s="7" t="s">
        <v>123</v>
      </c>
      <c r="T55" s="7" t="s">
        <v>424</v>
      </c>
      <c r="U55" s="111">
        <f t="shared" si="1"/>
        <v>1.2</v>
      </c>
      <c r="V55" s="7" t="s">
        <v>1941</v>
      </c>
    </row>
    <row r="56" spans="1:22" x14ac:dyDescent="0.3">
      <c r="A56" s="7">
        <v>55</v>
      </c>
      <c r="B56" s="7" t="s">
        <v>23</v>
      </c>
      <c r="C56" s="7" t="s">
        <v>701</v>
      </c>
      <c r="D56" s="7">
        <v>50126157</v>
      </c>
      <c r="E56" s="7">
        <v>40</v>
      </c>
      <c r="F56" s="7">
        <v>57</v>
      </c>
      <c r="G56" s="7">
        <v>55</v>
      </c>
      <c r="H56" s="7" t="s">
        <v>88</v>
      </c>
      <c r="I56" s="7" t="s">
        <v>109</v>
      </c>
      <c r="J56" s="7" t="s">
        <v>130</v>
      </c>
      <c r="K56" s="46">
        <v>0.6875</v>
      </c>
      <c r="L56" s="7" t="s">
        <v>109</v>
      </c>
      <c r="M56" s="7" t="s">
        <v>109</v>
      </c>
      <c r="N56" s="7" t="s">
        <v>109</v>
      </c>
      <c r="O56" s="7" t="s">
        <v>61</v>
      </c>
      <c r="P56" s="7" t="s">
        <v>131</v>
      </c>
      <c r="Q56" s="7" t="s">
        <v>88</v>
      </c>
      <c r="R56" s="7" t="s">
        <v>62</v>
      </c>
      <c r="S56" s="7" t="s">
        <v>123</v>
      </c>
      <c r="T56" s="7" t="s">
        <v>424</v>
      </c>
      <c r="U56" s="111">
        <f t="shared" si="1"/>
        <v>1.375</v>
      </c>
      <c r="V56" s="7" t="s">
        <v>1941</v>
      </c>
    </row>
    <row r="57" spans="1:22" x14ac:dyDescent="0.3">
      <c r="A57" s="7">
        <v>56</v>
      </c>
      <c r="B57" s="7" t="s">
        <v>23</v>
      </c>
      <c r="C57" s="7" t="s">
        <v>703</v>
      </c>
      <c r="D57" s="7">
        <v>50126159</v>
      </c>
      <c r="E57" s="7">
        <v>10</v>
      </c>
      <c r="F57" s="7">
        <v>25</v>
      </c>
      <c r="G57" s="7">
        <v>15</v>
      </c>
      <c r="H57" s="7" t="s">
        <v>71</v>
      </c>
      <c r="I57" s="7" t="s">
        <v>109</v>
      </c>
      <c r="J57" s="7" t="s">
        <v>130</v>
      </c>
      <c r="K57" s="46">
        <v>0.66527777777777775</v>
      </c>
      <c r="L57" s="7" t="s">
        <v>109</v>
      </c>
      <c r="M57" s="7" t="s">
        <v>109</v>
      </c>
      <c r="N57" s="7" t="s">
        <v>109</v>
      </c>
      <c r="O57" s="7" t="s">
        <v>61</v>
      </c>
      <c r="P57" s="7" t="s">
        <v>131</v>
      </c>
      <c r="Q57" s="7" t="s">
        <v>71</v>
      </c>
      <c r="R57" s="7" t="s">
        <v>62</v>
      </c>
      <c r="S57" s="7" t="s">
        <v>123</v>
      </c>
      <c r="T57" s="7" t="s">
        <v>424</v>
      </c>
      <c r="U57" s="111">
        <f t="shared" si="1"/>
        <v>1.5</v>
      </c>
      <c r="V57" s="7" t="s">
        <v>1941</v>
      </c>
    </row>
    <row r="58" spans="1:22" x14ac:dyDescent="0.3">
      <c r="A58" s="7">
        <v>57</v>
      </c>
      <c r="B58" s="7" t="s">
        <v>23</v>
      </c>
      <c r="C58" s="7" t="s">
        <v>706</v>
      </c>
      <c r="D58" s="7">
        <v>50126162</v>
      </c>
      <c r="E58" s="7">
        <v>25</v>
      </c>
      <c r="F58" s="7">
        <v>30</v>
      </c>
      <c r="G58" s="7">
        <v>28</v>
      </c>
      <c r="H58" s="7" t="s">
        <v>200</v>
      </c>
      <c r="I58" s="7" t="s">
        <v>109</v>
      </c>
      <c r="J58" s="7" t="s">
        <v>130</v>
      </c>
      <c r="K58" s="46">
        <v>0.6791666666666667</v>
      </c>
      <c r="L58" s="7" t="s">
        <v>109</v>
      </c>
      <c r="M58" s="7" t="s">
        <v>109</v>
      </c>
      <c r="N58" s="7" t="s">
        <v>109</v>
      </c>
      <c r="O58" s="7" t="s">
        <v>61</v>
      </c>
      <c r="P58" s="7" t="s">
        <v>131</v>
      </c>
      <c r="Q58" s="7" t="s">
        <v>200</v>
      </c>
      <c r="R58" s="7" t="s">
        <v>62</v>
      </c>
      <c r="S58" s="7" t="s">
        <v>123</v>
      </c>
      <c r="T58" s="7" t="s">
        <v>424</v>
      </c>
      <c r="U58" s="111">
        <f t="shared" si="1"/>
        <v>1.1200000000000001</v>
      </c>
      <c r="V58" s="7" t="s">
        <v>1941</v>
      </c>
    </row>
    <row r="59" spans="1:22" x14ac:dyDescent="0.3">
      <c r="A59" s="7">
        <v>58</v>
      </c>
      <c r="B59" s="7" t="s">
        <v>23</v>
      </c>
      <c r="C59" s="7" t="s">
        <v>816</v>
      </c>
      <c r="D59" s="7">
        <v>50126217</v>
      </c>
      <c r="E59" s="7">
        <v>40</v>
      </c>
      <c r="F59" s="7">
        <v>61</v>
      </c>
      <c r="G59" s="7">
        <v>33</v>
      </c>
      <c r="H59" s="7" t="s">
        <v>87</v>
      </c>
      <c r="I59" s="7" t="s">
        <v>109</v>
      </c>
      <c r="J59" s="7" t="s">
        <v>130</v>
      </c>
      <c r="K59" s="46">
        <v>0.71111111111111114</v>
      </c>
      <c r="L59" s="7" t="s">
        <v>109</v>
      </c>
      <c r="M59" s="7" t="s">
        <v>109</v>
      </c>
      <c r="N59" s="7" t="s">
        <v>109</v>
      </c>
      <c r="O59" s="7" t="s">
        <v>61</v>
      </c>
      <c r="P59" s="7" t="s">
        <v>131</v>
      </c>
      <c r="Q59" s="7" t="s">
        <v>87</v>
      </c>
      <c r="R59" s="7" t="s">
        <v>62</v>
      </c>
      <c r="S59" s="7" t="s">
        <v>123</v>
      </c>
      <c r="T59" s="7" t="s">
        <v>424</v>
      </c>
      <c r="U59" s="111">
        <f t="shared" si="1"/>
        <v>0.82499999999999996</v>
      </c>
      <c r="V59" s="7" t="s">
        <v>889</v>
      </c>
    </row>
    <row r="60" spans="1:22" x14ac:dyDescent="0.3">
      <c r="A60" s="7">
        <v>59</v>
      </c>
      <c r="B60" s="7" t="s">
        <v>23</v>
      </c>
      <c r="C60" s="7" t="s">
        <v>525</v>
      </c>
      <c r="D60" s="7">
        <v>50126081</v>
      </c>
      <c r="E60" s="7">
        <v>30</v>
      </c>
      <c r="F60" s="7">
        <v>38</v>
      </c>
      <c r="G60" s="7">
        <v>33</v>
      </c>
      <c r="H60" s="7" t="s">
        <v>82</v>
      </c>
      <c r="I60" s="7" t="s">
        <v>109</v>
      </c>
      <c r="J60" s="7" t="s">
        <v>130</v>
      </c>
      <c r="K60" s="46">
        <v>0.76458333333333328</v>
      </c>
      <c r="L60" s="7" t="s">
        <v>109</v>
      </c>
      <c r="M60" s="7" t="s">
        <v>109</v>
      </c>
      <c r="N60" s="7" t="s">
        <v>109</v>
      </c>
      <c r="O60" s="7" t="s">
        <v>61</v>
      </c>
      <c r="P60" s="7" t="s">
        <v>131</v>
      </c>
      <c r="Q60" s="7" t="s">
        <v>82</v>
      </c>
      <c r="R60" s="7" t="s">
        <v>62</v>
      </c>
      <c r="S60" s="7" t="s">
        <v>123</v>
      </c>
      <c r="T60" s="7" t="s">
        <v>424</v>
      </c>
      <c r="U60" s="111">
        <f t="shared" si="1"/>
        <v>1.1000000000000001</v>
      </c>
      <c r="V60" s="7" t="s">
        <v>1941</v>
      </c>
    </row>
    <row r="61" spans="1:22" x14ac:dyDescent="0.3">
      <c r="A61" s="7">
        <v>60</v>
      </c>
      <c r="B61" s="7" t="s">
        <v>23</v>
      </c>
      <c r="C61" s="7" t="s">
        <v>1642</v>
      </c>
      <c r="D61" s="7">
        <v>50126372</v>
      </c>
      <c r="E61" s="7">
        <v>65</v>
      </c>
      <c r="F61" s="7">
        <v>72</v>
      </c>
      <c r="G61" s="7">
        <v>63</v>
      </c>
      <c r="H61" s="7" t="s">
        <v>196</v>
      </c>
      <c r="I61" s="7" t="s">
        <v>109</v>
      </c>
      <c r="J61" s="7" t="s">
        <v>130</v>
      </c>
      <c r="K61" s="46">
        <v>0.71597222222222223</v>
      </c>
      <c r="L61" s="7" t="s">
        <v>109</v>
      </c>
      <c r="M61" s="7" t="s">
        <v>109</v>
      </c>
      <c r="N61" s="7" t="s">
        <v>109</v>
      </c>
      <c r="O61" s="7" t="s">
        <v>61</v>
      </c>
      <c r="P61" s="7" t="s">
        <v>131</v>
      </c>
      <c r="Q61" s="7" t="s">
        <v>196</v>
      </c>
      <c r="R61" s="7" t="s">
        <v>62</v>
      </c>
      <c r="S61" s="7" t="s">
        <v>123</v>
      </c>
      <c r="T61" s="7" t="s">
        <v>424</v>
      </c>
      <c r="U61" s="111">
        <f t="shared" si="1"/>
        <v>0.96923076923076923</v>
      </c>
      <c r="V61" s="7" t="s">
        <v>1941</v>
      </c>
    </row>
    <row r="62" spans="1:22" x14ac:dyDescent="0.3">
      <c r="A62" s="7">
        <v>61</v>
      </c>
      <c r="B62" s="7" t="s">
        <v>23</v>
      </c>
      <c r="C62" s="7" t="s">
        <v>1644</v>
      </c>
      <c r="D62" s="7">
        <v>50126370</v>
      </c>
      <c r="E62" s="7">
        <v>85</v>
      </c>
      <c r="F62" s="7">
        <v>120</v>
      </c>
      <c r="G62" s="7">
        <v>96</v>
      </c>
      <c r="H62" s="7" t="s">
        <v>88</v>
      </c>
      <c r="I62" s="7" t="s">
        <v>109</v>
      </c>
      <c r="J62" s="7" t="s">
        <v>130</v>
      </c>
      <c r="K62" s="46">
        <v>0.75138888888888888</v>
      </c>
      <c r="L62" s="7" t="s">
        <v>109</v>
      </c>
      <c r="M62" s="7" t="s">
        <v>109</v>
      </c>
      <c r="N62" s="7" t="s">
        <v>109</v>
      </c>
      <c r="O62" s="7" t="s">
        <v>61</v>
      </c>
      <c r="P62" s="7" t="s">
        <v>131</v>
      </c>
      <c r="Q62" s="7" t="s">
        <v>88</v>
      </c>
      <c r="R62" s="7" t="s">
        <v>62</v>
      </c>
      <c r="S62" s="7" t="s">
        <v>123</v>
      </c>
      <c r="T62" s="7" t="s">
        <v>424</v>
      </c>
      <c r="U62" s="111">
        <f t="shared" si="1"/>
        <v>1.1294117647058823</v>
      </c>
      <c r="V62" s="7" t="s">
        <v>1941</v>
      </c>
    </row>
    <row r="63" spans="1:22" x14ac:dyDescent="0.3">
      <c r="A63" s="7">
        <v>62</v>
      </c>
      <c r="B63" s="7" t="s">
        <v>23</v>
      </c>
      <c r="C63" s="7" t="s">
        <v>1646</v>
      </c>
      <c r="D63" s="7">
        <v>50126368</v>
      </c>
      <c r="E63" s="7">
        <v>40</v>
      </c>
      <c r="F63" s="7">
        <v>79</v>
      </c>
      <c r="G63" s="7">
        <v>71</v>
      </c>
      <c r="H63" s="7" t="s">
        <v>95</v>
      </c>
      <c r="I63" s="7" t="s">
        <v>109</v>
      </c>
      <c r="J63" s="7" t="s">
        <v>130</v>
      </c>
      <c r="K63" s="46">
        <v>0.70763888888888893</v>
      </c>
      <c r="L63" s="7" t="s">
        <v>109</v>
      </c>
      <c r="M63" s="7" t="s">
        <v>109</v>
      </c>
      <c r="N63" s="7" t="s">
        <v>109</v>
      </c>
      <c r="O63" s="7" t="s">
        <v>61</v>
      </c>
      <c r="P63" s="7" t="s">
        <v>131</v>
      </c>
      <c r="Q63" s="7" t="s">
        <v>95</v>
      </c>
      <c r="R63" s="7" t="s">
        <v>62</v>
      </c>
      <c r="S63" s="7" t="s">
        <v>123</v>
      </c>
      <c r="T63" s="7" t="s">
        <v>424</v>
      </c>
      <c r="U63" s="111">
        <f t="shared" si="1"/>
        <v>1.7749999999999999</v>
      </c>
      <c r="V63" s="7" t="s">
        <v>1941</v>
      </c>
    </row>
    <row r="64" spans="1:22" x14ac:dyDescent="0.3">
      <c r="A64" s="7">
        <v>63</v>
      </c>
      <c r="B64" s="7" t="s">
        <v>23</v>
      </c>
      <c r="C64" s="7" t="s">
        <v>1915</v>
      </c>
      <c r="D64" s="7">
        <v>50226019</v>
      </c>
      <c r="E64" s="7">
        <v>50</v>
      </c>
      <c r="F64" s="7">
        <v>66</v>
      </c>
      <c r="G64" s="7">
        <v>57</v>
      </c>
      <c r="H64" s="7" t="s">
        <v>200</v>
      </c>
      <c r="I64" s="7" t="s">
        <v>109</v>
      </c>
      <c r="J64" s="7" t="s">
        <v>130</v>
      </c>
      <c r="K64" s="46">
        <v>0.65902777777777777</v>
      </c>
      <c r="L64" s="7" t="s">
        <v>109</v>
      </c>
      <c r="M64" s="7" t="s">
        <v>109</v>
      </c>
      <c r="N64" s="7" t="s">
        <v>109</v>
      </c>
      <c r="O64" s="7" t="s">
        <v>61</v>
      </c>
      <c r="P64" s="7" t="s">
        <v>131</v>
      </c>
      <c r="Q64" s="7" t="s">
        <v>200</v>
      </c>
      <c r="R64" s="7" t="s">
        <v>62</v>
      </c>
      <c r="S64" s="7" t="s">
        <v>123</v>
      </c>
      <c r="T64" s="7" t="s">
        <v>424</v>
      </c>
      <c r="U64" s="111">
        <f t="shared" si="1"/>
        <v>1.1399999999999999</v>
      </c>
      <c r="V64" s="7" t="s">
        <v>1941</v>
      </c>
    </row>
    <row r="65" spans="1:22" x14ac:dyDescent="0.3">
      <c r="A65" s="7">
        <v>64</v>
      </c>
      <c r="B65" s="7" t="s">
        <v>23</v>
      </c>
      <c r="C65" s="7" t="s">
        <v>1917</v>
      </c>
      <c r="D65" s="7">
        <v>50226023</v>
      </c>
      <c r="E65" s="7">
        <v>60</v>
      </c>
      <c r="F65" s="7">
        <v>65</v>
      </c>
      <c r="G65" s="7">
        <v>60</v>
      </c>
      <c r="H65" s="7" t="s">
        <v>274</v>
      </c>
      <c r="I65" s="7" t="s">
        <v>109</v>
      </c>
      <c r="J65" s="7" t="s">
        <v>130</v>
      </c>
      <c r="K65" s="46">
        <v>1.5972222222222221E-2</v>
      </c>
      <c r="L65" s="7" t="s">
        <v>109</v>
      </c>
      <c r="M65" s="7" t="s">
        <v>109</v>
      </c>
      <c r="N65" s="7" t="s">
        <v>109</v>
      </c>
      <c r="O65" s="7" t="s">
        <v>61</v>
      </c>
      <c r="P65" s="7" t="s">
        <v>131</v>
      </c>
      <c r="Q65" s="7" t="s">
        <v>274</v>
      </c>
      <c r="R65" s="7" t="s">
        <v>62</v>
      </c>
      <c r="S65" s="7" t="s">
        <v>123</v>
      </c>
      <c r="T65" s="7" t="s">
        <v>424</v>
      </c>
      <c r="U65" s="111">
        <f t="shared" si="1"/>
        <v>1</v>
      </c>
      <c r="V65" s="7" t="s">
        <v>1941</v>
      </c>
    </row>
    <row r="66" spans="1:22" x14ac:dyDescent="0.3">
      <c r="A66" s="7">
        <v>65</v>
      </c>
      <c r="B66" s="7" t="s">
        <v>23</v>
      </c>
      <c r="C66" s="7" t="s">
        <v>528</v>
      </c>
      <c r="D66" s="7">
        <v>50126058</v>
      </c>
      <c r="E66" s="7">
        <v>50</v>
      </c>
      <c r="F66" s="7">
        <v>59</v>
      </c>
      <c r="G66" s="7">
        <v>49</v>
      </c>
      <c r="H66" s="7" t="s">
        <v>64</v>
      </c>
      <c r="I66" s="7" t="s">
        <v>109</v>
      </c>
      <c r="J66" s="7" t="s">
        <v>130</v>
      </c>
      <c r="K66" s="46">
        <v>0.7319444444444444</v>
      </c>
      <c r="L66" s="7" t="s">
        <v>109</v>
      </c>
      <c r="M66" s="7" t="s">
        <v>109</v>
      </c>
      <c r="N66" s="7" t="s">
        <v>109</v>
      </c>
      <c r="O66" s="7" t="s">
        <v>61</v>
      </c>
      <c r="P66" s="7" t="s">
        <v>131</v>
      </c>
      <c r="Q66" s="7" t="s">
        <v>64</v>
      </c>
      <c r="R66" s="7" t="s">
        <v>62</v>
      </c>
      <c r="S66" s="7" t="s">
        <v>123</v>
      </c>
      <c r="T66" s="7" t="s">
        <v>424</v>
      </c>
      <c r="U66" s="111">
        <f t="shared" ref="U66:U97" si="2">G66/E66</f>
        <v>0.98</v>
      </c>
      <c r="V66" s="7" t="s">
        <v>1941</v>
      </c>
    </row>
    <row r="67" spans="1:22" x14ac:dyDescent="0.3">
      <c r="A67" s="7">
        <v>66</v>
      </c>
      <c r="B67" s="7" t="s">
        <v>23</v>
      </c>
      <c r="C67" s="7" t="s">
        <v>529</v>
      </c>
      <c r="D67" s="7">
        <v>50126059</v>
      </c>
      <c r="E67" s="7">
        <v>50</v>
      </c>
      <c r="F67" s="7">
        <v>72</v>
      </c>
      <c r="G67" s="7">
        <v>32</v>
      </c>
      <c r="H67" s="7" t="s">
        <v>82</v>
      </c>
      <c r="I67" s="7" t="s">
        <v>109</v>
      </c>
      <c r="J67" s="7" t="s">
        <v>130</v>
      </c>
      <c r="K67" s="46">
        <v>0.99236111111111114</v>
      </c>
      <c r="L67" s="7" t="s">
        <v>109</v>
      </c>
      <c r="M67" s="7" t="s">
        <v>109</v>
      </c>
      <c r="N67" s="7" t="s">
        <v>109</v>
      </c>
      <c r="O67" s="7" t="s">
        <v>61</v>
      </c>
      <c r="P67" s="7" t="s">
        <v>131</v>
      </c>
      <c r="Q67" s="7" t="s">
        <v>109</v>
      </c>
      <c r="R67" s="7" t="s">
        <v>62</v>
      </c>
      <c r="S67" s="7" t="s">
        <v>123</v>
      </c>
      <c r="T67" s="7" t="s">
        <v>424</v>
      </c>
      <c r="U67" s="111">
        <f t="shared" si="2"/>
        <v>0.64</v>
      </c>
      <c r="V67" s="7" t="s">
        <v>2865</v>
      </c>
    </row>
    <row r="68" spans="1:22" x14ac:dyDescent="0.3">
      <c r="A68" s="7">
        <v>67</v>
      </c>
      <c r="B68" s="7" t="s">
        <v>23</v>
      </c>
      <c r="C68" s="7" t="s">
        <v>1173</v>
      </c>
      <c r="D68" s="7">
        <v>50126327</v>
      </c>
      <c r="E68" s="7">
        <v>35</v>
      </c>
      <c r="F68" s="7">
        <v>58</v>
      </c>
      <c r="G68" s="7">
        <v>38</v>
      </c>
      <c r="H68" s="7" t="s">
        <v>274</v>
      </c>
      <c r="I68" s="7" t="s">
        <v>109</v>
      </c>
      <c r="J68" s="7" t="s">
        <v>130</v>
      </c>
      <c r="K68" s="46">
        <v>3.6805555555555557E-2</v>
      </c>
      <c r="L68" s="7" t="s">
        <v>109</v>
      </c>
      <c r="M68" s="7" t="s">
        <v>109</v>
      </c>
      <c r="N68" s="7" t="s">
        <v>109</v>
      </c>
      <c r="O68" s="7" t="s">
        <v>61</v>
      </c>
      <c r="P68" s="7" t="s">
        <v>131</v>
      </c>
      <c r="Q68" s="7" t="s">
        <v>274</v>
      </c>
      <c r="R68" s="7" t="s">
        <v>62</v>
      </c>
      <c r="S68" s="7" t="s">
        <v>123</v>
      </c>
      <c r="T68" s="7" t="s">
        <v>424</v>
      </c>
      <c r="U68" s="111">
        <f t="shared" si="2"/>
        <v>1.0857142857142856</v>
      </c>
      <c r="V68" s="7" t="s">
        <v>1941</v>
      </c>
    </row>
    <row r="69" spans="1:22" x14ac:dyDescent="0.3">
      <c r="A69" s="7">
        <v>68</v>
      </c>
      <c r="B69" s="7" t="s">
        <v>23</v>
      </c>
      <c r="C69" s="7" t="s">
        <v>1221</v>
      </c>
      <c r="D69" s="7">
        <v>50126329</v>
      </c>
      <c r="E69" s="7">
        <v>85</v>
      </c>
      <c r="F69" s="7">
        <v>120</v>
      </c>
      <c r="G69" s="7">
        <v>94</v>
      </c>
      <c r="H69" s="7" t="s">
        <v>87</v>
      </c>
      <c r="I69" s="7" t="s">
        <v>109</v>
      </c>
      <c r="J69" s="7" t="s">
        <v>130</v>
      </c>
      <c r="K69" s="46">
        <v>0.80069444444444449</v>
      </c>
      <c r="L69" s="7" t="s">
        <v>109</v>
      </c>
      <c r="M69" s="7" t="s">
        <v>109</v>
      </c>
      <c r="N69" s="7" t="s">
        <v>109</v>
      </c>
      <c r="O69" s="7" t="s">
        <v>61</v>
      </c>
      <c r="P69" s="7" t="s">
        <v>131</v>
      </c>
      <c r="Q69" s="7" t="s">
        <v>87</v>
      </c>
      <c r="R69" s="7" t="s">
        <v>62</v>
      </c>
      <c r="S69" s="7" t="s">
        <v>123</v>
      </c>
      <c r="T69" s="7" t="s">
        <v>424</v>
      </c>
      <c r="U69" s="111">
        <f t="shared" si="2"/>
        <v>1.1058823529411765</v>
      </c>
      <c r="V69" s="7" t="s">
        <v>1941</v>
      </c>
    </row>
    <row r="70" spans="1:22" x14ac:dyDescent="0.3">
      <c r="A70" s="7">
        <v>69</v>
      </c>
      <c r="B70" s="7" t="s">
        <v>23</v>
      </c>
      <c r="C70" s="7" t="s">
        <v>1172</v>
      </c>
      <c r="D70" s="7">
        <v>50126328</v>
      </c>
      <c r="E70" s="7">
        <v>65</v>
      </c>
      <c r="F70" s="7">
        <v>96</v>
      </c>
      <c r="G70" s="7">
        <v>67</v>
      </c>
      <c r="H70" s="7" t="s">
        <v>209</v>
      </c>
      <c r="I70" s="7" t="s">
        <v>109</v>
      </c>
      <c r="J70" s="7" t="s">
        <v>130</v>
      </c>
      <c r="K70" s="46">
        <v>0.77986111111111112</v>
      </c>
      <c r="L70" s="7" t="s">
        <v>109</v>
      </c>
      <c r="M70" s="7" t="s">
        <v>109</v>
      </c>
      <c r="N70" s="7" t="s">
        <v>109</v>
      </c>
      <c r="O70" s="7" t="s">
        <v>61</v>
      </c>
      <c r="P70" s="7" t="s">
        <v>131</v>
      </c>
      <c r="Q70" s="7" t="s">
        <v>209</v>
      </c>
      <c r="R70" s="7" t="s">
        <v>62</v>
      </c>
      <c r="S70" s="7" t="s">
        <v>123</v>
      </c>
      <c r="T70" s="7" t="s">
        <v>424</v>
      </c>
      <c r="U70" s="111">
        <f t="shared" si="2"/>
        <v>1.0307692307692307</v>
      </c>
      <c r="V70" s="7" t="s">
        <v>1941</v>
      </c>
    </row>
    <row r="71" spans="1:22" x14ac:dyDescent="0.3">
      <c r="A71" s="7">
        <v>70</v>
      </c>
      <c r="B71" s="7" t="s">
        <v>23</v>
      </c>
      <c r="C71" s="7" t="s">
        <v>833</v>
      </c>
      <c r="D71" s="7">
        <v>50126108</v>
      </c>
      <c r="E71" s="7">
        <v>35</v>
      </c>
      <c r="F71" s="7">
        <v>60</v>
      </c>
      <c r="G71" s="7">
        <v>41</v>
      </c>
      <c r="H71" s="7" t="s">
        <v>69</v>
      </c>
      <c r="I71" s="7" t="s">
        <v>109</v>
      </c>
      <c r="J71" s="7" t="s">
        <v>130</v>
      </c>
      <c r="K71" s="46">
        <v>0.85347222222222219</v>
      </c>
      <c r="L71" s="7" t="s">
        <v>109</v>
      </c>
      <c r="M71" s="7" t="s">
        <v>109</v>
      </c>
      <c r="N71" s="7" t="s">
        <v>109</v>
      </c>
      <c r="O71" s="7" t="s">
        <v>61</v>
      </c>
      <c r="P71" s="7" t="s">
        <v>131</v>
      </c>
      <c r="Q71" s="7" t="s">
        <v>69</v>
      </c>
      <c r="R71" s="7" t="s">
        <v>62</v>
      </c>
      <c r="S71" s="7" t="s">
        <v>123</v>
      </c>
      <c r="T71" s="7" t="s">
        <v>424</v>
      </c>
      <c r="U71" s="111">
        <f t="shared" si="2"/>
        <v>1.1714285714285715</v>
      </c>
      <c r="V71" s="7" t="s">
        <v>1941</v>
      </c>
    </row>
    <row r="72" spans="1:22" x14ac:dyDescent="0.3">
      <c r="A72" s="7">
        <v>71</v>
      </c>
      <c r="B72" s="7" t="s">
        <v>23</v>
      </c>
      <c r="C72" s="7" t="s">
        <v>834</v>
      </c>
      <c r="D72" s="7">
        <v>50126111</v>
      </c>
      <c r="E72" s="7">
        <v>40</v>
      </c>
      <c r="F72" s="7">
        <v>93</v>
      </c>
      <c r="G72" s="7">
        <v>46</v>
      </c>
      <c r="H72" s="7" t="s">
        <v>154</v>
      </c>
      <c r="I72" s="7" t="s">
        <v>109</v>
      </c>
      <c r="J72" s="7" t="s">
        <v>130</v>
      </c>
      <c r="K72" s="46">
        <v>0.71736111111111112</v>
      </c>
      <c r="L72" s="7" t="s">
        <v>109</v>
      </c>
      <c r="M72" s="7" t="s">
        <v>109</v>
      </c>
      <c r="N72" s="7" t="s">
        <v>109</v>
      </c>
      <c r="O72" s="7" t="s">
        <v>61</v>
      </c>
      <c r="P72" s="7" t="s">
        <v>131</v>
      </c>
      <c r="Q72" s="7" t="s">
        <v>154</v>
      </c>
      <c r="R72" s="7" t="s">
        <v>62</v>
      </c>
      <c r="S72" s="7" t="s">
        <v>123</v>
      </c>
      <c r="T72" s="7" t="s">
        <v>424</v>
      </c>
      <c r="U72" s="111">
        <f t="shared" si="2"/>
        <v>1.1499999999999999</v>
      </c>
      <c r="V72" s="7" t="s">
        <v>1941</v>
      </c>
    </row>
    <row r="73" spans="1:22" x14ac:dyDescent="0.3">
      <c r="A73" s="7">
        <v>72</v>
      </c>
      <c r="B73" s="7" t="s">
        <v>23</v>
      </c>
      <c r="C73" s="7" t="s">
        <v>921</v>
      </c>
      <c r="D73" s="7">
        <v>50126260</v>
      </c>
      <c r="E73" s="7">
        <v>65</v>
      </c>
      <c r="F73" s="7">
        <v>95</v>
      </c>
      <c r="G73" s="7">
        <v>71</v>
      </c>
      <c r="H73" s="7" t="s">
        <v>86</v>
      </c>
      <c r="I73" s="7" t="s">
        <v>109</v>
      </c>
      <c r="J73" s="7" t="s">
        <v>130</v>
      </c>
      <c r="K73" s="46">
        <v>0.80694444444444446</v>
      </c>
      <c r="L73" s="7" t="s">
        <v>109</v>
      </c>
      <c r="M73" s="7" t="s">
        <v>109</v>
      </c>
      <c r="N73" s="7" t="s">
        <v>109</v>
      </c>
      <c r="O73" s="7" t="s">
        <v>61</v>
      </c>
      <c r="P73" s="7" t="s">
        <v>131</v>
      </c>
      <c r="Q73" s="7" t="s">
        <v>86</v>
      </c>
      <c r="R73" s="7" t="s">
        <v>62</v>
      </c>
      <c r="S73" s="7" t="s">
        <v>123</v>
      </c>
      <c r="T73" s="7" t="s">
        <v>424</v>
      </c>
      <c r="U73" s="111">
        <f t="shared" si="2"/>
        <v>1.0923076923076922</v>
      </c>
      <c r="V73" s="7" t="s">
        <v>1941</v>
      </c>
    </row>
    <row r="74" spans="1:22" x14ac:dyDescent="0.3">
      <c r="A74" s="7">
        <v>73</v>
      </c>
      <c r="B74" s="7" t="s">
        <v>23</v>
      </c>
      <c r="C74" s="7" t="s">
        <v>925</v>
      </c>
      <c r="D74" s="7">
        <v>50126261</v>
      </c>
      <c r="E74" s="7">
        <v>65</v>
      </c>
      <c r="F74" s="7">
        <v>77</v>
      </c>
      <c r="G74" s="7">
        <v>64</v>
      </c>
      <c r="H74" s="7" t="s">
        <v>89</v>
      </c>
      <c r="I74" s="7" t="s">
        <v>109</v>
      </c>
      <c r="J74" s="7" t="s">
        <v>130</v>
      </c>
      <c r="K74" s="46">
        <v>0.84652777777777777</v>
      </c>
      <c r="L74" s="7" t="s">
        <v>109</v>
      </c>
      <c r="M74" s="7" t="s">
        <v>109</v>
      </c>
      <c r="N74" s="7" t="s">
        <v>109</v>
      </c>
      <c r="O74" s="7" t="s">
        <v>61</v>
      </c>
      <c r="P74" s="7" t="s">
        <v>131</v>
      </c>
      <c r="Q74" s="7" t="s">
        <v>89</v>
      </c>
      <c r="R74" s="7" t="s">
        <v>62</v>
      </c>
      <c r="S74" s="7" t="s">
        <v>123</v>
      </c>
      <c r="T74" s="7" t="s">
        <v>424</v>
      </c>
      <c r="U74" s="111">
        <f t="shared" si="2"/>
        <v>0.98461538461538467</v>
      </c>
      <c r="V74" s="7" t="s">
        <v>1941</v>
      </c>
    </row>
    <row r="75" spans="1:22" x14ac:dyDescent="0.3">
      <c r="A75" s="7">
        <v>74</v>
      </c>
      <c r="B75" s="7" t="s">
        <v>23</v>
      </c>
      <c r="C75" s="7" t="s">
        <v>934</v>
      </c>
      <c r="D75" s="7">
        <v>50126262</v>
      </c>
      <c r="E75" s="7">
        <v>65</v>
      </c>
      <c r="F75" s="7">
        <v>94</v>
      </c>
      <c r="G75" s="7">
        <v>68</v>
      </c>
      <c r="H75" s="7" t="s">
        <v>179</v>
      </c>
      <c r="I75" s="7" t="s">
        <v>109</v>
      </c>
      <c r="J75" s="7" t="s">
        <v>130</v>
      </c>
      <c r="K75" s="46">
        <v>0.75347222222222221</v>
      </c>
      <c r="L75" s="7" t="s">
        <v>109</v>
      </c>
      <c r="M75" s="7" t="s">
        <v>109</v>
      </c>
      <c r="N75" s="7" t="s">
        <v>109</v>
      </c>
      <c r="O75" s="7" t="s">
        <v>61</v>
      </c>
      <c r="P75" s="7" t="s">
        <v>131</v>
      </c>
      <c r="Q75" s="7" t="s">
        <v>179</v>
      </c>
      <c r="R75" s="7" t="s">
        <v>62</v>
      </c>
      <c r="S75" s="7" t="s">
        <v>123</v>
      </c>
      <c r="T75" s="7" t="s">
        <v>424</v>
      </c>
      <c r="U75" s="111">
        <f t="shared" si="2"/>
        <v>1.0461538461538462</v>
      </c>
      <c r="V75" s="7" t="s">
        <v>1941</v>
      </c>
    </row>
    <row r="76" spans="1:22" x14ac:dyDescent="0.3">
      <c r="A76" s="7">
        <v>75</v>
      </c>
      <c r="B76" s="7" t="s">
        <v>23</v>
      </c>
      <c r="C76" s="7" t="s">
        <v>848</v>
      </c>
      <c r="D76" s="7">
        <v>50126212</v>
      </c>
      <c r="E76" s="7">
        <v>50</v>
      </c>
      <c r="F76" s="7">
        <v>54</v>
      </c>
      <c r="G76" s="7">
        <v>42</v>
      </c>
      <c r="H76" s="7" t="s">
        <v>84</v>
      </c>
      <c r="I76" s="7" t="s">
        <v>109</v>
      </c>
      <c r="J76" s="7" t="s">
        <v>130</v>
      </c>
      <c r="K76" s="7" t="s">
        <v>109</v>
      </c>
      <c r="L76" s="11">
        <v>0.11041666666666666</v>
      </c>
      <c r="M76" s="7" t="s">
        <v>109</v>
      </c>
      <c r="N76" s="7" t="s">
        <v>109</v>
      </c>
      <c r="O76" s="7" t="s">
        <v>61</v>
      </c>
      <c r="P76" s="7" t="s">
        <v>131</v>
      </c>
      <c r="Q76" s="7" t="s">
        <v>1141</v>
      </c>
      <c r="R76" s="7" t="s">
        <v>62</v>
      </c>
      <c r="S76" s="7" t="s">
        <v>123</v>
      </c>
      <c r="T76" s="7" t="s">
        <v>424</v>
      </c>
      <c r="U76" s="111">
        <f t="shared" si="2"/>
        <v>0.84</v>
      </c>
      <c r="V76" s="7" t="s">
        <v>109</v>
      </c>
    </row>
    <row r="77" spans="1:22" x14ac:dyDescent="0.3">
      <c r="A77" s="7">
        <v>76</v>
      </c>
      <c r="B77" s="7" t="s">
        <v>23</v>
      </c>
      <c r="C77" s="7" t="s">
        <v>1746</v>
      </c>
      <c r="D77" s="7">
        <v>50126397</v>
      </c>
      <c r="E77" s="7">
        <v>50</v>
      </c>
      <c r="F77" s="7">
        <v>88</v>
      </c>
      <c r="G77" s="7">
        <v>44</v>
      </c>
      <c r="H77" s="7" t="s">
        <v>70</v>
      </c>
      <c r="I77" s="7" t="s">
        <v>109</v>
      </c>
      <c r="J77" s="7" t="s">
        <v>130</v>
      </c>
      <c r="K77" s="46">
        <v>0.97222222222222221</v>
      </c>
      <c r="L77" s="7" t="s">
        <v>109</v>
      </c>
      <c r="M77" s="7" t="s">
        <v>109</v>
      </c>
      <c r="N77" s="7" t="s">
        <v>2818</v>
      </c>
      <c r="O77" s="7" t="s">
        <v>61</v>
      </c>
      <c r="P77" s="7" t="s">
        <v>131</v>
      </c>
      <c r="Q77" s="7" t="s">
        <v>70</v>
      </c>
      <c r="R77" s="7" t="s">
        <v>62</v>
      </c>
      <c r="S77" s="7" t="s">
        <v>123</v>
      </c>
      <c r="T77" s="7" t="s">
        <v>310</v>
      </c>
      <c r="U77" s="111">
        <f t="shared" si="2"/>
        <v>0.88</v>
      </c>
      <c r="V77" s="7" t="s">
        <v>2862</v>
      </c>
    </row>
    <row r="78" spans="1:22" x14ac:dyDescent="0.3">
      <c r="A78" s="7">
        <v>77</v>
      </c>
      <c r="B78" s="7" t="s">
        <v>23</v>
      </c>
      <c r="C78" s="7" t="s">
        <v>1748</v>
      </c>
      <c r="D78" s="7">
        <v>50126396</v>
      </c>
      <c r="E78" s="7">
        <v>100</v>
      </c>
      <c r="F78" s="7">
        <v>77</v>
      </c>
      <c r="G78" s="7">
        <v>7</v>
      </c>
      <c r="H78" s="7" t="s">
        <v>67</v>
      </c>
      <c r="I78" s="7" t="s">
        <v>109</v>
      </c>
      <c r="J78" s="7" t="s">
        <v>130</v>
      </c>
      <c r="K78" s="46">
        <v>3.6805555555555557E-2</v>
      </c>
      <c r="L78" s="7" t="s">
        <v>109</v>
      </c>
      <c r="M78" s="7" t="s">
        <v>109</v>
      </c>
      <c r="N78" s="7" t="s">
        <v>2818</v>
      </c>
      <c r="O78" s="7" t="s">
        <v>61</v>
      </c>
      <c r="P78" s="7" t="s">
        <v>131</v>
      </c>
      <c r="Q78" s="7" t="s">
        <v>67</v>
      </c>
      <c r="R78" s="7" t="s">
        <v>62</v>
      </c>
      <c r="S78" s="7" t="s">
        <v>123</v>
      </c>
      <c r="T78" s="7" t="s">
        <v>310</v>
      </c>
      <c r="U78" s="111">
        <f t="shared" si="2"/>
        <v>7.0000000000000007E-2</v>
      </c>
      <c r="V78" s="7" t="s">
        <v>889</v>
      </c>
    </row>
    <row r="79" spans="1:22" x14ac:dyDescent="0.3">
      <c r="A79" s="7">
        <v>78</v>
      </c>
      <c r="B79" s="7" t="s">
        <v>23</v>
      </c>
      <c r="C79" s="7" t="s">
        <v>1749</v>
      </c>
      <c r="D79" s="7">
        <v>50126392</v>
      </c>
      <c r="E79" s="7">
        <v>100</v>
      </c>
      <c r="F79" s="7">
        <v>162</v>
      </c>
      <c r="G79" s="7">
        <v>72</v>
      </c>
      <c r="H79" s="7" t="s">
        <v>64</v>
      </c>
      <c r="I79" s="7" t="s">
        <v>109</v>
      </c>
      <c r="J79" s="7" t="s">
        <v>130</v>
      </c>
      <c r="K79" s="46">
        <v>0.87986111111111109</v>
      </c>
      <c r="L79" s="7" t="s">
        <v>109</v>
      </c>
      <c r="M79" s="7" t="s">
        <v>109</v>
      </c>
      <c r="N79" s="7" t="s">
        <v>2818</v>
      </c>
      <c r="O79" s="7" t="s">
        <v>61</v>
      </c>
      <c r="P79" s="7" t="s">
        <v>131</v>
      </c>
      <c r="Q79" s="7" t="s">
        <v>64</v>
      </c>
      <c r="R79" s="7" t="s">
        <v>62</v>
      </c>
      <c r="S79" s="7" t="s">
        <v>123</v>
      </c>
      <c r="T79" s="7" t="s">
        <v>310</v>
      </c>
      <c r="U79" s="111">
        <f t="shared" si="2"/>
        <v>0.72</v>
      </c>
      <c r="V79" s="7" t="s">
        <v>2862</v>
      </c>
    </row>
    <row r="80" spans="1:22" x14ac:dyDescent="0.3">
      <c r="A80" s="7">
        <v>79</v>
      </c>
      <c r="B80" s="7" t="s">
        <v>23</v>
      </c>
      <c r="C80" s="7" t="s">
        <v>1750</v>
      </c>
      <c r="D80" s="7">
        <v>50126393</v>
      </c>
      <c r="E80" s="7">
        <v>250</v>
      </c>
      <c r="F80" s="7">
        <v>384</v>
      </c>
      <c r="G80" s="7">
        <v>98</v>
      </c>
      <c r="H80" s="7" t="s">
        <v>2819</v>
      </c>
      <c r="I80" s="7" t="s">
        <v>109</v>
      </c>
      <c r="J80" s="7" t="s">
        <v>130</v>
      </c>
      <c r="K80" s="46">
        <v>2.2222222222222223E-2</v>
      </c>
      <c r="L80" s="7" t="s">
        <v>109</v>
      </c>
      <c r="M80" s="7" t="s">
        <v>109</v>
      </c>
      <c r="N80" s="7" t="s">
        <v>2818</v>
      </c>
      <c r="O80" s="7" t="s">
        <v>61</v>
      </c>
      <c r="P80" s="7" t="s">
        <v>131</v>
      </c>
      <c r="Q80" s="7" t="s">
        <v>527</v>
      </c>
      <c r="R80" s="7" t="s">
        <v>62</v>
      </c>
      <c r="S80" s="7" t="s">
        <v>123</v>
      </c>
      <c r="T80" s="7" t="s">
        <v>310</v>
      </c>
      <c r="U80" s="111">
        <f t="shared" si="2"/>
        <v>0.39200000000000002</v>
      </c>
      <c r="V80" s="7" t="s">
        <v>2862</v>
      </c>
    </row>
    <row r="81" spans="1:22" x14ac:dyDescent="0.3">
      <c r="A81" s="7">
        <v>80</v>
      </c>
      <c r="B81" s="7" t="s">
        <v>23</v>
      </c>
      <c r="C81" s="7" t="s">
        <v>1751</v>
      </c>
      <c r="D81" s="7">
        <v>50126399</v>
      </c>
      <c r="E81" s="7">
        <v>50</v>
      </c>
      <c r="F81" s="7">
        <v>100</v>
      </c>
      <c r="G81" s="7">
        <v>23</v>
      </c>
      <c r="H81" s="7" t="s">
        <v>184</v>
      </c>
      <c r="I81" s="7" t="s">
        <v>109</v>
      </c>
      <c r="J81" s="7" t="s">
        <v>130</v>
      </c>
      <c r="K81" s="46">
        <v>0.96180555555555558</v>
      </c>
      <c r="L81" s="7" t="s">
        <v>109</v>
      </c>
      <c r="M81" s="7" t="s">
        <v>109</v>
      </c>
      <c r="N81" s="7" t="s">
        <v>2818</v>
      </c>
      <c r="O81" s="7" t="s">
        <v>61</v>
      </c>
      <c r="P81" s="7" t="s">
        <v>131</v>
      </c>
      <c r="Q81" s="7" t="s">
        <v>520</v>
      </c>
      <c r="R81" s="7" t="s">
        <v>62</v>
      </c>
      <c r="S81" s="7" t="s">
        <v>123</v>
      </c>
      <c r="T81" s="7" t="s">
        <v>310</v>
      </c>
      <c r="U81" s="111">
        <f t="shared" si="2"/>
        <v>0.46</v>
      </c>
      <c r="V81" s="7" t="s">
        <v>2862</v>
      </c>
    </row>
    <row r="82" spans="1:22" x14ac:dyDescent="0.3">
      <c r="A82" s="7">
        <v>91</v>
      </c>
      <c r="B82" s="7" t="s">
        <v>143</v>
      </c>
      <c r="C82" s="7" t="s">
        <v>2825</v>
      </c>
      <c r="D82" s="7">
        <v>10326006</v>
      </c>
      <c r="E82" s="7">
        <v>50</v>
      </c>
      <c r="F82" s="7">
        <v>133</v>
      </c>
      <c r="G82" s="7">
        <v>8</v>
      </c>
      <c r="H82" s="7" t="s">
        <v>214</v>
      </c>
      <c r="I82" s="7" t="s">
        <v>209</v>
      </c>
      <c r="J82" s="7" t="s">
        <v>130</v>
      </c>
      <c r="K82" s="46">
        <v>3.9583333333333331E-2</v>
      </c>
      <c r="L82" s="46">
        <v>0.05</v>
      </c>
      <c r="M82" s="7" t="s">
        <v>109</v>
      </c>
      <c r="N82" s="7" t="s">
        <v>109</v>
      </c>
      <c r="O82" s="7" t="s">
        <v>61</v>
      </c>
      <c r="P82" s="7" t="s">
        <v>131</v>
      </c>
      <c r="Q82" s="7" t="s">
        <v>209</v>
      </c>
      <c r="R82" s="7" t="s">
        <v>62</v>
      </c>
      <c r="S82" s="7" t="s">
        <v>123</v>
      </c>
      <c r="T82" s="7" t="s">
        <v>182</v>
      </c>
      <c r="U82" s="111">
        <f t="shared" si="2"/>
        <v>0.16</v>
      </c>
      <c r="V82" s="7" t="s">
        <v>889</v>
      </c>
    </row>
    <row r="83" spans="1:22" x14ac:dyDescent="0.3">
      <c r="A83" s="7">
        <v>82</v>
      </c>
      <c r="B83" s="7" t="s">
        <v>23</v>
      </c>
      <c r="C83" s="7" t="s">
        <v>1754</v>
      </c>
      <c r="D83" s="7">
        <v>50126395</v>
      </c>
      <c r="E83" s="7">
        <v>50</v>
      </c>
      <c r="F83" s="7">
        <v>15</v>
      </c>
      <c r="G83" s="7">
        <v>67</v>
      </c>
      <c r="H83" s="7" t="s">
        <v>241</v>
      </c>
      <c r="I83" s="7" t="s">
        <v>109</v>
      </c>
      <c r="J83" s="7" t="s">
        <v>130</v>
      </c>
      <c r="K83" s="46">
        <v>0.93194444444444446</v>
      </c>
      <c r="L83" s="7" t="s">
        <v>109</v>
      </c>
      <c r="M83" s="7" t="s">
        <v>109</v>
      </c>
      <c r="N83" s="7" t="s">
        <v>2818</v>
      </c>
      <c r="O83" s="7" t="s">
        <v>61</v>
      </c>
      <c r="P83" s="7" t="s">
        <v>131</v>
      </c>
      <c r="Q83" s="7" t="s">
        <v>241</v>
      </c>
      <c r="R83" s="7" t="s">
        <v>62</v>
      </c>
      <c r="S83" s="7" t="s">
        <v>123</v>
      </c>
      <c r="T83" s="7" t="s">
        <v>310</v>
      </c>
      <c r="U83" s="111">
        <f t="shared" si="2"/>
        <v>1.34</v>
      </c>
      <c r="V83" s="7" t="s">
        <v>2008</v>
      </c>
    </row>
    <row r="84" spans="1:22" x14ac:dyDescent="0.3">
      <c r="A84" s="7">
        <v>83</v>
      </c>
      <c r="B84" s="7" t="s">
        <v>23</v>
      </c>
      <c r="C84" s="7" t="s">
        <v>1755</v>
      </c>
      <c r="D84" s="7">
        <v>50126394</v>
      </c>
      <c r="E84" s="7">
        <v>100</v>
      </c>
      <c r="F84" s="7">
        <v>191</v>
      </c>
      <c r="G84" s="7">
        <v>89</v>
      </c>
      <c r="H84" s="7" t="s">
        <v>68</v>
      </c>
      <c r="I84" s="7" t="s">
        <v>109</v>
      </c>
      <c r="J84" s="7" t="s">
        <v>130</v>
      </c>
      <c r="K84" s="46">
        <v>0.98888888888888893</v>
      </c>
      <c r="L84" s="7" t="s">
        <v>109</v>
      </c>
      <c r="M84" s="7" t="s">
        <v>109</v>
      </c>
      <c r="N84" s="7" t="s">
        <v>2818</v>
      </c>
      <c r="O84" s="7" t="s">
        <v>61</v>
      </c>
      <c r="P84" s="7" t="s">
        <v>131</v>
      </c>
      <c r="Q84" s="7" t="s">
        <v>68</v>
      </c>
      <c r="R84" s="7" t="s">
        <v>62</v>
      </c>
      <c r="S84" s="7" t="s">
        <v>123</v>
      </c>
      <c r="T84" s="7" t="s">
        <v>310</v>
      </c>
      <c r="U84" s="111">
        <f t="shared" si="2"/>
        <v>0.89</v>
      </c>
      <c r="V84" s="7" t="s">
        <v>2862</v>
      </c>
    </row>
    <row r="85" spans="1:22" x14ac:dyDescent="0.3">
      <c r="A85" s="7">
        <v>84</v>
      </c>
      <c r="B85" s="7" t="s">
        <v>23</v>
      </c>
      <c r="C85" s="7" t="s">
        <v>648</v>
      </c>
      <c r="D85" s="7">
        <v>50126036</v>
      </c>
      <c r="E85" s="7">
        <v>100</v>
      </c>
      <c r="F85" s="7">
        <v>204</v>
      </c>
      <c r="G85" s="7">
        <v>41</v>
      </c>
      <c r="H85" s="7" t="s">
        <v>2820</v>
      </c>
      <c r="I85" s="7" t="s">
        <v>230</v>
      </c>
      <c r="J85" s="7" t="s">
        <v>130</v>
      </c>
      <c r="K85" s="46">
        <v>0.8208333333333333</v>
      </c>
      <c r="L85" s="46">
        <v>0.85624999999999996</v>
      </c>
      <c r="M85" s="7" t="s">
        <v>109</v>
      </c>
      <c r="N85" s="7" t="s">
        <v>109</v>
      </c>
      <c r="O85" s="7" t="s">
        <v>61</v>
      </c>
      <c r="P85" s="7" t="s">
        <v>131</v>
      </c>
      <c r="Q85" s="7" t="s">
        <v>154</v>
      </c>
      <c r="R85" s="7" t="s">
        <v>62</v>
      </c>
      <c r="S85" s="7" t="s">
        <v>123</v>
      </c>
      <c r="T85" s="7" t="s">
        <v>480</v>
      </c>
      <c r="U85" s="111">
        <f t="shared" si="2"/>
        <v>0.41</v>
      </c>
      <c r="V85" s="7" t="s">
        <v>2862</v>
      </c>
    </row>
    <row r="86" spans="1:22" x14ac:dyDescent="0.3">
      <c r="A86" s="7">
        <v>85</v>
      </c>
      <c r="B86" s="7" t="s">
        <v>23</v>
      </c>
      <c r="C86" s="7" t="s">
        <v>654</v>
      </c>
      <c r="D86" s="7">
        <v>50126032</v>
      </c>
      <c r="E86" s="7">
        <v>100</v>
      </c>
      <c r="F86" s="7">
        <v>191</v>
      </c>
      <c r="G86" s="7">
        <v>85</v>
      </c>
      <c r="H86" s="7" t="s">
        <v>1174</v>
      </c>
      <c r="I86" s="7" t="s">
        <v>154</v>
      </c>
      <c r="J86" s="7" t="s">
        <v>130</v>
      </c>
      <c r="K86" s="46">
        <v>0.86736111111111114</v>
      </c>
      <c r="L86" s="46">
        <v>0.91874999999999996</v>
      </c>
      <c r="M86" s="7" t="s">
        <v>109</v>
      </c>
      <c r="N86" s="7" t="s">
        <v>109</v>
      </c>
      <c r="O86" s="7" t="s">
        <v>61</v>
      </c>
      <c r="P86" s="7" t="s">
        <v>131</v>
      </c>
      <c r="Q86" s="7" t="s">
        <v>154</v>
      </c>
      <c r="R86" s="7" t="s">
        <v>62</v>
      </c>
      <c r="S86" s="7" t="s">
        <v>123</v>
      </c>
      <c r="T86" s="7" t="s">
        <v>480</v>
      </c>
      <c r="U86" s="111">
        <f t="shared" si="2"/>
        <v>0.85</v>
      </c>
      <c r="V86" s="7" t="s">
        <v>2862</v>
      </c>
    </row>
    <row r="87" spans="1:22" x14ac:dyDescent="0.3">
      <c r="A87" s="7">
        <v>86</v>
      </c>
      <c r="B87" s="7" t="s">
        <v>143</v>
      </c>
      <c r="C87" s="7" t="s">
        <v>2428</v>
      </c>
      <c r="D87" s="7">
        <v>10226044</v>
      </c>
      <c r="E87" s="7">
        <v>75</v>
      </c>
      <c r="F87" s="7">
        <v>141</v>
      </c>
      <c r="G87" s="7">
        <v>77</v>
      </c>
      <c r="H87" s="7" t="s">
        <v>82</v>
      </c>
      <c r="I87" s="7" t="s">
        <v>86</v>
      </c>
      <c r="J87" s="7" t="s">
        <v>130</v>
      </c>
      <c r="K87" s="46">
        <v>0.86041666666666672</v>
      </c>
      <c r="L87" s="46">
        <v>0.92777777777777781</v>
      </c>
      <c r="M87" s="7" t="s">
        <v>109</v>
      </c>
      <c r="N87" s="7" t="s">
        <v>109</v>
      </c>
      <c r="O87" s="7" t="s">
        <v>61</v>
      </c>
      <c r="P87" s="7" t="s">
        <v>131</v>
      </c>
      <c r="Q87" s="7" t="s">
        <v>86</v>
      </c>
      <c r="R87" s="7" t="s">
        <v>2860</v>
      </c>
      <c r="S87" s="7" t="s">
        <v>123</v>
      </c>
      <c r="T87" s="7" t="s">
        <v>609</v>
      </c>
      <c r="U87" s="111">
        <f t="shared" si="2"/>
        <v>1.0266666666666666</v>
      </c>
      <c r="V87" s="7" t="s">
        <v>1941</v>
      </c>
    </row>
    <row r="88" spans="1:22" x14ac:dyDescent="0.3">
      <c r="A88" s="7">
        <v>87</v>
      </c>
      <c r="B88" s="7" t="s">
        <v>143</v>
      </c>
      <c r="C88" s="7" t="s">
        <v>2744</v>
      </c>
      <c r="D88" s="7">
        <v>10226070</v>
      </c>
      <c r="E88" s="7">
        <v>86</v>
      </c>
      <c r="F88" s="7">
        <v>100</v>
      </c>
      <c r="G88" s="7">
        <v>81</v>
      </c>
      <c r="H88" s="7" t="s">
        <v>527</v>
      </c>
      <c r="I88" s="7" t="s">
        <v>179</v>
      </c>
      <c r="J88" s="7" t="s">
        <v>130</v>
      </c>
      <c r="K88" s="46">
        <v>0.84722222222222221</v>
      </c>
      <c r="L88" s="46">
        <v>0.90694444444444444</v>
      </c>
      <c r="M88" s="7" t="s">
        <v>109</v>
      </c>
      <c r="N88" s="7" t="s">
        <v>109</v>
      </c>
      <c r="O88" s="7" t="s">
        <v>61</v>
      </c>
      <c r="P88" s="7" t="s">
        <v>131</v>
      </c>
      <c r="Q88" s="7" t="s">
        <v>179</v>
      </c>
      <c r="R88" s="7" t="s">
        <v>2860</v>
      </c>
      <c r="S88" s="7" t="s">
        <v>123</v>
      </c>
      <c r="T88" s="7" t="s">
        <v>325</v>
      </c>
      <c r="U88" s="111">
        <f t="shared" si="2"/>
        <v>0.94186046511627908</v>
      </c>
      <c r="V88" s="7" t="s">
        <v>1941</v>
      </c>
    </row>
    <row r="89" spans="1:22" x14ac:dyDescent="0.3">
      <c r="A89" s="7">
        <v>88</v>
      </c>
      <c r="B89" s="7" t="s">
        <v>143</v>
      </c>
      <c r="C89" s="7" t="s">
        <v>2256</v>
      </c>
      <c r="D89" s="7">
        <v>10226016</v>
      </c>
      <c r="E89" s="7">
        <v>200</v>
      </c>
      <c r="F89" s="7">
        <v>362</v>
      </c>
      <c r="G89" s="7">
        <v>155</v>
      </c>
      <c r="H89" s="7" t="s">
        <v>2821</v>
      </c>
      <c r="I89" s="7" t="s">
        <v>2822</v>
      </c>
      <c r="J89" s="7" t="s">
        <v>130</v>
      </c>
      <c r="K89" s="46">
        <v>0.875</v>
      </c>
      <c r="L89" s="46">
        <v>0.90208333333333335</v>
      </c>
      <c r="M89" s="7" t="s">
        <v>109</v>
      </c>
      <c r="N89" s="7" t="s">
        <v>109</v>
      </c>
      <c r="O89" s="7" t="s">
        <v>61</v>
      </c>
      <c r="P89" s="7" t="s">
        <v>131</v>
      </c>
      <c r="Q89" s="7" t="s">
        <v>88</v>
      </c>
      <c r="R89" s="7" t="s">
        <v>2860</v>
      </c>
      <c r="S89" s="7" t="s">
        <v>123</v>
      </c>
      <c r="T89" s="7" t="s">
        <v>2253</v>
      </c>
      <c r="U89" s="111">
        <f t="shared" si="2"/>
        <v>0.77500000000000002</v>
      </c>
      <c r="V89" s="7" t="s">
        <v>2862</v>
      </c>
    </row>
    <row r="90" spans="1:22" x14ac:dyDescent="0.3">
      <c r="A90" s="7">
        <v>89</v>
      </c>
      <c r="B90" s="7" t="s">
        <v>143</v>
      </c>
      <c r="C90" s="7" t="s">
        <v>2745</v>
      </c>
      <c r="D90" s="7">
        <v>10226071</v>
      </c>
      <c r="E90" s="7">
        <v>150</v>
      </c>
      <c r="F90" s="7">
        <v>211</v>
      </c>
      <c r="G90" s="7">
        <v>35</v>
      </c>
      <c r="H90" s="7" t="s">
        <v>1174</v>
      </c>
      <c r="I90" s="7" t="s">
        <v>2823</v>
      </c>
      <c r="J90" s="7" t="s">
        <v>130</v>
      </c>
      <c r="K90" s="46">
        <v>0.99097222222222225</v>
      </c>
      <c r="L90" s="46">
        <v>3.3333333333333333E-2</v>
      </c>
      <c r="M90" s="7" t="s">
        <v>109</v>
      </c>
      <c r="N90" s="7" t="s">
        <v>109</v>
      </c>
      <c r="O90" s="7" t="s">
        <v>61</v>
      </c>
      <c r="P90" s="7" t="s">
        <v>131</v>
      </c>
      <c r="Q90" s="7" t="s">
        <v>154</v>
      </c>
      <c r="R90" s="7" t="s">
        <v>2860</v>
      </c>
      <c r="S90" s="7" t="s">
        <v>123</v>
      </c>
      <c r="T90" s="7" t="s">
        <v>182</v>
      </c>
      <c r="U90" s="111">
        <f t="shared" si="2"/>
        <v>0.23333333333333334</v>
      </c>
      <c r="V90" s="7" t="s">
        <v>2862</v>
      </c>
    </row>
    <row r="91" spans="1:22" x14ac:dyDescent="0.3">
      <c r="A91" s="7">
        <v>90</v>
      </c>
      <c r="B91" s="7" t="s">
        <v>143</v>
      </c>
      <c r="C91" s="7" t="s">
        <v>2824</v>
      </c>
      <c r="D91" s="7">
        <v>10226015</v>
      </c>
      <c r="E91" s="7">
        <v>20</v>
      </c>
      <c r="F91" s="7">
        <v>51</v>
      </c>
      <c r="G91" s="7">
        <v>14</v>
      </c>
      <c r="H91" s="7" t="s">
        <v>70</v>
      </c>
      <c r="I91" s="7" t="s">
        <v>154</v>
      </c>
      <c r="J91" s="7" t="s">
        <v>130</v>
      </c>
      <c r="K91" s="46">
        <v>0.70902777777777781</v>
      </c>
      <c r="L91" s="46">
        <v>0.74444444444444446</v>
      </c>
      <c r="M91" s="7" t="s">
        <v>109</v>
      </c>
      <c r="N91" s="7" t="s">
        <v>109</v>
      </c>
      <c r="O91" s="7" t="s">
        <v>61</v>
      </c>
      <c r="P91" s="7" t="s">
        <v>131</v>
      </c>
      <c r="Q91" s="7" t="s">
        <v>154</v>
      </c>
      <c r="R91" s="7" t="s">
        <v>2860</v>
      </c>
      <c r="S91" s="7" t="s">
        <v>123</v>
      </c>
      <c r="T91" s="7" t="s">
        <v>2253</v>
      </c>
      <c r="U91" s="111">
        <f t="shared" si="2"/>
        <v>0.7</v>
      </c>
      <c r="V91" s="7" t="s">
        <v>889</v>
      </c>
    </row>
    <row r="92" spans="1:22" x14ac:dyDescent="0.3">
      <c r="A92" s="7">
        <v>126</v>
      </c>
      <c r="B92" s="7" t="s">
        <v>23</v>
      </c>
      <c r="C92" s="7" t="s">
        <v>2433</v>
      </c>
      <c r="D92" s="7">
        <v>50226090</v>
      </c>
      <c r="E92" s="7">
        <v>50</v>
      </c>
      <c r="F92" s="7">
        <v>71</v>
      </c>
      <c r="G92" s="7">
        <v>19</v>
      </c>
      <c r="H92" s="7" t="s">
        <v>196</v>
      </c>
      <c r="I92" s="7" t="s">
        <v>109</v>
      </c>
      <c r="J92" s="7" t="s">
        <v>130</v>
      </c>
      <c r="K92" s="46">
        <v>5.9722222222222225E-2</v>
      </c>
      <c r="L92" s="7" t="s">
        <v>109</v>
      </c>
      <c r="M92" s="7" t="s">
        <v>109</v>
      </c>
      <c r="N92" s="7" t="s">
        <v>109</v>
      </c>
      <c r="O92" s="7" t="s">
        <v>61</v>
      </c>
      <c r="P92" s="7" t="s">
        <v>131</v>
      </c>
      <c r="Q92" s="7" t="s">
        <v>196</v>
      </c>
      <c r="R92" s="7" t="s">
        <v>62</v>
      </c>
      <c r="S92" s="7" t="s">
        <v>123</v>
      </c>
      <c r="T92" s="7" t="s">
        <v>1365</v>
      </c>
      <c r="U92" s="111">
        <f t="shared" si="2"/>
        <v>0.38</v>
      </c>
      <c r="V92" s="7" t="s">
        <v>889</v>
      </c>
    </row>
    <row r="93" spans="1:22" x14ac:dyDescent="0.3">
      <c r="A93" s="33">
        <v>92</v>
      </c>
      <c r="B93" s="7" t="s">
        <v>143</v>
      </c>
      <c r="C93" s="7" t="s">
        <v>2826</v>
      </c>
      <c r="D93" s="7">
        <v>10326011</v>
      </c>
      <c r="E93" s="7">
        <v>55</v>
      </c>
      <c r="F93" s="7">
        <v>80</v>
      </c>
      <c r="G93" s="7">
        <v>58</v>
      </c>
      <c r="H93" s="7" t="s">
        <v>67</v>
      </c>
      <c r="I93" s="7" t="s">
        <v>89</v>
      </c>
      <c r="J93" s="7" t="s">
        <v>130</v>
      </c>
      <c r="K93" s="46">
        <v>0.75624999999999998</v>
      </c>
      <c r="L93" s="46">
        <v>0.84027777777777779</v>
      </c>
      <c r="M93" s="7" t="s">
        <v>109</v>
      </c>
      <c r="N93" s="7" t="s">
        <v>109</v>
      </c>
      <c r="O93" s="7" t="s">
        <v>61</v>
      </c>
      <c r="P93" s="7" t="s">
        <v>131</v>
      </c>
      <c r="Q93" s="7" t="s">
        <v>89</v>
      </c>
      <c r="R93" s="7" t="s">
        <v>62</v>
      </c>
      <c r="S93" s="7" t="s">
        <v>123</v>
      </c>
      <c r="T93" s="7" t="s">
        <v>398</v>
      </c>
      <c r="U93" s="111">
        <f t="shared" si="2"/>
        <v>1.0545454545454545</v>
      </c>
      <c r="V93" s="7" t="s">
        <v>1941</v>
      </c>
    </row>
    <row r="94" spans="1:22" x14ac:dyDescent="0.3">
      <c r="A94" s="33">
        <v>93</v>
      </c>
      <c r="B94" s="7" t="s">
        <v>143</v>
      </c>
      <c r="C94" s="7" t="s">
        <v>2827</v>
      </c>
      <c r="D94" s="7">
        <v>10326017</v>
      </c>
      <c r="E94" s="7">
        <v>100</v>
      </c>
      <c r="F94" s="7">
        <v>185</v>
      </c>
      <c r="G94" s="7">
        <v>97</v>
      </c>
      <c r="H94" s="7" t="s">
        <v>1019</v>
      </c>
      <c r="I94" s="7" t="s">
        <v>750</v>
      </c>
      <c r="J94" s="7" t="s">
        <v>130</v>
      </c>
      <c r="K94" s="46">
        <v>1.8749999999999999E-2</v>
      </c>
      <c r="L94" s="46">
        <v>4.3055555555555555E-2</v>
      </c>
      <c r="M94" s="7" t="s">
        <v>109</v>
      </c>
      <c r="N94" s="7" t="s">
        <v>109</v>
      </c>
      <c r="O94" s="7" t="s">
        <v>61</v>
      </c>
      <c r="P94" s="7" t="s">
        <v>131</v>
      </c>
      <c r="Q94" s="7" t="s">
        <v>87</v>
      </c>
      <c r="R94" s="7" t="s">
        <v>62</v>
      </c>
      <c r="S94" s="7" t="s">
        <v>123</v>
      </c>
      <c r="T94" s="7" t="s">
        <v>398</v>
      </c>
      <c r="U94" s="111">
        <f t="shared" si="2"/>
        <v>0.97</v>
      </c>
      <c r="V94" s="7" t="s">
        <v>1941</v>
      </c>
    </row>
    <row r="95" spans="1:22" x14ac:dyDescent="0.3">
      <c r="A95" s="33">
        <v>94</v>
      </c>
      <c r="B95" s="7" t="s">
        <v>143</v>
      </c>
      <c r="C95" s="7" t="s">
        <v>2828</v>
      </c>
      <c r="D95" s="7">
        <v>10326018</v>
      </c>
      <c r="E95" s="7">
        <v>40</v>
      </c>
      <c r="F95" s="7">
        <v>90</v>
      </c>
      <c r="G95" s="7">
        <v>36</v>
      </c>
      <c r="H95" s="7" t="s">
        <v>184</v>
      </c>
      <c r="I95" s="7" t="s">
        <v>179</v>
      </c>
      <c r="J95" s="7" t="s">
        <v>130</v>
      </c>
      <c r="K95" s="46">
        <v>0.8979166666666667</v>
      </c>
      <c r="L95" s="46">
        <v>0.92847222222222225</v>
      </c>
      <c r="M95" s="7" t="s">
        <v>109</v>
      </c>
      <c r="N95" s="7" t="s">
        <v>109</v>
      </c>
      <c r="O95" s="7" t="s">
        <v>61</v>
      </c>
      <c r="P95" s="7" t="s">
        <v>131</v>
      </c>
      <c r="Q95" s="7" t="s">
        <v>179</v>
      </c>
      <c r="R95" s="7" t="s">
        <v>62</v>
      </c>
      <c r="S95" s="7" t="s">
        <v>123</v>
      </c>
      <c r="T95" s="7" t="s">
        <v>398</v>
      </c>
      <c r="U95" s="111">
        <f t="shared" si="2"/>
        <v>0.9</v>
      </c>
      <c r="V95" s="7" t="s">
        <v>1941</v>
      </c>
    </row>
    <row r="96" spans="1:22" x14ac:dyDescent="0.3">
      <c r="A96" s="33">
        <v>95</v>
      </c>
      <c r="B96" s="7" t="s">
        <v>143</v>
      </c>
      <c r="C96" s="7" t="s">
        <v>2829</v>
      </c>
      <c r="D96" s="7">
        <v>10326019</v>
      </c>
      <c r="E96" s="7">
        <v>90</v>
      </c>
      <c r="F96" s="7">
        <v>181</v>
      </c>
      <c r="G96" s="7">
        <v>93</v>
      </c>
      <c r="H96" s="7" t="s">
        <v>229</v>
      </c>
      <c r="I96" s="7" t="s">
        <v>1071</v>
      </c>
      <c r="J96" s="7" t="s">
        <v>130</v>
      </c>
      <c r="K96" s="46">
        <v>0.83194444444444449</v>
      </c>
      <c r="L96" s="46">
        <v>0.96666666666666667</v>
      </c>
      <c r="M96" s="7" t="s">
        <v>109</v>
      </c>
      <c r="N96" s="7" t="s">
        <v>109</v>
      </c>
      <c r="O96" s="7" t="s">
        <v>61</v>
      </c>
      <c r="P96" s="7" t="s">
        <v>131</v>
      </c>
      <c r="Q96" s="7" t="s">
        <v>86</v>
      </c>
      <c r="R96" s="7" t="s">
        <v>62</v>
      </c>
      <c r="S96" s="7" t="s">
        <v>123</v>
      </c>
      <c r="T96" s="7" t="s">
        <v>398</v>
      </c>
      <c r="U96" s="111">
        <f t="shared" si="2"/>
        <v>1.0333333333333334</v>
      </c>
      <c r="V96" s="7" t="s">
        <v>1941</v>
      </c>
    </row>
    <row r="97" spans="1:22" x14ac:dyDescent="0.3">
      <c r="A97" s="7">
        <v>96</v>
      </c>
      <c r="B97" s="7" t="s">
        <v>143</v>
      </c>
      <c r="C97" s="7" t="s">
        <v>2359</v>
      </c>
      <c r="D97" s="7">
        <v>10226038</v>
      </c>
      <c r="E97" s="7">
        <v>125</v>
      </c>
      <c r="F97" s="7">
        <v>383</v>
      </c>
      <c r="G97" s="7">
        <v>50</v>
      </c>
      <c r="H97" s="7" t="s">
        <v>368</v>
      </c>
      <c r="I97" s="7" t="s">
        <v>192</v>
      </c>
      <c r="J97" s="7" t="s">
        <v>130</v>
      </c>
      <c r="K97" s="46">
        <v>0.78125</v>
      </c>
      <c r="L97" s="46">
        <v>0.87916666666666665</v>
      </c>
      <c r="M97" s="7" t="s">
        <v>109</v>
      </c>
      <c r="N97" s="7" t="s">
        <v>109</v>
      </c>
      <c r="O97" s="7" t="s">
        <v>61</v>
      </c>
      <c r="P97" s="7" t="s">
        <v>131</v>
      </c>
      <c r="Q97" s="7" t="s">
        <v>209</v>
      </c>
      <c r="R97" s="7" t="s">
        <v>2860</v>
      </c>
      <c r="S97" s="7" t="s">
        <v>123</v>
      </c>
      <c r="T97" s="7" t="s">
        <v>402</v>
      </c>
      <c r="U97" s="111">
        <f t="shared" si="2"/>
        <v>0.4</v>
      </c>
      <c r="V97" s="7" t="s">
        <v>2862</v>
      </c>
    </row>
    <row r="98" spans="1:22" x14ac:dyDescent="0.3">
      <c r="A98" s="7">
        <v>97</v>
      </c>
      <c r="B98" s="7" t="s">
        <v>143</v>
      </c>
      <c r="C98" s="7" t="s">
        <v>2305</v>
      </c>
      <c r="D98" s="7">
        <v>10226022</v>
      </c>
      <c r="E98" s="7">
        <v>75</v>
      </c>
      <c r="F98" s="7">
        <v>32</v>
      </c>
      <c r="G98" s="7">
        <v>6</v>
      </c>
      <c r="H98" s="7" t="s">
        <v>67</v>
      </c>
      <c r="I98" s="7" t="s">
        <v>209</v>
      </c>
      <c r="J98" s="7" t="s">
        <v>130</v>
      </c>
      <c r="K98" s="46">
        <v>0.83888888888888891</v>
      </c>
      <c r="L98" s="46">
        <v>0.96736111111111112</v>
      </c>
      <c r="M98" s="7" t="s">
        <v>109</v>
      </c>
      <c r="N98" s="7" t="s">
        <v>109</v>
      </c>
      <c r="O98" s="7" t="s">
        <v>61</v>
      </c>
      <c r="P98" s="7" t="s">
        <v>131</v>
      </c>
      <c r="Q98" s="7" t="s">
        <v>209</v>
      </c>
      <c r="R98" s="7" t="s">
        <v>2860</v>
      </c>
      <c r="S98" s="7" t="s">
        <v>123</v>
      </c>
      <c r="T98" s="7" t="s">
        <v>402</v>
      </c>
      <c r="U98" s="111">
        <f t="shared" ref="U98:U129" si="3">G98/E98</f>
        <v>0.08</v>
      </c>
      <c r="V98" s="7" t="s">
        <v>889</v>
      </c>
    </row>
    <row r="99" spans="1:22" x14ac:dyDescent="0.3">
      <c r="A99" s="7">
        <v>98</v>
      </c>
      <c r="B99" s="7" t="s">
        <v>143</v>
      </c>
      <c r="C99" s="7" t="s">
        <v>2334</v>
      </c>
      <c r="D99" s="7">
        <v>10226029</v>
      </c>
      <c r="E99" s="7">
        <v>20</v>
      </c>
      <c r="F99" s="7">
        <v>46</v>
      </c>
      <c r="G99" s="7">
        <v>24</v>
      </c>
      <c r="H99" s="7" t="s">
        <v>196</v>
      </c>
      <c r="I99" s="7" t="s">
        <v>91</v>
      </c>
      <c r="J99" s="7" t="s">
        <v>130</v>
      </c>
      <c r="K99" s="46">
        <v>0.66666666666666663</v>
      </c>
      <c r="L99" s="46">
        <v>0.72986111111111107</v>
      </c>
      <c r="M99" s="7" t="s">
        <v>109</v>
      </c>
      <c r="N99" s="7" t="s">
        <v>109</v>
      </c>
      <c r="O99" s="7" t="s">
        <v>61</v>
      </c>
      <c r="P99" s="7" t="s">
        <v>131</v>
      </c>
      <c r="Q99" s="7" t="s">
        <v>91</v>
      </c>
      <c r="R99" s="7" t="s">
        <v>2860</v>
      </c>
      <c r="S99" s="7" t="s">
        <v>123</v>
      </c>
      <c r="T99" s="7" t="s">
        <v>121</v>
      </c>
      <c r="U99" s="111">
        <f t="shared" si="3"/>
        <v>1.2</v>
      </c>
      <c r="V99" s="7" t="s">
        <v>1941</v>
      </c>
    </row>
    <row r="100" spans="1:22" x14ac:dyDescent="0.3">
      <c r="A100" s="7">
        <v>99</v>
      </c>
      <c r="B100" s="7" t="s">
        <v>143</v>
      </c>
      <c r="C100" s="7" t="s">
        <v>1599</v>
      </c>
      <c r="D100" s="7">
        <v>10126043</v>
      </c>
      <c r="E100" s="7">
        <v>120</v>
      </c>
      <c r="F100" s="7">
        <v>178</v>
      </c>
      <c r="G100" s="7">
        <v>101</v>
      </c>
      <c r="H100" s="7" t="s">
        <v>574</v>
      </c>
      <c r="I100" s="7" t="s">
        <v>2830</v>
      </c>
      <c r="J100" s="7" t="s">
        <v>130</v>
      </c>
      <c r="K100" s="46">
        <v>0.92847222222222225</v>
      </c>
      <c r="L100" s="46">
        <v>0.99236111111111114</v>
      </c>
      <c r="M100" s="7" t="s">
        <v>109</v>
      </c>
      <c r="N100" s="7" t="s">
        <v>109</v>
      </c>
      <c r="O100" s="7" t="s">
        <v>61</v>
      </c>
      <c r="P100" s="7" t="s">
        <v>131</v>
      </c>
      <c r="Q100" s="7" t="s">
        <v>154</v>
      </c>
      <c r="R100" s="7" t="s">
        <v>62</v>
      </c>
      <c r="S100" s="7" t="s">
        <v>123</v>
      </c>
      <c r="T100" s="7" t="s">
        <v>480</v>
      </c>
      <c r="U100" s="111">
        <f t="shared" si="3"/>
        <v>0.84166666666666667</v>
      </c>
      <c r="V100" s="7" t="s">
        <v>2862</v>
      </c>
    </row>
    <row r="101" spans="1:22" x14ac:dyDescent="0.3">
      <c r="A101" s="33">
        <v>100</v>
      </c>
      <c r="B101" s="7" t="s">
        <v>143</v>
      </c>
      <c r="C101" s="7" t="s">
        <v>2831</v>
      </c>
      <c r="D101" s="7">
        <v>10326012</v>
      </c>
      <c r="E101" s="7">
        <v>80</v>
      </c>
      <c r="F101" s="7">
        <v>130</v>
      </c>
      <c r="G101" s="7">
        <v>24</v>
      </c>
      <c r="H101" s="7" t="s">
        <v>68</v>
      </c>
      <c r="I101" s="7" t="s">
        <v>89</v>
      </c>
      <c r="J101" s="7" t="s">
        <v>130</v>
      </c>
      <c r="K101" s="46">
        <v>0.93194444444444446</v>
      </c>
      <c r="L101" s="46">
        <v>9.7222222222222224E-3</v>
      </c>
      <c r="M101" s="7" t="s">
        <v>109</v>
      </c>
      <c r="N101" s="7" t="s">
        <v>109</v>
      </c>
      <c r="O101" s="7" t="s">
        <v>61</v>
      </c>
      <c r="P101" s="7" t="s">
        <v>131</v>
      </c>
      <c r="Q101" s="7" t="s">
        <v>89</v>
      </c>
      <c r="R101" s="7" t="s">
        <v>62</v>
      </c>
      <c r="S101" s="7" t="s">
        <v>123</v>
      </c>
      <c r="T101" s="7" t="s">
        <v>398</v>
      </c>
      <c r="U101" s="111">
        <f t="shared" si="3"/>
        <v>0.3</v>
      </c>
      <c r="V101" s="7" t="s">
        <v>2862</v>
      </c>
    </row>
    <row r="102" spans="1:22" x14ac:dyDescent="0.3">
      <c r="A102" s="33">
        <v>101</v>
      </c>
      <c r="B102" s="7" t="s">
        <v>143</v>
      </c>
      <c r="C102" s="7" t="s">
        <v>2832</v>
      </c>
      <c r="D102" s="7">
        <v>10326013</v>
      </c>
      <c r="E102" s="7">
        <v>40</v>
      </c>
      <c r="F102" s="7">
        <v>86</v>
      </c>
      <c r="G102" s="7">
        <v>25</v>
      </c>
      <c r="H102" s="7" t="s">
        <v>200</v>
      </c>
      <c r="I102" s="7" t="s">
        <v>86</v>
      </c>
      <c r="J102" s="7" t="s">
        <v>130</v>
      </c>
      <c r="K102" s="46">
        <v>0.9145833333333333</v>
      </c>
      <c r="L102" s="46">
        <v>0.98472222222222228</v>
      </c>
      <c r="M102" s="7" t="s">
        <v>109</v>
      </c>
      <c r="N102" s="7" t="s">
        <v>109</v>
      </c>
      <c r="O102" s="7" t="s">
        <v>61</v>
      </c>
      <c r="P102" s="7" t="s">
        <v>131</v>
      </c>
      <c r="Q102" s="7" t="s">
        <v>86</v>
      </c>
      <c r="R102" s="7" t="s">
        <v>62</v>
      </c>
      <c r="S102" s="7" t="s">
        <v>123</v>
      </c>
      <c r="T102" s="7" t="s">
        <v>398</v>
      </c>
      <c r="U102" s="111">
        <f t="shared" si="3"/>
        <v>0.625</v>
      </c>
      <c r="V102" s="7" t="s">
        <v>2862</v>
      </c>
    </row>
    <row r="103" spans="1:22" x14ac:dyDescent="0.3">
      <c r="A103" s="33">
        <v>102</v>
      </c>
      <c r="B103" s="7" t="s">
        <v>143</v>
      </c>
      <c r="C103" s="7" t="s">
        <v>2833</v>
      </c>
      <c r="D103" s="7">
        <v>10326016</v>
      </c>
      <c r="E103" s="7">
        <v>66</v>
      </c>
      <c r="F103" s="7">
        <v>101</v>
      </c>
      <c r="G103" s="7">
        <v>17</v>
      </c>
      <c r="H103" s="7" t="s">
        <v>214</v>
      </c>
      <c r="I103" s="7" t="s">
        <v>95</v>
      </c>
      <c r="J103" s="7" t="s">
        <v>130</v>
      </c>
      <c r="K103" s="46">
        <v>0.85555555555555551</v>
      </c>
      <c r="L103" s="46">
        <v>0.86250000000000004</v>
      </c>
      <c r="M103" s="7" t="s">
        <v>109</v>
      </c>
      <c r="N103" s="7" t="s">
        <v>109</v>
      </c>
      <c r="O103" s="7" t="s">
        <v>61</v>
      </c>
      <c r="P103" s="7" t="s">
        <v>131</v>
      </c>
      <c r="Q103" s="7" t="s">
        <v>95</v>
      </c>
      <c r="R103" s="7" t="s">
        <v>62</v>
      </c>
      <c r="S103" s="7" t="s">
        <v>123</v>
      </c>
      <c r="T103" s="7" t="s">
        <v>398</v>
      </c>
      <c r="U103" s="111">
        <f t="shared" si="3"/>
        <v>0.25757575757575757</v>
      </c>
      <c r="V103" s="7" t="s">
        <v>2862</v>
      </c>
    </row>
    <row r="104" spans="1:22" x14ac:dyDescent="0.3">
      <c r="A104" s="33">
        <v>103</v>
      </c>
      <c r="B104" s="7" t="s">
        <v>143</v>
      </c>
      <c r="C104" s="7" t="s">
        <v>2834</v>
      </c>
      <c r="D104" s="7">
        <v>10326014</v>
      </c>
      <c r="E104" s="7">
        <v>40</v>
      </c>
      <c r="F104" s="7">
        <v>81</v>
      </c>
      <c r="G104" s="7">
        <v>27</v>
      </c>
      <c r="H104" s="7" t="s">
        <v>84</v>
      </c>
      <c r="I104" s="7" t="s">
        <v>89</v>
      </c>
      <c r="J104" s="7" t="s">
        <v>130</v>
      </c>
      <c r="K104" s="46">
        <v>0.9819444444444444</v>
      </c>
      <c r="L104" s="46">
        <v>2.8472222222222222E-2</v>
      </c>
      <c r="M104" s="7" t="s">
        <v>109</v>
      </c>
      <c r="N104" s="7" t="s">
        <v>109</v>
      </c>
      <c r="O104" s="7" t="s">
        <v>61</v>
      </c>
      <c r="P104" s="7" t="s">
        <v>131</v>
      </c>
      <c r="Q104" s="7" t="s">
        <v>89</v>
      </c>
      <c r="R104" s="7" t="s">
        <v>62</v>
      </c>
      <c r="S104" s="7" t="s">
        <v>123</v>
      </c>
      <c r="T104" s="7" t="s">
        <v>398</v>
      </c>
      <c r="U104" s="111">
        <f t="shared" si="3"/>
        <v>0.67500000000000004</v>
      </c>
      <c r="V104" s="7" t="s">
        <v>2862</v>
      </c>
    </row>
    <row r="105" spans="1:22" x14ac:dyDescent="0.3">
      <c r="A105" s="33">
        <v>104</v>
      </c>
      <c r="B105" s="7" t="s">
        <v>143</v>
      </c>
      <c r="C105" s="7" t="s">
        <v>2835</v>
      </c>
      <c r="D105" s="7">
        <v>10326007</v>
      </c>
      <c r="E105" s="7">
        <v>35</v>
      </c>
      <c r="F105" s="7">
        <v>54</v>
      </c>
      <c r="G105" s="7">
        <v>13</v>
      </c>
      <c r="H105" s="7" t="s">
        <v>527</v>
      </c>
      <c r="I105" s="7" t="s">
        <v>209</v>
      </c>
      <c r="J105" s="7" t="s">
        <v>130</v>
      </c>
      <c r="K105" s="46">
        <v>0.81458333333333333</v>
      </c>
      <c r="L105" s="46">
        <v>0.89652777777777781</v>
      </c>
      <c r="M105" s="7" t="s">
        <v>109</v>
      </c>
      <c r="N105" s="7" t="s">
        <v>109</v>
      </c>
      <c r="O105" s="7" t="s">
        <v>61</v>
      </c>
      <c r="P105" s="7" t="s">
        <v>131</v>
      </c>
      <c r="Q105" s="7" t="s">
        <v>209</v>
      </c>
      <c r="R105" s="7" t="s">
        <v>62</v>
      </c>
      <c r="S105" s="7" t="s">
        <v>123</v>
      </c>
      <c r="T105" s="7" t="s">
        <v>398</v>
      </c>
      <c r="U105" s="111">
        <f t="shared" si="3"/>
        <v>0.37142857142857144</v>
      </c>
      <c r="V105" s="7" t="s">
        <v>889</v>
      </c>
    </row>
    <row r="106" spans="1:22" x14ac:dyDescent="0.3">
      <c r="A106" s="33">
        <v>105</v>
      </c>
      <c r="B106" s="7" t="s">
        <v>143</v>
      </c>
      <c r="C106" s="7" t="s">
        <v>2836</v>
      </c>
      <c r="D106" s="7">
        <v>10326015</v>
      </c>
      <c r="E106" s="7">
        <v>30</v>
      </c>
      <c r="F106" s="7">
        <v>18</v>
      </c>
      <c r="G106" s="7">
        <v>5</v>
      </c>
      <c r="H106" s="7" t="s">
        <v>184</v>
      </c>
      <c r="I106" s="7" t="s">
        <v>95</v>
      </c>
      <c r="J106" s="7" t="s">
        <v>130</v>
      </c>
      <c r="K106" s="46">
        <v>0.70486111111111116</v>
      </c>
      <c r="L106" s="46">
        <v>0.72430555555555554</v>
      </c>
      <c r="M106" s="7" t="s">
        <v>109</v>
      </c>
      <c r="N106" s="7" t="s">
        <v>109</v>
      </c>
      <c r="O106" s="7" t="s">
        <v>61</v>
      </c>
      <c r="P106" s="7" t="s">
        <v>131</v>
      </c>
      <c r="Q106" s="7" t="s">
        <v>95</v>
      </c>
      <c r="R106" s="7" t="s">
        <v>62</v>
      </c>
      <c r="S106" s="7" t="s">
        <v>123</v>
      </c>
      <c r="T106" s="7" t="s">
        <v>398</v>
      </c>
      <c r="U106" s="111">
        <f t="shared" si="3"/>
        <v>0.16666666666666666</v>
      </c>
      <c r="V106" s="7" t="s">
        <v>889</v>
      </c>
    </row>
    <row r="107" spans="1:22" x14ac:dyDescent="0.3">
      <c r="A107" s="33">
        <v>106</v>
      </c>
      <c r="B107" s="7" t="s">
        <v>143</v>
      </c>
      <c r="C107" s="7" t="s">
        <v>2837</v>
      </c>
      <c r="D107" s="7">
        <v>10326008</v>
      </c>
      <c r="E107" s="7">
        <v>35</v>
      </c>
      <c r="F107" s="7">
        <v>73</v>
      </c>
      <c r="G107" s="7">
        <v>32</v>
      </c>
      <c r="H107" s="7" t="s">
        <v>66</v>
      </c>
      <c r="I107" s="7" t="s">
        <v>91</v>
      </c>
      <c r="J107" s="7" t="s">
        <v>130</v>
      </c>
      <c r="K107" s="46">
        <v>0.85416666666666663</v>
      </c>
      <c r="L107" s="46">
        <v>0.97569444444444442</v>
      </c>
      <c r="M107" s="7" t="s">
        <v>109</v>
      </c>
      <c r="N107" s="7" t="s">
        <v>109</v>
      </c>
      <c r="O107" s="7" t="s">
        <v>61</v>
      </c>
      <c r="P107" s="7" t="s">
        <v>131</v>
      </c>
      <c r="Q107" s="7" t="s">
        <v>91</v>
      </c>
      <c r="R107" s="7" t="s">
        <v>62</v>
      </c>
      <c r="S107" s="7" t="s">
        <v>123</v>
      </c>
      <c r="T107" s="7" t="s">
        <v>398</v>
      </c>
      <c r="U107" s="111">
        <f t="shared" si="3"/>
        <v>0.91428571428571426</v>
      </c>
      <c r="V107" s="7" t="s">
        <v>889</v>
      </c>
    </row>
    <row r="108" spans="1:22" x14ac:dyDescent="0.3">
      <c r="A108" s="33">
        <v>107</v>
      </c>
      <c r="B108" s="7" t="s">
        <v>143</v>
      </c>
      <c r="C108" s="7" t="s">
        <v>2838</v>
      </c>
      <c r="D108" s="7">
        <v>10326009</v>
      </c>
      <c r="E108" s="7">
        <v>40</v>
      </c>
      <c r="F108" s="7">
        <v>75</v>
      </c>
      <c r="G108" s="7">
        <v>4</v>
      </c>
      <c r="H108" s="7" t="s">
        <v>65</v>
      </c>
      <c r="I108" s="7" t="s">
        <v>179</v>
      </c>
      <c r="J108" s="7" t="s">
        <v>130</v>
      </c>
      <c r="K108" s="46">
        <v>1.3888888888888888E-2</v>
      </c>
      <c r="L108" s="46">
        <v>5.6944444444444443E-2</v>
      </c>
      <c r="M108" s="7" t="s">
        <v>109</v>
      </c>
      <c r="N108" s="7" t="s">
        <v>109</v>
      </c>
      <c r="O108" s="7" t="s">
        <v>61</v>
      </c>
      <c r="P108" s="7" t="s">
        <v>131</v>
      </c>
      <c r="Q108" s="7" t="s">
        <v>179</v>
      </c>
      <c r="R108" s="7" t="s">
        <v>62</v>
      </c>
      <c r="S108" s="7" t="s">
        <v>123</v>
      </c>
      <c r="T108" s="7" t="s">
        <v>398</v>
      </c>
      <c r="U108" s="111">
        <f t="shared" si="3"/>
        <v>0.1</v>
      </c>
      <c r="V108" s="7" t="s">
        <v>2862</v>
      </c>
    </row>
    <row r="109" spans="1:22" x14ac:dyDescent="0.3">
      <c r="A109" s="33">
        <v>108</v>
      </c>
      <c r="B109" s="7" t="s">
        <v>143</v>
      </c>
      <c r="C109" s="7" t="s">
        <v>2839</v>
      </c>
      <c r="D109" s="7">
        <v>10326010</v>
      </c>
      <c r="E109" s="7">
        <v>50</v>
      </c>
      <c r="F109" s="7">
        <v>61</v>
      </c>
      <c r="G109" s="7">
        <v>24</v>
      </c>
      <c r="H109" s="7" t="s">
        <v>274</v>
      </c>
      <c r="I109" s="7" t="s">
        <v>88</v>
      </c>
      <c r="J109" s="7" t="s">
        <v>130</v>
      </c>
      <c r="K109" s="46">
        <v>0.72291666666666665</v>
      </c>
      <c r="L109" s="46">
        <v>0.76180555555555551</v>
      </c>
      <c r="M109" s="7" t="s">
        <v>109</v>
      </c>
      <c r="N109" s="7" t="s">
        <v>109</v>
      </c>
      <c r="O109" s="7" t="s">
        <v>61</v>
      </c>
      <c r="P109" s="7" t="s">
        <v>131</v>
      </c>
      <c r="Q109" s="7" t="s">
        <v>88</v>
      </c>
      <c r="R109" s="7" t="s">
        <v>62</v>
      </c>
      <c r="S109" s="7" t="s">
        <v>123</v>
      </c>
      <c r="T109" s="7" t="s">
        <v>398</v>
      </c>
      <c r="U109" s="111">
        <f t="shared" si="3"/>
        <v>0.48</v>
      </c>
      <c r="V109" s="7" t="s">
        <v>889</v>
      </c>
    </row>
    <row r="110" spans="1:22" x14ac:dyDescent="0.3">
      <c r="A110" s="7">
        <v>109</v>
      </c>
      <c r="B110" s="7" t="s">
        <v>143</v>
      </c>
      <c r="C110" s="7" t="s">
        <v>2743</v>
      </c>
      <c r="D110" s="7">
        <v>10226069</v>
      </c>
      <c r="E110" s="7">
        <v>75</v>
      </c>
      <c r="F110" s="7">
        <v>146</v>
      </c>
      <c r="G110" s="7">
        <v>76</v>
      </c>
      <c r="H110" s="7" t="s">
        <v>64</v>
      </c>
      <c r="I110" s="7" t="s">
        <v>91</v>
      </c>
      <c r="J110" s="7" t="s">
        <v>130</v>
      </c>
      <c r="K110" s="46">
        <v>0.92708333333333337</v>
      </c>
      <c r="L110" s="46">
        <v>4.8611111111111112E-3</v>
      </c>
      <c r="M110" s="7" t="s">
        <v>109</v>
      </c>
      <c r="N110" s="7" t="s">
        <v>109</v>
      </c>
      <c r="O110" s="7" t="s">
        <v>61</v>
      </c>
      <c r="P110" s="7" t="s">
        <v>131</v>
      </c>
      <c r="Q110" s="7" t="s">
        <v>91</v>
      </c>
      <c r="R110" s="7" t="s">
        <v>2860</v>
      </c>
      <c r="S110" s="7" t="s">
        <v>123</v>
      </c>
      <c r="T110" s="7" t="s">
        <v>2742</v>
      </c>
      <c r="U110" s="111">
        <f t="shared" si="3"/>
        <v>1.0133333333333334</v>
      </c>
      <c r="V110" s="7" t="s">
        <v>1941</v>
      </c>
    </row>
    <row r="111" spans="1:22" x14ac:dyDescent="0.3">
      <c r="A111" s="7">
        <v>110</v>
      </c>
      <c r="B111" s="7" t="s">
        <v>23</v>
      </c>
      <c r="C111" s="7" t="s">
        <v>377</v>
      </c>
      <c r="D111" s="7">
        <v>50425243</v>
      </c>
      <c r="E111" s="7">
        <v>100</v>
      </c>
      <c r="F111" s="7">
        <v>101</v>
      </c>
      <c r="G111" s="7">
        <v>3</v>
      </c>
      <c r="H111" s="7" t="s">
        <v>71</v>
      </c>
      <c r="I111" s="7" t="s">
        <v>109</v>
      </c>
      <c r="J111" s="7" t="s">
        <v>130</v>
      </c>
      <c r="K111" s="46">
        <v>6.3194444444444442E-2</v>
      </c>
      <c r="L111" s="7" t="s">
        <v>109</v>
      </c>
      <c r="M111" s="7" t="s">
        <v>109</v>
      </c>
      <c r="N111" s="7" t="s">
        <v>109</v>
      </c>
      <c r="O111" s="7" t="s">
        <v>61</v>
      </c>
      <c r="P111" s="7" t="s">
        <v>131</v>
      </c>
      <c r="Q111" s="7" t="s">
        <v>71</v>
      </c>
      <c r="R111" s="7" t="s">
        <v>62</v>
      </c>
      <c r="S111" s="7" t="s">
        <v>123</v>
      </c>
      <c r="T111" s="7" t="s">
        <v>379</v>
      </c>
      <c r="U111" s="111">
        <f t="shared" si="3"/>
        <v>0.03</v>
      </c>
      <c r="V111" s="7" t="s">
        <v>2008</v>
      </c>
    </row>
    <row r="112" spans="1:22" x14ac:dyDescent="0.3">
      <c r="A112" s="7">
        <v>111</v>
      </c>
      <c r="B112" s="7" t="s">
        <v>23</v>
      </c>
      <c r="C112" s="7" t="s">
        <v>2840</v>
      </c>
      <c r="D112" s="7">
        <v>50326001</v>
      </c>
      <c r="E112" s="7">
        <v>120</v>
      </c>
      <c r="F112" s="7">
        <v>195</v>
      </c>
      <c r="G112" s="7">
        <v>125</v>
      </c>
      <c r="H112" s="7" t="s">
        <v>229</v>
      </c>
      <c r="I112" s="7" t="s">
        <v>109</v>
      </c>
      <c r="J112" s="7" t="s">
        <v>130</v>
      </c>
      <c r="K112" s="46">
        <v>1.6666666666666666E-2</v>
      </c>
      <c r="L112" s="7" t="s">
        <v>109</v>
      </c>
      <c r="M112" s="7" t="s">
        <v>109</v>
      </c>
      <c r="N112" s="7" t="s">
        <v>109</v>
      </c>
      <c r="O112" s="7" t="s">
        <v>61</v>
      </c>
      <c r="P112" s="7" t="s">
        <v>131</v>
      </c>
      <c r="Q112" s="7" t="s">
        <v>68</v>
      </c>
      <c r="R112" s="7" t="s">
        <v>62</v>
      </c>
      <c r="S112" s="7" t="s">
        <v>123</v>
      </c>
      <c r="T112" s="7" t="s">
        <v>2841</v>
      </c>
      <c r="U112" s="111">
        <f t="shared" si="3"/>
        <v>1.0416666666666667</v>
      </c>
      <c r="V112" s="7" t="s">
        <v>1941</v>
      </c>
    </row>
    <row r="113" spans="1:22" x14ac:dyDescent="0.3">
      <c r="A113" s="7">
        <v>112</v>
      </c>
      <c r="B113" s="7" t="s">
        <v>23</v>
      </c>
      <c r="C113" s="7" t="s">
        <v>2842</v>
      </c>
      <c r="D113" s="7">
        <v>50326002</v>
      </c>
      <c r="E113" s="7">
        <v>50</v>
      </c>
      <c r="F113" s="7">
        <v>85</v>
      </c>
      <c r="G113" s="7">
        <v>67</v>
      </c>
      <c r="H113" s="7" t="s">
        <v>274</v>
      </c>
      <c r="I113" s="7" t="s">
        <v>109</v>
      </c>
      <c r="J113" s="7" t="s">
        <v>130</v>
      </c>
      <c r="K113" s="46">
        <v>0.99791666666666667</v>
      </c>
      <c r="L113" s="7" t="s">
        <v>109</v>
      </c>
      <c r="M113" s="7" t="s">
        <v>109</v>
      </c>
      <c r="N113" s="7" t="s">
        <v>109</v>
      </c>
      <c r="O113" s="7" t="s">
        <v>61</v>
      </c>
      <c r="P113" s="7" t="s">
        <v>131</v>
      </c>
      <c r="Q113" s="7" t="s">
        <v>274</v>
      </c>
      <c r="R113" s="7" t="s">
        <v>62</v>
      </c>
      <c r="S113" s="7" t="s">
        <v>123</v>
      </c>
      <c r="T113" s="7" t="s">
        <v>2841</v>
      </c>
      <c r="U113" s="111">
        <f t="shared" si="3"/>
        <v>1.34</v>
      </c>
      <c r="V113" s="7" t="s">
        <v>1941</v>
      </c>
    </row>
    <row r="114" spans="1:22" x14ac:dyDescent="0.3">
      <c r="A114" s="7">
        <v>113</v>
      </c>
      <c r="B114" s="7" t="s">
        <v>23</v>
      </c>
      <c r="C114" s="7" t="s">
        <v>2843</v>
      </c>
      <c r="D114" s="7">
        <v>50326003</v>
      </c>
      <c r="E114" s="7">
        <v>50</v>
      </c>
      <c r="F114" s="7">
        <v>93</v>
      </c>
      <c r="G114" s="7">
        <v>47</v>
      </c>
      <c r="H114" s="7" t="s">
        <v>65</v>
      </c>
      <c r="I114" s="7" t="s">
        <v>109</v>
      </c>
      <c r="J114" s="7" t="s">
        <v>130</v>
      </c>
      <c r="K114" s="46">
        <v>3.6111111111111108E-2</v>
      </c>
      <c r="L114" s="7" t="s">
        <v>109</v>
      </c>
      <c r="M114" s="7" t="s">
        <v>109</v>
      </c>
      <c r="N114" s="7" t="s">
        <v>109</v>
      </c>
      <c r="O114" s="7" t="s">
        <v>61</v>
      </c>
      <c r="P114" s="7" t="s">
        <v>131</v>
      </c>
      <c r="Q114" s="7" t="s">
        <v>65</v>
      </c>
      <c r="R114" s="7" t="s">
        <v>62</v>
      </c>
      <c r="S114" s="7" t="s">
        <v>123</v>
      </c>
      <c r="T114" s="7" t="s">
        <v>2841</v>
      </c>
      <c r="U114" s="111">
        <f t="shared" si="3"/>
        <v>0.94</v>
      </c>
      <c r="V114" s="7" t="s">
        <v>1941</v>
      </c>
    </row>
    <row r="115" spans="1:22" x14ac:dyDescent="0.3">
      <c r="A115" s="7">
        <v>114</v>
      </c>
      <c r="B115" s="7" t="s">
        <v>23</v>
      </c>
      <c r="C115" s="7" t="s">
        <v>2844</v>
      </c>
      <c r="D115" s="7">
        <v>50326004</v>
      </c>
      <c r="E115" s="7">
        <v>120</v>
      </c>
      <c r="F115" s="7">
        <v>205</v>
      </c>
      <c r="G115" s="7">
        <v>130</v>
      </c>
      <c r="H115" s="7" t="s">
        <v>1409</v>
      </c>
      <c r="I115" s="7" t="s">
        <v>109</v>
      </c>
      <c r="J115" s="7" t="s">
        <v>130</v>
      </c>
      <c r="K115" s="46">
        <v>0.96736111111111112</v>
      </c>
      <c r="L115" s="7" t="s">
        <v>109</v>
      </c>
      <c r="M115" s="7" t="s">
        <v>109</v>
      </c>
      <c r="N115" s="7" t="s">
        <v>109</v>
      </c>
      <c r="O115" s="7" t="s">
        <v>61</v>
      </c>
      <c r="P115" s="7" t="s">
        <v>131</v>
      </c>
      <c r="Q115" s="7" t="s">
        <v>82</v>
      </c>
      <c r="R115" s="7" t="s">
        <v>62</v>
      </c>
      <c r="S115" s="7" t="s">
        <v>123</v>
      </c>
      <c r="T115" s="7" t="s">
        <v>2841</v>
      </c>
      <c r="U115" s="111">
        <f t="shared" si="3"/>
        <v>1.0833333333333333</v>
      </c>
      <c r="V115" s="7" t="s">
        <v>1941</v>
      </c>
    </row>
    <row r="116" spans="1:22" x14ac:dyDescent="0.3">
      <c r="A116" s="7">
        <v>115</v>
      </c>
      <c r="B116" s="7" t="s">
        <v>23</v>
      </c>
      <c r="C116" s="7" t="s">
        <v>2519</v>
      </c>
      <c r="D116" s="7">
        <v>50226107</v>
      </c>
      <c r="E116" s="7">
        <v>130</v>
      </c>
      <c r="F116" s="7">
        <v>172</v>
      </c>
      <c r="G116" s="7">
        <v>76</v>
      </c>
      <c r="H116" s="7" t="s">
        <v>1051</v>
      </c>
      <c r="I116" s="7" t="s">
        <v>109</v>
      </c>
      <c r="J116" s="7" t="s">
        <v>130</v>
      </c>
      <c r="K116" s="46">
        <v>0.90833333333333333</v>
      </c>
      <c r="L116" s="7" t="s">
        <v>109</v>
      </c>
      <c r="M116" s="7" t="s">
        <v>109</v>
      </c>
      <c r="N116" s="7" t="s">
        <v>109</v>
      </c>
      <c r="O116" s="7" t="s">
        <v>61</v>
      </c>
      <c r="P116" s="7" t="s">
        <v>131</v>
      </c>
      <c r="Q116" s="7" t="s">
        <v>69</v>
      </c>
      <c r="R116" s="7" t="s">
        <v>62</v>
      </c>
      <c r="S116" s="7" t="s">
        <v>123</v>
      </c>
      <c r="T116" s="7" t="s">
        <v>122</v>
      </c>
      <c r="U116" s="111">
        <f t="shared" si="3"/>
        <v>0.58461538461538465</v>
      </c>
      <c r="V116" s="7" t="s">
        <v>889</v>
      </c>
    </row>
    <row r="117" spans="1:22" x14ac:dyDescent="0.3">
      <c r="A117" s="7">
        <v>116</v>
      </c>
      <c r="B117" s="7" t="s">
        <v>23</v>
      </c>
      <c r="C117" s="7" t="s">
        <v>2518</v>
      </c>
      <c r="D117" s="7">
        <v>50226108</v>
      </c>
      <c r="E117" s="7">
        <v>80</v>
      </c>
      <c r="F117" s="7">
        <v>158</v>
      </c>
      <c r="G117" s="7">
        <v>23</v>
      </c>
      <c r="H117" s="7" t="s">
        <v>214</v>
      </c>
      <c r="I117" s="7" t="s">
        <v>109</v>
      </c>
      <c r="J117" s="7" t="s">
        <v>130</v>
      </c>
      <c r="K117" s="46">
        <v>9.0277777777777769E-3</v>
      </c>
      <c r="L117" s="7" t="s">
        <v>109</v>
      </c>
      <c r="M117" s="7" t="s">
        <v>109</v>
      </c>
      <c r="N117" s="7" t="s">
        <v>109</v>
      </c>
      <c r="O117" s="7" t="s">
        <v>61</v>
      </c>
      <c r="P117" s="7" t="s">
        <v>131</v>
      </c>
      <c r="Q117" s="7" t="s">
        <v>214</v>
      </c>
      <c r="R117" s="7" t="s">
        <v>62</v>
      </c>
      <c r="S117" s="7" t="s">
        <v>123</v>
      </c>
      <c r="T117" s="7" t="s">
        <v>122</v>
      </c>
      <c r="U117" s="111">
        <f t="shared" si="3"/>
        <v>0.28749999999999998</v>
      </c>
      <c r="V117" s="7" t="s">
        <v>2862</v>
      </c>
    </row>
    <row r="118" spans="1:22" x14ac:dyDescent="0.3">
      <c r="A118" s="7">
        <v>117</v>
      </c>
      <c r="B118" s="7" t="s">
        <v>2395</v>
      </c>
      <c r="C118" s="7" t="s">
        <v>2429</v>
      </c>
      <c r="D118" s="7">
        <v>40226009</v>
      </c>
      <c r="E118" s="7">
        <v>210</v>
      </c>
      <c r="F118" s="7">
        <v>36</v>
      </c>
      <c r="G118" s="7">
        <v>1</v>
      </c>
      <c r="H118" s="7" t="s">
        <v>66</v>
      </c>
      <c r="I118" s="7" t="s">
        <v>209</v>
      </c>
      <c r="J118" s="46" t="s">
        <v>130</v>
      </c>
      <c r="K118" s="46">
        <v>0.99236111111111114</v>
      </c>
      <c r="L118" s="46">
        <v>0</v>
      </c>
      <c r="M118" s="7" t="s">
        <v>109</v>
      </c>
      <c r="N118" s="7" t="s">
        <v>1845</v>
      </c>
      <c r="O118" s="7" t="s">
        <v>61</v>
      </c>
      <c r="P118" s="7" t="s">
        <v>131</v>
      </c>
      <c r="Q118" s="7" t="s">
        <v>209</v>
      </c>
      <c r="R118" s="7" t="s">
        <v>63</v>
      </c>
      <c r="S118" s="7" t="s">
        <v>123</v>
      </c>
      <c r="T118" s="7" t="s">
        <v>2430</v>
      </c>
      <c r="U118" s="111">
        <f t="shared" si="3"/>
        <v>4.7619047619047623E-3</v>
      </c>
      <c r="V118" s="7" t="s">
        <v>2008</v>
      </c>
    </row>
    <row r="119" spans="1:22" x14ac:dyDescent="0.3">
      <c r="A119" s="7">
        <v>137</v>
      </c>
      <c r="B119" s="7" t="s">
        <v>23</v>
      </c>
      <c r="C119" s="7" t="s">
        <v>1909</v>
      </c>
      <c r="D119" s="7">
        <v>50226025</v>
      </c>
      <c r="E119" s="7">
        <v>250</v>
      </c>
      <c r="F119" s="7">
        <v>479</v>
      </c>
      <c r="G119" s="7">
        <v>133</v>
      </c>
      <c r="H119" s="7" t="s">
        <v>2858</v>
      </c>
      <c r="I119" s="7" t="s">
        <v>2859</v>
      </c>
      <c r="J119" s="7" t="s">
        <v>130</v>
      </c>
      <c r="K119" s="46">
        <v>2.0833333333333332E-2</v>
      </c>
      <c r="L119" s="46">
        <v>5.9722222222222225E-2</v>
      </c>
      <c r="M119" s="7" t="s">
        <v>109</v>
      </c>
      <c r="N119" s="7" t="s">
        <v>109</v>
      </c>
      <c r="O119" s="7" t="s">
        <v>61</v>
      </c>
      <c r="P119" s="7" t="s">
        <v>131</v>
      </c>
      <c r="Q119" s="7" t="s">
        <v>91</v>
      </c>
      <c r="R119" s="7" t="s">
        <v>62</v>
      </c>
      <c r="S119" s="7" t="s">
        <v>123</v>
      </c>
      <c r="T119" s="7" t="s">
        <v>480</v>
      </c>
      <c r="U119" s="111">
        <f t="shared" si="3"/>
        <v>0.53200000000000003</v>
      </c>
      <c r="V119" s="7" t="s">
        <v>889</v>
      </c>
    </row>
    <row r="120" spans="1:22" x14ac:dyDescent="0.3">
      <c r="A120" s="7">
        <v>119</v>
      </c>
      <c r="B120" s="7" t="s">
        <v>411</v>
      </c>
      <c r="C120" s="7" t="s">
        <v>2845</v>
      </c>
      <c r="D120" s="7">
        <v>30326002</v>
      </c>
      <c r="E120" s="7">
        <v>69</v>
      </c>
      <c r="F120" s="7">
        <v>46</v>
      </c>
      <c r="G120" s="7">
        <v>5</v>
      </c>
      <c r="H120" s="7" t="s">
        <v>71</v>
      </c>
      <c r="I120" s="7" t="s">
        <v>154</v>
      </c>
      <c r="J120" s="7" t="s">
        <v>130</v>
      </c>
      <c r="K120" s="46">
        <v>0.81805555555555554</v>
      </c>
      <c r="L120" s="46">
        <v>0.84513888888888888</v>
      </c>
      <c r="M120" s="7" t="s">
        <v>109</v>
      </c>
      <c r="N120" s="7" t="s">
        <v>109</v>
      </c>
      <c r="O120" s="7" t="s">
        <v>61</v>
      </c>
      <c r="P120" s="7" t="s">
        <v>131</v>
      </c>
      <c r="Q120" s="7" t="s">
        <v>154</v>
      </c>
      <c r="R120" s="7" t="s">
        <v>62</v>
      </c>
      <c r="S120" s="7" t="s">
        <v>123</v>
      </c>
      <c r="T120" s="7" t="s">
        <v>1562</v>
      </c>
      <c r="U120" s="111">
        <f t="shared" si="3"/>
        <v>7.2463768115942032E-2</v>
      </c>
      <c r="V120" s="7" t="s">
        <v>889</v>
      </c>
    </row>
    <row r="121" spans="1:22" x14ac:dyDescent="0.3">
      <c r="A121" s="7">
        <v>120</v>
      </c>
      <c r="B121" s="7" t="s">
        <v>411</v>
      </c>
      <c r="C121" s="7" t="s">
        <v>2846</v>
      </c>
      <c r="D121" s="7">
        <v>30326001</v>
      </c>
      <c r="E121" s="7">
        <v>110</v>
      </c>
      <c r="F121" s="7">
        <v>111</v>
      </c>
      <c r="G121" s="7">
        <v>37</v>
      </c>
      <c r="H121" s="7" t="s">
        <v>70</v>
      </c>
      <c r="I121" s="7" t="s">
        <v>87</v>
      </c>
      <c r="J121" s="7" t="s">
        <v>130</v>
      </c>
      <c r="K121" s="46">
        <v>0.77430555555555558</v>
      </c>
      <c r="L121" s="46">
        <v>0.81805555555555554</v>
      </c>
      <c r="M121" s="7" t="s">
        <v>109</v>
      </c>
      <c r="N121" s="7" t="s">
        <v>109</v>
      </c>
      <c r="O121" s="7" t="s">
        <v>61</v>
      </c>
      <c r="P121" s="7" t="s">
        <v>131</v>
      </c>
      <c r="Q121" s="7" t="s">
        <v>87</v>
      </c>
      <c r="R121" s="7" t="s">
        <v>62</v>
      </c>
      <c r="S121" s="7" t="s">
        <v>123</v>
      </c>
      <c r="T121" s="7" t="s">
        <v>1562</v>
      </c>
      <c r="U121" s="111">
        <f t="shared" si="3"/>
        <v>0.33636363636363636</v>
      </c>
      <c r="V121" s="7" t="s">
        <v>889</v>
      </c>
    </row>
    <row r="122" spans="1:22" x14ac:dyDescent="0.3">
      <c r="A122" s="7">
        <v>121</v>
      </c>
      <c r="B122" s="7" t="s">
        <v>23</v>
      </c>
      <c r="C122" s="7" t="s">
        <v>2117</v>
      </c>
      <c r="D122" s="7">
        <v>50226054</v>
      </c>
      <c r="E122" s="7">
        <v>500</v>
      </c>
      <c r="F122" s="7">
        <v>1065</v>
      </c>
      <c r="G122" s="7">
        <v>462</v>
      </c>
      <c r="H122" s="7" t="s">
        <v>2847</v>
      </c>
      <c r="I122" s="7" t="s">
        <v>109</v>
      </c>
      <c r="J122" s="7" t="s">
        <v>130</v>
      </c>
      <c r="K122" s="46">
        <v>0.70347222222222228</v>
      </c>
      <c r="L122" s="7" t="s">
        <v>109</v>
      </c>
      <c r="M122" s="7" t="s">
        <v>109</v>
      </c>
      <c r="N122" s="7" t="s">
        <v>2848</v>
      </c>
      <c r="O122" s="7" t="s">
        <v>61</v>
      </c>
      <c r="P122" s="7" t="s">
        <v>131</v>
      </c>
      <c r="Q122" s="7" t="s">
        <v>66</v>
      </c>
      <c r="R122" s="7" t="s">
        <v>62</v>
      </c>
      <c r="S122" s="7" t="s">
        <v>123</v>
      </c>
      <c r="T122" s="7" t="s">
        <v>289</v>
      </c>
      <c r="U122" s="111">
        <f t="shared" si="3"/>
        <v>0.92400000000000004</v>
      </c>
      <c r="V122" s="7" t="s">
        <v>1941</v>
      </c>
    </row>
    <row r="123" spans="1:22" x14ac:dyDescent="0.3">
      <c r="A123" s="7">
        <v>122</v>
      </c>
      <c r="B123" s="7" t="s">
        <v>23</v>
      </c>
      <c r="C123" s="7" t="s">
        <v>1370</v>
      </c>
      <c r="D123" s="7">
        <v>50126342</v>
      </c>
      <c r="E123" s="7">
        <v>50</v>
      </c>
      <c r="F123" s="7">
        <v>18</v>
      </c>
      <c r="G123" s="7">
        <v>7</v>
      </c>
      <c r="H123" s="7" t="s">
        <v>200</v>
      </c>
      <c r="I123" s="7" t="s">
        <v>109</v>
      </c>
      <c r="J123" s="7" t="s">
        <v>130</v>
      </c>
      <c r="K123" s="46">
        <v>0.79166666666666663</v>
      </c>
      <c r="L123" s="7" t="s">
        <v>109</v>
      </c>
      <c r="M123" s="7" t="s">
        <v>109</v>
      </c>
      <c r="N123" s="7" t="s">
        <v>109</v>
      </c>
      <c r="O123" s="7" t="s">
        <v>61</v>
      </c>
      <c r="P123" s="7" t="s">
        <v>131</v>
      </c>
      <c r="Q123" s="7" t="s">
        <v>200</v>
      </c>
      <c r="R123" s="7" t="s">
        <v>62</v>
      </c>
      <c r="S123" s="7" t="s">
        <v>123</v>
      </c>
      <c r="T123" s="7" t="s">
        <v>1365</v>
      </c>
      <c r="U123" s="111">
        <f t="shared" si="3"/>
        <v>0.14000000000000001</v>
      </c>
      <c r="V123" s="7" t="s">
        <v>889</v>
      </c>
    </row>
    <row r="124" spans="1:22" x14ac:dyDescent="0.3">
      <c r="A124" s="7">
        <v>123</v>
      </c>
      <c r="B124" s="7" t="s">
        <v>23</v>
      </c>
      <c r="C124" s="7" t="s">
        <v>2199</v>
      </c>
      <c r="D124" s="7">
        <v>50226057</v>
      </c>
      <c r="E124" s="7">
        <v>300</v>
      </c>
      <c r="F124" s="7">
        <v>603</v>
      </c>
      <c r="G124" s="7">
        <v>272</v>
      </c>
      <c r="H124" s="7" t="s">
        <v>2849</v>
      </c>
      <c r="I124" s="7" t="s">
        <v>109</v>
      </c>
      <c r="J124" s="7" t="s">
        <v>130</v>
      </c>
      <c r="K124" s="46">
        <v>0.85416666666666663</v>
      </c>
      <c r="L124" s="7" t="s">
        <v>109</v>
      </c>
      <c r="M124" s="7" t="s">
        <v>109</v>
      </c>
      <c r="N124" s="7" t="s">
        <v>109</v>
      </c>
      <c r="O124" s="7" t="s">
        <v>61</v>
      </c>
      <c r="P124" s="7" t="s">
        <v>131</v>
      </c>
      <c r="Q124" s="7" t="s">
        <v>70</v>
      </c>
      <c r="R124" s="7" t="s">
        <v>62</v>
      </c>
      <c r="S124" s="7" t="s">
        <v>123</v>
      </c>
      <c r="T124" s="7" t="s">
        <v>289</v>
      </c>
      <c r="U124" s="111">
        <f t="shared" si="3"/>
        <v>0.90666666666666662</v>
      </c>
      <c r="V124" s="7" t="s">
        <v>1941</v>
      </c>
    </row>
    <row r="125" spans="1:22" x14ac:dyDescent="0.3">
      <c r="A125" s="7">
        <v>124</v>
      </c>
      <c r="B125" s="7" t="s">
        <v>23</v>
      </c>
      <c r="C125" s="7" t="s">
        <v>2115</v>
      </c>
      <c r="D125" s="7">
        <v>50226055</v>
      </c>
      <c r="E125" s="7">
        <v>200</v>
      </c>
      <c r="F125" s="7">
        <v>369</v>
      </c>
      <c r="G125" s="7">
        <v>110</v>
      </c>
      <c r="H125" s="7" t="s">
        <v>2850</v>
      </c>
      <c r="I125" s="7" t="s">
        <v>109</v>
      </c>
      <c r="J125" s="7" t="s">
        <v>130</v>
      </c>
      <c r="K125" s="46">
        <v>0.89722222222222225</v>
      </c>
      <c r="L125" s="7" t="s">
        <v>109</v>
      </c>
      <c r="M125" s="7" t="s">
        <v>109</v>
      </c>
      <c r="N125" s="7" t="s">
        <v>109</v>
      </c>
      <c r="O125" s="7" t="s">
        <v>61</v>
      </c>
      <c r="P125" s="7" t="s">
        <v>131</v>
      </c>
      <c r="Q125" s="7" t="s">
        <v>196</v>
      </c>
      <c r="R125" s="7" t="s">
        <v>62</v>
      </c>
      <c r="S125" s="7" t="s">
        <v>123</v>
      </c>
      <c r="T125" s="7" t="s">
        <v>289</v>
      </c>
      <c r="U125" s="111">
        <f t="shared" si="3"/>
        <v>0.55000000000000004</v>
      </c>
      <c r="V125" s="7" t="s">
        <v>2862</v>
      </c>
    </row>
    <row r="126" spans="1:22" x14ac:dyDescent="0.3">
      <c r="A126" s="7">
        <v>125</v>
      </c>
      <c r="B126" s="7" t="s">
        <v>23</v>
      </c>
      <c r="C126" s="7" t="s">
        <v>980</v>
      </c>
      <c r="D126" s="7">
        <v>50126278</v>
      </c>
      <c r="E126" s="7">
        <v>200</v>
      </c>
      <c r="F126" s="7">
        <v>318</v>
      </c>
      <c r="G126" s="7">
        <v>105</v>
      </c>
      <c r="H126" s="7" t="s">
        <v>2851</v>
      </c>
      <c r="I126" s="7" t="s">
        <v>109</v>
      </c>
      <c r="J126" s="7" t="s">
        <v>130</v>
      </c>
      <c r="K126" s="46">
        <v>3.888888888888889E-2</v>
      </c>
      <c r="L126" s="7" t="s">
        <v>109</v>
      </c>
      <c r="M126" s="7" t="s">
        <v>109</v>
      </c>
      <c r="N126" s="7" t="s">
        <v>109</v>
      </c>
      <c r="O126" s="7" t="s">
        <v>61</v>
      </c>
      <c r="P126" s="7" t="s">
        <v>131</v>
      </c>
      <c r="Q126" s="7" t="s">
        <v>84</v>
      </c>
      <c r="R126" s="7" t="s">
        <v>62</v>
      </c>
      <c r="S126" s="7" t="s">
        <v>123</v>
      </c>
      <c r="T126" s="7" t="s">
        <v>334</v>
      </c>
      <c r="U126" s="111">
        <f t="shared" si="3"/>
        <v>0.52500000000000002</v>
      </c>
      <c r="V126" s="7" t="s">
        <v>2862</v>
      </c>
    </row>
    <row r="127" spans="1:22" x14ac:dyDescent="0.3">
      <c r="A127" s="7">
        <v>118</v>
      </c>
      <c r="B127" s="7" t="s">
        <v>411</v>
      </c>
      <c r="C127" s="7" t="s">
        <v>2707</v>
      </c>
      <c r="D127" s="7">
        <v>30226028</v>
      </c>
      <c r="E127" s="7">
        <v>55</v>
      </c>
      <c r="F127" s="7">
        <v>62</v>
      </c>
      <c r="G127" s="7">
        <v>35</v>
      </c>
      <c r="H127" s="7" t="s">
        <v>69</v>
      </c>
      <c r="I127" s="7" t="s">
        <v>87</v>
      </c>
      <c r="J127" s="46" t="s">
        <v>130</v>
      </c>
      <c r="K127" s="46">
        <v>2.7777777777777776E-2</v>
      </c>
      <c r="L127" s="46">
        <v>5.9027777777777776E-2</v>
      </c>
      <c r="M127" s="7" t="s">
        <v>109</v>
      </c>
      <c r="N127" s="7" t="s">
        <v>109</v>
      </c>
      <c r="O127" s="7" t="s">
        <v>61</v>
      </c>
      <c r="P127" s="7" t="s">
        <v>131</v>
      </c>
      <c r="Q127" s="7" t="s">
        <v>87</v>
      </c>
      <c r="R127" s="7" t="s">
        <v>62</v>
      </c>
      <c r="S127" s="7" t="s">
        <v>123</v>
      </c>
      <c r="T127" s="7" t="s">
        <v>1359</v>
      </c>
      <c r="U127" s="111">
        <f t="shared" si="3"/>
        <v>0.63636363636363635</v>
      </c>
      <c r="V127" s="7" t="s">
        <v>889</v>
      </c>
    </row>
    <row r="128" spans="1:22" x14ac:dyDescent="0.3">
      <c r="A128" s="7">
        <v>127</v>
      </c>
      <c r="B128" s="7" t="s">
        <v>23</v>
      </c>
      <c r="C128" s="7" t="s">
        <v>982</v>
      </c>
      <c r="D128" s="7">
        <v>50126277</v>
      </c>
      <c r="E128" s="7">
        <v>200</v>
      </c>
      <c r="F128" s="7">
        <v>334</v>
      </c>
      <c r="G128" s="7">
        <v>178</v>
      </c>
      <c r="H128" s="7" t="s">
        <v>2852</v>
      </c>
      <c r="I128" s="7" t="s">
        <v>109</v>
      </c>
      <c r="J128" s="7" t="s">
        <v>130</v>
      </c>
      <c r="K128" s="46">
        <v>0.81180555555555556</v>
      </c>
      <c r="L128" s="7" t="s">
        <v>109</v>
      </c>
      <c r="M128" s="7" t="s">
        <v>109</v>
      </c>
      <c r="N128" s="7" t="s">
        <v>109</v>
      </c>
      <c r="O128" s="7" t="s">
        <v>61</v>
      </c>
      <c r="P128" s="7" t="s">
        <v>131</v>
      </c>
      <c r="Q128" s="7" t="s">
        <v>66</v>
      </c>
      <c r="R128" s="7" t="s">
        <v>62</v>
      </c>
      <c r="S128" s="7" t="s">
        <v>123</v>
      </c>
      <c r="T128" s="7" t="s">
        <v>334</v>
      </c>
      <c r="U128" s="111">
        <f t="shared" si="3"/>
        <v>0.89</v>
      </c>
      <c r="V128" s="7" t="s">
        <v>2862</v>
      </c>
    </row>
    <row r="129" spans="1:22" x14ac:dyDescent="0.3">
      <c r="A129" s="7">
        <v>128</v>
      </c>
      <c r="B129" s="7" t="s">
        <v>23</v>
      </c>
      <c r="C129" s="7" t="s">
        <v>985</v>
      </c>
      <c r="D129" s="7">
        <v>50126273</v>
      </c>
      <c r="E129" s="7">
        <v>300</v>
      </c>
      <c r="F129" s="7">
        <v>465</v>
      </c>
      <c r="G129" s="7">
        <v>309</v>
      </c>
      <c r="H129" s="7" t="s">
        <v>2812</v>
      </c>
      <c r="I129" s="7" t="s">
        <v>109</v>
      </c>
      <c r="J129" s="7" t="s">
        <v>130</v>
      </c>
      <c r="K129" s="46">
        <v>0.97986111111111107</v>
      </c>
      <c r="L129" s="7" t="s">
        <v>109</v>
      </c>
      <c r="M129" s="7" t="s">
        <v>109</v>
      </c>
      <c r="N129" s="7" t="s">
        <v>109</v>
      </c>
      <c r="O129" s="7" t="s">
        <v>61</v>
      </c>
      <c r="P129" s="7" t="s">
        <v>131</v>
      </c>
      <c r="Q129" s="7" t="s">
        <v>1404</v>
      </c>
      <c r="R129" s="7" t="s">
        <v>62</v>
      </c>
      <c r="S129" s="7" t="s">
        <v>123</v>
      </c>
      <c r="T129" s="7" t="s">
        <v>334</v>
      </c>
      <c r="U129" s="111">
        <f t="shared" si="3"/>
        <v>1.03</v>
      </c>
      <c r="V129" s="7" t="s">
        <v>2008</v>
      </c>
    </row>
    <row r="130" spans="1:22" x14ac:dyDescent="0.3">
      <c r="A130" s="7">
        <v>129</v>
      </c>
      <c r="B130" s="7" t="s">
        <v>23</v>
      </c>
      <c r="C130" s="7" t="s">
        <v>2753</v>
      </c>
      <c r="D130" s="7">
        <v>50226123</v>
      </c>
      <c r="E130" s="7">
        <v>200</v>
      </c>
      <c r="F130" s="7">
        <v>306</v>
      </c>
      <c r="G130" s="7">
        <v>45</v>
      </c>
      <c r="H130" s="7" t="s">
        <v>2853</v>
      </c>
      <c r="I130" s="7" t="s">
        <v>109</v>
      </c>
      <c r="J130" s="7" t="s">
        <v>130</v>
      </c>
      <c r="K130" s="46">
        <v>3.0555555555555555E-2</v>
      </c>
      <c r="L130" s="7" t="s">
        <v>109</v>
      </c>
      <c r="M130" s="7" t="s">
        <v>109</v>
      </c>
      <c r="N130" s="7" t="s">
        <v>109</v>
      </c>
      <c r="O130" s="7" t="s">
        <v>61</v>
      </c>
      <c r="P130" s="7" t="s">
        <v>131</v>
      </c>
      <c r="Q130" s="7" t="s">
        <v>71</v>
      </c>
      <c r="R130" s="7" t="s">
        <v>62</v>
      </c>
      <c r="S130" s="7" t="s">
        <v>123</v>
      </c>
      <c r="T130" s="7" t="s">
        <v>362</v>
      </c>
      <c r="U130" s="111">
        <f t="shared" ref="U130:U143" si="4">G130/E130</f>
        <v>0.22500000000000001</v>
      </c>
      <c r="V130" s="7" t="s">
        <v>2862</v>
      </c>
    </row>
    <row r="131" spans="1:22" x14ac:dyDescent="0.3">
      <c r="A131" s="7">
        <v>130</v>
      </c>
      <c r="B131" s="7" t="s">
        <v>23</v>
      </c>
      <c r="C131" s="7" t="s">
        <v>755</v>
      </c>
      <c r="D131" s="7">
        <v>50126149</v>
      </c>
      <c r="E131" s="7">
        <v>10</v>
      </c>
      <c r="F131" s="7">
        <v>20</v>
      </c>
      <c r="G131" s="7">
        <v>12</v>
      </c>
      <c r="H131" s="7" t="s">
        <v>196</v>
      </c>
      <c r="I131" s="7" t="s">
        <v>91</v>
      </c>
      <c r="J131" s="7" t="s">
        <v>130</v>
      </c>
      <c r="K131" s="46">
        <v>0.65208333333333335</v>
      </c>
      <c r="L131" s="46">
        <v>0.76111111111111107</v>
      </c>
      <c r="M131" s="7" t="s">
        <v>109</v>
      </c>
      <c r="N131" s="7" t="s">
        <v>109</v>
      </c>
      <c r="O131" s="7" t="s">
        <v>61</v>
      </c>
      <c r="P131" s="7" t="s">
        <v>131</v>
      </c>
      <c r="Q131" s="7" t="s">
        <v>91</v>
      </c>
      <c r="R131" s="7" t="s">
        <v>62</v>
      </c>
      <c r="S131" s="7" t="s">
        <v>123</v>
      </c>
      <c r="T131" s="7" t="s">
        <v>480</v>
      </c>
      <c r="U131" s="111">
        <f t="shared" si="4"/>
        <v>1.2</v>
      </c>
      <c r="V131" s="7" t="s">
        <v>1941</v>
      </c>
    </row>
    <row r="132" spans="1:22" x14ac:dyDescent="0.3">
      <c r="A132" s="7">
        <v>131</v>
      </c>
      <c r="B132" s="7" t="s">
        <v>23</v>
      </c>
      <c r="C132" s="7" t="s">
        <v>757</v>
      </c>
      <c r="D132" s="7">
        <v>50126145</v>
      </c>
      <c r="E132" s="7">
        <v>40</v>
      </c>
      <c r="F132" s="7">
        <v>58</v>
      </c>
      <c r="G132" s="7">
        <v>25</v>
      </c>
      <c r="H132" s="7" t="s">
        <v>70</v>
      </c>
      <c r="I132" s="7" t="s">
        <v>179</v>
      </c>
      <c r="J132" s="7" t="s">
        <v>130</v>
      </c>
      <c r="K132" s="46">
        <v>9.0277777777777769E-3</v>
      </c>
      <c r="L132" s="46">
        <v>4.3749999999999997E-2</v>
      </c>
      <c r="M132" s="7" t="s">
        <v>109</v>
      </c>
      <c r="N132" s="7" t="s">
        <v>109</v>
      </c>
      <c r="O132" s="7" t="s">
        <v>61</v>
      </c>
      <c r="P132" s="7" t="s">
        <v>131</v>
      </c>
      <c r="Q132" s="7" t="s">
        <v>179</v>
      </c>
      <c r="R132" s="7" t="s">
        <v>62</v>
      </c>
      <c r="S132" s="7" t="s">
        <v>123</v>
      </c>
      <c r="T132" s="7" t="s">
        <v>480</v>
      </c>
      <c r="U132" s="111">
        <f t="shared" si="4"/>
        <v>0.625</v>
      </c>
      <c r="V132" s="7" t="s">
        <v>2862</v>
      </c>
    </row>
    <row r="133" spans="1:22" x14ac:dyDescent="0.3">
      <c r="A133" s="7">
        <v>132</v>
      </c>
      <c r="B133" s="7" t="s">
        <v>23</v>
      </c>
      <c r="C133" s="7" t="s">
        <v>758</v>
      </c>
      <c r="D133" s="7">
        <v>50126142</v>
      </c>
      <c r="E133" s="7">
        <v>100</v>
      </c>
      <c r="F133" s="7">
        <v>140</v>
      </c>
      <c r="G133" s="7">
        <v>51</v>
      </c>
      <c r="H133" s="7" t="s">
        <v>1409</v>
      </c>
      <c r="I133" s="7" t="s">
        <v>97</v>
      </c>
      <c r="J133" s="7" t="s">
        <v>130</v>
      </c>
      <c r="K133" s="46">
        <v>0.90208333333333335</v>
      </c>
      <c r="L133" s="46">
        <v>0.92500000000000004</v>
      </c>
      <c r="M133" s="7" t="s">
        <v>109</v>
      </c>
      <c r="N133" s="7" t="s">
        <v>109</v>
      </c>
      <c r="O133" s="7" t="s">
        <v>61</v>
      </c>
      <c r="P133" s="7" t="s">
        <v>131</v>
      </c>
      <c r="Q133" s="7" t="s">
        <v>89</v>
      </c>
      <c r="R133" s="7" t="s">
        <v>62</v>
      </c>
      <c r="S133" s="7" t="s">
        <v>123</v>
      </c>
      <c r="T133" s="7" t="s">
        <v>480</v>
      </c>
      <c r="U133" s="111">
        <f t="shared" si="4"/>
        <v>0.51</v>
      </c>
      <c r="V133" s="7" t="s">
        <v>889</v>
      </c>
    </row>
    <row r="134" spans="1:22" x14ac:dyDescent="0.3">
      <c r="A134" s="7">
        <v>133</v>
      </c>
      <c r="B134" s="7" t="s">
        <v>23</v>
      </c>
      <c r="C134" s="7" t="s">
        <v>759</v>
      </c>
      <c r="D134" s="7">
        <v>50126147</v>
      </c>
      <c r="E134" s="7">
        <v>150</v>
      </c>
      <c r="F134" s="7">
        <v>269</v>
      </c>
      <c r="G134" s="7">
        <v>104</v>
      </c>
      <c r="H134" s="7" t="s">
        <v>574</v>
      </c>
      <c r="I134" s="7" t="s">
        <v>99</v>
      </c>
      <c r="J134" s="7" t="s">
        <v>130</v>
      </c>
      <c r="K134" s="46">
        <v>0.92291666666666672</v>
      </c>
      <c r="L134" s="46">
        <v>0.98958333333333337</v>
      </c>
      <c r="M134" s="7" t="s">
        <v>109</v>
      </c>
      <c r="N134" s="7" t="s">
        <v>109</v>
      </c>
      <c r="O134" s="7" t="s">
        <v>61</v>
      </c>
      <c r="P134" s="7" t="s">
        <v>131</v>
      </c>
      <c r="Q134" s="7" t="s">
        <v>91</v>
      </c>
      <c r="R134" s="7" t="s">
        <v>62</v>
      </c>
      <c r="S134" s="7" t="s">
        <v>123</v>
      </c>
      <c r="T134" s="7" t="s">
        <v>480</v>
      </c>
      <c r="U134" s="111">
        <f t="shared" si="4"/>
        <v>0.69333333333333336</v>
      </c>
      <c r="V134" s="7" t="s">
        <v>2862</v>
      </c>
    </row>
    <row r="135" spans="1:22" x14ac:dyDescent="0.3">
      <c r="A135" s="7">
        <v>134</v>
      </c>
      <c r="B135" s="7" t="s">
        <v>23</v>
      </c>
      <c r="C135" s="7" t="s">
        <v>1053</v>
      </c>
      <c r="D135" s="7">
        <v>50126314</v>
      </c>
      <c r="E135" s="7">
        <v>100</v>
      </c>
      <c r="F135" s="7">
        <v>166</v>
      </c>
      <c r="G135" s="7">
        <v>105</v>
      </c>
      <c r="H135" s="7" t="s">
        <v>1051</v>
      </c>
      <c r="I135" s="7" t="s">
        <v>2854</v>
      </c>
      <c r="J135" s="7" t="s">
        <v>130</v>
      </c>
      <c r="K135" s="46">
        <v>0.93541666666666667</v>
      </c>
      <c r="L135" s="46">
        <v>0.97013888888888888</v>
      </c>
      <c r="M135" s="7" t="s">
        <v>109</v>
      </c>
      <c r="N135" s="7" t="s">
        <v>109</v>
      </c>
      <c r="O135" s="7" t="s">
        <v>61</v>
      </c>
      <c r="P135" s="7" t="s">
        <v>131</v>
      </c>
      <c r="Q135" s="7" t="s">
        <v>179</v>
      </c>
      <c r="R135" s="7" t="s">
        <v>62</v>
      </c>
      <c r="S135" s="7" t="s">
        <v>123</v>
      </c>
      <c r="T135" s="7" t="s">
        <v>480</v>
      </c>
      <c r="U135" s="111">
        <f t="shared" si="4"/>
        <v>1.05</v>
      </c>
      <c r="V135" s="7" t="s">
        <v>1941</v>
      </c>
    </row>
    <row r="136" spans="1:22" x14ac:dyDescent="0.3">
      <c r="A136" s="7">
        <v>135</v>
      </c>
      <c r="B136" s="7" t="s">
        <v>23</v>
      </c>
      <c r="C136" s="7" t="s">
        <v>1906</v>
      </c>
      <c r="D136" s="7">
        <v>50226027</v>
      </c>
      <c r="E136" s="7">
        <v>300</v>
      </c>
      <c r="F136" s="7">
        <v>616</v>
      </c>
      <c r="G136" s="7">
        <v>211</v>
      </c>
      <c r="H136" s="7" t="s">
        <v>2855</v>
      </c>
      <c r="I136" s="7" t="s">
        <v>2856</v>
      </c>
      <c r="J136" s="7" t="s">
        <v>130</v>
      </c>
      <c r="K136" s="46">
        <v>0.80833333333333335</v>
      </c>
      <c r="L136" s="46">
        <v>0.87013888888888891</v>
      </c>
      <c r="M136" s="7" t="s">
        <v>109</v>
      </c>
      <c r="N136" s="7" t="s">
        <v>109</v>
      </c>
      <c r="O136" s="7" t="s">
        <v>61</v>
      </c>
      <c r="P136" s="7" t="s">
        <v>131</v>
      </c>
      <c r="Q136" s="7" t="s">
        <v>87</v>
      </c>
      <c r="R136" s="7" t="s">
        <v>62</v>
      </c>
      <c r="S136" s="7" t="s">
        <v>123</v>
      </c>
      <c r="T136" s="7" t="s">
        <v>480</v>
      </c>
      <c r="U136" s="111">
        <f t="shared" si="4"/>
        <v>0.70333333333333337</v>
      </c>
      <c r="V136" s="7" t="s">
        <v>2862</v>
      </c>
    </row>
    <row r="137" spans="1:22" x14ac:dyDescent="0.3">
      <c r="A137" s="7">
        <v>136</v>
      </c>
      <c r="B137" s="7" t="s">
        <v>23</v>
      </c>
      <c r="C137" s="7" t="s">
        <v>1056</v>
      </c>
      <c r="D137" s="7">
        <v>50126316</v>
      </c>
      <c r="E137" s="7">
        <v>200</v>
      </c>
      <c r="F137" s="7">
        <v>416</v>
      </c>
      <c r="G137" s="7">
        <v>68</v>
      </c>
      <c r="H137" s="7" t="s">
        <v>2852</v>
      </c>
      <c r="I137" s="7" t="s">
        <v>2857</v>
      </c>
      <c r="J137" s="7" t="s">
        <v>130</v>
      </c>
      <c r="K137" s="46">
        <v>0.84236111111111112</v>
      </c>
      <c r="L137" s="46">
        <v>0.86944444444444446</v>
      </c>
      <c r="M137" s="7" t="s">
        <v>109</v>
      </c>
      <c r="N137" s="7" t="s">
        <v>109</v>
      </c>
      <c r="O137" s="7" t="s">
        <v>61</v>
      </c>
      <c r="P137" s="7" t="s">
        <v>131</v>
      </c>
      <c r="Q137" s="7" t="s">
        <v>209</v>
      </c>
      <c r="R137" s="7" t="s">
        <v>62</v>
      </c>
      <c r="S137" s="7" t="s">
        <v>123</v>
      </c>
      <c r="T137" s="7" t="s">
        <v>480</v>
      </c>
      <c r="U137" s="111">
        <f t="shared" si="4"/>
        <v>0.34</v>
      </c>
      <c r="V137" s="7" t="s">
        <v>2862</v>
      </c>
    </row>
    <row r="138" spans="1:22" x14ac:dyDescent="0.3">
      <c r="A138" s="7">
        <v>81</v>
      </c>
      <c r="B138" s="7" t="s">
        <v>23</v>
      </c>
      <c r="C138" s="7" t="s">
        <v>1753</v>
      </c>
      <c r="D138" s="7">
        <v>50126398</v>
      </c>
      <c r="E138" s="7">
        <v>100</v>
      </c>
      <c r="F138" s="7">
        <v>129</v>
      </c>
      <c r="G138" s="7">
        <v>67</v>
      </c>
      <c r="H138" s="7" t="s">
        <v>82</v>
      </c>
      <c r="I138" s="7" t="s">
        <v>109</v>
      </c>
      <c r="J138" s="7" t="s">
        <v>130</v>
      </c>
      <c r="K138" s="46">
        <v>4.8611111111111112E-2</v>
      </c>
      <c r="L138" s="7" t="s">
        <v>109</v>
      </c>
      <c r="M138" s="7" t="s">
        <v>109</v>
      </c>
      <c r="N138" s="7" t="s">
        <v>2818</v>
      </c>
      <c r="O138" s="7" t="s">
        <v>61</v>
      </c>
      <c r="P138" s="7" t="s">
        <v>131</v>
      </c>
      <c r="Q138" s="7" t="s">
        <v>82</v>
      </c>
      <c r="R138" s="7" t="s">
        <v>62</v>
      </c>
      <c r="S138" s="7" t="s">
        <v>123</v>
      </c>
      <c r="T138" s="7" t="s">
        <v>310</v>
      </c>
      <c r="U138" s="111">
        <f t="shared" si="4"/>
        <v>0.67</v>
      </c>
      <c r="V138" s="7" t="s">
        <v>889</v>
      </c>
    </row>
    <row r="139" spans="1:22" x14ac:dyDescent="0.3">
      <c r="A139" s="7">
        <v>138</v>
      </c>
      <c r="B139" s="7" t="s">
        <v>292</v>
      </c>
      <c r="C139" s="7" t="s">
        <v>2386</v>
      </c>
      <c r="D139" s="7">
        <v>40226005</v>
      </c>
      <c r="E139" s="7">
        <v>225</v>
      </c>
      <c r="F139" s="7">
        <v>408</v>
      </c>
      <c r="G139" s="7">
        <v>187</v>
      </c>
      <c r="H139" s="7" t="s">
        <v>2861</v>
      </c>
      <c r="I139" s="7" t="s">
        <v>109</v>
      </c>
      <c r="J139" s="7" t="s">
        <v>130</v>
      </c>
      <c r="K139" s="46">
        <v>0.86250000000000004</v>
      </c>
      <c r="L139" s="7" t="s">
        <v>109</v>
      </c>
      <c r="M139" s="7" t="s">
        <v>109</v>
      </c>
      <c r="N139" s="7" t="s">
        <v>109</v>
      </c>
      <c r="O139" s="7" t="s">
        <v>61</v>
      </c>
      <c r="P139" s="7" t="s">
        <v>131</v>
      </c>
      <c r="Q139" s="7" t="s">
        <v>1404</v>
      </c>
      <c r="R139" s="7" t="s">
        <v>63</v>
      </c>
      <c r="S139" s="7" t="s">
        <v>123</v>
      </c>
      <c r="T139" s="7" t="s">
        <v>295</v>
      </c>
      <c r="U139" s="111">
        <f t="shared" si="4"/>
        <v>0.83111111111111113</v>
      </c>
      <c r="V139" s="7" t="s">
        <v>2862</v>
      </c>
    </row>
    <row r="140" spans="1:22" x14ac:dyDescent="0.3">
      <c r="A140" s="7">
        <v>139</v>
      </c>
      <c r="B140" s="7" t="s">
        <v>23</v>
      </c>
      <c r="C140" s="7" t="s">
        <v>1840</v>
      </c>
      <c r="D140" s="7">
        <v>50226020</v>
      </c>
      <c r="E140" s="7">
        <v>62</v>
      </c>
      <c r="F140" s="7">
        <v>60</v>
      </c>
      <c r="G140" s="7">
        <v>37</v>
      </c>
      <c r="H140" s="7" t="s">
        <v>154</v>
      </c>
      <c r="I140" s="7" t="s">
        <v>109</v>
      </c>
      <c r="J140" s="7" t="s">
        <v>130</v>
      </c>
      <c r="K140" s="46">
        <v>0.97361111111111109</v>
      </c>
      <c r="L140" s="7" t="s">
        <v>109</v>
      </c>
      <c r="M140" s="7" t="s">
        <v>109</v>
      </c>
      <c r="N140" s="7" t="s">
        <v>109</v>
      </c>
      <c r="O140" s="7" t="s">
        <v>606</v>
      </c>
      <c r="P140" s="7" t="s">
        <v>131</v>
      </c>
      <c r="Q140" s="7" t="s">
        <v>154</v>
      </c>
      <c r="R140" s="7" t="s">
        <v>62</v>
      </c>
      <c r="S140" s="7" t="s">
        <v>2863</v>
      </c>
      <c r="T140" s="7" t="s">
        <v>278</v>
      </c>
      <c r="U140" s="111">
        <f t="shared" si="4"/>
        <v>0.59677419354838712</v>
      </c>
      <c r="V140" s="7" t="s">
        <v>606</v>
      </c>
    </row>
    <row r="141" spans="1:22" x14ac:dyDescent="0.3">
      <c r="A141" s="7">
        <v>140</v>
      </c>
      <c r="B141" s="7" t="s">
        <v>23</v>
      </c>
      <c r="C141" s="47" t="s">
        <v>817</v>
      </c>
      <c r="D141" s="7">
        <v>50126218</v>
      </c>
      <c r="E141" s="7">
        <v>24</v>
      </c>
      <c r="F141" s="7">
        <v>21</v>
      </c>
      <c r="G141" s="7">
        <v>21</v>
      </c>
      <c r="H141" s="7" t="s">
        <v>88</v>
      </c>
      <c r="I141" s="7" t="s">
        <v>109</v>
      </c>
      <c r="J141" s="7" t="s">
        <v>130</v>
      </c>
      <c r="K141" s="46">
        <v>0.93333333333333335</v>
      </c>
      <c r="L141" s="7" t="s">
        <v>109</v>
      </c>
      <c r="M141" s="7" t="s">
        <v>109</v>
      </c>
      <c r="N141" s="7" t="s">
        <v>109</v>
      </c>
      <c r="O141" s="7" t="s">
        <v>606</v>
      </c>
      <c r="P141" s="7" t="s">
        <v>131</v>
      </c>
      <c r="Q141" s="7" t="s">
        <v>88</v>
      </c>
      <c r="R141" s="7" t="s">
        <v>62</v>
      </c>
      <c r="S141" s="7" t="s">
        <v>2447</v>
      </c>
      <c r="T141" s="7" t="s">
        <v>424</v>
      </c>
      <c r="U141" s="111">
        <f t="shared" si="4"/>
        <v>0.875</v>
      </c>
      <c r="V141" s="7" t="s">
        <v>606</v>
      </c>
    </row>
    <row r="142" spans="1:22" x14ac:dyDescent="0.3">
      <c r="A142" s="7">
        <v>141</v>
      </c>
      <c r="B142" s="7" t="s">
        <v>23</v>
      </c>
      <c r="C142" s="47" t="s">
        <v>2479</v>
      </c>
      <c r="D142" s="7">
        <v>50226098</v>
      </c>
      <c r="E142" s="7">
        <v>169</v>
      </c>
      <c r="F142" s="7">
        <v>129</v>
      </c>
      <c r="G142" s="7">
        <v>50</v>
      </c>
      <c r="H142" s="7" t="s">
        <v>2854</v>
      </c>
      <c r="I142" s="7" t="s">
        <v>109</v>
      </c>
      <c r="J142" s="7" t="s">
        <v>130</v>
      </c>
      <c r="K142" s="46">
        <v>2.7777777777777776E-2</v>
      </c>
      <c r="L142" s="7" t="s">
        <v>109</v>
      </c>
      <c r="M142" s="7" t="s">
        <v>109</v>
      </c>
      <c r="N142" s="7" t="s">
        <v>109</v>
      </c>
      <c r="O142" s="7" t="s">
        <v>606</v>
      </c>
      <c r="P142" s="7" t="s">
        <v>131</v>
      </c>
      <c r="Q142" s="7" t="s">
        <v>179</v>
      </c>
      <c r="R142" s="7" t="s">
        <v>62</v>
      </c>
      <c r="S142" s="7" t="s">
        <v>2864</v>
      </c>
      <c r="T142" s="7" t="s">
        <v>2473</v>
      </c>
      <c r="U142" s="111">
        <f t="shared" si="4"/>
        <v>0.29585798816568049</v>
      </c>
      <c r="V142" s="7" t="s">
        <v>606</v>
      </c>
    </row>
    <row r="143" spans="1:22" x14ac:dyDescent="0.3">
      <c r="A143" s="7">
        <v>142</v>
      </c>
      <c r="B143" s="7" t="s">
        <v>163</v>
      </c>
      <c r="C143" s="7" t="s">
        <v>167</v>
      </c>
      <c r="D143" s="7">
        <v>40126007</v>
      </c>
      <c r="E143" s="7">
        <v>570</v>
      </c>
      <c r="F143" s="7">
        <v>106</v>
      </c>
      <c r="G143" s="7">
        <v>56</v>
      </c>
      <c r="H143" s="7" t="s">
        <v>2921</v>
      </c>
      <c r="I143" s="7" t="s">
        <v>109</v>
      </c>
      <c r="J143" s="7" t="s">
        <v>130</v>
      </c>
      <c r="K143" s="46">
        <v>0.26944444444444443</v>
      </c>
      <c r="L143" s="7" t="s">
        <v>109</v>
      </c>
      <c r="M143" s="7" t="s">
        <v>109</v>
      </c>
      <c r="N143" s="7" t="s">
        <v>109</v>
      </c>
      <c r="O143" s="7" t="s">
        <v>606</v>
      </c>
      <c r="P143" s="7" t="s">
        <v>131</v>
      </c>
      <c r="Q143" s="7" t="s">
        <v>2692</v>
      </c>
      <c r="R143" s="7" t="s">
        <v>62</v>
      </c>
      <c r="S143" s="7" t="s">
        <v>2692</v>
      </c>
      <c r="T143" s="7" t="s">
        <v>166</v>
      </c>
      <c r="U143" s="111">
        <f t="shared" si="4"/>
        <v>9.8245614035087719E-2</v>
      </c>
      <c r="V143" s="7" t="s">
        <v>606</v>
      </c>
    </row>
  </sheetData>
  <conditionalFormatting sqref="D1">
    <cfRule type="duplicateValues" dxfId="52" priority="1"/>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B9B93-0929-413F-96EC-EE0846A165AA}">
  <dimension ref="A1:V127"/>
  <sheetViews>
    <sheetView workbookViewId="0">
      <pane ySplit="1" topLeftCell="A2" activePane="bottomLeft" state="frozen"/>
      <selection pane="bottomLeft"/>
    </sheetView>
  </sheetViews>
  <sheetFormatPr defaultRowHeight="14.4" x14ac:dyDescent="0.3"/>
  <cols>
    <col min="1" max="1" width="3.109375" bestFit="1" customWidth="1"/>
    <col min="2" max="2" width="8.6640625" bestFit="1" customWidth="1"/>
    <col min="3" max="3" width="14.5546875" bestFit="1" customWidth="1"/>
    <col min="4" max="4" width="10.44140625" bestFit="1" customWidth="1"/>
    <col min="5" max="5" width="13.88671875" bestFit="1" customWidth="1"/>
    <col min="6" max="6" width="15.109375" bestFit="1" customWidth="1"/>
    <col min="7" max="7" width="8.5546875" bestFit="1" customWidth="1"/>
    <col min="8" max="8" width="7.33203125" bestFit="1" customWidth="1"/>
    <col min="9" max="9" width="15.88671875" bestFit="1" customWidth="1"/>
    <col min="10" max="10" width="6.21875" bestFit="1" customWidth="1"/>
    <col min="11" max="12" width="16.21875" bestFit="1" customWidth="1"/>
    <col min="13" max="13" width="12.5546875" bestFit="1" customWidth="1"/>
    <col min="14" max="14" width="8.21875" bestFit="1" customWidth="1"/>
    <col min="15" max="15" width="6.77734375" bestFit="1" customWidth="1"/>
    <col min="16" max="16" width="14.33203125" bestFit="1" customWidth="1"/>
    <col min="17" max="17" width="11.77734375" bestFit="1" customWidth="1"/>
    <col min="18" max="18" width="14.33203125" bestFit="1" customWidth="1"/>
    <col min="19" max="19" width="12.21875" bestFit="1" customWidth="1"/>
    <col min="20" max="20" width="5.77734375" bestFit="1" customWidth="1"/>
    <col min="21" max="21" width="37.44140625" bestFit="1" customWidth="1"/>
    <col min="22" max="22" width="10.109375" bestFit="1" customWidth="1"/>
  </cols>
  <sheetData>
    <row r="1" spans="1:22" x14ac:dyDescent="0.3">
      <c r="A1" s="1" t="s">
        <v>0</v>
      </c>
      <c r="B1" s="1" t="s">
        <v>1</v>
      </c>
      <c r="C1" s="1" t="s">
        <v>2</v>
      </c>
      <c r="D1" s="1" t="s">
        <v>3</v>
      </c>
      <c r="E1" s="1" t="s">
        <v>4</v>
      </c>
      <c r="F1" s="1" t="s">
        <v>5</v>
      </c>
      <c r="G1" s="1" t="s">
        <v>6</v>
      </c>
      <c r="H1" s="1" t="s">
        <v>7</v>
      </c>
      <c r="I1" s="1" t="s">
        <v>8</v>
      </c>
      <c r="J1" s="1" t="s">
        <v>9</v>
      </c>
      <c r="K1" s="2" t="s">
        <v>2218</v>
      </c>
      <c r="L1" s="2" t="s">
        <v>2219</v>
      </c>
      <c r="M1" s="3" t="s">
        <v>2281</v>
      </c>
      <c r="N1" s="4" t="s">
        <v>13</v>
      </c>
      <c r="O1" s="1" t="s">
        <v>14</v>
      </c>
      <c r="P1" s="1" t="s">
        <v>15</v>
      </c>
      <c r="Q1" s="1" t="s">
        <v>16</v>
      </c>
      <c r="R1" s="1" t="s">
        <v>17</v>
      </c>
      <c r="S1" s="127" t="s">
        <v>2282</v>
      </c>
      <c r="T1" s="1" t="s">
        <v>19</v>
      </c>
      <c r="U1" s="1" t="s">
        <v>20</v>
      </c>
      <c r="V1" s="1" t="s">
        <v>21</v>
      </c>
    </row>
    <row r="2" spans="1:22" x14ac:dyDescent="0.3">
      <c r="A2" s="7">
        <v>1</v>
      </c>
      <c r="B2" s="7" t="s">
        <v>24</v>
      </c>
      <c r="C2" s="7" t="s">
        <v>2867</v>
      </c>
      <c r="D2" s="7">
        <v>60326001</v>
      </c>
      <c r="E2" s="7">
        <v>428</v>
      </c>
      <c r="F2" s="7">
        <v>434</v>
      </c>
      <c r="G2" s="7">
        <v>100</v>
      </c>
      <c r="H2" s="7" t="s">
        <v>2868</v>
      </c>
      <c r="I2" s="7" t="s">
        <v>2869</v>
      </c>
      <c r="J2" s="7" t="s">
        <v>130</v>
      </c>
      <c r="K2" s="46">
        <v>0.78263888888888888</v>
      </c>
      <c r="L2" s="46">
        <v>0.80277777777777781</v>
      </c>
      <c r="M2" s="7" t="s">
        <v>109</v>
      </c>
      <c r="N2" s="7" t="s">
        <v>298</v>
      </c>
      <c r="O2" s="7" t="s">
        <v>61</v>
      </c>
      <c r="P2" s="7" t="s">
        <v>131</v>
      </c>
      <c r="Q2" s="7" t="s">
        <v>86</v>
      </c>
      <c r="R2" s="7" t="s">
        <v>63</v>
      </c>
      <c r="S2" s="7" t="s">
        <v>2249</v>
      </c>
      <c r="T2" s="7" t="s">
        <v>2870</v>
      </c>
      <c r="U2" s="111">
        <f t="shared" ref="U2:U33" si="0">G2/E2</f>
        <v>0.23364485981308411</v>
      </c>
      <c r="V2" s="7" t="s">
        <v>2914</v>
      </c>
    </row>
    <row r="3" spans="1:22" x14ac:dyDescent="0.3">
      <c r="A3" s="7">
        <v>2</v>
      </c>
      <c r="B3" s="7" t="s">
        <v>26</v>
      </c>
      <c r="C3" s="7" t="s">
        <v>2048</v>
      </c>
      <c r="D3" s="7">
        <v>40226003</v>
      </c>
      <c r="E3" s="7">
        <v>307</v>
      </c>
      <c r="F3" s="7">
        <v>162</v>
      </c>
      <c r="G3" s="7">
        <v>5</v>
      </c>
      <c r="H3" s="7" t="s">
        <v>2871</v>
      </c>
      <c r="I3" s="7" t="s">
        <v>2815</v>
      </c>
      <c r="J3" s="7" t="s">
        <v>130</v>
      </c>
      <c r="K3" s="46">
        <v>0.74861111111111112</v>
      </c>
      <c r="L3" s="46">
        <v>0.85902777777777772</v>
      </c>
      <c r="M3" s="7" t="s">
        <v>109</v>
      </c>
      <c r="N3" s="7" t="s">
        <v>298</v>
      </c>
      <c r="O3" s="7" t="s">
        <v>61</v>
      </c>
      <c r="P3" s="7" t="s">
        <v>131</v>
      </c>
      <c r="Q3" s="7" t="s">
        <v>209</v>
      </c>
      <c r="R3" s="7" t="s">
        <v>62</v>
      </c>
      <c r="S3" s="7" t="s">
        <v>2249</v>
      </c>
      <c r="T3" s="7" t="s">
        <v>121</v>
      </c>
      <c r="U3" s="111">
        <f t="shared" si="0"/>
        <v>1.6286644951140065E-2</v>
      </c>
      <c r="V3" s="7" t="s">
        <v>2914</v>
      </c>
    </row>
    <row r="4" spans="1:22" x14ac:dyDescent="0.3">
      <c r="A4" s="7">
        <v>3</v>
      </c>
      <c r="B4" s="7" t="s">
        <v>26</v>
      </c>
      <c r="C4" s="7" t="s">
        <v>1388</v>
      </c>
      <c r="D4" s="7">
        <v>40126024</v>
      </c>
      <c r="E4" s="7">
        <v>433</v>
      </c>
      <c r="F4" s="7">
        <v>808</v>
      </c>
      <c r="G4" s="7">
        <v>210</v>
      </c>
      <c r="H4" s="7" t="s">
        <v>2872</v>
      </c>
      <c r="I4" s="7" t="s">
        <v>2873</v>
      </c>
      <c r="J4" s="7" t="s">
        <v>130</v>
      </c>
      <c r="K4" s="46">
        <v>0.91597222222222219</v>
      </c>
      <c r="L4" s="46">
        <v>0.98888888888888893</v>
      </c>
      <c r="M4" s="7" t="s">
        <v>109</v>
      </c>
      <c r="N4" s="7" t="s">
        <v>109</v>
      </c>
      <c r="O4" s="7" t="s">
        <v>61</v>
      </c>
      <c r="P4" s="7" t="s">
        <v>131</v>
      </c>
      <c r="Q4" s="7" t="s">
        <v>179</v>
      </c>
      <c r="R4" s="7" t="s">
        <v>62</v>
      </c>
      <c r="S4" s="7" t="s">
        <v>2249</v>
      </c>
      <c r="T4" s="7" t="s">
        <v>121</v>
      </c>
      <c r="U4" s="111">
        <f t="shared" si="0"/>
        <v>0.48498845265588914</v>
      </c>
      <c r="V4" s="7" t="s">
        <v>2862</v>
      </c>
    </row>
    <row r="5" spans="1:22" x14ac:dyDescent="0.3">
      <c r="A5" s="7">
        <v>4</v>
      </c>
      <c r="B5" s="7" t="s">
        <v>26</v>
      </c>
      <c r="C5" s="7" t="s">
        <v>1389</v>
      </c>
      <c r="D5" s="7">
        <v>40126028</v>
      </c>
      <c r="E5" s="7">
        <v>299</v>
      </c>
      <c r="F5" s="7">
        <v>487</v>
      </c>
      <c r="G5" s="7">
        <v>54</v>
      </c>
      <c r="H5" s="7" t="s">
        <v>2812</v>
      </c>
      <c r="I5" s="7" t="s">
        <v>2874</v>
      </c>
      <c r="J5" s="7" t="s">
        <v>130</v>
      </c>
      <c r="K5" s="46">
        <v>0.84513888888888888</v>
      </c>
      <c r="L5" s="46">
        <v>0.90555555555555556</v>
      </c>
      <c r="M5" s="7" t="s">
        <v>109</v>
      </c>
      <c r="N5" s="7" t="s">
        <v>109</v>
      </c>
      <c r="O5" s="7" t="s">
        <v>61</v>
      </c>
      <c r="P5" s="7" t="s">
        <v>131</v>
      </c>
      <c r="Q5" s="7" t="s">
        <v>86</v>
      </c>
      <c r="R5" s="7" t="s">
        <v>62</v>
      </c>
      <c r="S5" s="7" t="s">
        <v>2249</v>
      </c>
      <c r="T5" s="7" t="s">
        <v>121</v>
      </c>
      <c r="U5" s="111">
        <f t="shared" si="0"/>
        <v>0.1806020066889632</v>
      </c>
      <c r="V5" s="7" t="s">
        <v>2862</v>
      </c>
    </row>
    <row r="6" spans="1:22" x14ac:dyDescent="0.3">
      <c r="A6" s="7">
        <v>5</v>
      </c>
      <c r="B6" s="7" t="s">
        <v>26</v>
      </c>
      <c r="C6" s="7" t="s">
        <v>1778</v>
      </c>
      <c r="D6" s="7">
        <v>40226001</v>
      </c>
      <c r="E6" s="7">
        <v>329</v>
      </c>
      <c r="F6" s="7">
        <v>12</v>
      </c>
      <c r="G6" s="7">
        <v>4</v>
      </c>
      <c r="H6" s="7" t="s">
        <v>82</v>
      </c>
      <c r="I6" s="7" t="s">
        <v>95</v>
      </c>
      <c r="J6" s="7" t="s">
        <v>130</v>
      </c>
      <c r="K6" s="46">
        <v>0.69444444444444442</v>
      </c>
      <c r="L6" s="46">
        <v>0.71597222222222223</v>
      </c>
      <c r="M6" s="7" t="s">
        <v>109</v>
      </c>
      <c r="N6" s="7" t="s">
        <v>109</v>
      </c>
      <c r="O6" s="7" t="s">
        <v>61</v>
      </c>
      <c r="P6" s="7" t="s">
        <v>131</v>
      </c>
      <c r="Q6" s="7" t="s">
        <v>95</v>
      </c>
      <c r="R6" s="7" t="s">
        <v>62</v>
      </c>
      <c r="S6" s="7" t="s">
        <v>2249</v>
      </c>
      <c r="T6" s="7" t="s">
        <v>121</v>
      </c>
      <c r="U6" s="111">
        <f t="shared" si="0"/>
        <v>1.2158054711246201E-2</v>
      </c>
      <c r="V6" s="7" t="s">
        <v>889</v>
      </c>
    </row>
    <row r="7" spans="1:22" x14ac:dyDescent="0.3">
      <c r="A7" s="7">
        <v>6</v>
      </c>
      <c r="B7" s="7" t="s">
        <v>26</v>
      </c>
      <c r="C7" s="7" t="s">
        <v>1391</v>
      </c>
      <c r="D7" s="7">
        <v>40126023</v>
      </c>
      <c r="E7" s="7">
        <v>159</v>
      </c>
      <c r="F7" s="7">
        <v>300</v>
      </c>
      <c r="G7" s="7">
        <v>26</v>
      </c>
      <c r="H7" s="7" t="s">
        <v>1837</v>
      </c>
      <c r="I7" s="7" t="s">
        <v>294</v>
      </c>
      <c r="J7" s="7" t="s">
        <v>130</v>
      </c>
      <c r="K7" s="46">
        <v>0.97222222222222221</v>
      </c>
      <c r="L7" s="46">
        <v>0.99444444444444446</v>
      </c>
      <c r="M7" s="7" t="s">
        <v>109</v>
      </c>
      <c r="N7" s="7" t="s">
        <v>109</v>
      </c>
      <c r="O7" s="7" t="s">
        <v>61</v>
      </c>
      <c r="P7" s="7" t="s">
        <v>131</v>
      </c>
      <c r="Q7" s="7" t="s">
        <v>209</v>
      </c>
      <c r="R7" s="7" t="s">
        <v>62</v>
      </c>
      <c r="S7" s="7" t="s">
        <v>2249</v>
      </c>
      <c r="T7" s="7" t="s">
        <v>121</v>
      </c>
      <c r="U7" s="111">
        <f t="shared" si="0"/>
        <v>0.16352201257861634</v>
      </c>
      <c r="V7" s="7" t="s">
        <v>2862</v>
      </c>
    </row>
    <row r="8" spans="1:22" x14ac:dyDescent="0.3">
      <c r="A8" s="7">
        <v>7</v>
      </c>
      <c r="B8" s="7" t="s">
        <v>26</v>
      </c>
      <c r="C8" s="7" t="s">
        <v>2875</v>
      </c>
      <c r="D8" s="7">
        <v>40326001</v>
      </c>
      <c r="E8" s="7">
        <v>298</v>
      </c>
      <c r="F8" s="7">
        <v>442</v>
      </c>
      <c r="G8" s="7">
        <v>305</v>
      </c>
      <c r="H8" s="7" t="s">
        <v>2876</v>
      </c>
      <c r="I8" s="7" t="s">
        <v>2908</v>
      </c>
      <c r="J8" s="7" t="s">
        <v>130</v>
      </c>
      <c r="K8" s="46">
        <v>0.69791666666666663</v>
      </c>
      <c r="L8" s="46">
        <v>0.79652777777777772</v>
      </c>
      <c r="M8" s="7" t="s">
        <v>109</v>
      </c>
      <c r="N8" s="7" t="s">
        <v>110</v>
      </c>
      <c r="O8" s="7" t="s">
        <v>61</v>
      </c>
      <c r="P8" s="7" t="s">
        <v>131</v>
      </c>
      <c r="Q8" s="7" t="s">
        <v>209</v>
      </c>
      <c r="R8" s="7" t="s">
        <v>62</v>
      </c>
      <c r="S8" s="7" t="s">
        <v>2249</v>
      </c>
      <c r="T8" s="7" t="s">
        <v>1397</v>
      </c>
      <c r="U8" s="111">
        <f t="shared" si="0"/>
        <v>1.023489932885906</v>
      </c>
      <c r="V8" s="7" t="s">
        <v>1941</v>
      </c>
    </row>
    <row r="9" spans="1:22" x14ac:dyDescent="0.3">
      <c r="A9" s="7">
        <v>8</v>
      </c>
      <c r="B9" s="7" t="s">
        <v>23</v>
      </c>
      <c r="C9" s="7" t="s">
        <v>529</v>
      </c>
      <c r="D9" s="7">
        <v>50126059</v>
      </c>
      <c r="E9" s="7">
        <v>95</v>
      </c>
      <c r="F9" s="7">
        <v>50</v>
      </c>
      <c r="G9" s="7">
        <v>33</v>
      </c>
      <c r="H9" s="44" t="s">
        <v>67</v>
      </c>
      <c r="I9" s="7" t="s">
        <v>109</v>
      </c>
      <c r="J9" s="7" t="s">
        <v>130</v>
      </c>
      <c r="K9" s="46">
        <v>0.7583333333333333</v>
      </c>
      <c r="L9" s="7" t="s">
        <v>109</v>
      </c>
      <c r="M9" s="7" t="s">
        <v>109</v>
      </c>
      <c r="N9" s="7" t="s">
        <v>110</v>
      </c>
      <c r="O9" s="7" t="s">
        <v>61</v>
      </c>
      <c r="P9" s="7" t="s">
        <v>131</v>
      </c>
      <c r="Q9" s="7" t="s">
        <v>67</v>
      </c>
      <c r="R9" s="7" t="s">
        <v>62</v>
      </c>
      <c r="S9" s="7" t="s">
        <v>2249</v>
      </c>
      <c r="T9" s="7" t="s">
        <v>424</v>
      </c>
      <c r="U9" s="111">
        <f t="shared" si="0"/>
        <v>0.3473684210526316</v>
      </c>
      <c r="V9" s="7" t="s">
        <v>889</v>
      </c>
    </row>
    <row r="10" spans="1:22" x14ac:dyDescent="0.3">
      <c r="A10" s="7">
        <v>9</v>
      </c>
      <c r="B10" s="7" t="s">
        <v>23</v>
      </c>
      <c r="C10" s="7" t="s">
        <v>542</v>
      </c>
      <c r="D10" s="7">
        <v>50126089</v>
      </c>
      <c r="E10" s="7">
        <v>95</v>
      </c>
      <c r="F10" s="7">
        <v>160</v>
      </c>
      <c r="G10" s="7">
        <v>43</v>
      </c>
      <c r="H10" s="7" t="s">
        <v>184</v>
      </c>
      <c r="I10" s="7" t="s">
        <v>109</v>
      </c>
      <c r="J10" s="7" t="s">
        <v>130</v>
      </c>
      <c r="K10" s="46">
        <v>0.65694444444444444</v>
      </c>
      <c r="L10" s="7" t="s">
        <v>109</v>
      </c>
      <c r="M10" s="7" t="s">
        <v>109</v>
      </c>
      <c r="N10" s="7" t="s">
        <v>110</v>
      </c>
      <c r="O10" s="7" t="s">
        <v>61</v>
      </c>
      <c r="P10" s="7" t="s">
        <v>131</v>
      </c>
      <c r="Q10" s="7" t="s">
        <v>184</v>
      </c>
      <c r="R10" s="7" t="s">
        <v>62</v>
      </c>
      <c r="S10" s="7" t="s">
        <v>2249</v>
      </c>
      <c r="T10" s="7" t="s">
        <v>424</v>
      </c>
      <c r="U10" s="111">
        <f t="shared" si="0"/>
        <v>0.45263157894736844</v>
      </c>
      <c r="V10" s="7" t="s">
        <v>889</v>
      </c>
    </row>
    <row r="11" spans="1:22" x14ac:dyDescent="0.3">
      <c r="A11" s="7">
        <v>10</v>
      </c>
      <c r="B11" s="7" t="s">
        <v>23</v>
      </c>
      <c r="C11" s="7" t="s">
        <v>2035</v>
      </c>
      <c r="D11" s="7">
        <v>50226038</v>
      </c>
      <c r="E11" s="7">
        <v>150</v>
      </c>
      <c r="F11" s="7">
        <v>68</v>
      </c>
      <c r="G11" s="7">
        <v>42</v>
      </c>
      <c r="H11" s="7" t="s">
        <v>2877</v>
      </c>
      <c r="I11" s="7" t="s">
        <v>109</v>
      </c>
      <c r="J11" s="7" t="s">
        <v>130</v>
      </c>
      <c r="K11" s="46">
        <v>0.92222222222222228</v>
      </c>
      <c r="L11" s="7" t="s">
        <v>109</v>
      </c>
      <c r="M11" s="7" t="s">
        <v>109</v>
      </c>
      <c r="N11" s="7" t="s">
        <v>110</v>
      </c>
      <c r="O11" s="7" t="s">
        <v>61</v>
      </c>
      <c r="P11" s="7" t="s">
        <v>131</v>
      </c>
      <c r="Q11" s="7" t="s">
        <v>82</v>
      </c>
      <c r="R11" s="7" t="s">
        <v>62</v>
      </c>
      <c r="S11" s="7" t="s">
        <v>2249</v>
      </c>
      <c r="T11" s="7" t="s">
        <v>424</v>
      </c>
      <c r="U11" s="111">
        <f t="shared" si="0"/>
        <v>0.28000000000000003</v>
      </c>
      <c r="V11" s="7" t="s">
        <v>889</v>
      </c>
    </row>
    <row r="12" spans="1:22" x14ac:dyDescent="0.3">
      <c r="A12" s="7">
        <v>11</v>
      </c>
      <c r="B12" s="7" t="s">
        <v>23</v>
      </c>
      <c r="C12" s="7" t="s">
        <v>724</v>
      </c>
      <c r="D12" s="7">
        <v>50126112</v>
      </c>
      <c r="E12" s="7">
        <v>150</v>
      </c>
      <c r="F12" s="7">
        <v>282</v>
      </c>
      <c r="G12" s="7">
        <v>144</v>
      </c>
      <c r="H12" s="7" t="s">
        <v>229</v>
      </c>
      <c r="I12" s="7" t="s">
        <v>109</v>
      </c>
      <c r="J12" s="7" t="s">
        <v>130</v>
      </c>
      <c r="K12" s="46">
        <v>0.69444444444444442</v>
      </c>
      <c r="L12" s="7" t="s">
        <v>109</v>
      </c>
      <c r="M12" s="7" t="s">
        <v>109</v>
      </c>
      <c r="N12" s="7" t="s">
        <v>110</v>
      </c>
      <c r="O12" s="7" t="s">
        <v>61</v>
      </c>
      <c r="P12" s="7" t="s">
        <v>131</v>
      </c>
      <c r="Q12" s="7" t="s">
        <v>68</v>
      </c>
      <c r="R12" s="7" t="s">
        <v>62</v>
      </c>
      <c r="S12" s="7" t="s">
        <v>2249</v>
      </c>
      <c r="T12" s="7" t="s">
        <v>424</v>
      </c>
      <c r="U12" s="111">
        <f t="shared" si="0"/>
        <v>0.96</v>
      </c>
      <c r="V12" s="7" t="s">
        <v>1941</v>
      </c>
    </row>
    <row r="13" spans="1:22" x14ac:dyDescent="0.3">
      <c r="A13" s="7">
        <v>12</v>
      </c>
      <c r="B13" s="7" t="s">
        <v>23</v>
      </c>
      <c r="C13" s="7" t="s">
        <v>548</v>
      </c>
      <c r="D13" s="7">
        <v>50126095</v>
      </c>
      <c r="E13" s="7">
        <v>120</v>
      </c>
      <c r="F13" s="7">
        <v>206</v>
      </c>
      <c r="G13" s="7">
        <v>121</v>
      </c>
      <c r="H13" s="7" t="s">
        <v>2878</v>
      </c>
      <c r="I13" s="7" t="s">
        <v>109</v>
      </c>
      <c r="J13" s="7" t="s">
        <v>130</v>
      </c>
      <c r="K13" s="46">
        <v>0.68402777777777779</v>
      </c>
      <c r="L13" s="7" t="s">
        <v>109</v>
      </c>
      <c r="M13" s="7" t="s">
        <v>109</v>
      </c>
      <c r="N13" s="7" t="s">
        <v>110</v>
      </c>
      <c r="O13" s="7" t="s">
        <v>61</v>
      </c>
      <c r="P13" s="7" t="s">
        <v>131</v>
      </c>
      <c r="Q13" s="7" t="s">
        <v>241</v>
      </c>
      <c r="R13" s="7" t="s">
        <v>62</v>
      </c>
      <c r="S13" s="7" t="s">
        <v>2249</v>
      </c>
      <c r="T13" s="7" t="s">
        <v>424</v>
      </c>
      <c r="U13" s="111">
        <f t="shared" si="0"/>
        <v>1.0083333333333333</v>
      </c>
      <c r="V13" s="7" t="s">
        <v>1941</v>
      </c>
    </row>
    <row r="14" spans="1:22" x14ac:dyDescent="0.3">
      <c r="A14" s="7">
        <v>13</v>
      </c>
      <c r="B14" s="7" t="s">
        <v>23</v>
      </c>
      <c r="C14" s="7" t="s">
        <v>904</v>
      </c>
      <c r="D14" s="7">
        <v>50126243</v>
      </c>
      <c r="E14" s="7">
        <v>55</v>
      </c>
      <c r="F14" s="7">
        <v>100</v>
      </c>
      <c r="G14" s="7">
        <v>66</v>
      </c>
      <c r="H14" s="7" t="s">
        <v>274</v>
      </c>
      <c r="I14" s="7" t="s">
        <v>109</v>
      </c>
      <c r="J14" s="7" t="s">
        <v>130</v>
      </c>
      <c r="K14" s="46">
        <v>0.95277777777777772</v>
      </c>
      <c r="L14" s="7" t="s">
        <v>109</v>
      </c>
      <c r="M14" s="7" t="s">
        <v>109</v>
      </c>
      <c r="N14" s="7" t="s">
        <v>109</v>
      </c>
      <c r="O14" s="7" t="s">
        <v>61</v>
      </c>
      <c r="P14" s="7" t="s">
        <v>131</v>
      </c>
      <c r="Q14" s="7" t="s">
        <v>274</v>
      </c>
      <c r="R14" s="7" t="s">
        <v>62</v>
      </c>
      <c r="S14" s="7" t="s">
        <v>2249</v>
      </c>
      <c r="T14" s="7" t="s">
        <v>424</v>
      </c>
      <c r="U14" s="111">
        <f t="shared" si="0"/>
        <v>1.2</v>
      </c>
      <c r="V14" s="7" t="s">
        <v>1941</v>
      </c>
    </row>
    <row r="15" spans="1:22" x14ac:dyDescent="0.3">
      <c r="A15" s="7">
        <v>14</v>
      </c>
      <c r="B15" s="7" t="s">
        <v>23</v>
      </c>
      <c r="C15" s="7" t="s">
        <v>905</v>
      </c>
      <c r="D15" s="7">
        <v>50126244</v>
      </c>
      <c r="E15" s="7">
        <v>65</v>
      </c>
      <c r="F15" s="7">
        <v>96</v>
      </c>
      <c r="G15" s="7">
        <v>68</v>
      </c>
      <c r="H15" s="7" t="s">
        <v>200</v>
      </c>
      <c r="I15" s="7" t="s">
        <v>109</v>
      </c>
      <c r="J15" s="7" t="s">
        <v>130</v>
      </c>
      <c r="K15" s="46">
        <v>1.8749999999999999E-2</v>
      </c>
      <c r="L15" s="7" t="s">
        <v>109</v>
      </c>
      <c r="M15" s="7" t="s">
        <v>109</v>
      </c>
      <c r="N15" s="7" t="s">
        <v>109</v>
      </c>
      <c r="O15" s="7" t="s">
        <v>61</v>
      </c>
      <c r="P15" s="7" t="s">
        <v>131</v>
      </c>
      <c r="Q15" s="7" t="s">
        <v>200</v>
      </c>
      <c r="R15" s="7" t="s">
        <v>62</v>
      </c>
      <c r="S15" s="7" t="s">
        <v>2249</v>
      </c>
      <c r="T15" s="7" t="s">
        <v>424</v>
      </c>
      <c r="U15" s="111">
        <f t="shared" si="0"/>
        <v>1.0461538461538462</v>
      </c>
      <c r="V15" s="7" t="s">
        <v>1941</v>
      </c>
    </row>
    <row r="16" spans="1:22" x14ac:dyDescent="0.3">
      <c r="A16" s="7">
        <v>15</v>
      </c>
      <c r="B16" s="7" t="s">
        <v>23</v>
      </c>
      <c r="C16" s="7" t="s">
        <v>914</v>
      </c>
      <c r="D16" s="7">
        <v>50126248</v>
      </c>
      <c r="E16" s="7">
        <v>60</v>
      </c>
      <c r="F16" s="7">
        <v>55</v>
      </c>
      <c r="G16" s="7">
        <v>41</v>
      </c>
      <c r="H16" s="7" t="s">
        <v>222</v>
      </c>
      <c r="I16" s="7" t="s">
        <v>109</v>
      </c>
      <c r="J16" s="7" t="s">
        <v>130</v>
      </c>
      <c r="K16" s="46">
        <v>0.92500000000000004</v>
      </c>
      <c r="L16" s="7" t="s">
        <v>109</v>
      </c>
      <c r="M16" s="7" t="s">
        <v>109</v>
      </c>
      <c r="N16" s="7" t="s">
        <v>109</v>
      </c>
      <c r="O16" s="7" t="s">
        <v>61</v>
      </c>
      <c r="P16" s="7" t="s">
        <v>131</v>
      </c>
      <c r="Q16" s="7" t="s">
        <v>222</v>
      </c>
      <c r="R16" s="7" t="s">
        <v>62</v>
      </c>
      <c r="S16" s="7" t="s">
        <v>2249</v>
      </c>
      <c r="T16" s="7" t="s">
        <v>424</v>
      </c>
      <c r="U16" s="111">
        <f t="shared" si="0"/>
        <v>0.68333333333333335</v>
      </c>
      <c r="V16" s="7" t="s">
        <v>889</v>
      </c>
    </row>
    <row r="17" spans="1:22" x14ac:dyDescent="0.3">
      <c r="A17" s="7">
        <v>16</v>
      </c>
      <c r="B17" s="7" t="s">
        <v>23</v>
      </c>
      <c r="C17" s="7" t="s">
        <v>917</v>
      </c>
      <c r="D17" s="7">
        <v>50126255</v>
      </c>
      <c r="E17" s="7">
        <v>65</v>
      </c>
      <c r="F17" s="7">
        <v>144</v>
      </c>
      <c r="G17" s="7">
        <v>67</v>
      </c>
      <c r="H17" s="7" t="s">
        <v>86</v>
      </c>
      <c r="I17" s="7" t="s">
        <v>109</v>
      </c>
      <c r="J17" s="7" t="s">
        <v>130</v>
      </c>
      <c r="K17" s="46">
        <v>0.97222222222222221</v>
      </c>
      <c r="L17" s="7" t="s">
        <v>109</v>
      </c>
      <c r="M17" s="7" t="s">
        <v>109</v>
      </c>
      <c r="N17" s="7" t="s">
        <v>109</v>
      </c>
      <c r="O17" s="7" t="s">
        <v>61</v>
      </c>
      <c r="P17" s="7" t="s">
        <v>131</v>
      </c>
      <c r="Q17" s="7" t="s">
        <v>86</v>
      </c>
      <c r="R17" s="7" t="s">
        <v>62</v>
      </c>
      <c r="S17" s="7" t="s">
        <v>2249</v>
      </c>
      <c r="T17" s="7" t="s">
        <v>424</v>
      </c>
      <c r="U17" s="111">
        <f t="shared" si="0"/>
        <v>1.0307692307692307</v>
      </c>
      <c r="V17" s="7" t="s">
        <v>1941</v>
      </c>
    </row>
    <row r="18" spans="1:22" x14ac:dyDescent="0.3">
      <c r="A18" s="7">
        <v>17</v>
      </c>
      <c r="B18" s="7" t="s">
        <v>23</v>
      </c>
      <c r="C18" s="7" t="s">
        <v>708</v>
      </c>
      <c r="D18" s="7">
        <v>50126163</v>
      </c>
      <c r="E18" s="7">
        <v>40</v>
      </c>
      <c r="F18" s="7">
        <v>115</v>
      </c>
      <c r="G18" s="7">
        <v>48</v>
      </c>
      <c r="H18" s="7" t="s">
        <v>88</v>
      </c>
      <c r="I18" s="7" t="s">
        <v>109</v>
      </c>
      <c r="J18" s="7" t="s">
        <v>130</v>
      </c>
      <c r="K18" s="46">
        <v>0.74027777777777781</v>
      </c>
      <c r="L18" s="7" t="s">
        <v>109</v>
      </c>
      <c r="M18" s="7" t="s">
        <v>109</v>
      </c>
      <c r="N18" s="7" t="s">
        <v>109</v>
      </c>
      <c r="O18" s="7" t="s">
        <v>61</v>
      </c>
      <c r="P18" s="7" t="s">
        <v>131</v>
      </c>
      <c r="Q18" s="7" t="s">
        <v>88</v>
      </c>
      <c r="R18" s="7" t="s">
        <v>62</v>
      </c>
      <c r="S18" s="7" t="s">
        <v>2249</v>
      </c>
      <c r="T18" s="7" t="s">
        <v>424</v>
      </c>
      <c r="U18" s="111">
        <f t="shared" si="0"/>
        <v>1.2</v>
      </c>
      <c r="V18" s="7" t="s">
        <v>1941</v>
      </c>
    </row>
    <row r="19" spans="1:22" x14ac:dyDescent="0.3">
      <c r="A19" s="7">
        <v>18</v>
      </c>
      <c r="B19" s="7" t="s">
        <v>23</v>
      </c>
      <c r="C19" s="7" t="s">
        <v>1923</v>
      </c>
      <c r="D19" s="7">
        <v>50226028</v>
      </c>
      <c r="E19" s="7">
        <v>65</v>
      </c>
      <c r="F19" s="7">
        <v>71</v>
      </c>
      <c r="G19" s="7">
        <v>57</v>
      </c>
      <c r="H19" s="7" t="s">
        <v>84</v>
      </c>
      <c r="I19" s="7" t="s">
        <v>109</v>
      </c>
      <c r="J19" s="7" t="s">
        <v>130</v>
      </c>
      <c r="K19" s="46">
        <v>3.4722222222222224E-2</v>
      </c>
      <c r="L19" s="7" t="s">
        <v>109</v>
      </c>
      <c r="M19" s="7" t="s">
        <v>109</v>
      </c>
      <c r="N19" s="7" t="s">
        <v>109</v>
      </c>
      <c r="O19" s="7" t="s">
        <v>61</v>
      </c>
      <c r="P19" s="7" t="s">
        <v>131</v>
      </c>
      <c r="Q19" s="7" t="s">
        <v>1141</v>
      </c>
      <c r="R19" s="7" t="s">
        <v>62</v>
      </c>
      <c r="S19" s="7" t="s">
        <v>2249</v>
      </c>
      <c r="T19" s="7" t="s">
        <v>424</v>
      </c>
      <c r="U19" s="111">
        <f t="shared" si="0"/>
        <v>0.87692307692307692</v>
      </c>
      <c r="V19" s="7" t="s">
        <v>889</v>
      </c>
    </row>
    <row r="20" spans="1:22" x14ac:dyDescent="0.3">
      <c r="A20" s="7">
        <v>19</v>
      </c>
      <c r="B20" s="7" t="s">
        <v>23</v>
      </c>
      <c r="C20" s="7" t="s">
        <v>715</v>
      </c>
      <c r="D20" s="7">
        <v>50126139</v>
      </c>
      <c r="E20" s="7">
        <v>55</v>
      </c>
      <c r="F20" s="7">
        <v>73</v>
      </c>
      <c r="G20" s="7">
        <v>61</v>
      </c>
      <c r="H20" s="7" t="s">
        <v>196</v>
      </c>
      <c r="I20" s="7" t="s">
        <v>109</v>
      </c>
      <c r="J20" s="7" t="s">
        <v>130</v>
      </c>
      <c r="K20" s="46">
        <v>0.86805555555555558</v>
      </c>
      <c r="L20" s="7" t="s">
        <v>109</v>
      </c>
      <c r="M20" s="7" t="s">
        <v>109</v>
      </c>
      <c r="N20" s="7" t="s">
        <v>109</v>
      </c>
      <c r="O20" s="7" t="s">
        <v>61</v>
      </c>
      <c r="P20" s="7" t="s">
        <v>131</v>
      </c>
      <c r="Q20" s="7" t="s">
        <v>196</v>
      </c>
      <c r="R20" s="7" t="s">
        <v>62</v>
      </c>
      <c r="S20" s="7" t="s">
        <v>2249</v>
      </c>
      <c r="T20" s="7" t="s">
        <v>424</v>
      </c>
      <c r="U20" s="111">
        <f t="shared" si="0"/>
        <v>1.1090909090909091</v>
      </c>
      <c r="V20" s="7" t="s">
        <v>1941</v>
      </c>
    </row>
    <row r="21" spans="1:22" x14ac:dyDescent="0.3">
      <c r="A21" s="7">
        <v>20</v>
      </c>
      <c r="B21" s="7" t="s">
        <v>23</v>
      </c>
      <c r="C21" s="7" t="s">
        <v>717</v>
      </c>
      <c r="D21" s="7">
        <v>50126138</v>
      </c>
      <c r="E21" s="7">
        <v>65</v>
      </c>
      <c r="F21" s="7">
        <v>113</v>
      </c>
      <c r="G21" s="7">
        <v>47</v>
      </c>
      <c r="H21" s="7" t="s">
        <v>65</v>
      </c>
      <c r="I21" s="7" t="s">
        <v>109</v>
      </c>
      <c r="J21" s="7" t="s">
        <v>130</v>
      </c>
      <c r="K21" s="46">
        <v>0.99861111111111112</v>
      </c>
      <c r="L21" s="7" t="s">
        <v>109</v>
      </c>
      <c r="M21" s="7" t="s">
        <v>109</v>
      </c>
      <c r="N21" s="7" t="s">
        <v>109</v>
      </c>
      <c r="O21" s="7" t="s">
        <v>61</v>
      </c>
      <c r="P21" s="7" t="s">
        <v>131</v>
      </c>
      <c r="Q21" s="7" t="s">
        <v>65</v>
      </c>
      <c r="R21" s="7" t="s">
        <v>62</v>
      </c>
      <c r="S21" s="7" t="s">
        <v>2249</v>
      </c>
      <c r="T21" s="7" t="s">
        <v>424</v>
      </c>
      <c r="U21" s="111">
        <f t="shared" si="0"/>
        <v>0.72307692307692306</v>
      </c>
      <c r="V21" s="7" t="s">
        <v>2862</v>
      </c>
    </row>
    <row r="22" spans="1:22" x14ac:dyDescent="0.3">
      <c r="A22" s="7">
        <v>21</v>
      </c>
      <c r="B22" s="7" t="s">
        <v>23</v>
      </c>
      <c r="C22" s="7" t="s">
        <v>741</v>
      </c>
      <c r="D22" s="7">
        <v>50126133</v>
      </c>
      <c r="E22" s="7">
        <v>55</v>
      </c>
      <c r="F22" s="7">
        <v>66</v>
      </c>
      <c r="G22" s="7">
        <v>57</v>
      </c>
      <c r="H22" s="7" t="s">
        <v>70</v>
      </c>
      <c r="I22" s="7" t="s">
        <v>109</v>
      </c>
      <c r="J22" s="7" t="s">
        <v>130</v>
      </c>
      <c r="K22" s="46">
        <v>0.67152777777777772</v>
      </c>
      <c r="L22" s="7" t="s">
        <v>109</v>
      </c>
      <c r="M22" s="7" t="s">
        <v>109</v>
      </c>
      <c r="N22" s="7" t="s">
        <v>109</v>
      </c>
      <c r="O22" s="7" t="s">
        <v>61</v>
      </c>
      <c r="P22" s="7" t="s">
        <v>131</v>
      </c>
      <c r="Q22" s="7" t="s">
        <v>70</v>
      </c>
      <c r="R22" s="7" t="s">
        <v>62</v>
      </c>
      <c r="S22" s="7" t="s">
        <v>2249</v>
      </c>
      <c r="T22" s="7" t="s">
        <v>424</v>
      </c>
      <c r="U22" s="111">
        <f t="shared" si="0"/>
        <v>1.0363636363636364</v>
      </c>
      <c r="V22" s="7" t="s">
        <v>1941</v>
      </c>
    </row>
    <row r="23" spans="1:22" x14ac:dyDescent="0.3">
      <c r="A23" s="7">
        <v>22</v>
      </c>
      <c r="B23" s="7" t="s">
        <v>23</v>
      </c>
      <c r="C23" s="7" t="s">
        <v>540</v>
      </c>
      <c r="D23" s="7">
        <v>50126082</v>
      </c>
      <c r="E23" s="7">
        <v>85</v>
      </c>
      <c r="F23" s="7">
        <v>145</v>
      </c>
      <c r="G23" s="7">
        <v>87</v>
      </c>
      <c r="H23" s="7" t="s">
        <v>154</v>
      </c>
      <c r="I23" s="7" t="s">
        <v>109</v>
      </c>
      <c r="J23" s="7" t="s">
        <v>130</v>
      </c>
      <c r="K23" s="46">
        <v>0.7895833333333333</v>
      </c>
      <c r="L23" s="7" t="s">
        <v>109</v>
      </c>
      <c r="M23" s="7" t="s">
        <v>109</v>
      </c>
      <c r="N23" s="7" t="s">
        <v>109</v>
      </c>
      <c r="O23" s="7" t="s">
        <v>61</v>
      </c>
      <c r="P23" s="7" t="s">
        <v>131</v>
      </c>
      <c r="Q23" s="7" t="s">
        <v>154</v>
      </c>
      <c r="R23" s="7" t="s">
        <v>62</v>
      </c>
      <c r="S23" s="7" t="s">
        <v>2249</v>
      </c>
      <c r="T23" s="7" t="s">
        <v>424</v>
      </c>
      <c r="U23" s="111">
        <f t="shared" si="0"/>
        <v>1.0235294117647058</v>
      </c>
      <c r="V23" s="7" t="s">
        <v>1941</v>
      </c>
    </row>
    <row r="24" spans="1:22" x14ac:dyDescent="0.3">
      <c r="A24" s="7">
        <v>23</v>
      </c>
      <c r="B24" s="7" t="s">
        <v>23</v>
      </c>
      <c r="C24" s="7" t="s">
        <v>539</v>
      </c>
      <c r="D24" s="7">
        <v>50126083</v>
      </c>
      <c r="E24" s="7">
        <v>85</v>
      </c>
      <c r="F24" s="7">
        <v>136</v>
      </c>
      <c r="G24" s="7">
        <v>85</v>
      </c>
      <c r="H24" s="7" t="s">
        <v>196</v>
      </c>
      <c r="I24" s="7" t="s">
        <v>109</v>
      </c>
      <c r="J24" s="7" t="s">
        <v>130</v>
      </c>
      <c r="K24" s="46">
        <v>0.90347222222222223</v>
      </c>
      <c r="L24" s="7" t="s">
        <v>109</v>
      </c>
      <c r="M24" s="7" t="s">
        <v>109</v>
      </c>
      <c r="N24" s="7" t="s">
        <v>109</v>
      </c>
      <c r="O24" s="7" t="s">
        <v>61</v>
      </c>
      <c r="P24" s="7" t="s">
        <v>131</v>
      </c>
      <c r="Q24" s="7" t="s">
        <v>1404</v>
      </c>
      <c r="R24" s="7" t="s">
        <v>62</v>
      </c>
      <c r="S24" s="7" t="s">
        <v>2249</v>
      </c>
      <c r="T24" s="7" t="s">
        <v>424</v>
      </c>
      <c r="U24" s="111">
        <f t="shared" si="0"/>
        <v>1</v>
      </c>
      <c r="V24" s="7" t="s">
        <v>1941</v>
      </c>
    </row>
    <row r="25" spans="1:22" x14ac:dyDescent="0.3">
      <c r="A25" s="7">
        <v>24</v>
      </c>
      <c r="B25" s="7" t="s">
        <v>23</v>
      </c>
      <c r="C25" s="7" t="s">
        <v>837</v>
      </c>
      <c r="D25" s="7">
        <v>50126110</v>
      </c>
      <c r="E25" s="7">
        <v>45</v>
      </c>
      <c r="F25" s="7">
        <v>39</v>
      </c>
      <c r="G25" s="7">
        <v>20</v>
      </c>
      <c r="H25" s="7" t="s">
        <v>66</v>
      </c>
      <c r="I25" s="7" t="s">
        <v>109</v>
      </c>
      <c r="J25" s="7" t="s">
        <v>130</v>
      </c>
      <c r="K25" s="46">
        <v>0.80555555555555558</v>
      </c>
      <c r="L25" s="7" t="s">
        <v>109</v>
      </c>
      <c r="M25" s="7" t="s">
        <v>109</v>
      </c>
      <c r="N25" s="7" t="s">
        <v>109</v>
      </c>
      <c r="O25" s="7" t="s">
        <v>61</v>
      </c>
      <c r="P25" s="7" t="s">
        <v>131</v>
      </c>
      <c r="Q25" s="7" t="s">
        <v>66</v>
      </c>
      <c r="R25" s="7" t="s">
        <v>62</v>
      </c>
      <c r="S25" s="7" t="s">
        <v>2249</v>
      </c>
      <c r="T25" s="7" t="s">
        <v>424</v>
      </c>
      <c r="U25" s="111">
        <f t="shared" si="0"/>
        <v>0.44444444444444442</v>
      </c>
      <c r="V25" s="7" t="s">
        <v>889</v>
      </c>
    </row>
    <row r="26" spans="1:22" x14ac:dyDescent="0.3">
      <c r="A26" s="7">
        <v>25</v>
      </c>
      <c r="B26" s="7" t="s">
        <v>23</v>
      </c>
      <c r="C26" s="7" t="s">
        <v>921</v>
      </c>
      <c r="D26" s="7">
        <v>50126260</v>
      </c>
      <c r="E26" s="7">
        <v>65</v>
      </c>
      <c r="F26" s="7">
        <v>89</v>
      </c>
      <c r="G26" s="7">
        <v>79</v>
      </c>
      <c r="H26" s="7" t="s">
        <v>88</v>
      </c>
      <c r="I26" s="7" t="s">
        <v>109</v>
      </c>
      <c r="J26" s="7" t="s">
        <v>130</v>
      </c>
      <c r="K26" s="46">
        <v>0.84375</v>
      </c>
      <c r="L26" s="7" t="s">
        <v>109</v>
      </c>
      <c r="M26" s="7" t="s">
        <v>109</v>
      </c>
      <c r="N26" s="7" t="s">
        <v>109</v>
      </c>
      <c r="O26" s="7" t="s">
        <v>61</v>
      </c>
      <c r="P26" s="7" t="s">
        <v>131</v>
      </c>
      <c r="Q26" s="7" t="s">
        <v>88</v>
      </c>
      <c r="R26" s="7" t="s">
        <v>62</v>
      </c>
      <c r="S26" s="7" t="s">
        <v>2249</v>
      </c>
      <c r="T26" s="7" t="s">
        <v>424</v>
      </c>
      <c r="U26" s="111">
        <f t="shared" si="0"/>
        <v>1.2153846153846153</v>
      </c>
      <c r="V26" s="7" t="s">
        <v>1941</v>
      </c>
    </row>
    <row r="27" spans="1:22" x14ac:dyDescent="0.3">
      <c r="A27" s="7">
        <v>26</v>
      </c>
      <c r="B27" s="7" t="s">
        <v>23</v>
      </c>
      <c r="C27" s="7" t="s">
        <v>925</v>
      </c>
      <c r="D27" s="7">
        <v>50126261</v>
      </c>
      <c r="E27" s="7">
        <v>65</v>
      </c>
      <c r="F27" s="7">
        <v>108</v>
      </c>
      <c r="G27" s="7">
        <v>93</v>
      </c>
      <c r="H27" s="7" t="s">
        <v>274</v>
      </c>
      <c r="I27" s="7" t="s">
        <v>109</v>
      </c>
      <c r="J27" s="7" t="s">
        <v>130</v>
      </c>
      <c r="K27" s="46">
        <v>0.92500000000000004</v>
      </c>
      <c r="L27" s="7" t="s">
        <v>109</v>
      </c>
      <c r="M27" s="7" t="s">
        <v>109</v>
      </c>
      <c r="N27" s="7" t="s">
        <v>109</v>
      </c>
      <c r="O27" s="7" t="s">
        <v>61</v>
      </c>
      <c r="P27" s="7" t="s">
        <v>131</v>
      </c>
      <c r="Q27" s="7" t="s">
        <v>274</v>
      </c>
      <c r="R27" s="7" t="s">
        <v>62</v>
      </c>
      <c r="S27" s="7" t="s">
        <v>2249</v>
      </c>
      <c r="T27" s="7" t="s">
        <v>424</v>
      </c>
      <c r="U27" s="111">
        <f t="shared" si="0"/>
        <v>1.4307692307692308</v>
      </c>
      <c r="V27" s="7" t="s">
        <v>1941</v>
      </c>
    </row>
    <row r="28" spans="1:22" x14ac:dyDescent="0.3">
      <c r="A28" s="7">
        <v>27</v>
      </c>
      <c r="B28" s="7" t="s">
        <v>23</v>
      </c>
      <c r="C28" s="7" t="s">
        <v>727</v>
      </c>
      <c r="D28" s="7">
        <v>50126100</v>
      </c>
      <c r="E28" s="7">
        <v>85</v>
      </c>
      <c r="F28" s="7">
        <v>138</v>
      </c>
      <c r="G28" s="7">
        <v>85</v>
      </c>
      <c r="H28" s="7" t="s">
        <v>71</v>
      </c>
      <c r="I28" s="7" t="s">
        <v>109</v>
      </c>
      <c r="J28" s="7" t="s">
        <v>130</v>
      </c>
      <c r="K28" s="46">
        <v>0.85902777777777772</v>
      </c>
      <c r="L28" s="7" t="s">
        <v>109</v>
      </c>
      <c r="M28" s="7" t="s">
        <v>109</v>
      </c>
      <c r="N28" s="7" t="s">
        <v>109</v>
      </c>
      <c r="O28" s="7" t="s">
        <v>61</v>
      </c>
      <c r="P28" s="7" t="s">
        <v>131</v>
      </c>
      <c r="Q28" s="7" t="s">
        <v>71</v>
      </c>
      <c r="R28" s="7" t="s">
        <v>62</v>
      </c>
      <c r="S28" s="7" t="s">
        <v>2249</v>
      </c>
      <c r="T28" s="7" t="s">
        <v>424</v>
      </c>
      <c r="U28" s="111">
        <f t="shared" si="0"/>
        <v>1</v>
      </c>
      <c r="V28" s="7" t="s">
        <v>1941</v>
      </c>
    </row>
    <row r="29" spans="1:22" x14ac:dyDescent="0.3">
      <c r="A29" s="7">
        <v>28</v>
      </c>
      <c r="B29" s="7" t="s">
        <v>23</v>
      </c>
      <c r="C29" s="7" t="s">
        <v>1921</v>
      </c>
      <c r="D29" s="7">
        <v>50226017</v>
      </c>
      <c r="E29" s="7">
        <v>550</v>
      </c>
      <c r="F29" s="7">
        <v>643</v>
      </c>
      <c r="G29" s="7">
        <v>566</v>
      </c>
      <c r="H29" s="7" t="s">
        <v>2912</v>
      </c>
      <c r="I29" s="7" t="s">
        <v>109</v>
      </c>
      <c r="J29" s="7" t="s">
        <v>130</v>
      </c>
      <c r="K29" s="46">
        <v>0.95277777777777772</v>
      </c>
      <c r="L29" s="7" t="s">
        <v>109</v>
      </c>
      <c r="M29" s="7" t="s">
        <v>109</v>
      </c>
      <c r="N29" s="7" t="s">
        <v>109</v>
      </c>
      <c r="O29" s="7" t="s">
        <v>61</v>
      </c>
      <c r="P29" s="7" t="s">
        <v>131</v>
      </c>
      <c r="Q29" s="7" t="s">
        <v>94</v>
      </c>
      <c r="R29" s="7" t="s">
        <v>62</v>
      </c>
      <c r="S29" s="7" t="s">
        <v>2249</v>
      </c>
      <c r="T29" s="7" t="s">
        <v>424</v>
      </c>
      <c r="U29" s="111">
        <f t="shared" si="0"/>
        <v>1.0290909090909091</v>
      </c>
      <c r="V29" s="7" t="s">
        <v>1941</v>
      </c>
    </row>
    <row r="30" spans="1:22" x14ac:dyDescent="0.3">
      <c r="A30" s="7">
        <v>29</v>
      </c>
      <c r="B30" s="7" t="s">
        <v>23</v>
      </c>
      <c r="C30" s="7" t="s">
        <v>919</v>
      </c>
      <c r="D30" s="7">
        <v>50126257</v>
      </c>
      <c r="E30" s="7">
        <v>55</v>
      </c>
      <c r="F30" s="7">
        <v>75</v>
      </c>
      <c r="G30" s="7">
        <v>56</v>
      </c>
      <c r="H30" s="7" t="s">
        <v>69</v>
      </c>
      <c r="I30" s="7" t="s">
        <v>109</v>
      </c>
      <c r="J30" s="7" t="s">
        <v>130</v>
      </c>
      <c r="K30" s="46">
        <v>0.78819444444444442</v>
      </c>
      <c r="L30" s="7" t="s">
        <v>109</v>
      </c>
      <c r="M30" s="7" t="s">
        <v>109</v>
      </c>
      <c r="N30" s="7" t="s">
        <v>109</v>
      </c>
      <c r="O30" s="7" t="s">
        <v>61</v>
      </c>
      <c r="P30" s="7" t="s">
        <v>131</v>
      </c>
      <c r="Q30" s="7" t="s">
        <v>2685</v>
      </c>
      <c r="R30" s="7" t="s">
        <v>62</v>
      </c>
      <c r="S30" s="7" t="s">
        <v>2249</v>
      </c>
      <c r="T30" s="7" t="s">
        <v>424</v>
      </c>
      <c r="U30" s="111">
        <f t="shared" si="0"/>
        <v>1.0181818181818181</v>
      </c>
      <c r="V30" s="7" t="s">
        <v>1941</v>
      </c>
    </row>
    <row r="31" spans="1:22" x14ac:dyDescent="0.3">
      <c r="A31" s="7">
        <v>30</v>
      </c>
      <c r="B31" s="7" t="s">
        <v>23</v>
      </c>
      <c r="C31" s="7" t="s">
        <v>804</v>
      </c>
      <c r="D31" s="7">
        <v>50126197</v>
      </c>
      <c r="E31" s="7">
        <v>65</v>
      </c>
      <c r="F31" s="7">
        <v>77</v>
      </c>
      <c r="G31" s="7">
        <v>69</v>
      </c>
      <c r="H31" s="7" t="s">
        <v>209</v>
      </c>
      <c r="I31" s="7" t="s">
        <v>109</v>
      </c>
      <c r="J31" s="7" t="s">
        <v>130</v>
      </c>
      <c r="K31" s="46">
        <v>0.81736111111111109</v>
      </c>
      <c r="L31" s="7" t="s">
        <v>109</v>
      </c>
      <c r="M31" s="7" t="s">
        <v>109</v>
      </c>
      <c r="N31" s="7" t="s">
        <v>109</v>
      </c>
      <c r="O31" s="7" t="s">
        <v>61</v>
      </c>
      <c r="P31" s="7" t="s">
        <v>131</v>
      </c>
      <c r="Q31" s="7" t="s">
        <v>209</v>
      </c>
      <c r="R31" s="7" t="s">
        <v>62</v>
      </c>
      <c r="S31" s="7" t="s">
        <v>2249</v>
      </c>
      <c r="T31" s="7" t="s">
        <v>424</v>
      </c>
      <c r="U31" s="111">
        <f t="shared" si="0"/>
        <v>1.0615384615384615</v>
      </c>
      <c r="V31" s="7" t="s">
        <v>1941</v>
      </c>
    </row>
    <row r="32" spans="1:22" x14ac:dyDescent="0.3">
      <c r="A32" s="7">
        <v>31</v>
      </c>
      <c r="B32" s="7" t="s">
        <v>23</v>
      </c>
      <c r="C32" s="7" t="s">
        <v>903</v>
      </c>
      <c r="D32" s="7">
        <v>50126242</v>
      </c>
      <c r="E32" s="7">
        <v>30</v>
      </c>
      <c r="F32" s="7">
        <v>52</v>
      </c>
      <c r="G32" s="7">
        <v>36</v>
      </c>
      <c r="H32" s="7" t="s">
        <v>64</v>
      </c>
      <c r="I32" s="7" t="s">
        <v>109</v>
      </c>
      <c r="J32" s="7" t="s">
        <v>130</v>
      </c>
      <c r="K32" s="46">
        <v>0.71736111111111112</v>
      </c>
      <c r="L32" s="7" t="s">
        <v>109</v>
      </c>
      <c r="M32" s="7" t="s">
        <v>109</v>
      </c>
      <c r="N32" s="7" t="s">
        <v>109</v>
      </c>
      <c r="O32" s="7" t="s">
        <v>61</v>
      </c>
      <c r="P32" s="7" t="s">
        <v>131</v>
      </c>
      <c r="Q32" s="7" t="s">
        <v>64</v>
      </c>
      <c r="R32" s="7" t="s">
        <v>62</v>
      </c>
      <c r="S32" s="7" t="s">
        <v>2249</v>
      </c>
      <c r="T32" s="7" t="s">
        <v>424</v>
      </c>
      <c r="U32" s="111">
        <f t="shared" si="0"/>
        <v>1.2</v>
      </c>
      <c r="V32" s="7" t="s">
        <v>1941</v>
      </c>
    </row>
    <row r="33" spans="1:22" x14ac:dyDescent="0.3">
      <c r="A33" s="7">
        <v>32</v>
      </c>
      <c r="B33" s="7" t="s">
        <v>23</v>
      </c>
      <c r="C33" s="7" t="s">
        <v>910</v>
      </c>
      <c r="D33" s="7">
        <v>50126245</v>
      </c>
      <c r="E33" s="7">
        <v>40</v>
      </c>
      <c r="F33" s="7" t="s">
        <v>109</v>
      </c>
      <c r="G33" s="7" t="s">
        <v>109</v>
      </c>
      <c r="H33" s="7" t="s">
        <v>70</v>
      </c>
      <c r="I33" s="7" t="s">
        <v>109</v>
      </c>
      <c r="J33" s="7" t="s">
        <v>85</v>
      </c>
      <c r="K33" s="7" t="s">
        <v>109</v>
      </c>
      <c r="L33" s="7" t="s">
        <v>109</v>
      </c>
      <c r="M33" s="7" t="s">
        <v>109</v>
      </c>
      <c r="N33" s="7" t="s">
        <v>109</v>
      </c>
      <c r="O33" s="7" t="s">
        <v>61</v>
      </c>
      <c r="P33" s="7" t="s">
        <v>109</v>
      </c>
      <c r="Q33" s="7" t="s">
        <v>109</v>
      </c>
      <c r="R33" s="7" t="s">
        <v>62</v>
      </c>
      <c r="S33" s="7" t="s">
        <v>2249</v>
      </c>
      <c r="T33" s="7" t="s">
        <v>424</v>
      </c>
      <c r="U33" s="111" t="e">
        <f t="shared" si="0"/>
        <v>#VALUE!</v>
      </c>
      <c r="V33" s="7" t="s">
        <v>109</v>
      </c>
    </row>
    <row r="34" spans="1:22" x14ac:dyDescent="0.3">
      <c r="A34" s="7">
        <v>33</v>
      </c>
      <c r="B34" s="7" t="s">
        <v>23</v>
      </c>
      <c r="C34" s="7" t="s">
        <v>912</v>
      </c>
      <c r="D34" s="7">
        <v>50126253</v>
      </c>
      <c r="E34" s="7">
        <v>40</v>
      </c>
      <c r="F34" s="7">
        <v>69</v>
      </c>
      <c r="G34" s="7">
        <v>43</v>
      </c>
      <c r="H34" s="7" t="s">
        <v>179</v>
      </c>
      <c r="I34" s="7" t="s">
        <v>109</v>
      </c>
      <c r="J34" s="7" t="s">
        <v>130</v>
      </c>
      <c r="K34" s="46">
        <v>0.72986111111111107</v>
      </c>
      <c r="L34" s="7" t="s">
        <v>109</v>
      </c>
      <c r="M34" s="7" t="s">
        <v>109</v>
      </c>
      <c r="N34" s="7" t="s">
        <v>109</v>
      </c>
      <c r="O34" s="7" t="s">
        <v>61</v>
      </c>
      <c r="P34" s="7" t="s">
        <v>131</v>
      </c>
      <c r="Q34" s="7" t="s">
        <v>179</v>
      </c>
      <c r="R34" s="7" t="s">
        <v>62</v>
      </c>
      <c r="S34" s="7" t="s">
        <v>2249</v>
      </c>
      <c r="T34" s="7" t="s">
        <v>424</v>
      </c>
      <c r="U34" s="111">
        <f t="shared" ref="U34:U65" si="1">G34/E34</f>
        <v>1.075</v>
      </c>
      <c r="V34" s="7" t="s">
        <v>1941</v>
      </c>
    </row>
    <row r="35" spans="1:22" x14ac:dyDescent="0.3">
      <c r="A35" s="7">
        <v>34</v>
      </c>
      <c r="B35" s="7" t="s">
        <v>23</v>
      </c>
      <c r="C35" s="7" t="s">
        <v>707</v>
      </c>
      <c r="D35" s="7">
        <v>50126169</v>
      </c>
      <c r="E35" s="7">
        <v>45</v>
      </c>
      <c r="F35" s="7">
        <v>67</v>
      </c>
      <c r="G35" s="7">
        <v>51</v>
      </c>
      <c r="H35" s="7" t="s">
        <v>184</v>
      </c>
      <c r="I35" s="7" t="s">
        <v>109</v>
      </c>
      <c r="J35" s="7" t="s">
        <v>130</v>
      </c>
      <c r="K35" s="46">
        <v>0.98055555555555551</v>
      </c>
      <c r="L35" s="7" t="s">
        <v>109</v>
      </c>
      <c r="M35" s="7" t="s">
        <v>109</v>
      </c>
      <c r="N35" s="7" t="s">
        <v>109</v>
      </c>
      <c r="O35" s="7" t="s">
        <v>61</v>
      </c>
      <c r="P35" s="7" t="s">
        <v>131</v>
      </c>
      <c r="Q35" s="7" t="s">
        <v>184</v>
      </c>
      <c r="R35" s="7" t="s">
        <v>62</v>
      </c>
      <c r="S35" s="7" t="s">
        <v>2249</v>
      </c>
      <c r="T35" s="7" t="s">
        <v>424</v>
      </c>
      <c r="U35" s="111">
        <f t="shared" si="1"/>
        <v>1.1333333333333333</v>
      </c>
      <c r="V35" s="7" t="s">
        <v>1941</v>
      </c>
    </row>
    <row r="36" spans="1:22" x14ac:dyDescent="0.3">
      <c r="A36" s="7">
        <v>35</v>
      </c>
      <c r="B36" s="7" t="s">
        <v>23</v>
      </c>
      <c r="C36" s="7" t="s">
        <v>709</v>
      </c>
      <c r="D36" s="7">
        <v>50126164</v>
      </c>
      <c r="E36" s="7">
        <v>30</v>
      </c>
      <c r="F36" s="7">
        <v>77</v>
      </c>
      <c r="G36" s="7">
        <v>22</v>
      </c>
      <c r="H36" s="7" t="s">
        <v>82</v>
      </c>
      <c r="I36" s="7" t="s">
        <v>109</v>
      </c>
      <c r="J36" s="7" t="s">
        <v>130</v>
      </c>
      <c r="K36" s="46">
        <v>0.66736111111111107</v>
      </c>
      <c r="L36" s="7" t="s">
        <v>109</v>
      </c>
      <c r="M36" s="7" t="s">
        <v>109</v>
      </c>
      <c r="N36" s="7" t="s">
        <v>109</v>
      </c>
      <c r="O36" s="7" t="s">
        <v>61</v>
      </c>
      <c r="P36" s="7" t="s">
        <v>131</v>
      </c>
      <c r="Q36" s="7" t="s">
        <v>82</v>
      </c>
      <c r="R36" s="7" t="s">
        <v>62</v>
      </c>
      <c r="S36" s="7" t="s">
        <v>2249</v>
      </c>
      <c r="T36" s="7" t="s">
        <v>424</v>
      </c>
      <c r="U36" s="111">
        <f t="shared" si="1"/>
        <v>0.73333333333333328</v>
      </c>
      <c r="V36" s="7" t="s">
        <v>889</v>
      </c>
    </row>
    <row r="37" spans="1:22" x14ac:dyDescent="0.3">
      <c r="A37" s="7">
        <v>36</v>
      </c>
      <c r="B37" s="7" t="s">
        <v>23</v>
      </c>
      <c r="C37" s="7" t="s">
        <v>711</v>
      </c>
      <c r="D37" s="7">
        <v>50126166</v>
      </c>
      <c r="E37" s="7">
        <v>30</v>
      </c>
      <c r="F37" s="7">
        <v>35</v>
      </c>
      <c r="G37" s="7">
        <v>24</v>
      </c>
      <c r="H37" s="7" t="s">
        <v>84</v>
      </c>
      <c r="I37" s="7" t="s">
        <v>109</v>
      </c>
      <c r="J37" s="7" t="s">
        <v>130</v>
      </c>
      <c r="K37" s="46">
        <v>7.4305555555555555E-2</v>
      </c>
      <c r="L37" s="7" t="s">
        <v>109</v>
      </c>
      <c r="M37" s="7" t="s">
        <v>109</v>
      </c>
      <c r="N37" s="7" t="s">
        <v>109</v>
      </c>
      <c r="O37" s="7" t="s">
        <v>61</v>
      </c>
      <c r="P37" s="7" t="s">
        <v>131</v>
      </c>
      <c r="Q37" s="7" t="s">
        <v>1141</v>
      </c>
      <c r="R37" s="7" t="s">
        <v>62</v>
      </c>
      <c r="S37" s="7" t="s">
        <v>2249</v>
      </c>
      <c r="T37" s="7" t="s">
        <v>424</v>
      </c>
      <c r="U37" s="111">
        <f t="shared" si="1"/>
        <v>0.8</v>
      </c>
      <c r="V37" s="7" t="s">
        <v>889</v>
      </c>
    </row>
    <row r="38" spans="1:22" x14ac:dyDescent="0.3">
      <c r="A38" s="7">
        <v>37</v>
      </c>
      <c r="B38" s="7" t="s">
        <v>23</v>
      </c>
      <c r="C38" s="7" t="s">
        <v>812</v>
      </c>
      <c r="D38" s="7">
        <v>50126224</v>
      </c>
      <c r="E38" s="7">
        <v>45</v>
      </c>
      <c r="F38" s="7">
        <v>64</v>
      </c>
      <c r="G38" s="7">
        <v>50</v>
      </c>
      <c r="H38" s="7" t="s">
        <v>241</v>
      </c>
      <c r="I38" s="7" t="s">
        <v>109</v>
      </c>
      <c r="J38" s="7" t="s">
        <v>130</v>
      </c>
      <c r="K38" s="46">
        <v>0.80138888888888893</v>
      </c>
      <c r="L38" s="7" t="s">
        <v>109</v>
      </c>
      <c r="M38" s="7" t="s">
        <v>109</v>
      </c>
      <c r="N38" s="7" t="s">
        <v>109</v>
      </c>
      <c r="O38" s="7" t="s">
        <v>61</v>
      </c>
      <c r="P38" s="7" t="s">
        <v>131</v>
      </c>
      <c r="Q38" s="7" t="s">
        <v>241</v>
      </c>
      <c r="R38" s="7" t="s">
        <v>62</v>
      </c>
      <c r="S38" s="7" t="s">
        <v>2249</v>
      </c>
      <c r="T38" s="7" t="s">
        <v>424</v>
      </c>
      <c r="U38" s="111">
        <f t="shared" si="1"/>
        <v>1.1111111111111112</v>
      </c>
      <c r="V38" s="7" t="s">
        <v>1941</v>
      </c>
    </row>
    <row r="39" spans="1:22" x14ac:dyDescent="0.3">
      <c r="A39" s="7">
        <v>38</v>
      </c>
      <c r="B39" s="7" t="s">
        <v>23</v>
      </c>
      <c r="C39" s="7" t="s">
        <v>821</v>
      </c>
      <c r="D39" s="7">
        <v>50126226</v>
      </c>
      <c r="E39" s="7">
        <v>30</v>
      </c>
      <c r="F39" s="7">
        <v>50</v>
      </c>
      <c r="G39" s="7">
        <v>32</v>
      </c>
      <c r="H39" s="7" t="s">
        <v>68</v>
      </c>
      <c r="I39" s="7" t="s">
        <v>109</v>
      </c>
      <c r="J39" s="7" t="s">
        <v>130</v>
      </c>
      <c r="K39" s="46">
        <v>6.2500000000000003E-3</v>
      </c>
      <c r="L39" s="7" t="s">
        <v>109</v>
      </c>
      <c r="M39" s="7" t="s">
        <v>109</v>
      </c>
      <c r="N39" s="7" t="s">
        <v>109</v>
      </c>
      <c r="O39" s="7" t="s">
        <v>61</v>
      </c>
      <c r="P39" s="7" t="s">
        <v>131</v>
      </c>
      <c r="Q39" s="7" t="s">
        <v>68</v>
      </c>
      <c r="R39" s="7" t="s">
        <v>62</v>
      </c>
      <c r="S39" s="7" t="s">
        <v>2249</v>
      </c>
      <c r="T39" s="7" t="s">
        <v>424</v>
      </c>
      <c r="U39" s="111">
        <f t="shared" si="1"/>
        <v>1.0666666666666667</v>
      </c>
      <c r="V39" s="7" t="s">
        <v>1941</v>
      </c>
    </row>
    <row r="40" spans="1:22" x14ac:dyDescent="0.3">
      <c r="A40" s="7">
        <v>39</v>
      </c>
      <c r="B40" s="7" t="s">
        <v>23</v>
      </c>
      <c r="C40" s="7" t="s">
        <v>1965</v>
      </c>
      <c r="D40" s="7">
        <v>50226030</v>
      </c>
      <c r="E40" s="7">
        <v>85</v>
      </c>
      <c r="F40" s="7">
        <v>120</v>
      </c>
      <c r="G40" s="7">
        <v>88</v>
      </c>
      <c r="H40" s="7" t="s">
        <v>69</v>
      </c>
      <c r="I40" s="7" t="s">
        <v>109</v>
      </c>
      <c r="J40" s="7" t="s">
        <v>130</v>
      </c>
      <c r="K40" s="46">
        <v>0.91874999999999996</v>
      </c>
      <c r="L40" s="7" t="s">
        <v>109</v>
      </c>
      <c r="M40" s="7" t="s">
        <v>109</v>
      </c>
      <c r="N40" s="7" t="s">
        <v>109</v>
      </c>
      <c r="O40" s="7" t="s">
        <v>61</v>
      </c>
      <c r="P40" s="7" t="s">
        <v>131</v>
      </c>
      <c r="Q40" s="7" t="s">
        <v>2685</v>
      </c>
      <c r="R40" s="7" t="s">
        <v>62</v>
      </c>
      <c r="S40" s="7" t="s">
        <v>2249</v>
      </c>
      <c r="T40" s="7" t="s">
        <v>424</v>
      </c>
      <c r="U40" s="111">
        <f t="shared" si="1"/>
        <v>1.0352941176470589</v>
      </c>
      <c r="V40" s="7" t="s">
        <v>1941</v>
      </c>
    </row>
    <row r="41" spans="1:22" x14ac:dyDescent="0.3">
      <c r="A41" s="7">
        <v>40</v>
      </c>
      <c r="B41" s="7" t="s">
        <v>23</v>
      </c>
      <c r="C41" s="7" t="s">
        <v>2879</v>
      </c>
      <c r="D41" s="7">
        <v>50326005</v>
      </c>
      <c r="E41" s="7">
        <v>20</v>
      </c>
      <c r="F41" s="7">
        <v>18</v>
      </c>
      <c r="G41" s="7">
        <v>10</v>
      </c>
      <c r="H41" s="7" t="s">
        <v>67</v>
      </c>
      <c r="I41" s="7" t="s">
        <v>109</v>
      </c>
      <c r="J41" s="7" t="s">
        <v>130</v>
      </c>
      <c r="K41" s="46">
        <v>0.64861111111111114</v>
      </c>
      <c r="L41" s="7" t="s">
        <v>109</v>
      </c>
      <c r="M41" s="7" t="s">
        <v>109</v>
      </c>
      <c r="N41" s="7" t="s">
        <v>109</v>
      </c>
      <c r="O41" s="7" t="s">
        <v>61</v>
      </c>
      <c r="P41" s="7" t="s">
        <v>131</v>
      </c>
      <c r="Q41" s="7" t="s">
        <v>67</v>
      </c>
      <c r="R41" s="7" t="s">
        <v>62</v>
      </c>
      <c r="S41" s="7" t="s">
        <v>2249</v>
      </c>
      <c r="T41" s="7" t="s">
        <v>424</v>
      </c>
      <c r="U41" s="111">
        <f t="shared" si="1"/>
        <v>0.5</v>
      </c>
      <c r="V41" s="7" t="s">
        <v>889</v>
      </c>
    </row>
    <row r="42" spans="1:22" x14ac:dyDescent="0.3">
      <c r="A42" s="7">
        <v>41</v>
      </c>
      <c r="B42" s="7" t="s">
        <v>23</v>
      </c>
      <c r="C42" s="7" t="s">
        <v>824</v>
      </c>
      <c r="D42" s="7">
        <v>50126209</v>
      </c>
      <c r="E42" s="7">
        <v>50</v>
      </c>
      <c r="F42" s="7">
        <v>65</v>
      </c>
      <c r="G42" s="7">
        <v>57</v>
      </c>
      <c r="H42" s="7" t="s">
        <v>200</v>
      </c>
      <c r="I42" s="7" t="s">
        <v>109</v>
      </c>
      <c r="J42" s="7" t="s">
        <v>130</v>
      </c>
      <c r="K42" s="46">
        <v>4.583333333333333E-2</v>
      </c>
      <c r="L42" s="7" t="s">
        <v>109</v>
      </c>
      <c r="M42" s="7" t="s">
        <v>109</v>
      </c>
      <c r="N42" s="7" t="s">
        <v>109</v>
      </c>
      <c r="O42" s="7" t="s">
        <v>61</v>
      </c>
      <c r="P42" s="7" t="s">
        <v>131</v>
      </c>
      <c r="Q42" s="7" t="s">
        <v>200</v>
      </c>
      <c r="R42" s="7" t="s">
        <v>62</v>
      </c>
      <c r="S42" s="7" t="s">
        <v>2249</v>
      </c>
      <c r="T42" s="7" t="s">
        <v>424</v>
      </c>
      <c r="U42" s="111">
        <f t="shared" si="1"/>
        <v>1.1399999999999999</v>
      </c>
      <c r="V42" s="7" t="s">
        <v>109</v>
      </c>
    </row>
    <row r="43" spans="1:22" x14ac:dyDescent="0.3">
      <c r="A43" s="7">
        <v>42</v>
      </c>
      <c r="B43" s="7" t="s">
        <v>23</v>
      </c>
      <c r="C43" s="7" t="s">
        <v>1650</v>
      </c>
      <c r="D43" s="7">
        <v>50126374</v>
      </c>
      <c r="E43" s="7">
        <v>30</v>
      </c>
      <c r="F43" s="7">
        <v>48</v>
      </c>
      <c r="G43" s="7">
        <v>43</v>
      </c>
      <c r="H43" s="7" t="s">
        <v>527</v>
      </c>
      <c r="I43" s="7" t="s">
        <v>109</v>
      </c>
      <c r="J43" s="7" t="s">
        <v>130</v>
      </c>
      <c r="K43" s="46">
        <v>0.61597222222222225</v>
      </c>
      <c r="L43" s="7" t="s">
        <v>109</v>
      </c>
      <c r="M43" s="7" t="s">
        <v>109</v>
      </c>
      <c r="N43" s="7" t="s">
        <v>109</v>
      </c>
      <c r="O43" s="7" t="s">
        <v>61</v>
      </c>
      <c r="P43" s="7" t="s">
        <v>131</v>
      </c>
      <c r="Q43" s="7" t="s">
        <v>527</v>
      </c>
      <c r="R43" s="7" t="s">
        <v>62</v>
      </c>
      <c r="S43" s="7" t="s">
        <v>2249</v>
      </c>
      <c r="T43" s="7" t="s">
        <v>424</v>
      </c>
      <c r="U43" s="111">
        <f t="shared" si="1"/>
        <v>1.4333333333333333</v>
      </c>
      <c r="V43" s="7" t="s">
        <v>1941</v>
      </c>
    </row>
    <row r="44" spans="1:22" x14ac:dyDescent="0.3">
      <c r="A44" s="7">
        <v>43</v>
      </c>
      <c r="B44" s="7" t="s">
        <v>23</v>
      </c>
      <c r="C44" s="7" t="s">
        <v>1654</v>
      </c>
      <c r="D44" s="7">
        <v>50126378</v>
      </c>
      <c r="E44" s="7">
        <v>30</v>
      </c>
      <c r="F44" s="7">
        <v>40</v>
      </c>
      <c r="G44" s="7">
        <v>35</v>
      </c>
      <c r="H44" s="7" t="s">
        <v>65</v>
      </c>
      <c r="I44" s="7" t="s">
        <v>109</v>
      </c>
      <c r="J44" s="7" t="s">
        <v>130</v>
      </c>
      <c r="K44" s="46">
        <v>0.71597222222222223</v>
      </c>
      <c r="L44" s="7" t="s">
        <v>109</v>
      </c>
      <c r="M44" s="7" t="s">
        <v>109</v>
      </c>
      <c r="N44" s="7" t="s">
        <v>109</v>
      </c>
      <c r="O44" s="7" t="s">
        <v>61</v>
      </c>
      <c r="P44" s="7" t="s">
        <v>131</v>
      </c>
      <c r="Q44" s="7" t="s">
        <v>65</v>
      </c>
      <c r="R44" s="7" t="s">
        <v>62</v>
      </c>
      <c r="S44" s="7" t="s">
        <v>2249</v>
      </c>
      <c r="T44" s="7" t="s">
        <v>424</v>
      </c>
      <c r="U44" s="111">
        <f t="shared" si="1"/>
        <v>1.1666666666666667</v>
      </c>
      <c r="V44" s="7" t="s">
        <v>1941</v>
      </c>
    </row>
    <row r="45" spans="1:22" x14ac:dyDescent="0.3">
      <c r="A45" s="7">
        <v>44</v>
      </c>
      <c r="B45" s="7" t="s">
        <v>23</v>
      </c>
      <c r="C45" s="7" t="s">
        <v>738</v>
      </c>
      <c r="D45" s="7">
        <v>50126135</v>
      </c>
      <c r="E45" s="7">
        <v>40</v>
      </c>
      <c r="F45" s="7">
        <v>61</v>
      </c>
      <c r="G45" s="7">
        <v>41</v>
      </c>
      <c r="H45" s="7" t="s">
        <v>87</v>
      </c>
      <c r="I45" s="7" t="s">
        <v>109</v>
      </c>
      <c r="J45" s="7" t="s">
        <v>130</v>
      </c>
      <c r="K45" s="46">
        <v>0.7319444444444444</v>
      </c>
      <c r="L45" s="7" t="s">
        <v>109</v>
      </c>
      <c r="M45" s="7" t="s">
        <v>109</v>
      </c>
      <c r="N45" s="7" t="s">
        <v>109</v>
      </c>
      <c r="O45" s="7" t="s">
        <v>61</v>
      </c>
      <c r="P45" s="7" t="s">
        <v>131</v>
      </c>
      <c r="Q45" s="7" t="s">
        <v>87</v>
      </c>
      <c r="R45" s="7" t="s">
        <v>62</v>
      </c>
      <c r="S45" s="7" t="s">
        <v>2249</v>
      </c>
      <c r="T45" s="7" t="s">
        <v>424</v>
      </c>
      <c r="U45" s="111">
        <f t="shared" si="1"/>
        <v>1.0249999999999999</v>
      </c>
      <c r="V45" s="7" t="s">
        <v>1941</v>
      </c>
    </row>
    <row r="46" spans="1:22" x14ac:dyDescent="0.3">
      <c r="A46" s="7">
        <v>45</v>
      </c>
      <c r="B46" s="7" t="s">
        <v>23</v>
      </c>
      <c r="C46" s="7" t="s">
        <v>734</v>
      </c>
      <c r="D46" s="7">
        <v>50126131</v>
      </c>
      <c r="E46" s="7">
        <v>40</v>
      </c>
      <c r="F46" s="7">
        <v>78</v>
      </c>
      <c r="G46" s="7">
        <v>21</v>
      </c>
      <c r="H46" s="7" t="s">
        <v>95</v>
      </c>
      <c r="I46" s="7" t="s">
        <v>109</v>
      </c>
      <c r="J46" s="7" t="s">
        <v>130</v>
      </c>
      <c r="K46" s="46">
        <v>0.7895833333333333</v>
      </c>
      <c r="L46" s="7" t="s">
        <v>109</v>
      </c>
      <c r="M46" s="7" t="s">
        <v>109</v>
      </c>
      <c r="N46" s="7" t="s">
        <v>109</v>
      </c>
      <c r="O46" s="7" t="s">
        <v>61</v>
      </c>
      <c r="P46" s="7" t="s">
        <v>131</v>
      </c>
      <c r="Q46" s="7" t="s">
        <v>95</v>
      </c>
      <c r="R46" s="7" t="s">
        <v>62</v>
      </c>
      <c r="S46" s="7" t="s">
        <v>2249</v>
      </c>
      <c r="T46" s="7" t="s">
        <v>424</v>
      </c>
      <c r="U46" s="111">
        <f t="shared" si="1"/>
        <v>0.52500000000000002</v>
      </c>
      <c r="V46" s="7" t="s">
        <v>889</v>
      </c>
    </row>
    <row r="47" spans="1:22" x14ac:dyDescent="0.3">
      <c r="A47" s="7">
        <v>46</v>
      </c>
      <c r="B47" s="7" t="s">
        <v>23</v>
      </c>
      <c r="C47" s="7" t="s">
        <v>830</v>
      </c>
      <c r="D47" s="7">
        <v>50126173</v>
      </c>
      <c r="E47" s="7">
        <v>25</v>
      </c>
      <c r="F47" s="7">
        <v>50</v>
      </c>
      <c r="G47" s="7">
        <v>15</v>
      </c>
      <c r="H47" s="7" t="s">
        <v>66</v>
      </c>
      <c r="I47" s="7" t="s">
        <v>109</v>
      </c>
      <c r="J47" s="7" t="s">
        <v>130</v>
      </c>
      <c r="K47" s="46">
        <v>0.66666666666666663</v>
      </c>
      <c r="L47" s="7" t="s">
        <v>109</v>
      </c>
      <c r="M47" s="7" t="s">
        <v>109</v>
      </c>
      <c r="N47" s="7" t="s">
        <v>109</v>
      </c>
      <c r="O47" s="7" t="s">
        <v>61</v>
      </c>
      <c r="P47" s="7" t="s">
        <v>131</v>
      </c>
      <c r="Q47" s="7" t="s">
        <v>66</v>
      </c>
      <c r="R47" s="7" t="s">
        <v>62</v>
      </c>
      <c r="S47" s="7" t="s">
        <v>2249</v>
      </c>
      <c r="T47" s="7" t="s">
        <v>424</v>
      </c>
      <c r="U47" s="111">
        <f t="shared" si="1"/>
        <v>0.6</v>
      </c>
      <c r="V47" s="7" t="s">
        <v>889</v>
      </c>
    </row>
    <row r="48" spans="1:22" x14ac:dyDescent="0.3">
      <c r="A48" s="7">
        <v>47</v>
      </c>
      <c r="B48" s="7" t="s">
        <v>23</v>
      </c>
      <c r="C48" s="7" t="s">
        <v>2357</v>
      </c>
      <c r="D48" s="7">
        <v>50226084</v>
      </c>
      <c r="E48" s="7">
        <v>20</v>
      </c>
      <c r="F48" s="7">
        <v>57</v>
      </c>
      <c r="G48" s="7">
        <v>15</v>
      </c>
      <c r="H48" s="7" t="s">
        <v>184</v>
      </c>
      <c r="I48" s="7" t="s">
        <v>109</v>
      </c>
      <c r="J48" s="7" t="s">
        <v>130</v>
      </c>
      <c r="K48" s="46">
        <v>0.99930555555555556</v>
      </c>
      <c r="L48" s="7" t="s">
        <v>109</v>
      </c>
      <c r="M48" s="7" t="s">
        <v>109</v>
      </c>
      <c r="N48" s="7" t="s">
        <v>109</v>
      </c>
      <c r="O48" s="7" t="s">
        <v>61</v>
      </c>
      <c r="P48" s="7" t="s">
        <v>131</v>
      </c>
      <c r="Q48" s="7" t="s">
        <v>184</v>
      </c>
      <c r="R48" s="7" t="s">
        <v>62</v>
      </c>
      <c r="S48" s="7" t="s">
        <v>2249</v>
      </c>
      <c r="T48" s="7" t="s">
        <v>424</v>
      </c>
      <c r="U48" s="111">
        <f t="shared" si="1"/>
        <v>0.75</v>
      </c>
      <c r="V48" s="7" t="s">
        <v>2862</v>
      </c>
    </row>
    <row r="49" spans="1:22" x14ac:dyDescent="0.3">
      <c r="A49" s="7">
        <v>48</v>
      </c>
      <c r="B49" s="7" t="s">
        <v>23</v>
      </c>
      <c r="C49" s="7" t="s">
        <v>835</v>
      </c>
      <c r="D49" s="7">
        <v>50126103</v>
      </c>
      <c r="E49" s="7">
        <v>50</v>
      </c>
      <c r="F49" s="7">
        <v>100</v>
      </c>
      <c r="G49" s="7">
        <v>30</v>
      </c>
      <c r="H49" s="7" t="s">
        <v>64</v>
      </c>
      <c r="I49" s="7" t="s">
        <v>109</v>
      </c>
      <c r="J49" s="7" t="s">
        <v>130</v>
      </c>
      <c r="K49" s="46">
        <v>0.69166666666666665</v>
      </c>
      <c r="L49" s="7" t="s">
        <v>109</v>
      </c>
      <c r="M49" s="7" t="s">
        <v>109</v>
      </c>
      <c r="N49" s="7" t="s">
        <v>109</v>
      </c>
      <c r="O49" s="7" t="s">
        <v>61</v>
      </c>
      <c r="P49" s="7" t="s">
        <v>131</v>
      </c>
      <c r="Q49" s="7" t="s">
        <v>64</v>
      </c>
      <c r="R49" s="7" t="s">
        <v>62</v>
      </c>
      <c r="S49" s="7" t="s">
        <v>2249</v>
      </c>
      <c r="T49" s="7" t="s">
        <v>424</v>
      </c>
      <c r="U49" s="111">
        <f t="shared" si="1"/>
        <v>0.6</v>
      </c>
      <c r="V49" s="7" t="s">
        <v>2862</v>
      </c>
    </row>
    <row r="50" spans="1:22" x14ac:dyDescent="0.3">
      <c r="A50" s="7">
        <v>49</v>
      </c>
      <c r="B50" s="7" t="s">
        <v>23</v>
      </c>
      <c r="C50" s="7" t="s">
        <v>836</v>
      </c>
      <c r="D50" s="7">
        <v>50126104</v>
      </c>
      <c r="E50" s="7">
        <v>30</v>
      </c>
      <c r="F50" s="7">
        <v>70</v>
      </c>
      <c r="G50" s="7">
        <v>40</v>
      </c>
      <c r="H50" s="7" t="s">
        <v>274</v>
      </c>
      <c r="I50" s="7" t="s">
        <v>109</v>
      </c>
      <c r="J50" s="7" t="s">
        <v>130</v>
      </c>
      <c r="K50" s="46">
        <v>0.97222222222222221</v>
      </c>
      <c r="L50" s="7" t="s">
        <v>109</v>
      </c>
      <c r="M50" s="7" t="s">
        <v>109</v>
      </c>
      <c r="N50" s="7" t="s">
        <v>109</v>
      </c>
      <c r="O50" s="7" t="s">
        <v>61</v>
      </c>
      <c r="P50" s="7" t="s">
        <v>131</v>
      </c>
      <c r="Q50" s="7" t="s">
        <v>274</v>
      </c>
      <c r="R50" s="7" t="s">
        <v>62</v>
      </c>
      <c r="S50" s="7" t="s">
        <v>2249</v>
      </c>
      <c r="T50" s="7" t="s">
        <v>424</v>
      </c>
      <c r="U50" s="111">
        <f t="shared" si="1"/>
        <v>1.3333333333333333</v>
      </c>
      <c r="V50" s="7" t="s">
        <v>1941</v>
      </c>
    </row>
    <row r="51" spans="1:22" x14ac:dyDescent="0.3">
      <c r="A51" s="7">
        <v>50</v>
      </c>
      <c r="B51" s="7" t="s">
        <v>23</v>
      </c>
      <c r="C51" s="7" t="s">
        <v>840</v>
      </c>
      <c r="D51" s="7">
        <v>50126075</v>
      </c>
      <c r="E51" s="7">
        <v>50</v>
      </c>
      <c r="F51" s="7">
        <v>58</v>
      </c>
      <c r="G51" s="7">
        <v>56</v>
      </c>
      <c r="H51" s="7" t="s">
        <v>82</v>
      </c>
      <c r="I51" s="7" t="s">
        <v>109</v>
      </c>
      <c r="J51" s="7" t="s">
        <v>130</v>
      </c>
      <c r="K51" s="46">
        <v>0.80833333333333335</v>
      </c>
      <c r="L51" s="7" t="s">
        <v>109</v>
      </c>
      <c r="M51" s="7" t="s">
        <v>109</v>
      </c>
      <c r="N51" s="7" t="s">
        <v>109</v>
      </c>
      <c r="O51" s="7" t="s">
        <v>61</v>
      </c>
      <c r="P51" s="7" t="s">
        <v>131</v>
      </c>
      <c r="Q51" s="7" t="s">
        <v>82</v>
      </c>
      <c r="R51" s="7" t="s">
        <v>62</v>
      </c>
      <c r="S51" s="7" t="s">
        <v>2249</v>
      </c>
      <c r="T51" s="7" t="s">
        <v>424</v>
      </c>
      <c r="U51" s="111">
        <f t="shared" si="1"/>
        <v>1.1200000000000001</v>
      </c>
      <c r="V51" s="7" t="s">
        <v>1941</v>
      </c>
    </row>
    <row r="52" spans="1:22" x14ac:dyDescent="0.3">
      <c r="A52" s="7">
        <v>51</v>
      </c>
      <c r="B52" s="7" t="s">
        <v>23</v>
      </c>
      <c r="C52" s="7" t="s">
        <v>923</v>
      </c>
      <c r="D52" s="7">
        <v>50126259</v>
      </c>
      <c r="E52" s="7">
        <v>50</v>
      </c>
      <c r="F52" s="7">
        <v>51</v>
      </c>
      <c r="G52" s="7">
        <v>44</v>
      </c>
      <c r="H52" s="7" t="s">
        <v>84</v>
      </c>
      <c r="I52" s="7" t="s">
        <v>109</v>
      </c>
      <c r="J52" s="7" t="s">
        <v>130</v>
      </c>
      <c r="K52" s="46">
        <v>5.9722222222222225E-2</v>
      </c>
      <c r="L52" s="7" t="s">
        <v>109</v>
      </c>
      <c r="M52" s="7" t="s">
        <v>109</v>
      </c>
      <c r="N52" s="7" t="s">
        <v>109</v>
      </c>
      <c r="O52" s="7" t="s">
        <v>61</v>
      </c>
      <c r="P52" s="7" t="s">
        <v>131</v>
      </c>
      <c r="Q52" s="7" t="s">
        <v>84</v>
      </c>
      <c r="R52" s="7" t="s">
        <v>62</v>
      </c>
      <c r="S52" s="7" t="s">
        <v>2249</v>
      </c>
      <c r="T52" s="7" t="s">
        <v>424</v>
      </c>
      <c r="U52" s="111">
        <f t="shared" si="1"/>
        <v>0.88</v>
      </c>
      <c r="V52" s="7" t="s">
        <v>109</v>
      </c>
    </row>
    <row r="53" spans="1:22" x14ac:dyDescent="0.3">
      <c r="A53" s="7">
        <v>52</v>
      </c>
      <c r="B53" s="7" t="s">
        <v>23</v>
      </c>
      <c r="C53" s="7" t="s">
        <v>423</v>
      </c>
      <c r="D53" s="7">
        <v>50126026</v>
      </c>
      <c r="E53" s="7">
        <v>30</v>
      </c>
      <c r="F53" s="7">
        <v>40</v>
      </c>
      <c r="G53" s="7">
        <v>33</v>
      </c>
      <c r="H53" s="7" t="s">
        <v>69</v>
      </c>
      <c r="I53" s="7" t="s">
        <v>109</v>
      </c>
      <c r="J53" s="7" t="s">
        <v>130</v>
      </c>
      <c r="K53" s="46">
        <v>0.68611111111111112</v>
      </c>
      <c r="L53" s="7" t="s">
        <v>109</v>
      </c>
      <c r="M53" s="7" t="s">
        <v>109</v>
      </c>
      <c r="N53" s="7" t="s">
        <v>109</v>
      </c>
      <c r="O53" s="7" t="s">
        <v>61</v>
      </c>
      <c r="P53" s="7" t="s">
        <v>131</v>
      </c>
      <c r="Q53" s="7" t="s">
        <v>2685</v>
      </c>
      <c r="R53" s="7" t="s">
        <v>62</v>
      </c>
      <c r="S53" s="7" t="s">
        <v>2249</v>
      </c>
      <c r="T53" s="7" t="s">
        <v>424</v>
      </c>
      <c r="U53" s="111">
        <f t="shared" si="1"/>
        <v>1.1000000000000001</v>
      </c>
      <c r="V53" s="7" t="s">
        <v>1941</v>
      </c>
    </row>
    <row r="54" spans="1:22" x14ac:dyDescent="0.3">
      <c r="A54" s="7">
        <v>53</v>
      </c>
      <c r="B54" s="7" t="s">
        <v>23</v>
      </c>
      <c r="C54" s="7" t="s">
        <v>431</v>
      </c>
      <c r="D54" s="7">
        <v>50126041</v>
      </c>
      <c r="E54" s="7">
        <v>50</v>
      </c>
      <c r="F54" s="7">
        <v>90</v>
      </c>
      <c r="G54" s="7">
        <v>52</v>
      </c>
      <c r="H54" s="7" t="s">
        <v>68</v>
      </c>
      <c r="I54" s="7" t="s">
        <v>109</v>
      </c>
      <c r="J54" s="7" t="s">
        <v>130</v>
      </c>
      <c r="K54" s="46">
        <v>0.98124999999999996</v>
      </c>
      <c r="L54" s="7" t="s">
        <v>109</v>
      </c>
      <c r="M54" s="7" t="s">
        <v>109</v>
      </c>
      <c r="N54" s="7" t="s">
        <v>109</v>
      </c>
      <c r="O54" s="7" t="s">
        <v>61</v>
      </c>
      <c r="P54" s="7" t="s">
        <v>131</v>
      </c>
      <c r="Q54" s="7" t="s">
        <v>68</v>
      </c>
      <c r="R54" s="7" t="s">
        <v>62</v>
      </c>
      <c r="S54" s="7" t="s">
        <v>2249</v>
      </c>
      <c r="T54" s="7" t="s">
        <v>424</v>
      </c>
      <c r="U54" s="111">
        <f t="shared" si="1"/>
        <v>1.04</v>
      </c>
      <c r="V54" s="7" t="s">
        <v>1941</v>
      </c>
    </row>
    <row r="55" spans="1:22" x14ac:dyDescent="0.3">
      <c r="A55" s="7">
        <v>54</v>
      </c>
      <c r="B55" s="7" t="s">
        <v>23</v>
      </c>
      <c r="C55" s="7" t="s">
        <v>430</v>
      </c>
      <c r="D55" s="7">
        <v>50126042</v>
      </c>
      <c r="E55" s="7">
        <v>30</v>
      </c>
      <c r="F55" s="7">
        <v>37</v>
      </c>
      <c r="G55" s="7">
        <v>37</v>
      </c>
      <c r="H55" s="7" t="s">
        <v>214</v>
      </c>
      <c r="I55" s="7" t="s">
        <v>109</v>
      </c>
      <c r="J55" s="7" t="s">
        <v>130</v>
      </c>
      <c r="K55" s="46">
        <v>0.99513888888888891</v>
      </c>
      <c r="L55" s="7" t="s">
        <v>109</v>
      </c>
      <c r="M55" s="7" t="s">
        <v>109</v>
      </c>
      <c r="N55" s="7" t="s">
        <v>109</v>
      </c>
      <c r="O55" s="7" t="s">
        <v>61</v>
      </c>
      <c r="P55" s="7" t="s">
        <v>131</v>
      </c>
      <c r="Q55" s="7" t="s">
        <v>214</v>
      </c>
      <c r="R55" s="7" t="s">
        <v>62</v>
      </c>
      <c r="S55" s="7" t="s">
        <v>2249</v>
      </c>
      <c r="T55" s="7" t="s">
        <v>424</v>
      </c>
      <c r="U55" s="111">
        <f t="shared" si="1"/>
        <v>1.2333333333333334</v>
      </c>
      <c r="V55" s="7" t="s">
        <v>1941</v>
      </c>
    </row>
    <row r="56" spans="1:22" x14ac:dyDescent="0.3">
      <c r="A56" s="7">
        <v>55</v>
      </c>
      <c r="B56" s="7" t="s">
        <v>23</v>
      </c>
      <c r="C56" s="7" t="s">
        <v>842</v>
      </c>
      <c r="D56" s="7">
        <v>50126202</v>
      </c>
      <c r="E56" s="7">
        <v>50</v>
      </c>
      <c r="F56" s="7">
        <v>100</v>
      </c>
      <c r="G56" s="7">
        <v>33</v>
      </c>
      <c r="H56" s="7" t="s">
        <v>527</v>
      </c>
      <c r="I56" s="7" t="s">
        <v>109</v>
      </c>
      <c r="J56" s="7" t="s">
        <v>130</v>
      </c>
      <c r="K56" s="46">
        <v>0.64097222222222228</v>
      </c>
      <c r="L56" s="7" t="s">
        <v>109</v>
      </c>
      <c r="M56" s="7" t="s">
        <v>109</v>
      </c>
      <c r="N56" s="7" t="s">
        <v>109</v>
      </c>
      <c r="O56" s="7" t="s">
        <v>61</v>
      </c>
      <c r="P56" s="7" t="s">
        <v>131</v>
      </c>
      <c r="Q56" s="7" t="s">
        <v>527</v>
      </c>
      <c r="R56" s="7" t="s">
        <v>62</v>
      </c>
      <c r="S56" s="7" t="s">
        <v>2249</v>
      </c>
      <c r="T56" s="7" t="s">
        <v>424</v>
      </c>
      <c r="U56" s="111">
        <f t="shared" si="1"/>
        <v>0.66</v>
      </c>
      <c r="V56" s="7" t="s">
        <v>889</v>
      </c>
    </row>
    <row r="57" spans="1:22" x14ac:dyDescent="0.3">
      <c r="A57" s="7">
        <v>56</v>
      </c>
      <c r="B57" s="7" t="s">
        <v>23</v>
      </c>
      <c r="C57" s="7" t="s">
        <v>843</v>
      </c>
      <c r="D57" s="7">
        <v>50126203</v>
      </c>
      <c r="E57" s="7">
        <v>30</v>
      </c>
      <c r="F57" s="7">
        <v>47</v>
      </c>
      <c r="G57" s="7">
        <v>29</v>
      </c>
      <c r="H57" s="7" t="s">
        <v>196</v>
      </c>
      <c r="I57" s="7" t="s">
        <v>109</v>
      </c>
      <c r="J57" s="7" t="s">
        <v>130</v>
      </c>
      <c r="K57" s="46">
        <v>0.81319444444444444</v>
      </c>
      <c r="L57" s="7" t="s">
        <v>109</v>
      </c>
      <c r="M57" s="7" t="s">
        <v>109</v>
      </c>
      <c r="N57" s="7" t="s">
        <v>109</v>
      </c>
      <c r="O57" s="7" t="s">
        <v>61</v>
      </c>
      <c r="P57" s="7" t="s">
        <v>131</v>
      </c>
      <c r="Q57" s="7" t="s">
        <v>196</v>
      </c>
      <c r="R57" s="7" t="s">
        <v>62</v>
      </c>
      <c r="S57" s="7" t="s">
        <v>2249</v>
      </c>
      <c r="T57" s="7" t="s">
        <v>424</v>
      </c>
      <c r="U57" s="111">
        <f t="shared" si="1"/>
        <v>0.96666666666666667</v>
      </c>
      <c r="V57" s="7" t="s">
        <v>1941</v>
      </c>
    </row>
    <row r="58" spans="1:22" x14ac:dyDescent="0.3">
      <c r="A58" s="7">
        <v>57</v>
      </c>
      <c r="B58" s="7" t="s">
        <v>23</v>
      </c>
      <c r="C58" s="7" t="s">
        <v>425</v>
      </c>
      <c r="D58" s="7">
        <v>50126025</v>
      </c>
      <c r="E58" s="7">
        <v>30</v>
      </c>
      <c r="F58" s="7">
        <v>64</v>
      </c>
      <c r="G58" s="7">
        <v>36</v>
      </c>
      <c r="H58" s="7" t="s">
        <v>70</v>
      </c>
      <c r="I58" s="7" t="s">
        <v>109</v>
      </c>
      <c r="J58" s="7" t="s">
        <v>130</v>
      </c>
      <c r="K58" s="46">
        <v>0.96111111111111114</v>
      </c>
      <c r="L58" s="7" t="s">
        <v>109</v>
      </c>
      <c r="M58" s="7" t="s">
        <v>109</v>
      </c>
      <c r="N58" s="7" t="s">
        <v>109</v>
      </c>
      <c r="O58" s="7" t="s">
        <v>61</v>
      </c>
      <c r="P58" s="7" t="s">
        <v>131</v>
      </c>
      <c r="Q58" s="7" t="s">
        <v>70</v>
      </c>
      <c r="R58" s="7" t="s">
        <v>62</v>
      </c>
      <c r="S58" s="7" t="s">
        <v>2249</v>
      </c>
      <c r="T58" s="7" t="s">
        <v>424</v>
      </c>
      <c r="U58" s="111">
        <f t="shared" si="1"/>
        <v>1.2</v>
      </c>
      <c r="V58" s="7" t="s">
        <v>1941</v>
      </c>
    </row>
    <row r="59" spans="1:22" x14ac:dyDescent="0.3">
      <c r="A59" s="7">
        <v>58</v>
      </c>
      <c r="B59" s="7" t="s">
        <v>23</v>
      </c>
      <c r="C59" s="7" t="s">
        <v>720</v>
      </c>
      <c r="D59" s="7">
        <v>50126099</v>
      </c>
      <c r="E59" s="7">
        <v>16</v>
      </c>
      <c r="F59" s="7">
        <v>5</v>
      </c>
      <c r="G59" s="7">
        <v>1</v>
      </c>
      <c r="H59" s="7" t="s">
        <v>71</v>
      </c>
      <c r="I59" s="7" t="s">
        <v>109</v>
      </c>
      <c r="J59" s="7" t="s">
        <v>130</v>
      </c>
      <c r="K59" s="46">
        <v>0.97499999999999998</v>
      </c>
      <c r="L59" s="7" t="s">
        <v>109</v>
      </c>
      <c r="M59" s="7" t="s">
        <v>109</v>
      </c>
      <c r="N59" s="7" t="s">
        <v>109</v>
      </c>
      <c r="O59" s="7" t="s">
        <v>61</v>
      </c>
      <c r="P59" s="7" t="s">
        <v>131</v>
      </c>
      <c r="Q59" s="7" t="s">
        <v>71</v>
      </c>
      <c r="R59" s="7" t="s">
        <v>62</v>
      </c>
      <c r="S59" s="7" t="s">
        <v>2249</v>
      </c>
      <c r="T59" s="7" t="s">
        <v>424</v>
      </c>
      <c r="U59" s="111">
        <f t="shared" si="1"/>
        <v>6.25E-2</v>
      </c>
      <c r="V59" s="7" t="s">
        <v>889</v>
      </c>
    </row>
    <row r="60" spans="1:22" x14ac:dyDescent="0.3">
      <c r="A60" s="7">
        <v>59</v>
      </c>
      <c r="B60" s="7" t="s">
        <v>23</v>
      </c>
      <c r="C60" s="7" t="s">
        <v>721</v>
      </c>
      <c r="D60" s="7">
        <v>50126076</v>
      </c>
      <c r="E60" s="7">
        <v>30</v>
      </c>
      <c r="F60" s="7">
        <v>43</v>
      </c>
      <c r="G60" s="7">
        <v>31</v>
      </c>
      <c r="H60" s="7" t="s">
        <v>222</v>
      </c>
      <c r="I60" s="7" t="s">
        <v>109</v>
      </c>
      <c r="J60" s="7" t="s">
        <v>130</v>
      </c>
      <c r="K60" s="46">
        <v>0.96944444444444444</v>
      </c>
      <c r="L60" s="7" t="s">
        <v>109</v>
      </c>
      <c r="M60" s="7" t="s">
        <v>109</v>
      </c>
      <c r="N60" s="7" t="s">
        <v>109</v>
      </c>
      <c r="O60" s="7" t="s">
        <v>61</v>
      </c>
      <c r="P60" s="7" t="s">
        <v>131</v>
      </c>
      <c r="Q60" s="7" t="s">
        <v>222</v>
      </c>
      <c r="R60" s="7" t="s">
        <v>62</v>
      </c>
      <c r="S60" s="7" t="s">
        <v>2249</v>
      </c>
      <c r="T60" s="7" t="s">
        <v>424</v>
      </c>
      <c r="U60" s="111">
        <f t="shared" si="1"/>
        <v>1.0333333333333334</v>
      </c>
      <c r="V60" s="7" t="s">
        <v>1941</v>
      </c>
    </row>
    <row r="61" spans="1:22" x14ac:dyDescent="0.3">
      <c r="A61" s="7">
        <v>60</v>
      </c>
      <c r="B61" s="7" t="s">
        <v>23</v>
      </c>
      <c r="C61" s="7" t="s">
        <v>551</v>
      </c>
      <c r="D61" s="7">
        <v>50126092</v>
      </c>
      <c r="E61" s="7">
        <v>30</v>
      </c>
      <c r="F61" s="7">
        <v>40</v>
      </c>
      <c r="G61" s="7">
        <v>33</v>
      </c>
      <c r="H61" s="7" t="s">
        <v>209</v>
      </c>
      <c r="I61" s="7" t="s">
        <v>109</v>
      </c>
      <c r="J61" s="7" t="s">
        <v>130</v>
      </c>
      <c r="K61" s="46">
        <v>0.69791666666666663</v>
      </c>
      <c r="L61" s="7" t="s">
        <v>109</v>
      </c>
      <c r="M61" s="7" t="s">
        <v>109</v>
      </c>
      <c r="N61" s="7" t="s">
        <v>109</v>
      </c>
      <c r="O61" s="7" t="s">
        <v>61</v>
      </c>
      <c r="P61" s="7" t="s">
        <v>131</v>
      </c>
      <c r="Q61" s="7" t="s">
        <v>209</v>
      </c>
      <c r="R61" s="7" t="s">
        <v>62</v>
      </c>
      <c r="S61" s="7" t="s">
        <v>2249</v>
      </c>
      <c r="T61" s="7" t="s">
        <v>424</v>
      </c>
      <c r="U61" s="111">
        <f t="shared" si="1"/>
        <v>1.1000000000000001</v>
      </c>
      <c r="V61" s="7" t="s">
        <v>1941</v>
      </c>
    </row>
    <row r="62" spans="1:22" x14ac:dyDescent="0.3">
      <c r="A62" s="7">
        <v>61</v>
      </c>
      <c r="B62" s="7" t="s">
        <v>23</v>
      </c>
      <c r="C62" s="7" t="s">
        <v>725</v>
      </c>
      <c r="D62" s="7">
        <v>50126113</v>
      </c>
      <c r="E62" s="7">
        <v>40</v>
      </c>
      <c r="F62" s="7">
        <v>45</v>
      </c>
      <c r="G62" s="7">
        <v>36</v>
      </c>
      <c r="H62" s="7" t="s">
        <v>154</v>
      </c>
      <c r="I62" s="7" t="s">
        <v>109</v>
      </c>
      <c r="J62" s="7" t="s">
        <v>130</v>
      </c>
      <c r="K62" s="46">
        <v>0.71875</v>
      </c>
      <c r="L62" s="7" t="s">
        <v>109</v>
      </c>
      <c r="M62" s="7" t="s">
        <v>109</v>
      </c>
      <c r="N62" s="7" t="s">
        <v>109</v>
      </c>
      <c r="O62" s="7" t="s">
        <v>61</v>
      </c>
      <c r="P62" s="7" t="s">
        <v>131</v>
      </c>
      <c r="Q62" s="7" t="s">
        <v>154</v>
      </c>
      <c r="R62" s="7" t="s">
        <v>62</v>
      </c>
      <c r="S62" s="7" t="s">
        <v>2249</v>
      </c>
      <c r="T62" s="7" t="s">
        <v>424</v>
      </c>
      <c r="U62" s="111">
        <f t="shared" si="1"/>
        <v>0.9</v>
      </c>
      <c r="V62" s="7" t="s">
        <v>1941</v>
      </c>
    </row>
    <row r="63" spans="1:22" x14ac:dyDescent="0.3">
      <c r="A63" s="7">
        <v>62</v>
      </c>
      <c r="B63" s="7" t="s">
        <v>23</v>
      </c>
      <c r="C63" s="7" t="s">
        <v>728</v>
      </c>
      <c r="D63" s="7">
        <v>50126118</v>
      </c>
      <c r="E63" s="7">
        <v>50</v>
      </c>
      <c r="F63" s="7">
        <v>106</v>
      </c>
      <c r="G63" s="7">
        <v>41</v>
      </c>
      <c r="H63" s="7" t="s">
        <v>65</v>
      </c>
      <c r="I63" s="7" t="s">
        <v>109</v>
      </c>
      <c r="J63" s="7" t="s">
        <v>130</v>
      </c>
      <c r="K63" s="46">
        <v>0.97638888888888886</v>
      </c>
      <c r="L63" s="7" t="s">
        <v>109</v>
      </c>
      <c r="M63" s="7" t="s">
        <v>109</v>
      </c>
      <c r="N63" s="7" t="s">
        <v>109</v>
      </c>
      <c r="O63" s="7" t="s">
        <v>61</v>
      </c>
      <c r="P63" s="7" t="s">
        <v>131</v>
      </c>
      <c r="Q63" s="7" t="s">
        <v>65</v>
      </c>
      <c r="R63" s="7" t="s">
        <v>62</v>
      </c>
      <c r="S63" s="7" t="s">
        <v>2249</v>
      </c>
      <c r="T63" s="7" t="s">
        <v>424</v>
      </c>
      <c r="U63" s="111">
        <f t="shared" si="1"/>
        <v>0.82</v>
      </c>
      <c r="V63" s="7" t="s">
        <v>2862</v>
      </c>
    </row>
    <row r="64" spans="1:22" x14ac:dyDescent="0.3">
      <c r="A64" s="7">
        <v>63</v>
      </c>
      <c r="B64" s="7" t="s">
        <v>23</v>
      </c>
      <c r="C64" s="7" t="s">
        <v>729</v>
      </c>
      <c r="D64" s="7">
        <v>50126119</v>
      </c>
      <c r="E64" s="7">
        <v>20</v>
      </c>
      <c r="F64" s="7">
        <v>30</v>
      </c>
      <c r="G64" s="7">
        <v>24</v>
      </c>
      <c r="H64" s="7" t="s">
        <v>241</v>
      </c>
      <c r="I64" s="7" t="s">
        <v>109</v>
      </c>
      <c r="J64" s="7" t="s">
        <v>130</v>
      </c>
      <c r="K64" s="46">
        <v>0.66111111111111109</v>
      </c>
      <c r="L64" s="7" t="s">
        <v>109</v>
      </c>
      <c r="M64" s="7" t="s">
        <v>109</v>
      </c>
      <c r="N64" s="7" t="s">
        <v>109</v>
      </c>
      <c r="O64" s="7" t="s">
        <v>61</v>
      </c>
      <c r="P64" s="7" t="s">
        <v>131</v>
      </c>
      <c r="Q64" s="7" t="s">
        <v>241</v>
      </c>
      <c r="R64" s="7" t="s">
        <v>62</v>
      </c>
      <c r="S64" s="7" t="s">
        <v>2249</v>
      </c>
      <c r="T64" s="7" t="s">
        <v>424</v>
      </c>
      <c r="U64" s="111">
        <f t="shared" si="1"/>
        <v>1.2</v>
      </c>
      <c r="V64" s="7" t="s">
        <v>1941</v>
      </c>
    </row>
    <row r="65" spans="1:22" x14ac:dyDescent="0.3">
      <c r="A65" s="7">
        <v>64</v>
      </c>
      <c r="B65" s="7" t="s">
        <v>23</v>
      </c>
      <c r="C65" s="7" t="s">
        <v>730</v>
      </c>
      <c r="D65" s="7">
        <v>50126120</v>
      </c>
      <c r="E65" s="7">
        <v>30</v>
      </c>
      <c r="F65" s="7">
        <v>47</v>
      </c>
      <c r="G65" s="7">
        <v>36</v>
      </c>
      <c r="H65" s="7" t="s">
        <v>88</v>
      </c>
      <c r="I65" s="7" t="s">
        <v>109</v>
      </c>
      <c r="J65" s="7" t="s">
        <v>130</v>
      </c>
      <c r="K65" s="46">
        <v>0.88541666666666663</v>
      </c>
      <c r="L65" s="7" t="s">
        <v>109</v>
      </c>
      <c r="M65" s="7" t="s">
        <v>109</v>
      </c>
      <c r="N65" s="7" t="s">
        <v>109</v>
      </c>
      <c r="O65" s="7" t="s">
        <v>61</v>
      </c>
      <c r="P65" s="7" t="s">
        <v>131</v>
      </c>
      <c r="Q65" s="7" t="s">
        <v>88</v>
      </c>
      <c r="R65" s="7" t="s">
        <v>62</v>
      </c>
      <c r="S65" s="7" t="s">
        <v>2249</v>
      </c>
      <c r="T65" s="7" t="s">
        <v>424</v>
      </c>
      <c r="U65" s="111">
        <f t="shared" si="1"/>
        <v>1.2</v>
      </c>
      <c r="V65" s="7" t="s">
        <v>1941</v>
      </c>
    </row>
    <row r="66" spans="1:22" x14ac:dyDescent="0.3">
      <c r="A66" s="7">
        <v>65</v>
      </c>
      <c r="B66" s="7" t="s">
        <v>23</v>
      </c>
      <c r="C66" s="7" t="s">
        <v>2038</v>
      </c>
      <c r="D66" s="7">
        <v>50226044</v>
      </c>
      <c r="E66" s="7">
        <v>150</v>
      </c>
      <c r="F66" s="7">
        <v>193</v>
      </c>
      <c r="G66" s="7">
        <v>144</v>
      </c>
      <c r="H66" s="7" t="s">
        <v>1737</v>
      </c>
      <c r="I66" s="7" t="s">
        <v>109</v>
      </c>
      <c r="J66" s="7" t="s">
        <v>130</v>
      </c>
      <c r="K66" s="46">
        <v>0.8979166666666667</v>
      </c>
      <c r="L66" s="7" t="s">
        <v>109</v>
      </c>
      <c r="M66" s="7" t="s">
        <v>109</v>
      </c>
      <c r="N66" s="7" t="s">
        <v>109</v>
      </c>
      <c r="O66" s="7" t="s">
        <v>61</v>
      </c>
      <c r="P66" s="7" t="s">
        <v>131</v>
      </c>
      <c r="Q66" s="7" t="s">
        <v>66</v>
      </c>
      <c r="R66" s="7" t="s">
        <v>62</v>
      </c>
      <c r="S66" s="7" t="s">
        <v>2249</v>
      </c>
      <c r="T66" s="7" t="s">
        <v>424</v>
      </c>
      <c r="U66" s="111">
        <f t="shared" ref="U66:U97" si="2">G66/E66</f>
        <v>0.96</v>
      </c>
      <c r="V66" s="7" t="s">
        <v>1941</v>
      </c>
    </row>
    <row r="67" spans="1:22" x14ac:dyDescent="0.3">
      <c r="A67" s="7">
        <v>66</v>
      </c>
      <c r="B67" s="7" t="s">
        <v>23</v>
      </c>
      <c r="C67" s="7" t="s">
        <v>526</v>
      </c>
      <c r="D67" s="7">
        <v>50126080</v>
      </c>
      <c r="E67" s="7">
        <v>55</v>
      </c>
      <c r="F67" s="7">
        <v>62</v>
      </c>
      <c r="G67" s="7">
        <v>62</v>
      </c>
      <c r="H67" s="7" t="s">
        <v>214</v>
      </c>
      <c r="I67" s="7" t="s">
        <v>109</v>
      </c>
      <c r="J67" s="7" t="s">
        <v>130</v>
      </c>
      <c r="K67" s="46">
        <v>0.98541666666666672</v>
      </c>
      <c r="L67" s="7" t="s">
        <v>109</v>
      </c>
      <c r="M67" s="7" t="s">
        <v>109</v>
      </c>
      <c r="N67" s="7" t="s">
        <v>109</v>
      </c>
      <c r="O67" s="7" t="s">
        <v>61</v>
      </c>
      <c r="P67" s="7" t="s">
        <v>131</v>
      </c>
      <c r="Q67" s="7" t="s">
        <v>214</v>
      </c>
      <c r="R67" s="7" t="s">
        <v>62</v>
      </c>
      <c r="S67" s="7" t="s">
        <v>2249</v>
      </c>
      <c r="T67" s="7" t="s">
        <v>424</v>
      </c>
      <c r="U67" s="111">
        <f t="shared" si="2"/>
        <v>1.1272727272727272</v>
      </c>
      <c r="V67" s="7" t="s">
        <v>1941</v>
      </c>
    </row>
    <row r="68" spans="1:22" x14ac:dyDescent="0.3">
      <c r="A68" s="7">
        <v>67</v>
      </c>
      <c r="B68" s="7" t="s">
        <v>23</v>
      </c>
      <c r="C68" s="7" t="s">
        <v>945</v>
      </c>
      <c r="D68" s="7">
        <v>50126230</v>
      </c>
      <c r="E68" s="7">
        <v>40</v>
      </c>
      <c r="F68" s="7">
        <v>59</v>
      </c>
      <c r="G68" s="7">
        <v>58</v>
      </c>
      <c r="H68" s="7" t="s">
        <v>94</v>
      </c>
      <c r="I68" s="7" t="s">
        <v>109</v>
      </c>
      <c r="J68" s="7" t="s">
        <v>130</v>
      </c>
      <c r="K68" s="46">
        <v>0.81597222222222221</v>
      </c>
      <c r="L68" s="7" t="s">
        <v>109</v>
      </c>
      <c r="M68" s="7" t="s">
        <v>109</v>
      </c>
      <c r="N68" s="7" t="s">
        <v>109</v>
      </c>
      <c r="O68" s="7" t="s">
        <v>61</v>
      </c>
      <c r="P68" s="7" t="s">
        <v>131</v>
      </c>
      <c r="Q68" s="7" t="s">
        <v>94</v>
      </c>
      <c r="R68" s="7" t="s">
        <v>62</v>
      </c>
      <c r="S68" s="7" t="s">
        <v>2249</v>
      </c>
      <c r="T68" s="7" t="s">
        <v>424</v>
      </c>
      <c r="U68" s="111">
        <f t="shared" si="2"/>
        <v>1.45</v>
      </c>
      <c r="V68" s="7" t="s">
        <v>1941</v>
      </c>
    </row>
    <row r="69" spans="1:22" x14ac:dyDescent="0.3">
      <c r="A69" s="7">
        <v>68</v>
      </c>
      <c r="B69" s="7" t="s">
        <v>23</v>
      </c>
      <c r="C69" s="7" t="s">
        <v>948</v>
      </c>
      <c r="D69" s="7">
        <v>50126231</v>
      </c>
      <c r="E69" s="7">
        <v>40</v>
      </c>
      <c r="F69" s="7">
        <v>64</v>
      </c>
      <c r="G69" s="7">
        <v>42</v>
      </c>
      <c r="H69" s="7" t="s">
        <v>71</v>
      </c>
      <c r="I69" s="7" t="s">
        <v>109</v>
      </c>
      <c r="J69" s="7" t="s">
        <v>130</v>
      </c>
      <c r="K69" s="46">
        <v>0.80347222222222225</v>
      </c>
      <c r="L69" s="7" t="s">
        <v>109</v>
      </c>
      <c r="M69" s="7" t="s">
        <v>109</v>
      </c>
      <c r="N69" s="7" t="s">
        <v>109</v>
      </c>
      <c r="O69" s="7" t="s">
        <v>61</v>
      </c>
      <c r="P69" s="7" t="s">
        <v>131</v>
      </c>
      <c r="Q69" s="7" t="s">
        <v>71</v>
      </c>
      <c r="R69" s="7" t="s">
        <v>62</v>
      </c>
      <c r="S69" s="7" t="s">
        <v>2249</v>
      </c>
      <c r="T69" s="7" t="s">
        <v>424</v>
      </c>
      <c r="U69" s="111">
        <f t="shared" si="2"/>
        <v>1.05</v>
      </c>
      <c r="V69" s="7" t="s">
        <v>1941</v>
      </c>
    </row>
    <row r="70" spans="1:22" x14ac:dyDescent="0.3">
      <c r="A70" s="7">
        <v>69</v>
      </c>
      <c r="B70" s="7" t="s">
        <v>23</v>
      </c>
      <c r="C70" s="7" t="s">
        <v>951</v>
      </c>
      <c r="D70" s="7">
        <v>50126232</v>
      </c>
      <c r="E70" s="7">
        <v>40</v>
      </c>
      <c r="F70" s="7">
        <v>61</v>
      </c>
      <c r="G70" s="7">
        <v>37</v>
      </c>
      <c r="H70" s="44" t="s">
        <v>67</v>
      </c>
      <c r="I70" s="7" t="s">
        <v>109</v>
      </c>
      <c r="J70" s="7" t="s">
        <v>130</v>
      </c>
      <c r="K70" s="46">
        <v>0.67361111111111116</v>
      </c>
      <c r="L70" s="7" t="s">
        <v>109</v>
      </c>
      <c r="M70" s="7" t="s">
        <v>109</v>
      </c>
      <c r="N70" s="7" t="s">
        <v>109</v>
      </c>
      <c r="O70" s="7" t="s">
        <v>61</v>
      </c>
      <c r="P70" s="7" t="s">
        <v>131</v>
      </c>
      <c r="Q70" s="7" t="s">
        <v>67</v>
      </c>
      <c r="R70" s="7" t="s">
        <v>62</v>
      </c>
      <c r="S70" s="7" t="s">
        <v>2249</v>
      </c>
      <c r="T70" s="7" t="s">
        <v>424</v>
      </c>
      <c r="U70" s="111">
        <f t="shared" si="2"/>
        <v>0.92500000000000004</v>
      </c>
      <c r="V70" s="7" t="s">
        <v>1941</v>
      </c>
    </row>
    <row r="71" spans="1:22" x14ac:dyDescent="0.3">
      <c r="A71" s="7">
        <v>70</v>
      </c>
      <c r="B71" s="7" t="s">
        <v>23</v>
      </c>
      <c r="C71" s="7" t="s">
        <v>806</v>
      </c>
      <c r="D71" s="7">
        <v>50126198</v>
      </c>
      <c r="E71" s="7">
        <v>35</v>
      </c>
      <c r="F71" s="7">
        <v>74</v>
      </c>
      <c r="G71" s="7">
        <v>22</v>
      </c>
      <c r="H71" s="7" t="s">
        <v>86</v>
      </c>
      <c r="I71" s="7" t="s">
        <v>109</v>
      </c>
      <c r="J71" s="7" t="s">
        <v>130</v>
      </c>
      <c r="K71" s="46">
        <v>0.7416666666666667</v>
      </c>
      <c r="L71" s="7" t="s">
        <v>109</v>
      </c>
      <c r="M71" s="7" t="s">
        <v>109</v>
      </c>
      <c r="N71" s="7" t="s">
        <v>109</v>
      </c>
      <c r="O71" s="7" t="s">
        <v>61</v>
      </c>
      <c r="P71" s="7" t="s">
        <v>131</v>
      </c>
      <c r="Q71" s="7" t="s">
        <v>86</v>
      </c>
      <c r="R71" s="7" t="s">
        <v>62</v>
      </c>
      <c r="S71" s="7" t="s">
        <v>2249</v>
      </c>
      <c r="T71" s="7" t="s">
        <v>424</v>
      </c>
      <c r="U71" s="111">
        <f t="shared" si="2"/>
        <v>0.62857142857142856</v>
      </c>
      <c r="V71" s="7" t="s">
        <v>2862</v>
      </c>
    </row>
    <row r="72" spans="1:22" x14ac:dyDescent="0.3">
      <c r="A72" s="7">
        <v>71</v>
      </c>
      <c r="B72" s="7" t="s">
        <v>23</v>
      </c>
      <c r="C72" s="7" t="s">
        <v>807</v>
      </c>
      <c r="D72" s="7">
        <v>50126199</v>
      </c>
      <c r="E72" s="7">
        <v>30</v>
      </c>
      <c r="F72" s="7">
        <v>54</v>
      </c>
      <c r="G72" s="7">
        <v>32</v>
      </c>
      <c r="H72" s="7" t="s">
        <v>200</v>
      </c>
      <c r="I72" s="7" t="s">
        <v>109</v>
      </c>
      <c r="J72" s="7" t="s">
        <v>130</v>
      </c>
      <c r="K72" s="46">
        <v>6.7361111111111108E-2</v>
      </c>
      <c r="L72" s="7" t="s">
        <v>109</v>
      </c>
      <c r="M72" s="7" t="s">
        <v>109</v>
      </c>
      <c r="N72" s="7" t="s">
        <v>109</v>
      </c>
      <c r="O72" s="7" t="s">
        <v>61</v>
      </c>
      <c r="P72" s="7" t="s">
        <v>131</v>
      </c>
      <c r="Q72" s="7" t="s">
        <v>200</v>
      </c>
      <c r="R72" s="7" t="s">
        <v>62</v>
      </c>
      <c r="S72" s="7" t="s">
        <v>2249</v>
      </c>
      <c r="T72" s="7" t="s">
        <v>424</v>
      </c>
      <c r="U72" s="111">
        <f t="shared" si="2"/>
        <v>1.0666666666666667</v>
      </c>
      <c r="V72" s="7" t="s">
        <v>109</v>
      </c>
    </row>
    <row r="73" spans="1:22" x14ac:dyDescent="0.3">
      <c r="A73" s="7">
        <v>72</v>
      </c>
      <c r="B73" s="7" t="s">
        <v>23</v>
      </c>
      <c r="C73" s="7" t="s">
        <v>2478</v>
      </c>
      <c r="D73" s="7">
        <v>50226101</v>
      </c>
      <c r="E73" s="7">
        <v>200</v>
      </c>
      <c r="F73" s="7">
        <v>386</v>
      </c>
      <c r="G73" s="7">
        <v>105</v>
      </c>
      <c r="H73" s="7" t="s">
        <v>2880</v>
      </c>
      <c r="I73" s="7" t="s">
        <v>109</v>
      </c>
      <c r="J73" s="7" t="s">
        <v>130</v>
      </c>
      <c r="K73" s="46">
        <v>0.95486111111111116</v>
      </c>
      <c r="L73" s="7" t="s">
        <v>109</v>
      </c>
      <c r="M73" s="7" t="s">
        <v>109</v>
      </c>
      <c r="N73" s="7" t="s">
        <v>109</v>
      </c>
      <c r="O73" s="7" t="s">
        <v>61</v>
      </c>
      <c r="P73" s="7" t="s">
        <v>131</v>
      </c>
      <c r="Q73" s="7" t="s">
        <v>241</v>
      </c>
      <c r="R73" s="7" t="s">
        <v>62</v>
      </c>
      <c r="S73" s="7" t="s">
        <v>2249</v>
      </c>
      <c r="T73" s="7" t="s">
        <v>2473</v>
      </c>
      <c r="U73" s="111">
        <f t="shared" si="2"/>
        <v>0.52500000000000002</v>
      </c>
      <c r="V73" s="7" t="s">
        <v>2862</v>
      </c>
    </row>
    <row r="74" spans="1:22" x14ac:dyDescent="0.3">
      <c r="A74" s="7">
        <v>73</v>
      </c>
      <c r="B74" s="7" t="s">
        <v>23</v>
      </c>
      <c r="C74" s="7" t="s">
        <v>2480</v>
      </c>
      <c r="D74" s="7">
        <v>50226097</v>
      </c>
      <c r="E74" s="7">
        <v>200</v>
      </c>
      <c r="F74" s="7">
        <v>351</v>
      </c>
      <c r="G74" s="7">
        <v>85</v>
      </c>
      <c r="H74" s="7" t="s">
        <v>2881</v>
      </c>
      <c r="I74" s="7" t="s">
        <v>109</v>
      </c>
      <c r="J74" s="7" t="s">
        <v>130</v>
      </c>
      <c r="K74" s="46">
        <v>0.93333333333333335</v>
      </c>
      <c r="L74" s="7" t="s">
        <v>109</v>
      </c>
      <c r="M74" s="7" t="s">
        <v>109</v>
      </c>
      <c r="N74" s="7" t="s">
        <v>109</v>
      </c>
      <c r="O74" s="7" t="s">
        <v>61</v>
      </c>
      <c r="P74" s="7" t="s">
        <v>131</v>
      </c>
      <c r="Q74" s="7" t="s">
        <v>68</v>
      </c>
      <c r="R74" s="7" t="s">
        <v>62</v>
      </c>
      <c r="S74" s="7" t="s">
        <v>2249</v>
      </c>
      <c r="T74" s="7" t="s">
        <v>2473</v>
      </c>
      <c r="U74" s="111">
        <f t="shared" si="2"/>
        <v>0.42499999999999999</v>
      </c>
      <c r="V74" s="7" t="s">
        <v>2862</v>
      </c>
    </row>
    <row r="75" spans="1:22" x14ac:dyDescent="0.3">
      <c r="A75" s="7">
        <v>74</v>
      </c>
      <c r="B75" s="7" t="s">
        <v>23</v>
      </c>
      <c r="C75" s="7" t="s">
        <v>2481</v>
      </c>
      <c r="D75" s="7">
        <v>50226096</v>
      </c>
      <c r="E75" s="7">
        <v>250</v>
      </c>
      <c r="F75" s="7">
        <v>366</v>
      </c>
      <c r="G75" s="7">
        <v>125</v>
      </c>
      <c r="H75" s="7" t="s">
        <v>2882</v>
      </c>
      <c r="I75" s="7" t="s">
        <v>109</v>
      </c>
      <c r="J75" s="7" t="s">
        <v>130</v>
      </c>
      <c r="K75" s="46">
        <v>0.98888888888888893</v>
      </c>
      <c r="L75" s="7" t="s">
        <v>109</v>
      </c>
      <c r="M75" s="7" t="s">
        <v>109</v>
      </c>
      <c r="N75" s="7" t="s">
        <v>109</v>
      </c>
      <c r="O75" s="7" t="s">
        <v>61</v>
      </c>
      <c r="P75" s="7" t="s">
        <v>131</v>
      </c>
      <c r="Q75" s="7" t="s">
        <v>67</v>
      </c>
      <c r="R75" s="7" t="s">
        <v>62</v>
      </c>
      <c r="S75" s="7" t="s">
        <v>2249</v>
      </c>
      <c r="T75" s="7" t="s">
        <v>2473</v>
      </c>
      <c r="U75" s="111">
        <f t="shared" si="2"/>
        <v>0.5</v>
      </c>
      <c r="V75" s="7" t="s">
        <v>2862</v>
      </c>
    </row>
    <row r="76" spans="1:22" x14ac:dyDescent="0.3">
      <c r="A76" s="7">
        <v>75</v>
      </c>
      <c r="B76" s="7" t="s">
        <v>23</v>
      </c>
      <c r="C76" s="7" t="s">
        <v>2519</v>
      </c>
      <c r="D76" s="7">
        <v>50226107</v>
      </c>
      <c r="E76" s="7">
        <v>120</v>
      </c>
      <c r="F76" s="7">
        <v>240</v>
      </c>
      <c r="G76" s="7">
        <v>46</v>
      </c>
      <c r="H76" s="7" t="s">
        <v>1223</v>
      </c>
      <c r="I76" s="7" t="s">
        <v>109</v>
      </c>
      <c r="J76" s="7" t="s">
        <v>130</v>
      </c>
      <c r="K76" s="46">
        <v>0.94791666666666663</v>
      </c>
      <c r="L76" s="7" t="s">
        <v>109</v>
      </c>
      <c r="M76" s="7" t="s">
        <v>109</v>
      </c>
      <c r="N76" s="7" t="s">
        <v>109</v>
      </c>
      <c r="O76" s="7" t="s">
        <v>61</v>
      </c>
      <c r="P76" s="7" t="s">
        <v>131</v>
      </c>
      <c r="Q76" s="7" t="s">
        <v>69</v>
      </c>
      <c r="R76" s="7" t="s">
        <v>62</v>
      </c>
      <c r="S76" s="7" t="s">
        <v>2249</v>
      </c>
      <c r="T76" s="7" t="s">
        <v>122</v>
      </c>
      <c r="U76" s="111">
        <f t="shared" si="2"/>
        <v>0.38333333333333336</v>
      </c>
      <c r="V76" s="7" t="s">
        <v>109</v>
      </c>
    </row>
    <row r="77" spans="1:22" x14ac:dyDescent="0.3">
      <c r="A77" s="7">
        <v>76</v>
      </c>
      <c r="B77" s="7" t="s">
        <v>23</v>
      </c>
      <c r="C77" s="7" t="s">
        <v>2518</v>
      </c>
      <c r="D77" s="7">
        <v>50226108</v>
      </c>
      <c r="E77" s="7">
        <v>50</v>
      </c>
      <c r="F77" s="7">
        <v>111</v>
      </c>
      <c r="G77" s="7">
        <v>49</v>
      </c>
      <c r="H77" s="7" t="s">
        <v>274</v>
      </c>
      <c r="I77" s="7" t="s">
        <v>109</v>
      </c>
      <c r="J77" s="7" t="s">
        <v>130</v>
      </c>
      <c r="K77" s="46">
        <v>0.90347222222222223</v>
      </c>
      <c r="L77" s="7" t="s">
        <v>109</v>
      </c>
      <c r="M77" s="7" t="s">
        <v>109</v>
      </c>
      <c r="N77" s="7" t="s">
        <v>109</v>
      </c>
      <c r="O77" s="7" t="s">
        <v>61</v>
      </c>
      <c r="P77" s="7" t="s">
        <v>131</v>
      </c>
      <c r="Q77" s="7" t="s">
        <v>274</v>
      </c>
      <c r="R77" s="7" t="s">
        <v>62</v>
      </c>
      <c r="S77" s="7" t="s">
        <v>2249</v>
      </c>
      <c r="T77" s="7" t="s">
        <v>122</v>
      </c>
      <c r="U77" s="111">
        <f t="shared" si="2"/>
        <v>0.98</v>
      </c>
      <c r="V77" s="7" t="s">
        <v>1941</v>
      </c>
    </row>
    <row r="78" spans="1:22" x14ac:dyDescent="0.3">
      <c r="A78" s="7">
        <v>77</v>
      </c>
      <c r="B78" s="7" t="s">
        <v>135</v>
      </c>
      <c r="C78" s="7" t="s">
        <v>670</v>
      </c>
      <c r="D78" s="33">
        <v>20126008</v>
      </c>
      <c r="E78" s="7">
        <v>220</v>
      </c>
      <c r="F78" s="7">
        <f>166+9</f>
        <v>175</v>
      </c>
      <c r="G78" s="7">
        <f>42+8</f>
        <v>50</v>
      </c>
      <c r="H78" s="7" t="s">
        <v>2920</v>
      </c>
      <c r="I78" s="7" t="s">
        <v>2883</v>
      </c>
      <c r="J78" s="7" t="s">
        <v>130</v>
      </c>
      <c r="K78" s="46">
        <v>0.8256944444444444</v>
      </c>
      <c r="L78" s="46">
        <v>0.86944444444444446</v>
      </c>
      <c r="M78" s="7" t="s">
        <v>109</v>
      </c>
      <c r="N78" s="7" t="s">
        <v>575</v>
      </c>
      <c r="O78" s="7" t="s">
        <v>606</v>
      </c>
      <c r="P78" s="7" t="s">
        <v>131</v>
      </c>
      <c r="Q78" s="7" t="s">
        <v>179</v>
      </c>
      <c r="R78" s="7" t="s">
        <v>62</v>
      </c>
      <c r="S78" s="7" t="s">
        <v>2249</v>
      </c>
      <c r="T78" s="7" t="s">
        <v>666</v>
      </c>
      <c r="U78" s="111">
        <f t="shared" si="2"/>
        <v>0.22727272727272727</v>
      </c>
      <c r="V78" s="7" t="s">
        <v>606</v>
      </c>
    </row>
    <row r="79" spans="1:22" x14ac:dyDescent="0.3">
      <c r="A79" s="7">
        <v>78</v>
      </c>
      <c r="B79" s="7" t="s">
        <v>135</v>
      </c>
      <c r="C79" s="7" t="s">
        <v>671</v>
      </c>
      <c r="D79" s="7">
        <v>20126010</v>
      </c>
      <c r="E79" s="7">
        <v>85</v>
      </c>
      <c r="F79" s="7">
        <f>43+10</f>
        <v>53</v>
      </c>
      <c r="G79" s="7">
        <f>15+5</f>
        <v>20</v>
      </c>
      <c r="H79" s="44" t="s">
        <v>2919</v>
      </c>
      <c r="I79" s="7" t="s">
        <v>1082</v>
      </c>
      <c r="J79" s="7" t="s">
        <v>130</v>
      </c>
      <c r="K79" s="46">
        <v>0.7416666666666667</v>
      </c>
      <c r="L79" s="46">
        <v>0.80763888888888891</v>
      </c>
      <c r="M79" s="7" t="s">
        <v>109</v>
      </c>
      <c r="N79" s="7" t="s">
        <v>575</v>
      </c>
      <c r="O79" s="7" t="s">
        <v>606</v>
      </c>
      <c r="P79" s="7" t="s">
        <v>131</v>
      </c>
      <c r="Q79" s="7" t="s">
        <v>89</v>
      </c>
      <c r="R79" s="7" t="s">
        <v>62</v>
      </c>
      <c r="S79" s="7" t="s">
        <v>2249</v>
      </c>
      <c r="T79" s="7" t="s">
        <v>666</v>
      </c>
      <c r="U79" s="111">
        <f t="shared" si="2"/>
        <v>0.23529411764705882</v>
      </c>
      <c r="V79" s="7" t="s">
        <v>606</v>
      </c>
    </row>
    <row r="80" spans="1:22" x14ac:dyDescent="0.3">
      <c r="A80" s="7">
        <v>79</v>
      </c>
      <c r="B80" s="7" t="s">
        <v>135</v>
      </c>
      <c r="C80" s="7" t="s">
        <v>669</v>
      </c>
      <c r="D80" s="7">
        <v>20126012</v>
      </c>
      <c r="E80" s="7">
        <v>62</v>
      </c>
      <c r="F80" s="7">
        <f>29+10</f>
        <v>39</v>
      </c>
      <c r="G80" s="7">
        <f>5+8</f>
        <v>13</v>
      </c>
      <c r="H80" s="7" t="s">
        <v>196</v>
      </c>
      <c r="I80" s="7" t="s">
        <v>87</v>
      </c>
      <c r="J80" s="7" t="s">
        <v>130</v>
      </c>
      <c r="K80" s="46">
        <v>0.84236111111111112</v>
      </c>
      <c r="L80" s="46">
        <v>0.85416666666666663</v>
      </c>
      <c r="M80" s="7" t="s">
        <v>109</v>
      </c>
      <c r="N80" s="7" t="s">
        <v>575</v>
      </c>
      <c r="O80" s="7" t="s">
        <v>606</v>
      </c>
      <c r="P80" s="7" t="s">
        <v>131</v>
      </c>
      <c r="Q80" s="7" t="s">
        <v>87</v>
      </c>
      <c r="R80" s="7" t="s">
        <v>62</v>
      </c>
      <c r="S80" s="7" t="s">
        <v>2249</v>
      </c>
      <c r="T80" s="7" t="s">
        <v>666</v>
      </c>
      <c r="U80" s="111">
        <f t="shared" si="2"/>
        <v>0.20967741935483872</v>
      </c>
      <c r="V80" s="7" t="s">
        <v>606</v>
      </c>
    </row>
    <row r="81" spans="1:22" x14ac:dyDescent="0.3">
      <c r="A81" s="7">
        <v>80</v>
      </c>
      <c r="B81" s="7" t="s">
        <v>135</v>
      </c>
      <c r="C81" s="7" t="s">
        <v>1105</v>
      </c>
      <c r="D81" s="33">
        <v>21125001</v>
      </c>
      <c r="E81" s="7">
        <v>89</v>
      </c>
      <c r="F81" s="7">
        <f>65+7</f>
        <v>72</v>
      </c>
      <c r="G81" s="7">
        <v>5</v>
      </c>
      <c r="H81" s="7" t="s">
        <v>527</v>
      </c>
      <c r="I81" s="7" t="s">
        <v>154</v>
      </c>
      <c r="J81" s="7" t="s">
        <v>130</v>
      </c>
      <c r="K81" s="46">
        <v>0.77500000000000002</v>
      </c>
      <c r="L81" s="46">
        <v>0.93472222222222223</v>
      </c>
      <c r="M81" s="7" t="s">
        <v>109</v>
      </c>
      <c r="N81" s="7" t="s">
        <v>575</v>
      </c>
      <c r="O81" s="7" t="s">
        <v>606</v>
      </c>
      <c r="P81" s="7" t="s">
        <v>131</v>
      </c>
      <c r="Q81" s="7" t="s">
        <v>154</v>
      </c>
      <c r="R81" s="7" t="s">
        <v>62</v>
      </c>
      <c r="S81" s="7" t="s">
        <v>2249</v>
      </c>
      <c r="T81" s="7" t="s">
        <v>666</v>
      </c>
      <c r="U81" s="111">
        <f t="shared" si="2"/>
        <v>5.6179775280898875E-2</v>
      </c>
      <c r="V81" s="7" t="s">
        <v>606</v>
      </c>
    </row>
    <row r="82" spans="1:22" x14ac:dyDescent="0.3">
      <c r="A82" s="7">
        <v>81</v>
      </c>
      <c r="B82" s="7" t="s">
        <v>2395</v>
      </c>
      <c r="C82" s="7" t="s">
        <v>2429</v>
      </c>
      <c r="D82" s="7">
        <v>40226009</v>
      </c>
      <c r="E82" s="7">
        <v>206</v>
      </c>
      <c r="F82" s="7">
        <v>379</v>
      </c>
      <c r="G82" s="7">
        <v>32</v>
      </c>
      <c r="H82" s="7" t="s">
        <v>2884</v>
      </c>
      <c r="I82" s="7" t="s">
        <v>2910</v>
      </c>
      <c r="J82" s="7" t="s">
        <v>130</v>
      </c>
      <c r="K82" s="46">
        <v>0.99791666666666667</v>
      </c>
      <c r="L82" s="46">
        <v>8.3333333333333332E-3</v>
      </c>
      <c r="M82" s="7" t="s">
        <v>109</v>
      </c>
      <c r="N82" s="7" t="s">
        <v>2165</v>
      </c>
      <c r="O82" s="7" t="s">
        <v>61</v>
      </c>
      <c r="P82" s="7" t="s">
        <v>131</v>
      </c>
      <c r="Q82" s="7" t="s">
        <v>87</v>
      </c>
      <c r="R82" s="7" t="s">
        <v>62</v>
      </c>
      <c r="S82" s="7" t="s">
        <v>2249</v>
      </c>
      <c r="T82" s="7" t="s">
        <v>2430</v>
      </c>
      <c r="U82" s="111">
        <f t="shared" si="2"/>
        <v>0.1553398058252427</v>
      </c>
      <c r="V82" s="7" t="s">
        <v>2862</v>
      </c>
    </row>
    <row r="83" spans="1:22" x14ac:dyDescent="0.3">
      <c r="A83" s="7">
        <v>82</v>
      </c>
      <c r="B83" s="7" t="s">
        <v>411</v>
      </c>
      <c r="C83" s="7" t="s">
        <v>2567</v>
      </c>
      <c r="D83" s="7">
        <v>30226016</v>
      </c>
      <c r="E83" s="7">
        <v>110</v>
      </c>
      <c r="F83" s="7">
        <v>27</v>
      </c>
      <c r="G83" s="7">
        <v>1</v>
      </c>
      <c r="H83" s="7" t="s">
        <v>1052</v>
      </c>
      <c r="I83" s="7" t="s">
        <v>764</v>
      </c>
      <c r="J83" s="7" t="s">
        <v>130</v>
      </c>
      <c r="K83" s="46">
        <v>0.97638888888888886</v>
      </c>
      <c r="L83" s="46">
        <v>6.2500000000000003E-3</v>
      </c>
      <c r="M83" s="7" t="s">
        <v>109</v>
      </c>
      <c r="N83" s="7" t="s">
        <v>2885</v>
      </c>
      <c r="O83" s="7" t="s">
        <v>61</v>
      </c>
      <c r="P83" s="7" t="s">
        <v>131</v>
      </c>
      <c r="Q83" s="7" t="s">
        <v>179</v>
      </c>
      <c r="R83" s="7" t="s">
        <v>62</v>
      </c>
      <c r="S83" s="7" t="s">
        <v>2249</v>
      </c>
      <c r="T83" s="7" t="s">
        <v>1359</v>
      </c>
      <c r="U83" s="111">
        <f t="shared" si="2"/>
        <v>9.0909090909090905E-3</v>
      </c>
      <c r="V83" s="7" t="s">
        <v>889</v>
      </c>
    </row>
    <row r="84" spans="1:22" x14ac:dyDescent="0.3">
      <c r="A84" s="7">
        <v>83</v>
      </c>
      <c r="B84" s="7" t="s">
        <v>135</v>
      </c>
      <c r="C84" s="7" t="s">
        <v>667</v>
      </c>
      <c r="D84" s="33">
        <v>20126007</v>
      </c>
      <c r="E84" s="7">
        <v>54</v>
      </c>
      <c r="F84" s="7">
        <f>47+10</f>
        <v>57</v>
      </c>
      <c r="G84" s="7">
        <f>15+8</f>
        <v>23</v>
      </c>
      <c r="H84" s="7" t="s">
        <v>241</v>
      </c>
      <c r="I84" s="7" t="s">
        <v>154</v>
      </c>
      <c r="J84" s="7" t="s">
        <v>130</v>
      </c>
      <c r="K84" s="46">
        <v>0.83472222222222225</v>
      </c>
      <c r="L84" s="46">
        <v>0.91180555555555554</v>
      </c>
      <c r="M84" s="7" t="s">
        <v>109</v>
      </c>
      <c r="N84" s="7" t="s">
        <v>575</v>
      </c>
      <c r="O84" s="7" t="s">
        <v>606</v>
      </c>
      <c r="P84" s="7" t="s">
        <v>131</v>
      </c>
      <c r="Q84" s="7" t="s">
        <v>154</v>
      </c>
      <c r="R84" s="7" t="s">
        <v>62</v>
      </c>
      <c r="S84" s="7" t="s">
        <v>2249</v>
      </c>
      <c r="T84" s="7" t="s">
        <v>666</v>
      </c>
      <c r="U84" s="111">
        <f t="shared" si="2"/>
        <v>0.42592592592592593</v>
      </c>
      <c r="V84" s="7" t="s">
        <v>606</v>
      </c>
    </row>
    <row r="85" spans="1:22" x14ac:dyDescent="0.3">
      <c r="A85" s="7">
        <v>84</v>
      </c>
      <c r="B85" s="7" t="s">
        <v>135</v>
      </c>
      <c r="C85" s="7" t="s">
        <v>1101</v>
      </c>
      <c r="D85" s="33">
        <v>21125002</v>
      </c>
      <c r="E85" s="7">
        <v>210</v>
      </c>
      <c r="F85" s="7">
        <f>164+10</f>
        <v>174</v>
      </c>
      <c r="G85" s="7">
        <f>31+5</f>
        <v>36</v>
      </c>
      <c r="H85" s="7" t="s">
        <v>2886</v>
      </c>
      <c r="I85" s="7" t="s">
        <v>2887</v>
      </c>
      <c r="J85" s="7" t="s">
        <v>130</v>
      </c>
      <c r="K85" s="46">
        <v>0.87013888888888891</v>
      </c>
      <c r="L85" s="46">
        <v>0.89027777777777772</v>
      </c>
      <c r="M85" s="7" t="s">
        <v>109</v>
      </c>
      <c r="N85" s="7" t="s">
        <v>575</v>
      </c>
      <c r="O85" s="7" t="s">
        <v>606</v>
      </c>
      <c r="P85" s="7" t="s">
        <v>131</v>
      </c>
      <c r="Q85" s="7" t="s">
        <v>94</v>
      </c>
      <c r="R85" s="7" t="s">
        <v>62</v>
      </c>
      <c r="S85" s="7" t="s">
        <v>2249</v>
      </c>
      <c r="T85" s="7" t="s">
        <v>666</v>
      </c>
      <c r="U85" s="111">
        <f t="shared" si="2"/>
        <v>0.17142857142857143</v>
      </c>
      <c r="V85" s="7" t="s">
        <v>606</v>
      </c>
    </row>
    <row r="86" spans="1:22" x14ac:dyDescent="0.3">
      <c r="A86" s="7">
        <v>85</v>
      </c>
      <c r="B86" s="7" t="s">
        <v>23</v>
      </c>
      <c r="C86" s="7" t="s">
        <v>2888</v>
      </c>
      <c r="D86" s="7">
        <v>50326009</v>
      </c>
      <c r="E86" s="7">
        <v>20</v>
      </c>
      <c r="F86" s="7">
        <v>44</v>
      </c>
      <c r="G86" s="7">
        <v>20</v>
      </c>
      <c r="H86" s="7" t="s">
        <v>241</v>
      </c>
      <c r="I86" s="7" t="s">
        <v>109</v>
      </c>
      <c r="J86" s="7" t="s">
        <v>130</v>
      </c>
      <c r="K86" s="46">
        <v>0.77708333333333335</v>
      </c>
      <c r="L86" s="7" t="s">
        <v>109</v>
      </c>
      <c r="M86" s="7" t="s">
        <v>109</v>
      </c>
      <c r="N86" s="7" t="s">
        <v>109</v>
      </c>
      <c r="O86" s="7" t="s">
        <v>61</v>
      </c>
      <c r="P86" s="7" t="s">
        <v>131</v>
      </c>
      <c r="Q86" s="7" t="s">
        <v>241</v>
      </c>
      <c r="R86" s="7" t="s">
        <v>62</v>
      </c>
      <c r="S86" s="7" t="s">
        <v>2249</v>
      </c>
      <c r="T86" s="7" t="s">
        <v>166</v>
      </c>
      <c r="U86" s="111">
        <f t="shared" si="2"/>
        <v>1</v>
      </c>
      <c r="V86" s="7" t="s">
        <v>1941</v>
      </c>
    </row>
    <row r="87" spans="1:22" x14ac:dyDescent="0.3">
      <c r="A87" s="7">
        <v>86</v>
      </c>
      <c r="B87" s="7" t="s">
        <v>23</v>
      </c>
      <c r="C87" s="7" t="s">
        <v>958</v>
      </c>
      <c r="D87" s="7">
        <v>51125186</v>
      </c>
      <c r="E87" s="7">
        <v>100</v>
      </c>
      <c r="F87" s="7">
        <v>58</v>
      </c>
      <c r="G87" s="7">
        <v>22</v>
      </c>
      <c r="H87" s="7" t="s">
        <v>1409</v>
      </c>
      <c r="I87" s="7" t="s">
        <v>109</v>
      </c>
      <c r="J87" s="7" t="s">
        <v>130</v>
      </c>
      <c r="K87" s="46">
        <v>0.98472222222222228</v>
      </c>
      <c r="L87" s="7" t="s">
        <v>109</v>
      </c>
      <c r="M87" s="7" t="s">
        <v>109</v>
      </c>
      <c r="N87" s="7" t="s">
        <v>109</v>
      </c>
      <c r="O87" s="7" t="s">
        <v>61</v>
      </c>
      <c r="P87" s="7" t="s">
        <v>131</v>
      </c>
      <c r="Q87" s="7" t="s">
        <v>82</v>
      </c>
      <c r="R87" s="7" t="s">
        <v>62</v>
      </c>
      <c r="S87" s="7" t="s">
        <v>2249</v>
      </c>
      <c r="T87" s="7" t="s">
        <v>959</v>
      </c>
      <c r="U87" s="111">
        <f t="shared" si="2"/>
        <v>0.22</v>
      </c>
      <c r="V87" s="7" t="s">
        <v>889</v>
      </c>
    </row>
    <row r="88" spans="1:22" s="21" customFormat="1" x14ac:dyDescent="0.3">
      <c r="A88" s="18">
        <v>87</v>
      </c>
      <c r="B88" s="18" t="s">
        <v>23</v>
      </c>
      <c r="C88" s="18" t="s">
        <v>2889</v>
      </c>
      <c r="D88" s="18">
        <v>50326011</v>
      </c>
      <c r="E88" s="18">
        <v>20</v>
      </c>
      <c r="F88" s="18">
        <v>10</v>
      </c>
      <c r="G88" s="18">
        <v>0</v>
      </c>
      <c r="H88" s="18" t="s">
        <v>64</v>
      </c>
      <c r="I88" s="18" t="s">
        <v>109</v>
      </c>
      <c r="J88" s="18" t="s">
        <v>130</v>
      </c>
      <c r="K88" s="145">
        <v>0.97013888888888888</v>
      </c>
      <c r="L88" s="18" t="s">
        <v>109</v>
      </c>
      <c r="M88" s="18" t="s">
        <v>109</v>
      </c>
      <c r="N88" s="18" t="s">
        <v>109</v>
      </c>
      <c r="O88" s="18" t="s">
        <v>61</v>
      </c>
      <c r="P88" s="18" t="s">
        <v>131</v>
      </c>
      <c r="Q88" s="18" t="s">
        <v>64</v>
      </c>
      <c r="R88" s="18" t="s">
        <v>62</v>
      </c>
      <c r="S88" s="18" t="s">
        <v>2249</v>
      </c>
      <c r="T88" s="18" t="s">
        <v>166</v>
      </c>
      <c r="U88" s="146">
        <f t="shared" si="2"/>
        <v>0</v>
      </c>
      <c r="V88" s="18" t="s">
        <v>889</v>
      </c>
    </row>
    <row r="89" spans="1:22" x14ac:dyDescent="0.3">
      <c r="A89" s="7">
        <v>88</v>
      </c>
      <c r="B89" s="7" t="s">
        <v>23</v>
      </c>
      <c r="C89" s="7" t="s">
        <v>2890</v>
      </c>
      <c r="D89" s="7">
        <v>50326010</v>
      </c>
      <c r="E89" s="7">
        <v>20</v>
      </c>
      <c r="F89" s="7">
        <v>29</v>
      </c>
      <c r="G89" s="7">
        <v>6</v>
      </c>
      <c r="H89" s="7" t="s">
        <v>1404</v>
      </c>
      <c r="I89" s="7" t="s">
        <v>109</v>
      </c>
      <c r="J89" s="7" t="s">
        <v>130</v>
      </c>
      <c r="K89" s="46">
        <v>0.98472222222222228</v>
      </c>
      <c r="L89" s="7" t="s">
        <v>109</v>
      </c>
      <c r="M89" s="7" t="s">
        <v>109</v>
      </c>
      <c r="N89" s="7" t="s">
        <v>109</v>
      </c>
      <c r="O89" s="7" t="s">
        <v>61</v>
      </c>
      <c r="P89" s="7" t="s">
        <v>131</v>
      </c>
      <c r="Q89" s="7" t="s">
        <v>196</v>
      </c>
      <c r="R89" s="7" t="s">
        <v>62</v>
      </c>
      <c r="S89" s="7" t="s">
        <v>2249</v>
      </c>
      <c r="T89" s="7" t="s">
        <v>166</v>
      </c>
      <c r="U89" s="111">
        <f t="shared" si="2"/>
        <v>0.3</v>
      </c>
      <c r="V89" s="7" t="s">
        <v>889</v>
      </c>
    </row>
    <row r="90" spans="1:22" x14ac:dyDescent="0.3">
      <c r="A90" s="7">
        <v>89</v>
      </c>
      <c r="B90" s="7" t="s">
        <v>23</v>
      </c>
      <c r="C90" s="7" t="s">
        <v>2891</v>
      </c>
      <c r="D90" s="7">
        <v>50326008</v>
      </c>
      <c r="E90" s="7">
        <v>60</v>
      </c>
      <c r="F90" s="7">
        <v>7</v>
      </c>
      <c r="G90" s="7">
        <v>2</v>
      </c>
      <c r="H90" s="7" t="s">
        <v>71</v>
      </c>
      <c r="I90" s="7" t="s">
        <v>109</v>
      </c>
      <c r="J90" s="7" t="s">
        <v>130</v>
      </c>
      <c r="K90" s="46">
        <v>0.98750000000000004</v>
      </c>
      <c r="L90" s="7" t="s">
        <v>109</v>
      </c>
      <c r="M90" s="7" t="s">
        <v>109</v>
      </c>
      <c r="N90" s="7" t="s">
        <v>109</v>
      </c>
      <c r="O90" s="7" t="s">
        <v>61</v>
      </c>
      <c r="P90" s="7" t="s">
        <v>131</v>
      </c>
      <c r="Q90" s="7" t="s">
        <v>71</v>
      </c>
      <c r="R90" s="7" t="s">
        <v>62</v>
      </c>
      <c r="S90" s="7" t="s">
        <v>2249</v>
      </c>
      <c r="T90" s="7" t="s">
        <v>166</v>
      </c>
      <c r="U90" s="111">
        <f t="shared" si="2"/>
        <v>3.3333333333333333E-2</v>
      </c>
      <c r="V90" s="7" t="s">
        <v>889</v>
      </c>
    </row>
    <row r="91" spans="1:22" x14ac:dyDescent="0.3">
      <c r="A91" s="7">
        <v>90</v>
      </c>
      <c r="B91" s="7" t="s">
        <v>23</v>
      </c>
      <c r="C91" s="7" t="s">
        <v>2892</v>
      </c>
      <c r="D91" s="7">
        <v>50326006</v>
      </c>
      <c r="E91" s="7">
        <v>60</v>
      </c>
      <c r="F91" s="7">
        <v>30</v>
      </c>
      <c r="G91" s="7">
        <v>4</v>
      </c>
      <c r="H91" s="7" t="s">
        <v>68</v>
      </c>
      <c r="I91" s="7" t="s">
        <v>109</v>
      </c>
      <c r="J91" s="7" t="s">
        <v>130</v>
      </c>
      <c r="K91" s="46">
        <v>0.99097222222222225</v>
      </c>
      <c r="L91" s="7" t="s">
        <v>109</v>
      </c>
      <c r="M91" s="7" t="s">
        <v>109</v>
      </c>
      <c r="N91" s="7" t="s">
        <v>109</v>
      </c>
      <c r="O91" s="7" t="s">
        <v>61</v>
      </c>
      <c r="P91" s="7" t="s">
        <v>131</v>
      </c>
      <c r="Q91" s="7" t="s">
        <v>68</v>
      </c>
      <c r="R91" s="7" t="s">
        <v>62</v>
      </c>
      <c r="S91" s="7" t="s">
        <v>2249</v>
      </c>
      <c r="T91" s="7" t="s">
        <v>166</v>
      </c>
      <c r="U91" s="111">
        <f t="shared" si="2"/>
        <v>6.6666666666666666E-2</v>
      </c>
      <c r="V91" s="7" t="s">
        <v>889</v>
      </c>
    </row>
    <row r="92" spans="1:22" x14ac:dyDescent="0.3">
      <c r="A92" s="7">
        <v>91</v>
      </c>
      <c r="B92" s="7" t="s">
        <v>143</v>
      </c>
      <c r="C92" s="7" t="s">
        <v>1667</v>
      </c>
      <c r="D92" s="7">
        <v>10126048</v>
      </c>
      <c r="E92" s="7">
        <v>360</v>
      </c>
      <c r="F92" s="7">
        <v>20</v>
      </c>
      <c r="G92" s="7">
        <v>8</v>
      </c>
      <c r="H92" s="7" t="s">
        <v>200</v>
      </c>
      <c r="I92" s="7" t="s">
        <v>109</v>
      </c>
      <c r="J92" s="7" t="s">
        <v>130</v>
      </c>
      <c r="K92" s="46">
        <v>8.9583333333333334E-2</v>
      </c>
      <c r="L92" s="7" t="s">
        <v>109</v>
      </c>
      <c r="M92" s="7" t="s">
        <v>109</v>
      </c>
      <c r="N92" s="7" t="s">
        <v>2893</v>
      </c>
      <c r="O92" s="7" t="s">
        <v>61</v>
      </c>
      <c r="P92" s="7" t="s">
        <v>131</v>
      </c>
      <c r="Q92" s="7" t="s">
        <v>200</v>
      </c>
      <c r="R92" s="7" t="s">
        <v>62</v>
      </c>
      <c r="S92" s="7" t="s">
        <v>2249</v>
      </c>
      <c r="T92" s="7" t="s">
        <v>402</v>
      </c>
      <c r="U92" s="111">
        <f t="shared" si="2"/>
        <v>2.2222222222222223E-2</v>
      </c>
      <c r="V92" s="7" t="s">
        <v>889</v>
      </c>
    </row>
    <row r="93" spans="1:22" x14ac:dyDescent="0.3">
      <c r="A93" s="7">
        <v>92</v>
      </c>
      <c r="B93" s="7" t="s">
        <v>143</v>
      </c>
      <c r="C93" s="7" t="s">
        <v>2831</v>
      </c>
      <c r="D93" s="7">
        <v>10326012</v>
      </c>
      <c r="E93" s="7">
        <v>60</v>
      </c>
      <c r="F93" s="7">
        <v>195</v>
      </c>
      <c r="G93" s="7">
        <v>15</v>
      </c>
      <c r="H93" s="7" t="s">
        <v>69</v>
      </c>
      <c r="I93" s="7" t="s">
        <v>154</v>
      </c>
      <c r="J93" s="7" t="s">
        <v>130</v>
      </c>
      <c r="K93" s="46">
        <v>0.99513888888888891</v>
      </c>
      <c r="L93" s="46">
        <v>6.9444444444444441E-3</v>
      </c>
      <c r="M93" s="7" t="s">
        <v>109</v>
      </c>
      <c r="N93" s="7" t="s">
        <v>2893</v>
      </c>
      <c r="O93" s="7" t="s">
        <v>61</v>
      </c>
      <c r="P93" s="7" t="s">
        <v>131</v>
      </c>
      <c r="Q93" s="7" t="s">
        <v>154</v>
      </c>
      <c r="R93" s="7" t="s">
        <v>62</v>
      </c>
      <c r="S93" s="7" t="s">
        <v>2249</v>
      </c>
      <c r="T93" s="7" t="s">
        <v>1596</v>
      </c>
      <c r="U93" s="111">
        <f t="shared" si="2"/>
        <v>0.25</v>
      </c>
      <c r="V93" s="7" t="s">
        <v>889</v>
      </c>
    </row>
    <row r="94" spans="1:22" x14ac:dyDescent="0.3">
      <c r="A94" s="7">
        <v>93</v>
      </c>
      <c r="B94" s="7" t="s">
        <v>143</v>
      </c>
      <c r="C94" s="7" t="s">
        <v>2832</v>
      </c>
      <c r="D94" s="7">
        <v>10326013</v>
      </c>
      <c r="E94" s="7">
        <v>35</v>
      </c>
      <c r="F94" s="7">
        <v>105</v>
      </c>
      <c r="G94" s="7">
        <v>13</v>
      </c>
      <c r="H94" s="7" t="s">
        <v>82</v>
      </c>
      <c r="I94" s="7" t="s">
        <v>95</v>
      </c>
      <c r="J94" s="7" t="s">
        <v>130</v>
      </c>
      <c r="K94" s="46">
        <v>0.74027777777777781</v>
      </c>
      <c r="L94" s="46">
        <v>0.81805555555555554</v>
      </c>
      <c r="M94" s="7" t="s">
        <v>109</v>
      </c>
      <c r="N94" s="7" t="s">
        <v>2893</v>
      </c>
      <c r="O94" s="7" t="s">
        <v>61</v>
      </c>
      <c r="P94" s="7" t="s">
        <v>131</v>
      </c>
      <c r="Q94" s="7" t="s">
        <v>95</v>
      </c>
      <c r="R94" s="7" t="s">
        <v>62</v>
      </c>
      <c r="S94" s="7" t="s">
        <v>2249</v>
      </c>
      <c r="T94" s="7" t="s">
        <v>1596</v>
      </c>
      <c r="U94" s="111">
        <f t="shared" si="2"/>
        <v>0.37142857142857144</v>
      </c>
      <c r="V94" s="7" t="s">
        <v>2862</v>
      </c>
    </row>
    <row r="95" spans="1:22" x14ac:dyDescent="0.3">
      <c r="A95" s="7">
        <v>94</v>
      </c>
      <c r="B95" s="7" t="s">
        <v>143</v>
      </c>
      <c r="C95" s="7" t="s">
        <v>2834</v>
      </c>
      <c r="D95" s="7">
        <v>10326014</v>
      </c>
      <c r="E95" s="7">
        <v>48</v>
      </c>
      <c r="F95" s="7">
        <v>80</v>
      </c>
      <c r="G95" s="7">
        <v>16</v>
      </c>
      <c r="H95" s="7" t="s">
        <v>84</v>
      </c>
      <c r="I95" s="7" t="s">
        <v>179</v>
      </c>
      <c r="J95" s="7" t="s">
        <v>130</v>
      </c>
      <c r="K95" s="46">
        <v>6.2500000000000003E-3</v>
      </c>
      <c r="L95" s="46">
        <v>3.4722222222222224E-2</v>
      </c>
      <c r="M95" s="7" t="s">
        <v>109</v>
      </c>
      <c r="N95" s="7" t="s">
        <v>2893</v>
      </c>
      <c r="O95" s="7" t="s">
        <v>61</v>
      </c>
      <c r="P95" s="7" t="s">
        <v>131</v>
      </c>
      <c r="Q95" s="7" t="s">
        <v>179</v>
      </c>
      <c r="R95" s="7" t="s">
        <v>62</v>
      </c>
      <c r="S95" s="7" t="s">
        <v>2249</v>
      </c>
      <c r="T95" s="7" t="s">
        <v>121</v>
      </c>
      <c r="U95" s="111">
        <f t="shared" si="2"/>
        <v>0.33333333333333331</v>
      </c>
      <c r="V95" s="7" t="s">
        <v>889</v>
      </c>
    </row>
    <row r="96" spans="1:22" x14ac:dyDescent="0.3">
      <c r="A96" s="7">
        <v>95</v>
      </c>
      <c r="B96" s="7" t="s">
        <v>143</v>
      </c>
      <c r="C96" s="7" t="s">
        <v>2786</v>
      </c>
      <c r="D96" s="7">
        <v>10326002</v>
      </c>
      <c r="E96" s="7">
        <v>80</v>
      </c>
      <c r="F96" s="7">
        <v>152</v>
      </c>
      <c r="G96" s="7">
        <v>78</v>
      </c>
      <c r="H96" s="7" t="s">
        <v>66</v>
      </c>
      <c r="I96" s="7" t="s">
        <v>88</v>
      </c>
      <c r="J96" s="7" t="s">
        <v>130</v>
      </c>
      <c r="K96" s="46">
        <v>0.96388888888888891</v>
      </c>
      <c r="L96" s="46">
        <v>0.99513888888888891</v>
      </c>
      <c r="M96" s="7" t="s">
        <v>109</v>
      </c>
      <c r="N96" s="7" t="s">
        <v>2893</v>
      </c>
      <c r="O96" s="7" t="s">
        <v>61</v>
      </c>
      <c r="P96" s="7" t="s">
        <v>131</v>
      </c>
      <c r="Q96" s="7" t="s">
        <v>88</v>
      </c>
      <c r="R96" s="7" t="s">
        <v>62</v>
      </c>
      <c r="S96" s="7" t="s">
        <v>2249</v>
      </c>
      <c r="T96" s="7" t="s">
        <v>121</v>
      </c>
      <c r="U96" s="111">
        <f t="shared" si="2"/>
        <v>0.97499999999999998</v>
      </c>
      <c r="V96" s="7" t="s">
        <v>1941</v>
      </c>
    </row>
    <row r="97" spans="1:22" x14ac:dyDescent="0.3">
      <c r="A97" s="7">
        <v>96</v>
      </c>
      <c r="B97" s="7" t="s">
        <v>143</v>
      </c>
      <c r="C97" s="7" t="s">
        <v>2787</v>
      </c>
      <c r="D97" s="7">
        <v>10326003</v>
      </c>
      <c r="E97" s="7">
        <v>40</v>
      </c>
      <c r="F97" s="7">
        <v>81</v>
      </c>
      <c r="G97" s="7">
        <v>43</v>
      </c>
      <c r="H97" s="7" t="s">
        <v>200</v>
      </c>
      <c r="I97" s="7" t="s">
        <v>95</v>
      </c>
      <c r="J97" s="7" t="s">
        <v>130</v>
      </c>
      <c r="K97" s="46">
        <v>0.87430555555555556</v>
      </c>
      <c r="L97" s="46">
        <v>0.90138888888888891</v>
      </c>
      <c r="M97" s="7" t="s">
        <v>109</v>
      </c>
      <c r="N97" s="7" t="s">
        <v>2893</v>
      </c>
      <c r="O97" s="7" t="s">
        <v>61</v>
      </c>
      <c r="P97" s="7" t="s">
        <v>131</v>
      </c>
      <c r="Q97" s="7" t="s">
        <v>95</v>
      </c>
      <c r="R97" s="7" t="s">
        <v>62</v>
      </c>
      <c r="S97" s="7" t="s">
        <v>2249</v>
      </c>
      <c r="T97" s="7" t="s">
        <v>121</v>
      </c>
      <c r="U97" s="111">
        <f t="shared" si="2"/>
        <v>1.075</v>
      </c>
      <c r="V97" s="7" t="s">
        <v>1941</v>
      </c>
    </row>
    <row r="98" spans="1:22" x14ac:dyDescent="0.3">
      <c r="A98" s="7">
        <v>97</v>
      </c>
      <c r="B98" s="7" t="s">
        <v>143</v>
      </c>
      <c r="C98" s="7" t="s">
        <v>2788</v>
      </c>
      <c r="D98" s="7">
        <v>10326004</v>
      </c>
      <c r="E98" s="7">
        <v>155</v>
      </c>
      <c r="F98" s="7">
        <v>119</v>
      </c>
      <c r="G98" s="7">
        <v>33</v>
      </c>
      <c r="H98" s="7" t="s">
        <v>1126</v>
      </c>
      <c r="I98" s="7" t="s">
        <v>109</v>
      </c>
      <c r="J98" s="7" t="s">
        <v>130</v>
      </c>
      <c r="K98" s="46">
        <v>0.95902777777777781</v>
      </c>
      <c r="L98" s="7" t="s">
        <v>109</v>
      </c>
      <c r="M98" s="7" t="s">
        <v>109</v>
      </c>
      <c r="N98" s="7" t="s">
        <v>2893</v>
      </c>
      <c r="O98" s="7" t="s">
        <v>61</v>
      </c>
      <c r="P98" s="7" t="s">
        <v>131</v>
      </c>
      <c r="Q98" s="7" t="s">
        <v>84</v>
      </c>
      <c r="R98" s="7" t="s">
        <v>62</v>
      </c>
      <c r="S98" s="7" t="s">
        <v>2249</v>
      </c>
      <c r="T98" s="7" t="s">
        <v>121</v>
      </c>
      <c r="U98" s="111">
        <f t="shared" ref="U98:U127" si="3">G98/E98</f>
        <v>0.2129032258064516</v>
      </c>
      <c r="V98" s="7" t="s">
        <v>889</v>
      </c>
    </row>
    <row r="99" spans="1:22" x14ac:dyDescent="0.3">
      <c r="A99" s="7">
        <v>98</v>
      </c>
      <c r="B99" s="7" t="s">
        <v>143</v>
      </c>
      <c r="C99" s="7" t="s">
        <v>2789</v>
      </c>
      <c r="D99" s="7">
        <v>10326005</v>
      </c>
      <c r="E99" s="7">
        <v>40</v>
      </c>
      <c r="F99" s="7">
        <v>60</v>
      </c>
      <c r="G99" s="7">
        <v>44</v>
      </c>
      <c r="H99" s="7" t="s">
        <v>222</v>
      </c>
      <c r="I99" s="7" t="s">
        <v>88</v>
      </c>
      <c r="J99" s="7" t="s">
        <v>130</v>
      </c>
      <c r="K99" s="46">
        <v>0.8</v>
      </c>
      <c r="L99" s="46">
        <v>0.80972222222222223</v>
      </c>
      <c r="M99" s="7" t="s">
        <v>109</v>
      </c>
      <c r="N99" s="7" t="s">
        <v>2893</v>
      </c>
      <c r="O99" s="7" t="s">
        <v>61</v>
      </c>
      <c r="P99" s="7" t="s">
        <v>131</v>
      </c>
      <c r="Q99" s="7" t="s">
        <v>2448</v>
      </c>
      <c r="R99" s="7" t="s">
        <v>62</v>
      </c>
      <c r="S99" s="7" t="s">
        <v>2249</v>
      </c>
      <c r="T99" s="7" t="s">
        <v>121</v>
      </c>
      <c r="U99" s="111">
        <f t="shared" si="3"/>
        <v>1.1000000000000001</v>
      </c>
      <c r="V99" s="7" t="s">
        <v>1941</v>
      </c>
    </row>
    <row r="100" spans="1:22" x14ac:dyDescent="0.3">
      <c r="A100" s="7">
        <v>99</v>
      </c>
      <c r="B100" s="7" t="s">
        <v>143</v>
      </c>
      <c r="C100" s="7" t="s">
        <v>2552</v>
      </c>
      <c r="D100" s="7">
        <v>10226051</v>
      </c>
      <c r="E100" s="7">
        <v>20</v>
      </c>
      <c r="F100" s="7">
        <v>43</v>
      </c>
      <c r="G100" s="7">
        <v>23</v>
      </c>
      <c r="H100" s="7" t="s">
        <v>70</v>
      </c>
      <c r="I100" s="7" t="s">
        <v>179</v>
      </c>
      <c r="J100" s="7" t="s">
        <v>130</v>
      </c>
      <c r="K100" s="46">
        <v>0.75277777777777777</v>
      </c>
      <c r="L100" s="46">
        <v>0.76388888888888884</v>
      </c>
      <c r="M100" s="7" t="s">
        <v>109</v>
      </c>
      <c r="N100" s="7" t="s">
        <v>2893</v>
      </c>
      <c r="O100" s="7" t="s">
        <v>61</v>
      </c>
      <c r="P100" s="7" t="s">
        <v>131</v>
      </c>
      <c r="Q100" s="7" t="s">
        <v>179</v>
      </c>
      <c r="R100" s="7" t="s">
        <v>62</v>
      </c>
      <c r="S100" s="7" t="s">
        <v>2249</v>
      </c>
      <c r="T100" s="7" t="s">
        <v>121</v>
      </c>
      <c r="U100" s="111">
        <f t="shared" si="3"/>
        <v>1.1499999999999999</v>
      </c>
      <c r="V100" s="7" t="s">
        <v>1941</v>
      </c>
    </row>
    <row r="101" spans="1:22" x14ac:dyDescent="0.3">
      <c r="A101" s="7">
        <v>100</v>
      </c>
      <c r="B101" s="7" t="s">
        <v>143</v>
      </c>
      <c r="C101" s="7" t="s">
        <v>2658</v>
      </c>
      <c r="D101" s="7">
        <v>10226056</v>
      </c>
      <c r="E101" s="7" t="s">
        <v>287</v>
      </c>
      <c r="F101" s="7" t="s">
        <v>109</v>
      </c>
      <c r="G101" s="7" t="s">
        <v>109</v>
      </c>
      <c r="H101" s="7" t="s">
        <v>109</v>
      </c>
      <c r="I101" s="7" t="s">
        <v>109</v>
      </c>
      <c r="J101" s="7" t="s">
        <v>85</v>
      </c>
      <c r="K101" s="7" t="s">
        <v>109</v>
      </c>
      <c r="L101" s="7" t="s">
        <v>109</v>
      </c>
      <c r="M101" s="7" t="s">
        <v>109</v>
      </c>
      <c r="N101" s="7" t="s">
        <v>2893</v>
      </c>
      <c r="O101" s="7" t="s">
        <v>61</v>
      </c>
      <c r="P101" s="7" t="s">
        <v>109</v>
      </c>
      <c r="Q101" s="7" t="s">
        <v>109</v>
      </c>
      <c r="R101" s="7" t="s">
        <v>62</v>
      </c>
      <c r="S101" s="7" t="s">
        <v>2249</v>
      </c>
      <c r="T101" s="7" t="s">
        <v>121</v>
      </c>
      <c r="U101" s="111" t="e">
        <f t="shared" si="3"/>
        <v>#VALUE!</v>
      </c>
      <c r="V101" s="7" t="s">
        <v>889</v>
      </c>
    </row>
    <row r="102" spans="1:22" x14ac:dyDescent="0.3">
      <c r="A102" s="7">
        <v>101</v>
      </c>
      <c r="B102" s="7" t="s">
        <v>143</v>
      </c>
      <c r="C102" s="7" t="s">
        <v>2366</v>
      </c>
      <c r="D102" s="7">
        <v>10226040</v>
      </c>
      <c r="E102" s="7">
        <v>100</v>
      </c>
      <c r="F102" s="7">
        <v>219</v>
      </c>
      <c r="G102" s="7">
        <v>106</v>
      </c>
      <c r="H102" s="7" t="s">
        <v>678</v>
      </c>
      <c r="I102" s="7" t="s">
        <v>336</v>
      </c>
      <c r="J102" s="7" t="s">
        <v>130</v>
      </c>
      <c r="K102" s="46">
        <v>0.75138888888888888</v>
      </c>
      <c r="L102" s="46">
        <v>0.89236111111111116</v>
      </c>
      <c r="M102" s="7" t="s">
        <v>109</v>
      </c>
      <c r="N102" s="7" t="s">
        <v>2893</v>
      </c>
      <c r="O102" s="7" t="s">
        <v>61</v>
      </c>
      <c r="P102" s="7" t="s">
        <v>131</v>
      </c>
      <c r="Q102" s="7" t="s">
        <v>154</v>
      </c>
      <c r="R102" s="7" t="s">
        <v>62</v>
      </c>
      <c r="S102" s="7" t="s">
        <v>2249</v>
      </c>
      <c r="T102" s="7" t="s">
        <v>334</v>
      </c>
      <c r="U102" s="111">
        <f t="shared" si="3"/>
        <v>1.06</v>
      </c>
      <c r="V102" s="7" t="s">
        <v>1941</v>
      </c>
    </row>
    <row r="103" spans="1:22" x14ac:dyDescent="0.3">
      <c r="A103" s="7">
        <v>102</v>
      </c>
      <c r="B103" s="7" t="s">
        <v>143</v>
      </c>
      <c r="C103" s="7" t="s">
        <v>2512</v>
      </c>
      <c r="D103" s="7">
        <v>10226047</v>
      </c>
      <c r="E103" s="7">
        <v>15</v>
      </c>
      <c r="F103" s="7">
        <v>34</v>
      </c>
      <c r="G103" s="7">
        <v>15</v>
      </c>
      <c r="H103" s="7" t="s">
        <v>200</v>
      </c>
      <c r="I103" s="7" t="s">
        <v>179</v>
      </c>
      <c r="J103" s="7" t="s">
        <v>130</v>
      </c>
      <c r="K103" s="46">
        <v>0.90277777777777779</v>
      </c>
      <c r="L103" s="46">
        <v>3.6111111111111108E-2</v>
      </c>
      <c r="M103" s="7" t="s">
        <v>109</v>
      </c>
      <c r="N103" s="7" t="s">
        <v>109</v>
      </c>
      <c r="O103" s="7" t="s">
        <v>61</v>
      </c>
      <c r="P103" s="7" t="s">
        <v>131</v>
      </c>
      <c r="Q103" s="7" t="s">
        <v>179</v>
      </c>
      <c r="R103" s="7" t="s">
        <v>62</v>
      </c>
      <c r="S103" s="7" t="s">
        <v>2249</v>
      </c>
      <c r="T103" s="7" t="s">
        <v>398</v>
      </c>
      <c r="U103" s="111">
        <f t="shared" si="3"/>
        <v>1</v>
      </c>
      <c r="V103" s="7" t="s">
        <v>889</v>
      </c>
    </row>
    <row r="104" spans="1:22" x14ac:dyDescent="0.3">
      <c r="A104" s="7">
        <v>103</v>
      </c>
      <c r="B104" s="7" t="s">
        <v>143</v>
      </c>
      <c r="C104" s="7" t="s">
        <v>2894</v>
      </c>
      <c r="D104" s="7">
        <v>11025015</v>
      </c>
      <c r="E104" s="7">
        <v>20</v>
      </c>
      <c r="F104" s="7">
        <v>72</v>
      </c>
      <c r="G104" s="7">
        <v>12</v>
      </c>
      <c r="H104" s="7" t="s">
        <v>214</v>
      </c>
      <c r="I104" s="7" t="s">
        <v>209</v>
      </c>
      <c r="J104" s="7" t="s">
        <v>130</v>
      </c>
      <c r="K104" s="46">
        <v>0.95833333333333337</v>
      </c>
      <c r="L104" s="46">
        <v>0.98541666666666672</v>
      </c>
      <c r="M104" s="7" t="s">
        <v>109</v>
      </c>
      <c r="N104" s="7" t="s">
        <v>109</v>
      </c>
      <c r="O104" s="7" t="s">
        <v>61</v>
      </c>
      <c r="P104" s="7" t="s">
        <v>131</v>
      </c>
      <c r="Q104" s="7" t="s">
        <v>209</v>
      </c>
      <c r="R104" s="7" t="s">
        <v>62</v>
      </c>
      <c r="S104" s="7" t="s">
        <v>2249</v>
      </c>
      <c r="T104" s="7" t="s">
        <v>2895</v>
      </c>
      <c r="U104" s="111">
        <f t="shared" si="3"/>
        <v>0.6</v>
      </c>
      <c r="V104" s="7" t="s">
        <v>889</v>
      </c>
    </row>
    <row r="105" spans="1:22" x14ac:dyDescent="0.3">
      <c r="A105" s="7">
        <v>104</v>
      </c>
      <c r="B105" s="7" t="s">
        <v>143</v>
      </c>
      <c r="C105" s="7" t="s">
        <v>2896</v>
      </c>
      <c r="D105" s="7">
        <v>11025016</v>
      </c>
      <c r="E105" s="7">
        <v>20</v>
      </c>
      <c r="F105" s="7">
        <v>41</v>
      </c>
      <c r="G105" s="7">
        <v>8</v>
      </c>
      <c r="H105" s="7" t="s">
        <v>184</v>
      </c>
      <c r="I105" s="7" t="s">
        <v>94</v>
      </c>
      <c r="J105" s="7" t="s">
        <v>130</v>
      </c>
      <c r="K105" s="46">
        <v>0.95763888888888893</v>
      </c>
      <c r="L105" s="46">
        <v>0.96736111111111112</v>
      </c>
      <c r="M105" s="7" t="s">
        <v>109</v>
      </c>
      <c r="N105" s="7" t="s">
        <v>109</v>
      </c>
      <c r="O105" s="7" t="s">
        <v>61</v>
      </c>
      <c r="P105" s="7" t="s">
        <v>131</v>
      </c>
      <c r="Q105" s="7" t="s">
        <v>94</v>
      </c>
      <c r="R105" s="7" t="s">
        <v>62</v>
      </c>
      <c r="S105" s="7" t="s">
        <v>2249</v>
      </c>
      <c r="T105" s="7" t="s">
        <v>2895</v>
      </c>
      <c r="U105" s="111">
        <f t="shared" si="3"/>
        <v>0.4</v>
      </c>
      <c r="V105" s="7" t="s">
        <v>2862</v>
      </c>
    </row>
    <row r="106" spans="1:22" x14ac:dyDescent="0.3">
      <c r="A106" s="7">
        <v>105</v>
      </c>
      <c r="B106" s="7" t="s">
        <v>143</v>
      </c>
      <c r="C106" s="7" t="s">
        <v>2897</v>
      </c>
      <c r="D106" s="7">
        <v>10326020</v>
      </c>
      <c r="E106" s="7">
        <v>90</v>
      </c>
      <c r="F106" s="7">
        <v>186</v>
      </c>
      <c r="G106" s="7">
        <v>80</v>
      </c>
      <c r="H106" s="7" t="s">
        <v>1409</v>
      </c>
      <c r="I106" s="7" t="s">
        <v>97</v>
      </c>
      <c r="J106" s="7" t="s">
        <v>130</v>
      </c>
      <c r="K106" s="46">
        <v>0.83888888888888891</v>
      </c>
      <c r="L106" s="46">
        <v>0.95416666666666672</v>
      </c>
      <c r="M106" s="7" t="s">
        <v>109</v>
      </c>
      <c r="N106" s="7" t="s">
        <v>109</v>
      </c>
      <c r="O106" s="7" t="s">
        <v>61</v>
      </c>
      <c r="P106" s="7" t="s">
        <v>131</v>
      </c>
      <c r="Q106" s="7" t="s">
        <v>95</v>
      </c>
      <c r="R106" s="7" t="s">
        <v>62</v>
      </c>
      <c r="S106" s="7" t="s">
        <v>2249</v>
      </c>
      <c r="T106" s="7" t="s">
        <v>182</v>
      </c>
      <c r="U106" s="111">
        <f t="shared" si="3"/>
        <v>0.88888888888888884</v>
      </c>
      <c r="V106" s="7" t="s">
        <v>2862</v>
      </c>
    </row>
    <row r="107" spans="1:22" x14ac:dyDescent="0.3">
      <c r="A107" s="7">
        <v>106</v>
      </c>
      <c r="B107" s="7" t="s">
        <v>143</v>
      </c>
      <c r="C107" s="7" t="s">
        <v>2898</v>
      </c>
      <c r="D107" s="7">
        <v>10326022</v>
      </c>
      <c r="E107" s="7">
        <v>65</v>
      </c>
      <c r="F107" s="7">
        <v>139</v>
      </c>
      <c r="G107" s="7">
        <v>61</v>
      </c>
      <c r="H107" s="7" t="s">
        <v>65</v>
      </c>
      <c r="I107" s="7" t="s">
        <v>209</v>
      </c>
      <c r="J107" s="7" t="s">
        <v>130</v>
      </c>
      <c r="K107" s="46">
        <v>0.92152777777777772</v>
      </c>
      <c r="L107" s="46">
        <v>0.11805555555555555</v>
      </c>
      <c r="M107" s="7" t="s">
        <v>109</v>
      </c>
      <c r="N107" s="7" t="s">
        <v>109</v>
      </c>
      <c r="O107" s="7" t="s">
        <v>61</v>
      </c>
      <c r="P107" s="7" t="s">
        <v>131</v>
      </c>
      <c r="Q107" s="7" t="s">
        <v>744</v>
      </c>
      <c r="R107" s="7" t="s">
        <v>62</v>
      </c>
      <c r="S107" s="7" t="s">
        <v>2249</v>
      </c>
      <c r="T107" s="7" t="s">
        <v>182</v>
      </c>
      <c r="U107" s="111">
        <f t="shared" si="3"/>
        <v>0.93846153846153846</v>
      </c>
      <c r="V107" s="7" t="s">
        <v>1941</v>
      </c>
    </row>
    <row r="108" spans="1:22" x14ac:dyDescent="0.3">
      <c r="A108" s="7">
        <v>107</v>
      </c>
      <c r="B108" s="7" t="s">
        <v>143</v>
      </c>
      <c r="C108" s="7" t="s">
        <v>2899</v>
      </c>
      <c r="D108" s="7">
        <v>10326021</v>
      </c>
      <c r="E108" s="7">
        <v>125</v>
      </c>
      <c r="F108" s="7">
        <v>197</v>
      </c>
      <c r="G108" s="7">
        <v>144</v>
      </c>
      <c r="H108" s="7" t="s">
        <v>1007</v>
      </c>
      <c r="I108" s="7" t="s">
        <v>2911</v>
      </c>
      <c r="J108" s="7" t="s">
        <v>130</v>
      </c>
      <c r="K108" s="46">
        <v>0.82777777777777772</v>
      </c>
      <c r="L108" s="46">
        <v>0.86527777777777781</v>
      </c>
      <c r="M108" s="7" t="s">
        <v>109</v>
      </c>
      <c r="N108" s="7" t="s">
        <v>109</v>
      </c>
      <c r="O108" s="7" t="s">
        <v>61</v>
      </c>
      <c r="P108" s="7" t="s">
        <v>131</v>
      </c>
      <c r="Q108" s="7" t="s">
        <v>88</v>
      </c>
      <c r="R108" s="7" t="s">
        <v>62</v>
      </c>
      <c r="S108" s="7" t="s">
        <v>2249</v>
      </c>
      <c r="T108" s="7" t="s">
        <v>351</v>
      </c>
      <c r="U108" s="111">
        <f t="shared" si="3"/>
        <v>1.1519999999999999</v>
      </c>
      <c r="V108" s="7" t="s">
        <v>1941</v>
      </c>
    </row>
    <row r="109" spans="1:22" x14ac:dyDescent="0.3">
      <c r="A109" s="7">
        <v>108</v>
      </c>
      <c r="B109" s="7" t="s">
        <v>23</v>
      </c>
      <c r="C109" s="7" t="s">
        <v>1906</v>
      </c>
      <c r="D109" s="7">
        <v>50226027</v>
      </c>
      <c r="E109" s="7">
        <v>400</v>
      </c>
      <c r="F109" s="7">
        <v>946</v>
      </c>
      <c r="G109" s="7">
        <v>328</v>
      </c>
      <c r="H109" s="7" t="s">
        <v>2900</v>
      </c>
      <c r="I109" s="7" t="s">
        <v>2901</v>
      </c>
      <c r="J109" s="7" t="s">
        <v>130</v>
      </c>
      <c r="K109" s="46">
        <v>0.93819444444444444</v>
      </c>
      <c r="L109" s="46">
        <v>0.97430555555555554</v>
      </c>
      <c r="M109" s="7" t="s">
        <v>109</v>
      </c>
      <c r="N109" s="7" t="s">
        <v>1621</v>
      </c>
      <c r="O109" s="7" t="s">
        <v>61</v>
      </c>
      <c r="P109" s="7" t="s">
        <v>131</v>
      </c>
      <c r="Q109" s="7" t="s">
        <v>179</v>
      </c>
      <c r="R109" s="7" t="s">
        <v>62</v>
      </c>
      <c r="S109" s="7" t="s">
        <v>2249</v>
      </c>
      <c r="T109" s="7" t="s">
        <v>480</v>
      </c>
      <c r="U109" s="111">
        <f t="shared" si="3"/>
        <v>0.82</v>
      </c>
      <c r="V109" s="7" t="s">
        <v>2862</v>
      </c>
    </row>
    <row r="110" spans="1:22" x14ac:dyDescent="0.3">
      <c r="A110" s="7">
        <v>109</v>
      </c>
      <c r="B110" s="7" t="s">
        <v>23</v>
      </c>
      <c r="C110" s="7" t="s">
        <v>1909</v>
      </c>
      <c r="D110" s="7">
        <v>50226025</v>
      </c>
      <c r="E110" s="7">
        <v>300</v>
      </c>
      <c r="F110" s="7">
        <v>539</v>
      </c>
      <c r="G110" s="7">
        <v>215</v>
      </c>
      <c r="H110" s="7" t="s">
        <v>2902</v>
      </c>
      <c r="I110" s="7" t="s">
        <v>2907</v>
      </c>
      <c r="J110" s="7" t="s">
        <v>130</v>
      </c>
      <c r="K110" s="46">
        <v>0.76458333333333328</v>
      </c>
      <c r="L110" s="46">
        <v>0.82777777777777772</v>
      </c>
      <c r="M110" s="7" t="s">
        <v>109</v>
      </c>
      <c r="N110" s="7" t="s">
        <v>1621</v>
      </c>
      <c r="O110" s="7" t="s">
        <v>61</v>
      </c>
      <c r="P110" s="7" t="s">
        <v>131</v>
      </c>
      <c r="Q110" s="7" t="s">
        <v>87</v>
      </c>
      <c r="R110" s="7" t="s">
        <v>62</v>
      </c>
      <c r="S110" s="7" t="s">
        <v>2249</v>
      </c>
      <c r="T110" s="7" t="s">
        <v>480</v>
      </c>
      <c r="U110" s="111">
        <f t="shared" si="3"/>
        <v>0.71666666666666667</v>
      </c>
      <c r="V110" s="7" t="s">
        <v>2862</v>
      </c>
    </row>
    <row r="111" spans="1:22" x14ac:dyDescent="0.3">
      <c r="A111" s="7">
        <v>110</v>
      </c>
      <c r="B111" s="7" t="s">
        <v>23</v>
      </c>
      <c r="C111" s="7" t="s">
        <v>2115</v>
      </c>
      <c r="D111" s="7">
        <v>50226055</v>
      </c>
      <c r="E111" s="7">
        <v>300</v>
      </c>
      <c r="F111" s="7">
        <v>348</v>
      </c>
      <c r="G111" s="7">
        <v>91</v>
      </c>
      <c r="H111" s="7" t="s">
        <v>2903</v>
      </c>
      <c r="I111" s="7" t="s">
        <v>109</v>
      </c>
      <c r="J111" s="7" t="s">
        <v>130</v>
      </c>
      <c r="K111" s="46">
        <v>0.7368055555555556</v>
      </c>
      <c r="L111" s="7" t="s">
        <v>109</v>
      </c>
      <c r="M111" s="7" t="s">
        <v>109</v>
      </c>
      <c r="N111" s="7" t="s">
        <v>1621</v>
      </c>
      <c r="O111" s="7" t="s">
        <v>61</v>
      </c>
      <c r="P111" s="7" t="s">
        <v>131</v>
      </c>
      <c r="Q111" s="7" t="s">
        <v>84</v>
      </c>
      <c r="R111" s="7" t="s">
        <v>62</v>
      </c>
      <c r="S111" s="7" t="s">
        <v>2249</v>
      </c>
      <c r="T111" s="7" t="s">
        <v>289</v>
      </c>
      <c r="U111" s="111">
        <f t="shared" si="3"/>
        <v>0.30333333333333334</v>
      </c>
      <c r="V111" s="7" t="s">
        <v>2914</v>
      </c>
    </row>
    <row r="112" spans="1:22" x14ac:dyDescent="0.3">
      <c r="A112" s="7">
        <v>111</v>
      </c>
      <c r="B112" s="7" t="s">
        <v>23</v>
      </c>
      <c r="C112" s="7" t="s">
        <v>2199</v>
      </c>
      <c r="D112" s="7">
        <v>50226057</v>
      </c>
      <c r="E112" s="7">
        <v>300</v>
      </c>
      <c r="F112" s="7">
        <v>612</v>
      </c>
      <c r="G112" s="7">
        <v>322</v>
      </c>
      <c r="H112" s="7" t="s">
        <v>2904</v>
      </c>
      <c r="I112" s="7" t="s">
        <v>109</v>
      </c>
      <c r="J112" s="7" t="s">
        <v>130</v>
      </c>
      <c r="K112" s="46">
        <v>0.9</v>
      </c>
      <c r="L112" s="7" t="s">
        <v>109</v>
      </c>
      <c r="M112" s="7" t="s">
        <v>109</v>
      </c>
      <c r="N112" s="7" t="s">
        <v>1621</v>
      </c>
      <c r="O112" s="7" t="s">
        <v>61</v>
      </c>
      <c r="P112" s="7" t="s">
        <v>131</v>
      </c>
      <c r="Q112" s="7" t="s">
        <v>241</v>
      </c>
      <c r="R112" s="7" t="s">
        <v>62</v>
      </c>
      <c r="S112" s="7" t="s">
        <v>2249</v>
      </c>
      <c r="T112" s="7" t="s">
        <v>289</v>
      </c>
      <c r="U112" s="111">
        <f t="shared" si="3"/>
        <v>1.0733333333333333</v>
      </c>
      <c r="V112" s="7" t="s">
        <v>1941</v>
      </c>
    </row>
    <row r="113" spans="1:22" x14ac:dyDescent="0.3">
      <c r="A113" s="7">
        <v>112</v>
      </c>
      <c r="B113" s="7" t="s">
        <v>23</v>
      </c>
      <c r="C113" s="7" t="s">
        <v>2117</v>
      </c>
      <c r="D113" s="7">
        <v>50226054</v>
      </c>
      <c r="E113" s="7">
        <v>500</v>
      </c>
      <c r="F113" s="7">
        <v>1090</v>
      </c>
      <c r="G113" s="7">
        <v>374</v>
      </c>
      <c r="H113" s="7" t="s">
        <v>2915</v>
      </c>
      <c r="I113" s="7" t="s">
        <v>109</v>
      </c>
      <c r="J113" s="7" t="s">
        <v>130</v>
      </c>
      <c r="K113" s="46">
        <v>0.96388888888888891</v>
      </c>
      <c r="L113" s="7" t="s">
        <v>109</v>
      </c>
      <c r="M113" s="7" t="s">
        <v>109</v>
      </c>
      <c r="N113" s="7" t="s">
        <v>1621</v>
      </c>
      <c r="O113" s="7" t="s">
        <v>61</v>
      </c>
      <c r="P113" s="7" t="s">
        <v>131</v>
      </c>
      <c r="Q113" s="7" t="s">
        <v>71</v>
      </c>
      <c r="R113" s="7" t="s">
        <v>62</v>
      </c>
      <c r="S113" s="7" t="s">
        <v>2249</v>
      </c>
      <c r="T113" s="7" t="s">
        <v>289</v>
      </c>
      <c r="U113" s="111">
        <f t="shared" si="3"/>
        <v>0.748</v>
      </c>
      <c r="V113" s="7" t="s">
        <v>2862</v>
      </c>
    </row>
    <row r="114" spans="1:22" x14ac:dyDescent="0.3">
      <c r="A114" s="7">
        <v>113</v>
      </c>
      <c r="B114" s="7" t="s">
        <v>23</v>
      </c>
      <c r="C114" s="7" t="s">
        <v>1952</v>
      </c>
      <c r="D114" s="7">
        <v>50226035</v>
      </c>
      <c r="E114" s="7">
        <v>150</v>
      </c>
      <c r="F114" s="7">
        <v>300</v>
      </c>
      <c r="G114" s="7">
        <v>152</v>
      </c>
      <c r="H114" s="7" t="s">
        <v>1057</v>
      </c>
      <c r="I114" s="7" t="s">
        <v>109</v>
      </c>
      <c r="J114" s="7" t="s">
        <v>130</v>
      </c>
      <c r="K114" s="46">
        <v>0.98333333333333328</v>
      </c>
      <c r="L114" s="7" t="s">
        <v>109</v>
      </c>
      <c r="M114" s="7" t="s">
        <v>109</v>
      </c>
      <c r="N114" s="7" t="s">
        <v>109</v>
      </c>
      <c r="O114" s="7" t="s">
        <v>61</v>
      </c>
      <c r="P114" s="7" t="s">
        <v>131</v>
      </c>
      <c r="Q114" s="7" t="s">
        <v>200</v>
      </c>
      <c r="R114" s="7" t="s">
        <v>62</v>
      </c>
      <c r="S114" s="7" t="s">
        <v>2249</v>
      </c>
      <c r="T114" s="7" t="s">
        <v>351</v>
      </c>
      <c r="U114" s="111">
        <f t="shared" si="3"/>
        <v>1.0133333333333334</v>
      </c>
      <c r="V114" s="7" t="s">
        <v>1941</v>
      </c>
    </row>
    <row r="115" spans="1:22" x14ac:dyDescent="0.3">
      <c r="A115" s="7">
        <v>114</v>
      </c>
      <c r="B115" s="7" t="s">
        <v>23</v>
      </c>
      <c r="C115" s="7" t="s">
        <v>1964</v>
      </c>
      <c r="D115" s="7">
        <v>50226034</v>
      </c>
      <c r="E115" s="7">
        <v>150</v>
      </c>
      <c r="F115" s="7">
        <v>206</v>
      </c>
      <c r="G115" s="7">
        <v>148</v>
      </c>
      <c r="H115" s="7" t="s">
        <v>1737</v>
      </c>
      <c r="I115" s="7" t="s">
        <v>109</v>
      </c>
      <c r="J115" s="7" t="s">
        <v>130</v>
      </c>
      <c r="K115" s="46">
        <v>0.83750000000000002</v>
      </c>
      <c r="L115" s="7" t="s">
        <v>109</v>
      </c>
      <c r="M115" s="7" t="s">
        <v>109</v>
      </c>
      <c r="N115" s="7" t="s">
        <v>109</v>
      </c>
      <c r="O115" s="7" t="s">
        <v>61</v>
      </c>
      <c r="P115" s="7" t="s">
        <v>131</v>
      </c>
      <c r="Q115" s="7" t="s">
        <v>66</v>
      </c>
      <c r="R115" s="7" t="s">
        <v>62</v>
      </c>
      <c r="S115" s="7" t="s">
        <v>2249</v>
      </c>
      <c r="T115" s="7" t="s">
        <v>351</v>
      </c>
      <c r="U115" s="111">
        <f t="shared" si="3"/>
        <v>0.98666666666666669</v>
      </c>
      <c r="V115" s="7" t="s">
        <v>1941</v>
      </c>
    </row>
    <row r="116" spans="1:22" x14ac:dyDescent="0.3">
      <c r="A116" s="7">
        <v>115</v>
      </c>
      <c r="B116" s="7" t="s">
        <v>23</v>
      </c>
      <c r="C116" s="7" t="s">
        <v>977</v>
      </c>
      <c r="D116" s="7">
        <v>50126274</v>
      </c>
      <c r="E116" s="7">
        <v>100</v>
      </c>
      <c r="F116" s="7">
        <v>196</v>
      </c>
      <c r="G116" s="7">
        <v>47</v>
      </c>
      <c r="H116" s="7" t="s">
        <v>73</v>
      </c>
      <c r="I116" s="7" t="s">
        <v>109</v>
      </c>
      <c r="J116" s="7" t="s">
        <v>130</v>
      </c>
      <c r="K116" s="46">
        <v>0.95902777777777781</v>
      </c>
      <c r="L116" s="7" t="s">
        <v>109</v>
      </c>
      <c r="M116" s="7" t="s">
        <v>109</v>
      </c>
      <c r="N116" s="7" t="s">
        <v>109</v>
      </c>
      <c r="O116" s="7" t="s">
        <v>61</v>
      </c>
      <c r="P116" s="7" t="s">
        <v>131</v>
      </c>
      <c r="Q116" s="7" t="s">
        <v>68</v>
      </c>
      <c r="R116" s="7" t="s">
        <v>62</v>
      </c>
      <c r="S116" s="7" t="s">
        <v>2249</v>
      </c>
      <c r="T116" s="7" t="s">
        <v>334</v>
      </c>
      <c r="U116" s="111">
        <f t="shared" si="3"/>
        <v>0.47</v>
      </c>
      <c r="V116" s="7" t="s">
        <v>2862</v>
      </c>
    </row>
    <row r="117" spans="1:22" x14ac:dyDescent="0.3">
      <c r="A117" s="7">
        <v>116</v>
      </c>
      <c r="B117" s="7" t="s">
        <v>26</v>
      </c>
      <c r="C117" s="7" t="s">
        <v>2462</v>
      </c>
      <c r="D117" s="7">
        <v>40226014</v>
      </c>
      <c r="E117" s="7">
        <v>208</v>
      </c>
      <c r="F117" s="7">
        <v>147</v>
      </c>
      <c r="G117" s="7">
        <v>74</v>
      </c>
      <c r="H117" s="7" t="s">
        <v>2905</v>
      </c>
      <c r="I117" s="7" t="s">
        <v>2909</v>
      </c>
      <c r="J117" s="7" t="s">
        <v>130</v>
      </c>
      <c r="K117" s="46">
        <v>0.83333333333333337</v>
      </c>
      <c r="L117" s="46">
        <v>0.85902777777777772</v>
      </c>
      <c r="M117" s="7" t="s">
        <v>109</v>
      </c>
      <c r="N117" s="7" t="s">
        <v>109</v>
      </c>
      <c r="O117" s="7" t="s">
        <v>606</v>
      </c>
      <c r="P117" s="7" t="s">
        <v>131</v>
      </c>
      <c r="Q117" s="7" t="s">
        <v>86</v>
      </c>
      <c r="R117" s="7" t="s">
        <v>62</v>
      </c>
      <c r="S117" s="7" t="s">
        <v>2692</v>
      </c>
      <c r="T117" s="7" t="s">
        <v>122</v>
      </c>
      <c r="U117" s="111">
        <f t="shared" si="3"/>
        <v>0.35576923076923078</v>
      </c>
      <c r="V117" s="7" t="s">
        <v>606</v>
      </c>
    </row>
    <row r="118" spans="1:22" x14ac:dyDescent="0.3">
      <c r="A118" s="7">
        <v>117</v>
      </c>
      <c r="B118" s="7" t="s">
        <v>26</v>
      </c>
      <c r="C118" s="7" t="s">
        <v>2465</v>
      </c>
      <c r="D118" s="7">
        <v>40226011</v>
      </c>
      <c r="E118" s="7">
        <v>29</v>
      </c>
      <c r="F118" s="7">
        <v>29</v>
      </c>
      <c r="G118" s="7">
        <v>14</v>
      </c>
      <c r="H118" s="7" t="s">
        <v>64</v>
      </c>
      <c r="I118" s="7" t="s">
        <v>86</v>
      </c>
      <c r="J118" s="7" t="s">
        <v>130</v>
      </c>
      <c r="K118" s="46">
        <v>0.77777777777777779</v>
      </c>
      <c r="L118" s="46">
        <v>0.84236111111111112</v>
      </c>
      <c r="M118" s="7" t="s">
        <v>109</v>
      </c>
      <c r="N118" s="7" t="s">
        <v>109</v>
      </c>
      <c r="O118" s="7" t="s">
        <v>606</v>
      </c>
      <c r="P118" s="7" t="s">
        <v>131</v>
      </c>
      <c r="Q118" s="7" t="s">
        <v>86</v>
      </c>
      <c r="R118" s="7" t="s">
        <v>62</v>
      </c>
      <c r="S118" s="7" t="s">
        <v>2692</v>
      </c>
      <c r="T118" s="7" t="s">
        <v>122</v>
      </c>
      <c r="U118" s="111">
        <f t="shared" si="3"/>
        <v>0.48275862068965519</v>
      </c>
      <c r="V118" s="7" t="s">
        <v>606</v>
      </c>
    </row>
    <row r="119" spans="1:22" x14ac:dyDescent="0.3">
      <c r="A119" s="7">
        <v>118</v>
      </c>
      <c r="B119" s="7" t="s">
        <v>26</v>
      </c>
      <c r="C119" s="7" t="s">
        <v>2906</v>
      </c>
      <c r="D119" s="7">
        <v>40226012</v>
      </c>
      <c r="E119" s="7">
        <v>177</v>
      </c>
      <c r="F119" s="7">
        <v>165</v>
      </c>
      <c r="G119" s="7">
        <v>59</v>
      </c>
      <c r="H119" s="7" t="s">
        <v>619</v>
      </c>
      <c r="I119" s="7" t="s">
        <v>2541</v>
      </c>
      <c r="J119" s="7" t="s">
        <v>130</v>
      </c>
      <c r="K119" s="46">
        <v>0.79027777777777775</v>
      </c>
      <c r="L119" s="46">
        <v>0.8666666666666667</v>
      </c>
      <c r="M119" s="7" t="s">
        <v>109</v>
      </c>
      <c r="N119" s="7" t="s">
        <v>109</v>
      </c>
      <c r="O119" s="7" t="s">
        <v>606</v>
      </c>
      <c r="P119" s="7" t="s">
        <v>131</v>
      </c>
      <c r="Q119" s="7" t="s">
        <v>89</v>
      </c>
      <c r="R119" s="7" t="s">
        <v>62</v>
      </c>
      <c r="S119" s="7" t="s">
        <v>2692</v>
      </c>
      <c r="T119" s="7" t="s">
        <v>122</v>
      </c>
      <c r="U119" s="111">
        <f t="shared" si="3"/>
        <v>0.33333333333333331</v>
      </c>
      <c r="V119" s="7" t="s">
        <v>606</v>
      </c>
    </row>
    <row r="120" spans="1:22" x14ac:dyDescent="0.3">
      <c r="A120" s="7">
        <v>119</v>
      </c>
      <c r="B120" s="7" t="s">
        <v>143</v>
      </c>
      <c r="C120" s="7" t="s">
        <v>2359</v>
      </c>
      <c r="D120" s="7">
        <v>10226038</v>
      </c>
      <c r="E120" s="7">
        <v>210</v>
      </c>
      <c r="F120" s="7">
        <v>557</v>
      </c>
      <c r="G120" s="7">
        <v>134</v>
      </c>
      <c r="H120" s="7" t="s">
        <v>2913</v>
      </c>
      <c r="I120" s="7" t="s">
        <v>2917</v>
      </c>
      <c r="J120" s="7" t="s">
        <v>130</v>
      </c>
      <c r="K120" s="46">
        <v>0.93055555555555558</v>
      </c>
      <c r="L120" s="46">
        <v>0.96736111111111112</v>
      </c>
      <c r="M120" s="7" t="s">
        <v>109</v>
      </c>
      <c r="N120" s="7" t="s">
        <v>109</v>
      </c>
      <c r="O120" s="7" t="s">
        <v>61</v>
      </c>
      <c r="P120" s="7" t="s">
        <v>131</v>
      </c>
      <c r="Q120" s="7" t="s">
        <v>603</v>
      </c>
      <c r="R120" s="7" t="s">
        <v>62</v>
      </c>
      <c r="S120" s="7" t="s">
        <v>2249</v>
      </c>
      <c r="T120" s="7" t="s">
        <v>402</v>
      </c>
      <c r="U120" s="111">
        <f t="shared" si="3"/>
        <v>0.63809523809523805</v>
      </c>
      <c r="V120" s="7" t="s">
        <v>2862</v>
      </c>
    </row>
    <row r="121" spans="1:22" x14ac:dyDescent="0.3">
      <c r="A121" s="7">
        <v>120</v>
      </c>
      <c r="B121" s="7" t="s">
        <v>23</v>
      </c>
      <c r="C121" s="47" t="s">
        <v>1696</v>
      </c>
      <c r="D121" s="7">
        <v>50126362</v>
      </c>
      <c r="E121" s="7">
        <v>25</v>
      </c>
      <c r="F121" s="7">
        <v>40</v>
      </c>
      <c r="G121" s="7">
        <v>35</v>
      </c>
      <c r="H121" s="7" t="s">
        <v>527</v>
      </c>
      <c r="I121" s="7" t="s">
        <v>109</v>
      </c>
      <c r="J121" s="7" t="s">
        <v>130</v>
      </c>
      <c r="K121" s="46">
        <v>0.93402777777777779</v>
      </c>
      <c r="L121" s="7" t="s">
        <v>109</v>
      </c>
      <c r="M121" s="7" t="s">
        <v>109</v>
      </c>
      <c r="N121" s="7" t="s">
        <v>109</v>
      </c>
      <c r="O121" s="7" t="s">
        <v>606</v>
      </c>
      <c r="P121" s="7" t="s">
        <v>131</v>
      </c>
      <c r="Q121" s="7" t="s">
        <v>527</v>
      </c>
      <c r="R121" s="7" t="s">
        <v>62</v>
      </c>
      <c r="S121" s="7" t="s">
        <v>2916</v>
      </c>
      <c r="T121" s="7" t="s">
        <v>1568</v>
      </c>
      <c r="U121" s="111">
        <f t="shared" si="3"/>
        <v>1.4</v>
      </c>
      <c r="V121" s="7" t="s">
        <v>606</v>
      </c>
    </row>
    <row r="122" spans="1:22" x14ac:dyDescent="0.3">
      <c r="A122" s="7">
        <v>121</v>
      </c>
      <c r="B122" s="7" t="s">
        <v>24</v>
      </c>
      <c r="C122" s="7" t="s">
        <v>46</v>
      </c>
      <c r="D122" s="7">
        <v>61225009</v>
      </c>
      <c r="E122" s="7">
        <v>100</v>
      </c>
      <c r="F122" s="7">
        <v>97</v>
      </c>
      <c r="G122" s="7">
        <v>56</v>
      </c>
      <c r="H122" s="7" t="s">
        <v>65</v>
      </c>
      <c r="I122" s="7" t="s">
        <v>603</v>
      </c>
      <c r="J122" s="7" t="s">
        <v>130</v>
      </c>
      <c r="K122" s="46">
        <v>0.86597222222222225</v>
      </c>
      <c r="L122" s="46">
        <v>0.92152777777777772</v>
      </c>
      <c r="M122" s="7" t="s">
        <v>109</v>
      </c>
      <c r="N122" s="7" t="s">
        <v>109</v>
      </c>
      <c r="O122" s="7" t="s">
        <v>606</v>
      </c>
      <c r="P122" s="7" t="s">
        <v>131</v>
      </c>
      <c r="Q122" s="7" t="s">
        <v>603</v>
      </c>
      <c r="R122" s="7" t="s">
        <v>63</v>
      </c>
      <c r="S122" s="7" t="s">
        <v>2447</v>
      </c>
      <c r="T122" s="7" t="s">
        <v>119</v>
      </c>
      <c r="U122" s="111">
        <f t="shared" si="3"/>
        <v>0.56000000000000005</v>
      </c>
      <c r="V122" s="7" t="s">
        <v>606</v>
      </c>
    </row>
    <row r="123" spans="1:22" x14ac:dyDescent="0.3">
      <c r="A123" s="7">
        <v>122</v>
      </c>
      <c r="B123" s="7" t="s">
        <v>23</v>
      </c>
      <c r="C123" s="7" t="s">
        <v>1702</v>
      </c>
      <c r="D123" s="7">
        <v>50126360</v>
      </c>
      <c r="E123" s="7">
        <v>92</v>
      </c>
      <c r="F123" s="7">
        <v>90</v>
      </c>
      <c r="G123" s="7">
        <v>72</v>
      </c>
      <c r="H123" s="7" t="s">
        <v>64</v>
      </c>
      <c r="I123" s="7" t="s">
        <v>109</v>
      </c>
      <c r="J123" s="7" t="s">
        <v>130</v>
      </c>
      <c r="K123" s="46">
        <v>0.96597222222222223</v>
      </c>
      <c r="L123" s="7" t="s">
        <v>109</v>
      </c>
      <c r="M123" s="7" t="s">
        <v>109</v>
      </c>
      <c r="N123" s="7" t="s">
        <v>109</v>
      </c>
      <c r="O123" s="7" t="s">
        <v>606</v>
      </c>
      <c r="P123" s="7" t="s">
        <v>131</v>
      </c>
      <c r="Q123" s="7" t="s">
        <v>64</v>
      </c>
      <c r="R123" s="7" t="s">
        <v>62</v>
      </c>
      <c r="S123" s="7" t="s">
        <v>2916</v>
      </c>
      <c r="T123" s="7" t="s">
        <v>1568</v>
      </c>
      <c r="U123" s="111">
        <f t="shared" si="3"/>
        <v>0.78260869565217395</v>
      </c>
      <c r="V123" s="7" t="s">
        <v>606</v>
      </c>
    </row>
    <row r="124" spans="1:22" x14ac:dyDescent="0.3">
      <c r="A124" s="7">
        <v>123</v>
      </c>
      <c r="B124" s="7" t="s">
        <v>23</v>
      </c>
      <c r="C124" s="7" t="s">
        <v>1065</v>
      </c>
      <c r="D124" s="7">
        <v>50126305</v>
      </c>
      <c r="E124" s="7">
        <v>21</v>
      </c>
      <c r="F124" s="7">
        <v>21</v>
      </c>
      <c r="G124" s="7">
        <v>14</v>
      </c>
      <c r="H124" s="7" t="s">
        <v>196</v>
      </c>
      <c r="I124" s="7" t="s">
        <v>109</v>
      </c>
      <c r="J124" s="7" t="s">
        <v>130</v>
      </c>
      <c r="K124" s="46">
        <v>0.95694444444444449</v>
      </c>
      <c r="L124" s="7" t="s">
        <v>109</v>
      </c>
      <c r="M124" s="7" t="s">
        <v>109</v>
      </c>
      <c r="N124" s="7" t="s">
        <v>109</v>
      </c>
      <c r="O124" s="7" t="s">
        <v>606</v>
      </c>
      <c r="P124" s="7" t="s">
        <v>131</v>
      </c>
      <c r="Q124" s="7" t="s">
        <v>196</v>
      </c>
      <c r="R124" s="7" t="s">
        <v>62</v>
      </c>
      <c r="S124" s="7" t="s">
        <v>2918</v>
      </c>
      <c r="T124" s="7" t="s">
        <v>1063</v>
      </c>
      <c r="U124" s="111">
        <f t="shared" si="3"/>
        <v>0.66666666666666663</v>
      </c>
      <c r="V124" s="7" t="s">
        <v>606</v>
      </c>
    </row>
    <row r="125" spans="1:22" x14ac:dyDescent="0.3">
      <c r="A125" s="7">
        <v>125</v>
      </c>
      <c r="B125" s="7" t="s">
        <v>135</v>
      </c>
      <c r="C125" s="47" t="s">
        <v>671</v>
      </c>
      <c r="D125" s="33">
        <v>20126010</v>
      </c>
      <c r="E125" s="7">
        <v>10</v>
      </c>
      <c r="F125" s="7">
        <v>10</v>
      </c>
      <c r="G125" s="7">
        <v>5</v>
      </c>
      <c r="H125" s="7" t="s">
        <v>88</v>
      </c>
      <c r="I125" s="7" t="s">
        <v>109</v>
      </c>
      <c r="J125" s="7" t="s">
        <v>130</v>
      </c>
      <c r="K125" s="46">
        <v>0.97430555555555554</v>
      </c>
      <c r="L125" s="7" t="s">
        <v>109</v>
      </c>
      <c r="M125" s="7" t="s">
        <v>109</v>
      </c>
      <c r="N125" s="7" t="s">
        <v>109</v>
      </c>
      <c r="O125" s="7" t="s">
        <v>606</v>
      </c>
      <c r="P125" s="7" t="s">
        <v>131</v>
      </c>
      <c r="Q125" s="7" t="s">
        <v>88</v>
      </c>
      <c r="R125" s="7" t="s">
        <v>62</v>
      </c>
      <c r="S125" s="7" t="s">
        <v>2690</v>
      </c>
      <c r="T125" s="7" t="s">
        <v>666</v>
      </c>
      <c r="U125" s="111">
        <f t="shared" si="3"/>
        <v>0.5</v>
      </c>
      <c r="V125" s="7" t="s">
        <v>606</v>
      </c>
    </row>
    <row r="126" spans="1:22" x14ac:dyDescent="0.3">
      <c r="A126" s="7">
        <v>127</v>
      </c>
      <c r="B126" s="7" t="s">
        <v>135</v>
      </c>
      <c r="C126" s="47" t="s">
        <v>1103</v>
      </c>
      <c r="D126" s="33">
        <v>21125003</v>
      </c>
      <c r="E126" s="7">
        <v>10</v>
      </c>
      <c r="F126" s="7">
        <v>10</v>
      </c>
      <c r="G126" s="7">
        <v>8</v>
      </c>
      <c r="H126" s="7" t="s">
        <v>94</v>
      </c>
      <c r="I126" s="7" t="s">
        <v>109</v>
      </c>
      <c r="J126" s="7" t="s">
        <v>130</v>
      </c>
      <c r="K126" s="46">
        <v>0.99513888888888891</v>
      </c>
      <c r="L126" s="7" t="s">
        <v>109</v>
      </c>
      <c r="M126" s="7" t="s">
        <v>109</v>
      </c>
      <c r="N126" s="7" t="s">
        <v>109</v>
      </c>
      <c r="O126" s="7" t="s">
        <v>606</v>
      </c>
      <c r="P126" s="7" t="s">
        <v>131</v>
      </c>
      <c r="Q126" s="7" t="s">
        <v>94</v>
      </c>
      <c r="R126" s="7" t="s">
        <v>62</v>
      </c>
      <c r="S126" s="7" t="s">
        <v>2690</v>
      </c>
      <c r="T126" s="7" t="s">
        <v>666</v>
      </c>
      <c r="U126" s="111">
        <f t="shared" si="3"/>
        <v>0.8</v>
      </c>
      <c r="V126" s="7" t="s">
        <v>606</v>
      </c>
    </row>
    <row r="127" spans="1:22" x14ac:dyDescent="0.3">
      <c r="A127" s="7">
        <v>128</v>
      </c>
      <c r="B127" s="7" t="s">
        <v>135</v>
      </c>
      <c r="C127" s="7" t="s">
        <v>668</v>
      </c>
      <c r="D127" s="7">
        <v>20126009</v>
      </c>
      <c r="E127" s="7">
        <v>6</v>
      </c>
      <c r="F127" s="7">
        <v>6</v>
      </c>
      <c r="G127" s="7">
        <v>5</v>
      </c>
      <c r="H127" s="7" t="s">
        <v>179</v>
      </c>
      <c r="I127" s="7" t="s">
        <v>109</v>
      </c>
      <c r="J127" s="7" t="s">
        <v>130</v>
      </c>
      <c r="K127" s="46">
        <v>2.2916666666666665E-2</v>
      </c>
      <c r="L127" s="7" t="s">
        <v>109</v>
      </c>
      <c r="M127" s="7" t="s">
        <v>109</v>
      </c>
      <c r="N127" s="7" t="s">
        <v>109</v>
      </c>
      <c r="O127" s="7" t="s">
        <v>606</v>
      </c>
      <c r="P127" s="7" t="s">
        <v>131</v>
      </c>
      <c r="Q127" s="7" t="s">
        <v>179</v>
      </c>
      <c r="R127" s="7" t="s">
        <v>62</v>
      </c>
      <c r="S127" s="7" t="s">
        <v>2690</v>
      </c>
      <c r="T127" s="7" t="s">
        <v>666</v>
      </c>
      <c r="U127" s="111">
        <f t="shared" si="3"/>
        <v>0.83333333333333337</v>
      </c>
      <c r="V127" s="7" t="s">
        <v>606</v>
      </c>
    </row>
  </sheetData>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7A55D-5B40-4199-83DB-A1E9234FFFFD}">
  <dimension ref="A1:V119"/>
  <sheetViews>
    <sheetView workbookViewId="0">
      <pane ySplit="1" topLeftCell="A104" activePane="bottomLeft" state="frozen"/>
      <selection pane="bottomLeft" activeCell="D115" sqref="D115"/>
    </sheetView>
  </sheetViews>
  <sheetFormatPr defaultRowHeight="14.4" x14ac:dyDescent="0.3"/>
  <cols>
    <col min="8" max="8" width="28.109375" customWidth="1"/>
  </cols>
  <sheetData>
    <row r="1" spans="1:22" x14ac:dyDescent="0.3">
      <c r="A1" s="1" t="s">
        <v>0</v>
      </c>
      <c r="B1" s="1" t="s">
        <v>1</v>
      </c>
      <c r="C1" s="1" t="s">
        <v>2</v>
      </c>
      <c r="D1" s="1" t="s">
        <v>3</v>
      </c>
      <c r="E1" s="1" t="s">
        <v>4</v>
      </c>
      <c r="F1" s="1" t="s">
        <v>5</v>
      </c>
      <c r="G1" s="1" t="s">
        <v>6</v>
      </c>
      <c r="H1" s="1" t="s">
        <v>7</v>
      </c>
      <c r="I1" s="1" t="s">
        <v>8</v>
      </c>
      <c r="J1" s="1" t="s">
        <v>9</v>
      </c>
      <c r="K1" s="2" t="s">
        <v>2218</v>
      </c>
      <c r="L1" s="2" t="s">
        <v>2219</v>
      </c>
      <c r="M1" s="3" t="s">
        <v>2281</v>
      </c>
      <c r="N1" s="4" t="s">
        <v>13</v>
      </c>
      <c r="O1" s="1" t="s">
        <v>14</v>
      </c>
      <c r="P1" s="1" t="s">
        <v>15</v>
      </c>
      <c r="Q1" s="1" t="s">
        <v>16</v>
      </c>
      <c r="R1" s="1" t="s">
        <v>17</v>
      </c>
      <c r="S1" s="127" t="s">
        <v>2282</v>
      </c>
      <c r="T1" s="1" t="s">
        <v>19</v>
      </c>
      <c r="U1" s="1" t="s">
        <v>20</v>
      </c>
      <c r="V1" s="1" t="s">
        <v>21</v>
      </c>
    </row>
    <row r="2" spans="1:22" x14ac:dyDescent="0.3">
      <c r="A2" s="7">
        <v>1</v>
      </c>
      <c r="B2" s="29" t="s">
        <v>23</v>
      </c>
      <c r="C2" s="29" t="s">
        <v>869</v>
      </c>
      <c r="D2" s="29">
        <v>50126215</v>
      </c>
      <c r="E2" s="29">
        <v>75</v>
      </c>
      <c r="F2" s="7">
        <v>25</v>
      </c>
      <c r="G2" s="7">
        <v>3</v>
      </c>
      <c r="H2" s="53" t="s">
        <v>184</v>
      </c>
      <c r="I2" s="7" t="s">
        <v>109</v>
      </c>
      <c r="J2" s="7" t="s">
        <v>130</v>
      </c>
      <c r="K2" s="11">
        <v>0.81388888888888888</v>
      </c>
      <c r="L2" s="7" t="s">
        <v>109</v>
      </c>
      <c r="M2" s="7" t="s">
        <v>109</v>
      </c>
      <c r="N2" s="38" t="s">
        <v>109</v>
      </c>
      <c r="O2" s="38" t="s">
        <v>61</v>
      </c>
      <c r="P2" s="7" t="s">
        <v>131</v>
      </c>
      <c r="Q2" s="7" t="s">
        <v>184</v>
      </c>
      <c r="R2" s="7" t="s">
        <v>62</v>
      </c>
      <c r="S2" s="7" t="s">
        <v>2922</v>
      </c>
      <c r="T2" s="29" t="s">
        <v>870</v>
      </c>
      <c r="U2" s="108">
        <f>G2/E2</f>
        <v>0.04</v>
      </c>
      <c r="V2" s="7" t="s">
        <v>2950</v>
      </c>
    </row>
    <row r="3" spans="1:22" x14ac:dyDescent="0.3">
      <c r="A3" s="7">
        <v>2</v>
      </c>
      <c r="B3" s="29" t="s">
        <v>23</v>
      </c>
      <c r="C3" s="29" t="s">
        <v>2418</v>
      </c>
      <c r="D3" s="29">
        <v>50226093</v>
      </c>
      <c r="E3" s="29">
        <v>50</v>
      </c>
      <c r="F3" s="7">
        <v>57</v>
      </c>
      <c r="G3" s="7">
        <v>15</v>
      </c>
      <c r="H3" s="53" t="s">
        <v>88</v>
      </c>
      <c r="I3" s="7" t="s">
        <v>109</v>
      </c>
      <c r="J3" s="7" t="s">
        <v>130</v>
      </c>
      <c r="K3" s="11">
        <v>0.8208333333333333</v>
      </c>
      <c r="L3" s="7" t="s">
        <v>109</v>
      </c>
      <c r="M3" s="7" t="s">
        <v>109</v>
      </c>
      <c r="N3" s="38" t="s">
        <v>109</v>
      </c>
      <c r="O3" s="38" t="s">
        <v>61</v>
      </c>
      <c r="P3" s="7" t="s">
        <v>131</v>
      </c>
      <c r="Q3" s="7" t="s">
        <v>88</v>
      </c>
      <c r="R3" s="7" t="s">
        <v>62</v>
      </c>
      <c r="S3" s="7" t="s">
        <v>2922</v>
      </c>
      <c r="T3" s="29" t="s">
        <v>275</v>
      </c>
      <c r="U3" s="108">
        <f t="shared" ref="U3:U66" si="0">G3/E3</f>
        <v>0.3</v>
      </c>
      <c r="V3" s="7" t="s">
        <v>2950</v>
      </c>
    </row>
    <row r="4" spans="1:22" x14ac:dyDescent="0.3">
      <c r="A4" s="7">
        <v>3</v>
      </c>
      <c r="B4" s="29" t="s">
        <v>23</v>
      </c>
      <c r="C4" s="29" t="s">
        <v>1062</v>
      </c>
      <c r="D4" s="29">
        <v>50126304</v>
      </c>
      <c r="E4" s="29">
        <v>100</v>
      </c>
      <c r="F4" s="7">
        <v>197</v>
      </c>
      <c r="G4" s="7">
        <v>56</v>
      </c>
      <c r="H4" s="53" t="s">
        <v>222</v>
      </c>
      <c r="I4" s="7" t="s">
        <v>109</v>
      </c>
      <c r="J4" s="7" t="s">
        <v>130</v>
      </c>
      <c r="K4" s="11">
        <v>0.81666666666666665</v>
      </c>
      <c r="L4" s="7" t="s">
        <v>109</v>
      </c>
      <c r="M4" s="7" t="s">
        <v>109</v>
      </c>
      <c r="N4" s="38" t="s">
        <v>109</v>
      </c>
      <c r="O4" s="38" t="s">
        <v>61</v>
      </c>
      <c r="P4" s="7" t="s">
        <v>131</v>
      </c>
      <c r="Q4" s="7" t="s">
        <v>222</v>
      </c>
      <c r="R4" s="7" t="s">
        <v>62</v>
      </c>
      <c r="S4" s="7" t="s">
        <v>2922</v>
      </c>
      <c r="T4" s="29" t="s">
        <v>1063</v>
      </c>
      <c r="U4" s="108">
        <f t="shared" si="0"/>
        <v>0.56000000000000005</v>
      </c>
      <c r="V4" s="7" t="s">
        <v>2009</v>
      </c>
    </row>
    <row r="5" spans="1:22" x14ac:dyDescent="0.3">
      <c r="A5" s="7">
        <v>4</v>
      </c>
      <c r="B5" s="29" t="s">
        <v>23</v>
      </c>
      <c r="C5" s="29" t="s">
        <v>1064</v>
      </c>
      <c r="D5" s="29">
        <v>50126306</v>
      </c>
      <c r="E5" s="29">
        <v>100</v>
      </c>
      <c r="F5" s="7">
        <v>150</v>
      </c>
      <c r="G5" s="7">
        <v>27</v>
      </c>
      <c r="H5" s="7" t="s">
        <v>67</v>
      </c>
      <c r="I5" s="7" t="s">
        <v>109</v>
      </c>
      <c r="J5" s="7" t="s">
        <v>130</v>
      </c>
      <c r="K5" s="11">
        <v>0.78125</v>
      </c>
      <c r="L5" s="7" t="s">
        <v>109</v>
      </c>
      <c r="M5" s="7" t="s">
        <v>109</v>
      </c>
      <c r="N5" s="38" t="s">
        <v>109</v>
      </c>
      <c r="O5" s="38" t="s">
        <v>61</v>
      </c>
      <c r="P5" s="7" t="s">
        <v>131</v>
      </c>
      <c r="Q5" s="7" t="s">
        <v>67</v>
      </c>
      <c r="R5" s="7" t="s">
        <v>62</v>
      </c>
      <c r="S5" s="7" t="s">
        <v>2922</v>
      </c>
      <c r="T5" s="29" t="s">
        <v>1063</v>
      </c>
      <c r="U5" s="108">
        <f t="shared" si="0"/>
        <v>0.27</v>
      </c>
      <c r="V5" s="7" t="s">
        <v>2391</v>
      </c>
    </row>
    <row r="6" spans="1:22" x14ac:dyDescent="0.3">
      <c r="A6" s="7">
        <v>5</v>
      </c>
      <c r="B6" s="29" t="s">
        <v>23</v>
      </c>
      <c r="C6" s="29" t="s">
        <v>1065</v>
      </c>
      <c r="D6" s="29">
        <v>50126305</v>
      </c>
      <c r="E6" s="29">
        <v>100</v>
      </c>
      <c r="F6" s="7">
        <v>187</v>
      </c>
      <c r="G6" s="7">
        <v>59</v>
      </c>
      <c r="H6" s="7" t="s">
        <v>222</v>
      </c>
      <c r="I6" s="7" t="s">
        <v>109</v>
      </c>
      <c r="J6" s="7" t="s">
        <v>130</v>
      </c>
      <c r="K6" s="11">
        <v>0.86875000000000002</v>
      </c>
      <c r="L6" s="7" t="s">
        <v>109</v>
      </c>
      <c r="M6" s="7" t="s">
        <v>109</v>
      </c>
      <c r="N6" s="38" t="s">
        <v>109</v>
      </c>
      <c r="O6" s="38" t="s">
        <v>61</v>
      </c>
      <c r="P6" s="7" t="s">
        <v>131</v>
      </c>
      <c r="Q6" s="7" t="s">
        <v>222</v>
      </c>
      <c r="R6" s="7" t="s">
        <v>62</v>
      </c>
      <c r="S6" s="7" t="s">
        <v>2922</v>
      </c>
      <c r="T6" s="29" t="s">
        <v>1063</v>
      </c>
      <c r="U6" s="108">
        <f t="shared" si="0"/>
        <v>0.59</v>
      </c>
      <c r="V6" s="7" t="s">
        <v>2009</v>
      </c>
    </row>
    <row r="7" spans="1:22" x14ac:dyDescent="0.3">
      <c r="A7" s="7">
        <v>6</v>
      </c>
      <c r="B7" s="29" t="s">
        <v>23</v>
      </c>
      <c r="C7" s="29" t="s">
        <v>380</v>
      </c>
      <c r="D7" s="29">
        <v>50425241</v>
      </c>
      <c r="E7" s="29">
        <v>100</v>
      </c>
      <c r="F7" s="7">
        <v>99</v>
      </c>
      <c r="G7" s="7">
        <v>14</v>
      </c>
      <c r="H7" s="53" t="s">
        <v>66</v>
      </c>
      <c r="I7" s="7" t="s">
        <v>109</v>
      </c>
      <c r="J7" s="7" t="s">
        <v>130</v>
      </c>
      <c r="K7" s="11">
        <v>0.88749999999999996</v>
      </c>
      <c r="L7" s="7" t="s">
        <v>109</v>
      </c>
      <c r="M7" s="7" t="s">
        <v>109</v>
      </c>
      <c r="N7" s="43" t="s">
        <v>2223</v>
      </c>
      <c r="O7" s="38" t="s">
        <v>61</v>
      </c>
      <c r="P7" s="7" t="s">
        <v>131</v>
      </c>
      <c r="Q7" s="7" t="s">
        <v>66</v>
      </c>
      <c r="R7" s="7" t="s">
        <v>62</v>
      </c>
      <c r="S7" s="7" t="s">
        <v>2922</v>
      </c>
      <c r="T7" s="29" t="s">
        <v>379</v>
      </c>
      <c r="U7" s="108">
        <f t="shared" si="0"/>
        <v>0.14000000000000001</v>
      </c>
      <c r="V7" s="7" t="s">
        <v>2950</v>
      </c>
    </row>
    <row r="8" spans="1:22" x14ac:dyDescent="0.3">
      <c r="A8" s="7">
        <v>7</v>
      </c>
      <c r="B8" s="29" t="s">
        <v>23</v>
      </c>
      <c r="C8" s="29" t="s">
        <v>2139</v>
      </c>
      <c r="D8" s="29">
        <v>50226059</v>
      </c>
      <c r="E8" s="29">
        <v>50</v>
      </c>
      <c r="F8" s="7">
        <v>86</v>
      </c>
      <c r="G8" s="7">
        <v>21</v>
      </c>
      <c r="H8" s="53" t="s">
        <v>222</v>
      </c>
      <c r="I8" s="7" t="s">
        <v>109</v>
      </c>
      <c r="J8" s="7" t="s">
        <v>130</v>
      </c>
      <c r="K8" s="11">
        <v>0.75624999999999998</v>
      </c>
      <c r="L8" s="7" t="s">
        <v>109</v>
      </c>
      <c r="M8" s="7" t="s">
        <v>109</v>
      </c>
      <c r="N8" s="38" t="s">
        <v>109</v>
      </c>
      <c r="O8" s="38" t="s">
        <v>61</v>
      </c>
      <c r="P8" s="7" t="s">
        <v>131</v>
      </c>
      <c r="Q8" s="7" t="s">
        <v>222</v>
      </c>
      <c r="R8" s="7" t="s">
        <v>62</v>
      </c>
      <c r="S8" s="7" t="s">
        <v>2922</v>
      </c>
      <c r="T8" s="29" t="s">
        <v>121</v>
      </c>
      <c r="U8" s="108">
        <f t="shared" si="0"/>
        <v>0.42</v>
      </c>
      <c r="V8" s="7" t="s">
        <v>2950</v>
      </c>
    </row>
    <row r="9" spans="1:22" x14ac:dyDescent="0.3">
      <c r="A9" s="7">
        <v>8</v>
      </c>
      <c r="B9" s="29" t="s">
        <v>23</v>
      </c>
      <c r="C9" s="29" t="s">
        <v>2138</v>
      </c>
      <c r="D9" s="29">
        <v>50226060</v>
      </c>
      <c r="E9" s="29">
        <v>80</v>
      </c>
      <c r="F9" s="7">
        <v>160</v>
      </c>
      <c r="G9" s="7">
        <v>82</v>
      </c>
      <c r="H9" s="53" t="s">
        <v>241</v>
      </c>
      <c r="I9" s="7" t="s">
        <v>109</v>
      </c>
      <c r="J9" s="7" t="s">
        <v>130</v>
      </c>
      <c r="K9" s="11">
        <v>0.70416666666666672</v>
      </c>
      <c r="L9" s="7" t="s">
        <v>109</v>
      </c>
      <c r="M9" s="7" t="s">
        <v>109</v>
      </c>
      <c r="N9" s="38" t="s">
        <v>109</v>
      </c>
      <c r="O9" s="38" t="s">
        <v>61</v>
      </c>
      <c r="P9" s="7" t="s">
        <v>131</v>
      </c>
      <c r="Q9" s="7" t="s">
        <v>241</v>
      </c>
      <c r="R9" s="7" t="s">
        <v>62</v>
      </c>
      <c r="S9" s="7" t="s">
        <v>2922</v>
      </c>
      <c r="T9" s="29" t="s">
        <v>121</v>
      </c>
      <c r="U9" s="108">
        <f t="shared" si="0"/>
        <v>1.0249999999999999</v>
      </c>
      <c r="V9" s="7" t="s">
        <v>1941</v>
      </c>
    </row>
    <row r="10" spans="1:22" x14ac:dyDescent="0.3">
      <c r="A10" s="7">
        <v>9</v>
      </c>
      <c r="B10" s="29" t="s">
        <v>23</v>
      </c>
      <c r="C10" s="29" t="s">
        <v>2137</v>
      </c>
      <c r="D10" s="29">
        <v>50226061</v>
      </c>
      <c r="E10" s="29">
        <v>50</v>
      </c>
      <c r="F10" s="7">
        <v>103</v>
      </c>
      <c r="G10" s="7">
        <v>30</v>
      </c>
      <c r="H10" s="53" t="s">
        <v>200</v>
      </c>
      <c r="I10" s="7" t="s">
        <v>109</v>
      </c>
      <c r="J10" s="7" t="s">
        <v>130</v>
      </c>
      <c r="K10" s="11">
        <v>0.83819444444444446</v>
      </c>
      <c r="L10" s="7" t="s">
        <v>109</v>
      </c>
      <c r="M10" s="7" t="s">
        <v>109</v>
      </c>
      <c r="N10" s="38" t="s">
        <v>109</v>
      </c>
      <c r="O10" s="38" t="s">
        <v>61</v>
      </c>
      <c r="P10" s="7" t="s">
        <v>131</v>
      </c>
      <c r="Q10" s="7" t="s">
        <v>200</v>
      </c>
      <c r="R10" s="7" t="s">
        <v>62</v>
      </c>
      <c r="S10" s="7" t="s">
        <v>2922</v>
      </c>
      <c r="T10" s="29" t="s">
        <v>121</v>
      </c>
      <c r="U10" s="108">
        <f t="shared" si="0"/>
        <v>0.6</v>
      </c>
      <c r="V10" s="7" t="s">
        <v>2009</v>
      </c>
    </row>
    <row r="11" spans="1:22" x14ac:dyDescent="0.3">
      <c r="A11" s="7">
        <v>10</v>
      </c>
      <c r="B11" s="29" t="s">
        <v>23</v>
      </c>
      <c r="C11" s="29" t="s">
        <v>2136</v>
      </c>
      <c r="D11" s="29">
        <v>50226062</v>
      </c>
      <c r="E11" s="29">
        <v>10</v>
      </c>
      <c r="F11" s="7">
        <v>30</v>
      </c>
      <c r="G11" s="7">
        <v>12</v>
      </c>
      <c r="H11" s="53" t="s">
        <v>67</v>
      </c>
      <c r="I11" s="7" t="s">
        <v>109</v>
      </c>
      <c r="J11" s="7" t="s">
        <v>130</v>
      </c>
      <c r="K11" s="11">
        <v>0.73541666666666672</v>
      </c>
      <c r="L11" s="7" t="s">
        <v>109</v>
      </c>
      <c r="M11" s="7" t="s">
        <v>109</v>
      </c>
      <c r="N11" s="38" t="s">
        <v>109</v>
      </c>
      <c r="O11" s="38" t="s">
        <v>61</v>
      </c>
      <c r="P11" s="7" t="s">
        <v>131</v>
      </c>
      <c r="Q11" s="7" t="s">
        <v>67</v>
      </c>
      <c r="R11" s="7" t="s">
        <v>62</v>
      </c>
      <c r="S11" s="7" t="s">
        <v>2922</v>
      </c>
      <c r="T11" s="29" t="s">
        <v>121</v>
      </c>
      <c r="U11" s="108">
        <f t="shared" si="0"/>
        <v>1.2</v>
      </c>
      <c r="V11" s="7" t="s">
        <v>1941</v>
      </c>
    </row>
    <row r="12" spans="1:22" x14ac:dyDescent="0.3">
      <c r="A12" s="7">
        <v>11</v>
      </c>
      <c r="B12" s="29" t="s">
        <v>23</v>
      </c>
      <c r="C12" s="29" t="s">
        <v>2135</v>
      </c>
      <c r="D12" s="29">
        <v>50226063</v>
      </c>
      <c r="E12" s="29">
        <v>7</v>
      </c>
      <c r="F12" s="7">
        <v>7</v>
      </c>
      <c r="G12" s="7">
        <v>1</v>
      </c>
      <c r="H12" s="53" t="s">
        <v>68</v>
      </c>
      <c r="I12" s="7" t="s">
        <v>109</v>
      </c>
      <c r="J12" s="7" t="s">
        <v>130</v>
      </c>
      <c r="K12" s="11">
        <v>4.1666666666666666E-3</v>
      </c>
      <c r="L12" s="7" t="s">
        <v>109</v>
      </c>
      <c r="M12" s="7" t="s">
        <v>109</v>
      </c>
      <c r="N12" s="38" t="s">
        <v>109</v>
      </c>
      <c r="O12" s="38" t="s">
        <v>61</v>
      </c>
      <c r="P12" s="7" t="s">
        <v>131</v>
      </c>
      <c r="Q12" s="7" t="s">
        <v>68</v>
      </c>
      <c r="R12" s="7" t="s">
        <v>62</v>
      </c>
      <c r="S12" s="7" t="s">
        <v>2922</v>
      </c>
      <c r="T12" s="29" t="s">
        <v>121</v>
      </c>
      <c r="U12" s="108">
        <f t="shared" si="0"/>
        <v>0.14285714285714285</v>
      </c>
      <c r="V12" s="7" t="s">
        <v>2950</v>
      </c>
    </row>
    <row r="13" spans="1:22" x14ac:dyDescent="0.3">
      <c r="A13" s="7">
        <v>12</v>
      </c>
      <c r="B13" s="29" t="s">
        <v>23</v>
      </c>
      <c r="C13" s="29" t="s">
        <v>2554</v>
      </c>
      <c r="D13" s="29">
        <v>50226112</v>
      </c>
      <c r="E13" s="29">
        <v>60</v>
      </c>
      <c r="F13" s="7">
        <v>47</v>
      </c>
      <c r="G13" s="7">
        <v>16</v>
      </c>
      <c r="H13" s="53" t="s">
        <v>64</v>
      </c>
      <c r="I13" s="7" t="s">
        <v>109</v>
      </c>
      <c r="J13" s="7" t="s">
        <v>130</v>
      </c>
      <c r="K13" s="11">
        <v>0.91388888888888886</v>
      </c>
      <c r="L13" s="7" t="s">
        <v>109</v>
      </c>
      <c r="M13" s="7" t="s">
        <v>109</v>
      </c>
      <c r="N13" s="38" t="s">
        <v>109</v>
      </c>
      <c r="O13" s="38" t="s">
        <v>61</v>
      </c>
      <c r="P13" s="7" t="s">
        <v>131</v>
      </c>
      <c r="Q13" s="7" t="s">
        <v>64</v>
      </c>
      <c r="R13" s="7" t="s">
        <v>62</v>
      </c>
      <c r="S13" s="7" t="s">
        <v>2922</v>
      </c>
      <c r="T13" s="29" t="s">
        <v>2555</v>
      </c>
      <c r="U13" s="108">
        <f t="shared" si="0"/>
        <v>0.26666666666666666</v>
      </c>
      <c r="V13" s="7" t="s">
        <v>2950</v>
      </c>
    </row>
    <row r="14" spans="1:22" x14ac:dyDescent="0.3">
      <c r="A14" s="7">
        <v>13</v>
      </c>
      <c r="B14" s="29" t="s">
        <v>23</v>
      </c>
      <c r="C14" s="29" t="s">
        <v>2556</v>
      </c>
      <c r="D14" s="29">
        <v>50226113</v>
      </c>
      <c r="E14" s="29">
        <v>90</v>
      </c>
      <c r="F14" s="7">
        <v>46</v>
      </c>
      <c r="G14" s="7">
        <v>11</v>
      </c>
      <c r="H14" s="53" t="s">
        <v>71</v>
      </c>
      <c r="I14" s="7" t="s">
        <v>109</v>
      </c>
      <c r="J14" s="7" t="s">
        <v>130</v>
      </c>
      <c r="K14" s="11">
        <v>0.75069444444444444</v>
      </c>
      <c r="L14" s="7" t="s">
        <v>109</v>
      </c>
      <c r="M14" s="7" t="s">
        <v>109</v>
      </c>
      <c r="N14" s="38" t="s">
        <v>109</v>
      </c>
      <c r="O14" s="38" t="s">
        <v>61</v>
      </c>
      <c r="P14" s="7" t="s">
        <v>131</v>
      </c>
      <c r="Q14" s="7" t="s">
        <v>71</v>
      </c>
      <c r="R14" s="7" t="s">
        <v>62</v>
      </c>
      <c r="S14" s="7" t="s">
        <v>2922</v>
      </c>
      <c r="T14" s="29" t="s">
        <v>2555</v>
      </c>
      <c r="U14" s="108">
        <f t="shared" si="0"/>
        <v>0.12222222222222222</v>
      </c>
      <c r="V14" s="7" t="s">
        <v>2950</v>
      </c>
    </row>
    <row r="15" spans="1:22" x14ac:dyDescent="0.3">
      <c r="A15" s="7">
        <v>14</v>
      </c>
      <c r="B15" s="29" t="s">
        <v>23</v>
      </c>
      <c r="C15" s="29" t="s">
        <v>2840</v>
      </c>
      <c r="D15" s="29">
        <v>50326001</v>
      </c>
      <c r="E15" s="29">
        <v>80</v>
      </c>
      <c r="F15" s="7">
        <v>150</v>
      </c>
      <c r="G15" s="7">
        <v>67</v>
      </c>
      <c r="H15" s="7" t="s">
        <v>153</v>
      </c>
      <c r="I15" s="7" t="s">
        <v>109</v>
      </c>
      <c r="J15" s="7" t="s">
        <v>130</v>
      </c>
      <c r="K15" s="11">
        <v>0.68125000000000002</v>
      </c>
      <c r="L15" s="7" t="s">
        <v>109</v>
      </c>
      <c r="M15" s="7" t="s">
        <v>109</v>
      </c>
      <c r="N15" s="38" t="s">
        <v>109</v>
      </c>
      <c r="O15" s="38" t="s">
        <v>61</v>
      </c>
      <c r="P15" s="7" t="s">
        <v>131</v>
      </c>
      <c r="Q15" s="7" t="s">
        <v>153</v>
      </c>
      <c r="R15" s="7" t="s">
        <v>62</v>
      </c>
      <c r="S15" s="7" t="s">
        <v>2922</v>
      </c>
      <c r="T15" s="29" t="s">
        <v>2841</v>
      </c>
      <c r="U15" s="108">
        <f t="shared" si="0"/>
        <v>0.83750000000000002</v>
      </c>
      <c r="V15" s="7" t="s">
        <v>2009</v>
      </c>
    </row>
    <row r="16" spans="1:22" x14ac:dyDescent="0.3">
      <c r="A16" s="7">
        <v>15</v>
      </c>
      <c r="B16" s="29" t="s">
        <v>23</v>
      </c>
      <c r="C16" s="29" t="s">
        <v>2842</v>
      </c>
      <c r="D16" s="29">
        <v>50326002</v>
      </c>
      <c r="E16" s="29">
        <v>70</v>
      </c>
      <c r="F16" s="7">
        <v>98</v>
      </c>
      <c r="G16" s="7">
        <v>73</v>
      </c>
      <c r="H16" s="53" t="s">
        <v>67</v>
      </c>
      <c r="I16" s="7" t="s">
        <v>109</v>
      </c>
      <c r="J16" s="7" t="s">
        <v>130</v>
      </c>
      <c r="K16" s="11">
        <v>0.68819444444444444</v>
      </c>
      <c r="L16" s="7" t="s">
        <v>109</v>
      </c>
      <c r="M16" s="7" t="s">
        <v>109</v>
      </c>
      <c r="N16" s="38" t="s">
        <v>109</v>
      </c>
      <c r="O16" s="38" t="s">
        <v>61</v>
      </c>
      <c r="P16" s="7" t="s">
        <v>131</v>
      </c>
      <c r="Q16" s="7" t="s">
        <v>67</v>
      </c>
      <c r="R16" s="7" t="s">
        <v>62</v>
      </c>
      <c r="S16" s="7" t="s">
        <v>2922</v>
      </c>
      <c r="T16" s="29" t="s">
        <v>2841</v>
      </c>
      <c r="U16" s="108">
        <f t="shared" si="0"/>
        <v>1.0428571428571429</v>
      </c>
      <c r="V16" s="7" t="s">
        <v>1941</v>
      </c>
    </row>
    <row r="17" spans="1:22" x14ac:dyDescent="0.3">
      <c r="A17" s="7">
        <v>16</v>
      </c>
      <c r="B17" s="29" t="s">
        <v>23</v>
      </c>
      <c r="C17" s="29" t="s">
        <v>2843</v>
      </c>
      <c r="D17" s="29">
        <v>50326003</v>
      </c>
      <c r="E17" s="29">
        <v>50</v>
      </c>
      <c r="F17" s="7">
        <v>116</v>
      </c>
      <c r="G17" s="7">
        <v>43</v>
      </c>
      <c r="H17" s="53" t="s">
        <v>70</v>
      </c>
      <c r="I17" s="7" t="s">
        <v>109</v>
      </c>
      <c r="J17" s="7" t="s">
        <v>130</v>
      </c>
      <c r="K17" s="11">
        <v>0.84097222222222223</v>
      </c>
      <c r="L17" s="7" t="s">
        <v>109</v>
      </c>
      <c r="M17" s="7" t="s">
        <v>109</v>
      </c>
      <c r="N17" s="43" t="s">
        <v>2223</v>
      </c>
      <c r="O17" s="38" t="s">
        <v>61</v>
      </c>
      <c r="P17" s="7" t="s">
        <v>131</v>
      </c>
      <c r="Q17" s="7" t="s">
        <v>70</v>
      </c>
      <c r="R17" s="7" t="s">
        <v>62</v>
      </c>
      <c r="S17" s="7" t="s">
        <v>2922</v>
      </c>
      <c r="T17" s="29" t="s">
        <v>2841</v>
      </c>
      <c r="U17" s="108">
        <f t="shared" si="0"/>
        <v>0.86</v>
      </c>
      <c r="V17" s="7" t="s">
        <v>1941</v>
      </c>
    </row>
    <row r="18" spans="1:22" x14ac:dyDescent="0.3">
      <c r="A18" s="7">
        <v>17</v>
      </c>
      <c r="B18" s="29" t="s">
        <v>23</v>
      </c>
      <c r="C18" s="29" t="s">
        <v>2844</v>
      </c>
      <c r="D18" s="29">
        <v>50326004</v>
      </c>
      <c r="E18" s="29">
        <v>80</v>
      </c>
      <c r="F18" s="7">
        <v>135</v>
      </c>
      <c r="G18" s="7">
        <v>85</v>
      </c>
      <c r="H18" s="53" t="s">
        <v>69</v>
      </c>
      <c r="I18" s="7" t="s">
        <v>109</v>
      </c>
      <c r="J18" s="7" t="s">
        <v>130</v>
      </c>
      <c r="K18" s="11">
        <v>0.68819444444444444</v>
      </c>
      <c r="L18" s="7" t="s">
        <v>109</v>
      </c>
      <c r="M18" s="7" t="s">
        <v>109</v>
      </c>
      <c r="N18" s="43" t="s">
        <v>2223</v>
      </c>
      <c r="O18" s="38" t="s">
        <v>61</v>
      </c>
      <c r="P18" s="7" t="s">
        <v>131</v>
      </c>
      <c r="Q18" s="7" t="s">
        <v>69</v>
      </c>
      <c r="R18" s="7" t="s">
        <v>62</v>
      </c>
      <c r="S18" s="7" t="s">
        <v>2922</v>
      </c>
      <c r="T18" s="29" t="s">
        <v>2841</v>
      </c>
      <c r="U18" s="108">
        <f t="shared" si="0"/>
        <v>1.0625</v>
      </c>
      <c r="V18" s="7" t="s">
        <v>1941</v>
      </c>
    </row>
    <row r="19" spans="1:22" x14ac:dyDescent="0.3">
      <c r="A19" s="7">
        <v>18</v>
      </c>
      <c r="B19" s="29" t="s">
        <v>23</v>
      </c>
      <c r="C19" s="29" t="s">
        <v>2519</v>
      </c>
      <c r="D19" s="29">
        <v>50226107</v>
      </c>
      <c r="E19" s="29">
        <v>90</v>
      </c>
      <c r="F19" s="7">
        <v>213</v>
      </c>
      <c r="G19" s="7">
        <v>52</v>
      </c>
      <c r="H19" s="53" t="s">
        <v>90</v>
      </c>
      <c r="I19" s="7" t="s">
        <v>109</v>
      </c>
      <c r="J19" s="7" t="s">
        <v>130</v>
      </c>
      <c r="K19" s="11">
        <v>0.75416666666666665</v>
      </c>
      <c r="L19" s="7" t="s">
        <v>109</v>
      </c>
      <c r="M19" s="7" t="s">
        <v>109</v>
      </c>
      <c r="N19" s="38" t="s">
        <v>109</v>
      </c>
      <c r="O19" s="38" t="s">
        <v>61</v>
      </c>
      <c r="P19" s="7" t="s">
        <v>131</v>
      </c>
      <c r="Q19" s="7" t="s">
        <v>179</v>
      </c>
      <c r="R19" s="7" t="s">
        <v>62</v>
      </c>
      <c r="S19" s="7" t="s">
        <v>2922</v>
      </c>
      <c r="T19" s="29" t="s">
        <v>122</v>
      </c>
      <c r="U19" s="108">
        <f t="shared" si="0"/>
        <v>0.57777777777777772</v>
      </c>
      <c r="V19" s="7" t="s">
        <v>2009</v>
      </c>
    </row>
    <row r="20" spans="1:22" x14ac:dyDescent="0.3">
      <c r="A20" s="7">
        <v>19</v>
      </c>
      <c r="B20" s="29" t="s">
        <v>23</v>
      </c>
      <c r="C20" s="29" t="s">
        <v>2923</v>
      </c>
      <c r="D20" s="29">
        <v>50326022</v>
      </c>
      <c r="E20" s="29">
        <v>30</v>
      </c>
      <c r="F20" s="7">
        <v>48</v>
      </c>
      <c r="G20" s="7">
        <v>23</v>
      </c>
      <c r="H20" s="53" t="s">
        <v>241</v>
      </c>
      <c r="I20" s="7" t="s">
        <v>109</v>
      </c>
      <c r="J20" s="7" t="s">
        <v>130</v>
      </c>
      <c r="K20" s="11">
        <v>0.75694444444444442</v>
      </c>
      <c r="L20" s="7" t="s">
        <v>109</v>
      </c>
      <c r="M20" s="7" t="s">
        <v>109</v>
      </c>
      <c r="N20" s="38" t="s">
        <v>109</v>
      </c>
      <c r="O20" s="38" t="s">
        <v>61</v>
      </c>
      <c r="P20" s="7" t="s">
        <v>131</v>
      </c>
      <c r="Q20" s="7" t="s">
        <v>241</v>
      </c>
      <c r="R20" s="7" t="s">
        <v>62</v>
      </c>
      <c r="S20" s="7" t="s">
        <v>2922</v>
      </c>
      <c r="T20" s="29" t="s">
        <v>2473</v>
      </c>
      <c r="U20" s="108">
        <f t="shared" si="0"/>
        <v>0.76666666666666672</v>
      </c>
      <c r="V20" s="7" t="s">
        <v>2950</v>
      </c>
    </row>
    <row r="21" spans="1:22" x14ac:dyDescent="0.3">
      <c r="A21" s="7">
        <v>20</v>
      </c>
      <c r="B21" s="29" t="s">
        <v>23</v>
      </c>
      <c r="C21" s="29" t="s">
        <v>1750</v>
      </c>
      <c r="D21" s="29">
        <v>50126393</v>
      </c>
      <c r="E21" s="29">
        <v>100</v>
      </c>
      <c r="F21" s="7">
        <v>160</v>
      </c>
      <c r="G21" s="7">
        <v>67</v>
      </c>
      <c r="H21" s="7" t="s">
        <v>241</v>
      </c>
      <c r="I21" s="7" t="s">
        <v>109</v>
      </c>
      <c r="J21" s="7" t="s">
        <v>130</v>
      </c>
      <c r="K21" s="11">
        <v>0.92361111111111116</v>
      </c>
      <c r="L21" s="7" t="s">
        <v>109</v>
      </c>
      <c r="M21" s="7" t="s">
        <v>109</v>
      </c>
      <c r="N21" s="38" t="s">
        <v>109</v>
      </c>
      <c r="O21" s="38" t="s">
        <v>61</v>
      </c>
      <c r="P21" s="7" t="s">
        <v>131</v>
      </c>
      <c r="Q21" s="7" t="s">
        <v>241</v>
      </c>
      <c r="R21" s="7" t="s">
        <v>62</v>
      </c>
      <c r="S21" s="7" t="s">
        <v>2922</v>
      </c>
      <c r="T21" s="29" t="s">
        <v>310</v>
      </c>
      <c r="U21" s="108">
        <f t="shared" si="0"/>
        <v>0.67</v>
      </c>
      <c r="V21" s="7" t="s">
        <v>2391</v>
      </c>
    </row>
    <row r="22" spans="1:22" x14ac:dyDescent="0.3">
      <c r="A22" s="7">
        <v>21</v>
      </c>
      <c r="B22" s="29" t="s">
        <v>23</v>
      </c>
      <c r="C22" s="29" t="s">
        <v>2678</v>
      </c>
      <c r="D22" s="29">
        <v>50226117</v>
      </c>
      <c r="E22" s="29">
        <v>60</v>
      </c>
      <c r="F22" s="7">
        <v>115</v>
      </c>
      <c r="G22" s="7">
        <v>79</v>
      </c>
      <c r="H22" s="53" t="s">
        <v>196</v>
      </c>
      <c r="I22" s="7" t="s">
        <v>109</v>
      </c>
      <c r="J22" s="7" t="s">
        <v>130</v>
      </c>
      <c r="K22" s="11">
        <v>0.68611111111111112</v>
      </c>
      <c r="L22" s="7" t="s">
        <v>109</v>
      </c>
      <c r="M22" s="7" t="s">
        <v>109</v>
      </c>
      <c r="N22" s="38" t="s">
        <v>109</v>
      </c>
      <c r="O22" s="38" t="s">
        <v>61</v>
      </c>
      <c r="P22" s="7" t="s">
        <v>131</v>
      </c>
      <c r="Q22" s="7" t="s">
        <v>196</v>
      </c>
      <c r="R22" s="7" t="s">
        <v>62</v>
      </c>
      <c r="S22" s="7" t="s">
        <v>2922</v>
      </c>
      <c r="T22" s="29" t="s">
        <v>116</v>
      </c>
      <c r="U22" s="108">
        <f t="shared" si="0"/>
        <v>1.3166666666666667</v>
      </c>
      <c r="V22" s="7" t="s">
        <v>1941</v>
      </c>
    </row>
    <row r="23" spans="1:22" x14ac:dyDescent="0.3">
      <c r="A23" s="7">
        <v>22</v>
      </c>
      <c r="B23" s="29" t="s">
        <v>23</v>
      </c>
      <c r="C23" s="29" t="s">
        <v>2680</v>
      </c>
      <c r="D23" s="29">
        <v>50226118</v>
      </c>
      <c r="E23" s="29">
        <v>200</v>
      </c>
      <c r="F23" s="7">
        <v>338</v>
      </c>
      <c r="G23" s="7">
        <v>203</v>
      </c>
      <c r="H23" s="7" t="s">
        <v>924</v>
      </c>
      <c r="I23" s="7" t="s">
        <v>109</v>
      </c>
      <c r="J23" s="7" t="s">
        <v>130</v>
      </c>
      <c r="K23" s="11">
        <v>0.82777777777777772</v>
      </c>
      <c r="L23" s="7" t="s">
        <v>109</v>
      </c>
      <c r="M23" s="7" t="s">
        <v>109</v>
      </c>
      <c r="N23" s="38" t="s">
        <v>109</v>
      </c>
      <c r="O23" s="38" t="s">
        <v>61</v>
      </c>
      <c r="P23" s="7" t="s">
        <v>131</v>
      </c>
      <c r="Q23" s="7" t="s">
        <v>241</v>
      </c>
      <c r="R23" s="7" t="s">
        <v>62</v>
      </c>
      <c r="S23" s="7" t="s">
        <v>2922</v>
      </c>
      <c r="T23" s="29" t="s">
        <v>116</v>
      </c>
      <c r="U23" s="108">
        <f t="shared" si="0"/>
        <v>1.0149999999999999</v>
      </c>
      <c r="V23" s="7" t="s">
        <v>1941</v>
      </c>
    </row>
    <row r="24" spans="1:22" x14ac:dyDescent="0.3">
      <c r="A24" s="7">
        <v>23</v>
      </c>
      <c r="B24" s="29" t="s">
        <v>23</v>
      </c>
      <c r="C24" s="29" t="s">
        <v>2149</v>
      </c>
      <c r="D24" s="29">
        <v>50226066</v>
      </c>
      <c r="E24" s="29">
        <v>30</v>
      </c>
      <c r="F24" s="7">
        <v>36</v>
      </c>
      <c r="G24" s="7">
        <v>30</v>
      </c>
      <c r="H24" s="53" t="s">
        <v>184</v>
      </c>
      <c r="I24" s="7" t="s">
        <v>109</v>
      </c>
      <c r="J24" s="7" t="s">
        <v>130</v>
      </c>
      <c r="K24" s="11">
        <v>0.84652777777777777</v>
      </c>
      <c r="L24" s="7" t="s">
        <v>109</v>
      </c>
      <c r="M24" s="7" t="s">
        <v>109</v>
      </c>
      <c r="N24" s="38" t="s">
        <v>109</v>
      </c>
      <c r="O24" s="38" t="s">
        <v>61</v>
      </c>
      <c r="P24" s="7" t="s">
        <v>131</v>
      </c>
      <c r="Q24" s="7" t="s">
        <v>184</v>
      </c>
      <c r="R24" s="7" t="s">
        <v>62</v>
      </c>
      <c r="S24" s="7" t="s">
        <v>2922</v>
      </c>
      <c r="T24" s="29" t="s">
        <v>116</v>
      </c>
      <c r="U24" s="108">
        <f t="shared" si="0"/>
        <v>1</v>
      </c>
      <c r="V24" s="7" t="s">
        <v>1941</v>
      </c>
    </row>
    <row r="25" spans="1:22" x14ac:dyDescent="0.3">
      <c r="A25" s="7">
        <v>24</v>
      </c>
      <c r="B25" s="29" t="s">
        <v>23</v>
      </c>
      <c r="C25" s="29" t="s">
        <v>2150</v>
      </c>
      <c r="D25" s="29">
        <v>50226067</v>
      </c>
      <c r="E25" s="29">
        <v>50</v>
      </c>
      <c r="F25" s="7">
        <v>70</v>
      </c>
      <c r="G25" s="7">
        <v>23</v>
      </c>
      <c r="H25" s="53" t="s">
        <v>84</v>
      </c>
      <c r="I25" s="7" t="s">
        <v>109</v>
      </c>
      <c r="J25" s="7" t="s">
        <v>130</v>
      </c>
      <c r="K25" s="11">
        <v>4.6527777777777779E-2</v>
      </c>
      <c r="L25" s="7" t="s">
        <v>109</v>
      </c>
      <c r="M25" s="7" t="s">
        <v>109</v>
      </c>
      <c r="N25" s="38" t="s">
        <v>109</v>
      </c>
      <c r="O25" s="38" t="s">
        <v>61</v>
      </c>
      <c r="P25" s="7" t="s">
        <v>131</v>
      </c>
      <c r="Q25" s="7" t="s">
        <v>84</v>
      </c>
      <c r="R25" s="7" t="s">
        <v>62</v>
      </c>
      <c r="S25" s="7" t="s">
        <v>2922</v>
      </c>
      <c r="T25" s="29" t="s">
        <v>116</v>
      </c>
      <c r="U25" s="108">
        <f t="shared" si="0"/>
        <v>0.46</v>
      </c>
      <c r="V25" s="7" t="s">
        <v>2391</v>
      </c>
    </row>
    <row r="26" spans="1:22" x14ac:dyDescent="0.3">
      <c r="A26" s="7">
        <v>25</v>
      </c>
      <c r="B26" s="29" t="s">
        <v>23</v>
      </c>
      <c r="C26" s="29" t="s">
        <v>1337</v>
      </c>
      <c r="D26" s="29">
        <v>50126336</v>
      </c>
      <c r="E26" s="29">
        <v>50</v>
      </c>
      <c r="F26" s="7">
        <v>100</v>
      </c>
      <c r="G26" s="7">
        <v>36</v>
      </c>
      <c r="H26" s="53" t="s">
        <v>153</v>
      </c>
      <c r="I26" s="7" t="s">
        <v>109</v>
      </c>
      <c r="J26" s="7" t="s">
        <v>130</v>
      </c>
      <c r="K26" s="11">
        <v>0.6381944444444444</v>
      </c>
      <c r="L26" s="7" t="s">
        <v>109</v>
      </c>
      <c r="M26" s="7" t="s">
        <v>109</v>
      </c>
      <c r="N26" s="43" t="s">
        <v>2924</v>
      </c>
      <c r="O26" s="38" t="s">
        <v>61</v>
      </c>
      <c r="P26" s="7" t="s">
        <v>131</v>
      </c>
      <c r="Q26" s="7" t="s">
        <v>153</v>
      </c>
      <c r="R26" s="7" t="s">
        <v>62</v>
      </c>
      <c r="S26" s="7" t="s">
        <v>2922</v>
      </c>
      <c r="T26" s="29" t="s">
        <v>1338</v>
      </c>
      <c r="U26" s="108">
        <f t="shared" si="0"/>
        <v>0.72</v>
      </c>
      <c r="V26" s="7" t="s">
        <v>2009</v>
      </c>
    </row>
    <row r="27" spans="1:22" x14ac:dyDescent="0.3">
      <c r="A27" s="7">
        <v>26</v>
      </c>
      <c r="B27" s="29" t="s">
        <v>23</v>
      </c>
      <c r="C27" s="29" t="s">
        <v>2737</v>
      </c>
      <c r="D27" s="29">
        <v>50226129</v>
      </c>
      <c r="E27" s="29">
        <v>150</v>
      </c>
      <c r="F27" s="7">
        <v>308</v>
      </c>
      <c r="G27" s="7">
        <v>77</v>
      </c>
      <c r="H27" s="7" t="s">
        <v>2925</v>
      </c>
      <c r="I27" s="7" t="s">
        <v>109</v>
      </c>
      <c r="J27" s="7" t="s">
        <v>130</v>
      </c>
      <c r="K27" s="11">
        <v>0.81944444444444442</v>
      </c>
      <c r="L27" s="7" t="s">
        <v>109</v>
      </c>
      <c r="M27" s="7" t="s">
        <v>109</v>
      </c>
      <c r="N27" s="43" t="s">
        <v>2926</v>
      </c>
      <c r="O27" s="38" t="s">
        <v>61</v>
      </c>
      <c r="P27" s="7" t="s">
        <v>131</v>
      </c>
      <c r="Q27" s="7" t="s">
        <v>66</v>
      </c>
      <c r="R27" s="7" t="s">
        <v>62</v>
      </c>
      <c r="S27" s="7" t="s">
        <v>2922</v>
      </c>
      <c r="T27" s="29" t="s">
        <v>1240</v>
      </c>
      <c r="U27" s="108">
        <f t="shared" si="0"/>
        <v>0.51333333333333331</v>
      </c>
      <c r="V27" s="7" t="s">
        <v>2009</v>
      </c>
    </row>
    <row r="28" spans="1:22" x14ac:dyDescent="0.3">
      <c r="A28" s="7">
        <v>27</v>
      </c>
      <c r="B28" s="29" t="s">
        <v>23</v>
      </c>
      <c r="C28" s="29" t="s">
        <v>2740</v>
      </c>
      <c r="D28" s="29">
        <v>50226130</v>
      </c>
      <c r="E28" s="29">
        <v>200</v>
      </c>
      <c r="F28" s="7">
        <v>375</v>
      </c>
      <c r="G28" s="7">
        <v>200</v>
      </c>
      <c r="H28" s="7" t="s">
        <v>1774</v>
      </c>
      <c r="I28" s="7" t="s">
        <v>109</v>
      </c>
      <c r="J28" s="7" t="s">
        <v>130</v>
      </c>
      <c r="K28" s="11">
        <v>0.89513888888888893</v>
      </c>
      <c r="L28" s="7" t="s">
        <v>109</v>
      </c>
      <c r="M28" s="7" t="s">
        <v>109</v>
      </c>
      <c r="N28" s="43" t="s">
        <v>2926</v>
      </c>
      <c r="O28" s="38" t="s">
        <v>61</v>
      </c>
      <c r="P28" s="7" t="s">
        <v>131</v>
      </c>
      <c r="Q28" s="7" t="s">
        <v>71</v>
      </c>
      <c r="R28" s="7" t="s">
        <v>62</v>
      </c>
      <c r="S28" s="7" t="s">
        <v>2922</v>
      </c>
      <c r="T28" s="29" t="s">
        <v>1240</v>
      </c>
      <c r="U28" s="108">
        <f t="shared" si="0"/>
        <v>1</v>
      </c>
      <c r="V28" s="7" t="s">
        <v>1941</v>
      </c>
    </row>
    <row r="29" spans="1:22" x14ac:dyDescent="0.3">
      <c r="A29" s="7">
        <v>28</v>
      </c>
      <c r="B29" s="29" t="s">
        <v>1550</v>
      </c>
      <c r="C29" s="29" t="s">
        <v>1551</v>
      </c>
      <c r="D29" s="91">
        <v>40126035</v>
      </c>
      <c r="E29" s="29">
        <v>110</v>
      </c>
      <c r="F29" s="7">
        <v>244</v>
      </c>
      <c r="G29" s="7">
        <v>86</v>
      </c>
      <c r="H29" s="7" t="s">
        <v>941</v>
      </c>
      <c r="I29" s="7" t="s">
        <v>2927</v>
      </c>
      <c r="J29" s="7" t="s">
        <v>130</v>
      </c>
      <c r="K29" s="11">
        <v>0.79236111111111107</v>
      </c>
      <c r="L29" s="11">
        <v>0.84652777777777777</v>
      </c>
      <c r="M29" s="7" t="s">
        <v>109</v>
      </c>
      <c r="N29" s="43" t="s">
        <v>2928</v>
      </c>
      <c r="O29" s="38" t="s">
        <v>61</v>
      </c>
      <c r="P29" s="7" t="s">
        <v>131</v>
      </c>
      <c r="Q29" s="7" t="s">
        <v>179</v>
      </c>
      <c r="R29" s="7" t="s">
        <v>1640</v>
      </c>
      <c r="S29" s="7" t="s">
        <v>2922</v>
      </c>
      <c r="T29" s="29" t="s">
        <v>1554</v>
      </c>
      <c r="U29" s="108">
        <f t="shared" si="0"/>
        <v>0.78181818181818186</v>
      </c>
      <c r="V29" s="7" t="s">
        <v>2948</v>
      </c>
    </row>
    <row r="30" spans="1:22" x14ac:dyDescent="0.3">
      <c r="A30" s="7">
        <v>29</v>
      </c>
      <c r="B30" s="29" t="s">
        <v>1550</v>
      </c>
      <c r="C30" s="29" t="s">
        <v>1556</v>
      </c>
      <c r="D30" s="91">
        <v>40126034</v>
      </c>
      <c r="E30" s="29">
        <v>169</v>
      </c>
      <c r="F30" s="7">
        <v>280</v>
      </c>
      <c r="G30" s="7">
        <v>97</v>
      </c>
      <c r="H30" s="7" t="s">
        <v>924</v>
      </c>
      <c r="I30" s="7" t="s">
        <v>1534</v>
      </c>
      <c r="J30" s="7" t="s">
        <v>130</v>
      </c>
      <c r="K30" s="11">
        <v>0.79583333333333328</v>
      </c>
      <c r="L30" s="11">
        <v>0.85972222222222228</v>
      </c>
      <c r="M30" s="7" t="s">
        <v>109</v>
      </c>
      <c r="N30" s="43" t="s">
        <v>2928</v>
      </c>
      <c r="O30" s="38" t="s">
        <v>61</v>
      </c>
      <c r="P30" s="7" t="s">
        <v>131</v>
      </c>
      <c r="Q30" s="7" t="s">
        <v>154</v>
      </c>
      <c r="R30" s="7" t="s">
        <v>1640</v>
      </c>
      <c r="S30" s="7" t="s">
        <v>2922</v>
      </c>
      <c r="T30" s="29" t="s">
        <v>1554</v>
      </c>
      <c r="U30" s="108">
        <f t="shared" si="0"/>
        <v>0.57396449704142016</v>
      </c>
      <c r="V30" s="7" t="s">
        <v>2391</v>
      </c>
    </row>
    <row r="31" spans="1:22" x14ac:dyDescent="0.3">
      <c r="A31" s="7">
        <v>30</v>
      </c>
      <c r="B31" s="29" t="s">
        <v>2395</v>
      </c>
      <c r="C31" s="29" t="s">
        <v>2429</v>
      </c>
      <c r="D31" s="91">
        <v>40226009</v>
      </c>
      <c r="E31" s="29">
        <v>259</v>
      </c>
      <c r="F31" s="7">
        <v>246</v>
      </c>
      <c r="G31" s="7">
        <v>23</v>
      </c>
      <c r="H31" s="53" t="s">
        <v>2929</v>
      </c>
      <c r="I31" s="7" t="s">
        <v>2930</v>
      </c>
      <c r="J31" s="7" t="s">
        <v>130</v>
      </c>
      <c r="K31" s="11">
        <v>0.9194444444444444</v>
      </c>
      <c r="L31" s="11">
        <v>0.99791666666666667</v>
      </c>
      <c r="M31" s="7" t="s">
        <v>109</v>
      </c>
      <c r="N31" s="43" t="s">
        <v>872</v>
      </c>
      <c r="O31" s="38" t="s">
        <v>61</v>
      </c>
      <c r="P31" s="7" t="s">
        <v>131</v>
      </c>
      <c r="Q31" s="7" t="s">
        <v>94</v>
      </c>
      <c r="R31" s="7" t="s">
        <v>62</v>
      </c>
      <c r="S31" s="7" t="s">
        <v>2922</v>
      </c>
      <c r="T31" s="29" t="s">
        <v>2430</v>
      </c>
      <c r="U31" s="108">
        <f t="shared" si="0"/>
        <v>8.8803088803088806E-2</v>
      </c>
      <c r="V31" s="7" t="s">
        <v>2391</v>
      </c>
    </row>
    <row r="32" spans="1:22" x14ac:dyDescent="0.3">
      <c r="A32" s="7">
        <v>31</v>
      </c>
      <c r="B32" s="29" t="s">
        <v>25</v>
      </c>
      <c r="C32" s="29" t="s">
        <v>2402</v>
      </c>
      <c r="D32" s="91">
        <v>40226010</v>
      </c>
      <c r="E32" s="29">
        <v>342</v>
      </c>
      <c r="F32" s="7">
        <v>670</v>
      </c>
      <c r="G32" s="7">
        <v>282</v>
      </c>
      <c r="H32" s="53" t="s">
        <v>2931</v>
      </c>
      <c r="I32" s="7" t="s">
        <v>109</v>
      </c>
      <c r="J32" s="7" t="s">
        <v>130</v>
      </c>
      <c r="K32" s="11">
        <v>0.73611111111111116</v>
      </c>
      <c r="L32" s="7" t="s">
        <v>109</v>
      </c>
      <c r="M32" s="7" t="s">
        <v>109</v>
      </c>
      <c r="N32" s="43" t="s">
        <v>110</v>
      </c>
      <c r="O32" s="38" t="s">
        <v>61</v>
      </c>
      <c r="P32" s="7" t="s">
        <v>131</v>
      </c>
      <c r="Q32" s="7" t="s">
        <v>1082</v>
      </c>
      <c r="R32" s="7" t="s">
        <v>62</v>
      </c>
      <c r="S32" s="7" t="s">
        <v>2922</v>
      </c>
      <c r="T32" s="29" t="s">
        <v>2405</v>
      </c>
      <c r="U32" s="108">
        <f t="shared" si="0"/>
        <v>0.82456140350877194</v>
      </c>
      <c r="V32" s="7" t="s">
        <v>2009</v>
      </c>
    </row>
    <row r="33" spans="1:22" x14ac:dyDescent="0.3">
      <c r="A33" s="7">
        <v>32</v>
      </c>
      <c r="B33" s="29" t="s">
        <v>25</v>
      </c>
      <c r="C33" s="29" t="s">
        <v>1974</v>
      </c>
      <c r="D33" s="91">
        <v>40226002</v>
      </c>
      <c r="E33" s="29">
        <v>143</v>
      </c>
      <c r="F33" s="7">
        <v>294</v>
      </c>
      <c r="G33" s="7">
        <v>80</v>
      </c>
      <c r="H33" s="7" t="s">
        <v>938</v>
      </c>
      <c r="I33" s="53" t="s">
        <v>2932</v>
      </c>
      <c r="J33" s="7" t="s">
        <v>130</v>
      </c>
      <c r="K33" s="11">
        <v>0.85902777777777772</v>
      </c>
      <c r="L33" s="11">
        <v>0.89375000000000004</v>
      </c>
      <c r="M33" s="7" t="s">
        <v>109</v>
      </c>
      <c r="N33" s="43" t="s">
        <v>110</v>
      </c>
      <c r="O33" s="38" t="s">
        <v>61</v>
      </c>
      <c r="P33" s="7" t="s">
        <v>131</v>
      </c>
      <c r="Q33" s="7" t="s">
        <v>154</v>
      </c>
      <c r="R33" s="7" t="s">
        <v>62</v>
      </c>
      <c r="S33" s="7" t="s">
        <v>2922</v>
      </c>
      <c r="T33" s="29" t="s">
        <v>2173</v>
      </c>
      <c r="U33" s="108">
        <f t="shared" si="0"/>
        <v>0.55944055944055948</v>
      </c>
      <c r="V33" s="7" t="s">
        <v>2009</v>
      </c>
    </row>
    <row r="34" spans="1:22" x14ac:dyDescent="0.3">
      <c r="A34" s="7">
        <v>33</v>
      </c>
      <c r="B34" s="29" t="s">
        <v>24</v>
      </c>
      <c r="C34" s="29" t="s">
        <v>49</v>
      </c>
      <c r="D34" s="91">
        <v>61225008</v>
      </c>
      <c r="E34" s="29">
        <v>199</v>
      </c>
      <c r="F34" s="7">
        <v>400</v>
      </c>
      <c r="G34" s="7">
        <v>76</v>
      </c>
      <c r="H34" s="53" t="s">
        <v>2358</v>
      </c>
      <c r="I34" s="7" t="s">
        <v>2597</v>
      </c>
      <c r="J34" s="7" t="s">
        <v>130</v>
      </c>
      <c r="K34" s="11">
        <v>0.74097222222222225</v>
      </c>
      <c r="L34" s="11">
        <v>0.76041666666666663</v>
      </c>
      <c r="M34" s="7" t="s">
        <v>109</v>
      </c>
      <c r="N34" s="43" t="s">
        <v>110</v>
      </c>
      <c r="O34" s="38" t="s">
        <v>61</v>
      </c>
      <c r="P34" s="7" t="s">
        <v>131</v>
      </c>
      <c r="Q34" s="7" t="s">
        <v>209</v>
      </c>
      <c r="R34" s="7" t="s">
        <v>63</v>
      </c>
      <c r="S34" s="7" t="s">
        <v>2922</v>
      </c>
      <c r="T34" s="29" t="s">
        <v>120</v>
      </c>
      <c r="U34" s="108">
        <f t="shared" si="0"/>
        <v>0.38190954773869346</v>
      </c>
      <c r="V34" s="7" t="s">
        <v>2009</v>
      </c>
    </row>
    <row r="35" spans="1:22" x14ac:dyDescent="0.3">
      <c r="A35" s="7">
        <v>34</v>
      </c>
      <c r="B35" s="29" t="s">
        <v>143</v>
      </c>
      <c r="C35" s="29" t="s">
        <v>2305</v>
      </c>
      <c r="D35" s="91">
        <v>10226022</v>
      </c>
      <c r="E35" s="7">
        <v>174</v>
      </c>
      <c r="F35" s="7">
        <v>174</v>
      </c>
      <c r="G35" s="7">
        <v>4</v>
      </c>
      <c r="H35" s="7" t="s">
        <v>91</v>
      </c>
      <c r="I35" s="7" t="s">
        <v>109</v>
      </c>
      <c r="J35" s="7" t="s">
        <v>130</v>
      </c>
      <c r="K35" s="11">
        <v>0.81805555555555554</v>
      </c>
      <c r="L35" s="11" t="s">
        <v>109</v>
      </c>
      <c r="M35" s="7" t="s">
        <v>109</v>
      </c>
      <c r="N35" s="43" t="s">
        <v>2223</v>
      </c>
      <c r="O35" s="38" t="s">
        <v>61</v>
      </c>
      <c r="P35" s="7" t="s">
        <v>131</v>
      </c>
      <c r="Q35" s="7" t="s">
        <v>91</v>
      </c>
      <c r="R35" s="7" t="s">
        <v>62</v>
      </c>
      <c r="S35" s="7" t="s">
        <v>2922</v>
      </c>
      <c r="T35" s="29" t="s">
        <v>402</v>
      </c>
      <c r="U35" s="108">
        <f t="shared" si="0"/>
        <v>2.2988505747126436E-2</v>
      </c>
      <c r="V35" s="7" t="s">
        <v>2391</v>
      </c>
    </row>
    <row r="36" spans="1:22" x14ac:dyDescent="0.3">
      <c r="A36" s="7">
        <v>35</v>
      </c>
      <c r="B36" s="29" t="s">
        <v>143</v>
      </c>
      <c r="C36" s="29" t="s">
        <v>2933</v>
      </c>
      <c r="D36" s="91">
        <v>10326023</v>
      </c>
      <c r="E36" s="29">
        <v>30</v>
      </c>
      <c r="F36" s="7">
        <v>31</v>
      </c>
      <c r="G36" s="7">
        <v>8</v>
      </c>
      <c r="H36" s="53" t="s">
        <v>82</v>
      </c>
      <c r="I36" s="7" t="s">
        <v>95</v>
      </c>
      <c r="J36" s="7" t="s">
        <v>130</v>
      </c>
      <c r="K36" s="11">
        <v>0.69374999999999998</v>
      </c>
      <c r="L36" s="11">
        <v>0.71875</v>
      </c>
      <c r="M36" s="7" t="s">
        <v>109</v>
      </c>
      <c r="N36" s="38" t="s">
        <v>109</v>
      </c>
      <c r="O36" s="38" t="s">
        <v>61</v>
      </c>
      <c r="P36" s="7" t="s">
        <v>131</v>
      </c>
      <c r="Q36" s="7" t="s">
        <v>82</v>
      </c>
      <c r="R36" s="7" t="s">
        <v>62</v>
      </c>
      <c r="S36" s="7" t="s">
        <v>2922</v>
      </c>
      <c r="T36" s="29" t="s">
        <v>121</v>
      </c>
      <c r="U36" s="108">
        <f t="shared" si="0"/>
        <v>0.26666666666666666</v>
      </c>
      <c r="V36" s="7" t="s">
        <v>2950</v>
      </c>
    </row>
    <row r="37" spans="1:22" x14ac:dyDescent="0.3">
      <c r="A37" s="7">
        <v>36</v>
      </c>
      <c r="B37" s="29" t="s">
        <v>143</v>
      </c>
      <c r="C37" s="29" t="s">
        <v>2835</v>
      </c>
      <c r="D37" s="91">
        <v>10326007</v>
      </c>
      <c r="E37" s="7">
        <v>66</v>
      </c>
      <c r="F37" s="7">
        <v>66</v>
      </c>
      <c r="G37" s="7">
        <v>2</v>
      </c>
      <c r="H37" s="7" t="s">
        <v>153</v>
      </c>
      <c r="I37" s="7" t="s">
        <v>154</v>
      </c>
      <c r="J37" s="7" t="s">
        <v>130</v>
      </c>
      <c r="K37" s="11">
        <v>0.78611111111111109</v>
      </c>
      <c r="L37" s="11">
        <v>0.90138888888888891</v>
      </c>
      <c r="M37" s="7" t="s">
        <v>109</v>
      </c>
      <c r="N37" s="38" t="s">
        <v>109</v>
      </c>
      <c r="O37" s="38" t="s">
        <v>61</v>
      </c>
      <c r="P37" s="7" t="s">
        <v>131</v>
      </c>
      <c r="Q37" s="7" t="s">
        <v>154</v>
      </c>
      <c r="R37" s="7" t="s">
        <v>62</v>
      </c>
      <c r="S37" s="7" t="s">
        <v>2922</v>
      </c>
      <c r="T37" s="29" t="s">
        <v>121</v>
      </c>
      <c r="U37" s="108">
        <f t="shared" si="0"/>
        <v>3.0303030303030304E-2</v>
      </c>
      <c r="V37" s="7" t="s">
        <v>2950</v>
      </c>
    </row>
    <row r="38" spans="1:22" x14ac:dyDescent="0.3">
      <c r="A38" s="7">
        <v>37</v>
      </c>
      <c r="B38" s="29" t="s">
        <v>143</v>
      </c>
      <c r="C38" s="29" t="s">
        <v>2836</v>
      </c>
      <c r="D38" s="91">
        <v>10326015</v>
      </c>
      <c r="E38" s="29">
        <v>55</v>
      </c>
      <c r="F38" s="7">
        <v>3</v>
      </c>
      <c r="G38" s="7">
        <v>1</v>
      </c>
      <c r="H38" s="7" t="s">
        <v>241</v>
      </c>
      <c r="I38" s="7" t="s">
        <v>154</v>
      </c>
      <c r="J38" s="7" t="s">
        <v>130</v>
      </c>
      <c r="K38" s="7" t="s">
        <v>2954</v>
      </c>
      <c r="L38" s="11">
        <v>0.93958333333333333</v>
      </c>
      <c r="M38" s="7" t="s">
        <v>109</v>
      </c>
      <c r="N38" s="38" t="s">
        <v>109</v>
      </c>
      <c r="O38" s="38" t="s">
        <v>61</v>
      </c>
      <c r="P38" s="7" t="s">
        <v>131</v>
      </c>
      <c r="Q38" s="7" t="s">
        <v>154</v>
      </c>
      <c r="R38" s="7" t="s">
        <v>62</v>
      </c>
      <c r="S38" s="7" t="s">
        <v>2922</v>
      </c>
      <c r="T38" s="29" t="s">
        <v>121</v>
      </c>
      <c r="U38" s="108">
        <f t="shared" si="0"/>
        <v>1.8181818181818181E-2</v>
      </c>
      <c r="V38" s="7" t="s">
        <v>2950</v>
      </c>
    </row>
    <row r="39" spans="1:22" x14ac:dyDescent="0.3">
      <c r="A39" s="7">
        <v>38</v>
      </c>
      <c r="B39" s="29" t="s">
        <v>143</v>
      </c>
      <c r="C39" s="29" t="s">
        <v>2837</v>
      </c>
      <c r="D39" s="91">
        <v>10326008</v>
      </c>
      <c r="E39" s="29">
        <v>30</v>
      </c>
      <c r="F39" s="7">
        <v>59</v>
      </c>
      <c r="G39" s="7">
        <v>31</v>
      </c>
      <c r="H39" s="53" t="s">
        <v>68</v>
      </c>
      <c r="I39" s="7" t="s">
        <v>86</v>
      </c>
      <c r="J39" s="7" t="s">
        <v>130</v>
      </c>
      <c r="K39" s="11">
        <v>0.9</v>
      </c>
      <c r="L39" s="11">
        <v>0.95347222222222228</v>
      </c>
      <c r="M39" s="7" t="s">
        <v>109</v>
      </c>
      <c r="N39" s="38" t="s">
        <v>109</v>
      </c>
      <c r="O39" s="38" t="s">
        <v>61</v>
      </c>
      <c r="P39" s="7" t="s">
        <v>131</v>
      </c>
      <c r="Q39" s="7" t="s">
        <v>86</v>
      </c>
      <c r="R39" s="7" t="s">
        <v>62</v>
      </c>
      <c r="S39" s="7" t="s">
        <v>2922</v>
      </c>
      <c r="T39" s="29" t="s">
        <v>121</v>
      </c>
      <c r="U39" s="108">
        <f t="shared" si="0"/>
        <v>1.0333333333333334</v>
      </c>
      <c r="V39" s="7" t="s">
        <v>1941</v>
      </c>
    </row>
    <row r="40" spans="1:22" x14ac:dyDescent="0.3">
      <c r="A40" s="7">
        <v>39</v>
      </c>
      <c r="B40" s="29" t="s">
        <v>143</v>
      </c>
      <c r="C40" s="29" t="s">
        <v>2838</v>
      </c>
      <c r="D40" s="91">
        <v>10326009</v>
      </c>
      <c r="E40" s="29">
        <v>40</v>
      </c>
      <c r="F40" s="7">
        <v>100</v>
      </c>
      <c r="G40" s="7">
        <v>7</v>
      </c>
      <c r="H40" s="53" t="s">
        <v>71</v>
      </c>
      <c r="I40" s="7" t="s">
        <v>87</v>
      </c>
      <c r="J40" s="7" t="s">
        <v>130</v>
      </c>
      <c r="K40" s="11">
        <v>0.85069444444444442</v>
      </c>
      <c r="L40" s="11">
        <v>0.86597222222222225</v>
      </c>
      <c r="M40" s="7" t="s">
        <v>109</v>
      </c>
      <c r="N40" s="38" t="s">
        <v>109</v>
      </c>
      <c r="O40" s="38" t="s">
        <v>61</v>
      </c>
      <c r="P40" s="7" t="s">
        <v>131</v>
      </c>
      <c r="Q40" s="7" t="s">
        <v>87</v>
      </c>
      <c r="R40" s="7" t="s">
        <v>62</v>
      </c>
      <c r="S40" s="7" t="s">
        <v>2922</v>
      </c>
      <c r="T40" s="29" t="s">
        <v>121</v>
      </c>
      <c r="U40" s="108">
        <f t="shared" si="0"/>
        <v>0.17499999999999999</v>
      </c>
      <c r="V40" s="7" t="s">
        <v>2009</v>
      </c>
    </row>
    <row r="41" spans="1:22" x14ac:dyDescent="0.3">
      <c r="A41" s="7">
        <v>40</v>
      </c>
      <c r="B41" s="29" t="s">
        <v>143</v>
      </c>
      <c r="C41" s="29" t="s">
        <v>2839</v>
      </c>
      <c r="D41" s="91">
        <v>10326010</v>
      </c>
      <c r="E41" s="29">
        <v>284</v>
      </c>
      <c r="F41" s="7">
        <v>39</v>
      </c>
      <c r="G41" s="7">
        <v>15</v>
      </c>
      <c r="H41" s="7" t="s">
        <v>262</v>
      </c>
      <c r="I41" s="7" t="s">
        <v>91</v>
      </c>
      <c r="J41" s="7" t="s">
        <v>130</v>
      </c>
      <c r="K41" s="11">
        <v>0.75416666666666665</v>
      </c>
      <c r="L41" s="11">
        <v>0.82499999999999996</v>
      </c>
      <c r="M41" s="7" t="s">
        <v>109</v>
      </c>
      <c r="N41" s="38" t="s">
        <v>109</v>
      </c>
      <c r="O41" s="38" t="s">
        <v>61</v>
      </c>
      <c r="P41" s="7" t="s">
        <v>131</v>
      </c>
      <c r="Q41" s="7" t="s">
        <v>91</v>
      </c>
      <c r="R41" s="7" t="s">
        <v>62</v>
      </c>
      <c r="S41" s="7" t="s">
        <v>2922</v>
      </c>
      <c r="T41" s="29" t="s">
        <v>121</v>
      </c>
      <c r="U41" s="108">
        <f t="shared" si="0"/>
        <v>5.2816901408450703E-2</v>
      </c>
      <c r="V41" s="7" t="s">
        <v>2950</v>
      </c>
    </row>
    <row r="42" spans="1:22" x14ac:dyDescent="0.3">
      <c r="A42" s="7">
        <v>41</v>
      </c>
      <c r="B42" s="29" t="s">
        <v>143</v>
      </c>
      <c r="C42" s="29" t="s">
        <v>2368</v>
      </c>
      <c r="D42" s="91">
        <v>10226036</v>
      </c>
      <c r="E42" s="29">
        <v>256</v>
      </c>
      <c r="F42" s="7">
        <v>55</v>
      </c>
      <c r="G42" s="7">
        <v>10</v>
      </c>
      <c r="H42" s="7" t="s">
        <v>1409</v>
      </c>
      <c r="I42" s="7" t="s">
        <v>91</v>
      </c>
      <c r="J42" s="7" t="s">
        <v>130</v>
      </c>
      <c r="K42" s="11">
        <v>0.84513888888888888</v>
      </c>
      <c r="L42" s="11">
        <v>0.95694444444444449</v>
      </c>
      <c r="M42" s="7" t="s">
        <v>109</v>
      </c>
      <c r="N42" s="38" t="s">
        <v>109</v>
      </c>
      <c r="O42" s="38" t="s">
        <v>61</v>
      </c>
      <c r="P42" s="7" t="s">
        <v>131</v>
      </c>
      <c r="Q42" s="7" t="s">
        <v>91</v>
      </c>
      <c r="R42" s="7" t="s">
        <v>62</v>
      </c>
      <c r="S42" s="7" t="s">
        <v>2922</v>
      </c>
      <c r="T42" s="29" t="s">
        <v>121</v>
      </c>
      <c r="U42" s="108">
        <f t="shared" si="0"/>
        <v>3.90625E-2</v>
      </c>
      <c r="V42" s="7" t="s">
        <v>2950</v>
      </c>
    </row>
    <row r="43" spans="1:22" x14ac:dyDescent="0.3">
      <c r="A43" s="147">
        <v>42</v>
      </c>
      <c r="B43" s="148" t="s">
        <v>143</v>
      </c>
      <c r="C43" s="148" t="s">
        <v>1950</v>
      </c>
      <c r="D43" s="149">
        <v>10226007</v>
      </c>
      <c r="E43" s="148">
        <v>33</v>
      </c>
      <c r="F43" s="147" t="s">
        <v>109</v>
      </c>
      <c r="G43" s="147" t="s">
        <v>109</v>
      </c>
      <c r="H43" s="150" t="s">
        <v>65</v>
      </c>
      <c r="I43" s="150" t="s">
        <v>88</v>
      </c>
      <c r="J43" s="147" t="s">
        <v>85</v>
      </c>
      <c r="K43" s="147" t="s">
        <v>109</v>
      </c>
      <c r="L43" s="147" t="s">
        <v>109</v>
      </c>
      <c r="M43" s="147" t="s">
        <v>109</v>
      </c>
      <c r="N43" s="148" t="s">
        <v>109</v>
      </c>
      <c r="O43" s="148" t="s">
        <v>61</v>
      </c>
      <c r="P43" s="147" t="s">
        <v>109</v>
      </c>
      <c r="Q43" s="147" t="s">
        <v>109</v>
      </c>
      <c r="R43" s="147" t="s">
        <v>62</v>
      </c>
      <c r="S43" s="147" t="s">
        <v>2922</v>
      </c>
      <c r="T43" s="148" t="s">
        <v>2064</v>
      </c>
      <c r="U43" s="151" t="e">
        <f t="shared" si="0"/>
        <v>#VALUE!</v>
      </c>
      <c r="V43" s="147" t="s">
        <v>109</v>
      </c>
    </row>
    <row r="44" spans="1:22" x14ac:dyDescent="0.3">
      <c r="A44" s="7">
        <v>43</v>
      </c>
      <c r="B44" s="29" t="s">
        <v>143</v>
      </c>
      <c r="C44" s="29" t="s">
        <v>2744</v>
      </c>
      <c r="D44" s="91">
        <v>10226070</v>
      </c>
      <c r="E44" s="29">
        <v>173</v>
      </c>
      <c r="F44" s="7">
        <v>226</v>
      </c>
      <c r="G44" s="7">
        <v>169</v>
      </c>
      <c r="H44" s="7" t="s">
        <v>933</v>
      </c>
      <c r="I44" s="7" t="s">
        <v>989</v>
      </c>
      <c r="J44" s="7" t="s">
        <v>130</v>
      </c>
      <c r="K44" s="11">
        <v>0.82430555555555551</v>
      </c>
      <c r="L44" s="11">
        <v>0.85416666666666663</v>
      </c>
      <c r="M44" s="7" t="s">
        <v>109</v>
      </c>
      <c r="N44" s="38" t="s">
        <v>109</v>
      </c>
      <c r="O44" s="38" t="s">
        <v>61</v>
      </c>
      <c r="P44" s="7" t="s">
        <v>131</v>
      </c>
      <c r="Q44" s="7" t="s">
        <v>2951</v>
      </c>
      <c r="R44" s="7" t="s">
        <v>62</v>
      </c>
      <c r="S44" s="7" t="s">
        <v>2922</v>
      </c>
      <c r="T44" s="29" t="s">
        <v>325</v>
      </c>
      <c r="U44" s="108">
        <f t="shared" si="0"/>
        <v>0.97687861271676302</v>
      </c>
      <c r="V44" s="7" t="s">
        <v>1941</v>
      </c>
    </row>
    <row r="45" spans="1:22" x14ac:dyDescent="0.3">
      <c r="A45" s="7">
        <v>44</v>
      </c>
      <c r="B45" s="29" t="s">
        <v>143</v>
      </c>
      <c r="C45" s="29" t="s">
        <v>2256</v>
      </c>
      <c r="D45" s="91">
        <v>10226016</v>
      </c>
      <c r="E45" s="29">
        <v>200</v>
      </c>
      <c r="F45" s="7">
        <v>396</v>
      </c>
      <c r="G45" s="7">
        <v>174</v>
      </c>
      <c r="H45" s="7" t="s">
        <v>2934</v>
      </c>
      <c r="I45" s="7" t="s">
        <v>109</v>
      </c>
      <c r="J45" s="7" t="s">
        <v>130</v>
      </c>
      <c r="K45" s="11">
        <v>0.8569444444444444</v>
      </c>
      <c r="L45" s="7" t="s">
        <v>109</v>
      </c>
      <c r="M45" s="7" t="s">
        <v>109</v>
      </c>
      <c r="N45" s="43" t="s">
        <v>2223</v>
      </c>
      <c r="O45" s="38" t="s">
        <v>61</v>
      </c>
      <c r="P45" s="7" t="s">
        <v>131</v>
      </c>
      <c r="Q45" s="7" t="s">
        <v>86</v>
      </c>
      <c r="R45" s="7" t="s">
        <v>62</v>
      </c>
      <c r="S45" s="7" t="s">
        <v>2922</v>
      </c>
      <c r="T45" s="29" t="s">
        <v>2253</v>
      </c>
      <c r="U45" s="108">
        <f t="shared" si="0"/>
        <v>0.87</v>
      </c>
      <c r="V45" s="7" t="s">
        <v>2009</v>
      </c>
    </row>
    <row r="46" spans="1:22" x14ac:dyDescent="0.3">
      <c r="A46" s="7">
        <v>45</v>
      </c>
      <c r="B46" s="29" t="s">
        <v>143</v>
      </c>
      <c r="C46" s="29" t="s">
        <v>2825</v>
      </c>
      <c r="D46" s="91">
        <v>10326006</v>
      </c>
      <c r="E46" s="29">
        <v>50</v>
      </c>
      <c r="F46" s="7">
        <v>70</v>
      </c>
      <c r="G46" s="7">
        <v>39</v>
      </c>
      <c r="H46" s="53" t="s">
        <v>82</v>
      </c>
      <c r="I46" s="53" t="s">
        <v>89</v>
      </c>
      <c r="J46" s="7" t="s">
        <v>130</v>
      </c>
      <c r="K46" s="11">
        <v>0.76180555555555551</v>
      </c>
      <c r="L46" s="11">
        <v>0.8930555555555556</v>
      </c>
      <c r="M46" s="7" t="s">
        <v>109</v>
      </c>
      <c r="N46" s="43" t="s">
        <v>2223</v>
      </c>
      <c r="O46" s="38" t="s">
        <v>61</v>
      </c>
      <c r="P46" s="7" t="s">
        <v>131</v>
      </c>
      <c r="Q46" s="7" t="s">
        <v>89</v>
      </c>
      <c r="R46" s="7" t="s">
        <v>62</v>
      </c>
      <c r="S46" s="7" t="s">
        <v>2922</v>
      </c>
      <c r="T46" s="29" t="s">
        <v>182</v>
      </c>
      <c r="U46" s="108">
        <f t="shared" si="0"/>
        <v>0.78</v>
      </c>
      <c r="V46" s="7" t="s">
        <v>2950</v>
      </c>
    </row>
    <row r="47" spans="1:22" x14ac:dyDescent="0.3">
      <c r="A47" s="7">
        <v>46</v>
      </c>
      <c r="B47" s="29" t="s">
        <v>143</v>
      </c>
      <c r="C47" s="29" t="s">
        <v>2513</v>
      </c>
      <c r="D47" s="91">
        <v>10226046</v>
      </c>
      <c r="E47" s="29">
        <v>15</v>
      </c>
      <c r="F47" s="7">
        <v>1</v>
      </c>
      <c r="G47" s="7">
        <v>0</v>
      </c>
      <c r="H47" s="53" t="s">
        <v>69</v>
      </c>
      <c r="I47" s="53" t="s">
        <v>90</v>
      </c>
      <c r="J47" s="7" t="s">
        <v>130</v>
      </c>
      <c r="K47" s="11">
        <v>0.84236111111111112</v>
      </c>
      <c r="L47" s="11">
        <v>0.85069444444444442</v>
      </c>
      <c r="M47" s="7" t="s">
        <v>109</v>
      </c>
      <c r="N47" s="38" t="s">
        <v>109</v>
      </c>
      <c r="O47" s="38" t="s">
        <v>61</v>
      </c>
      <c r="P47" s="7" t="s">
        <v>131</v>
      </c>
      <c r="Q47" s="7" t="s">
        <v>179</v>
      </c>
      <c r="R47" s="7" t="s">
        <v>62</v>
      </c>
      <c r="S47" s="7" t="s">
        <v>2922</v>
      </c>
      <c r="T47" s="29" t="s">
        <v>398</v>
      </c>
      <c r="U47" s="108">
        <f t="shared" si="0"/>
        <v>0</v>
      </c>
      <c r="V47" s="7" t="s">
        <v>2950</v>
      </c>
    </row>
    <row r="48" spans="1:22" x14ac:dyDescent="0.3">
      <c r="A48" s="7">
        <v>47</v>
      </c>
      <c r="B48" s="29" t="s">
        <v>143</v>
      </c>
      <c r="C48" s="29" t="s">
        <v>2935</v>
      </c>
      <c r="D48" s="91">
        <v>10326025</v>
      </c>
      <c r="E48" s="29">
        <v>75</v>
      </c>
      <c r="F48" s="7">
        <v>97</v>
      </c>
      <c r="G48" s="7">
        <v>13</v>
      </c>
      <c r="H48" s="53" t="s">
        <v>153</v>
      </c>
      <c r="I48" s="7" t="s">
        <v>154</v>
      </c>
      <c r="J48" s="7" t="s">
        <v>130</v>
      </c>
      <c r="K48" s="11">
        <v>0.76875000000000004</v>
      </c>
      <c r="L48" s="11">
        <v>0.83888888888888891</v>
      </c>
      <c r="M48" s="7" t="s">
        <v>109</v>
      </c>
      <c r="N48" s="38" t="s">
        <v>109</v>
      </c>
      <c r="O48" s="38" t="s">
        <v>61</v>
      </c>
      <c r="P48" s="7" t="s">
        <v>131</v>
      </c>
      <c r="Q48" s="7" t="s">
        <v>154</v>
      </c>
      <c r="R48" s="7" t="s">
        <v>62</v>
      </c>
      <c r="S48" s="7" t="s">
        <v>2922</v>
      </c>
      <c r="T48" s="29" t="s">
        <v>182</v>
      </c>
      <c r="U48" s="108">
        <f t="shared" si="0"/>
        <v>0.17333333333333334</v>
      </c>
      <c r="V48" s="7" t="s">
        <v>2950</v>
      </c>
    </row>
    <row r="49" spans="1:22" x14ac:dyDescent="0.3">
      <c r="A49" s="7">
        <v>48</v>
      </c>
      <c r="B49" s="29" t="s">
        <v>143</v>
      </c>
      <c r="C49" s="29" t="s">
        <v>2936</v>
      </c>
      <c r="D49" s="91">
        <v>10326024</v>
      </c>
      <c r="E49" s="29">
        <v>115</v>
      </c>
      <c r="F49" s="7">
        <v>8</v>
      </c>
      <c r="G49" s="7">
        <v>4</v>
      </c>
      <c r="H49" s="53" t="s">
        <v>603</v>
      </c>
      <c r="I49" s="7" t="s">
        <v>109</v>
      </c>
      <c r="J49" s="7" t="s">
        <v>130</v>
      </c>
      <c r="K49" s="11">
        <v>0.99513888888888891</v>
      </c>
      <c r="L49" s="7" t="s">
        <v>109</v>
      </c>
      <c r="M49" s="7" t="s">
        <v>109</v>
      </c>
      <c r="N49" s="38" t="s">
        <v>109</v>
      </c>
      <c r="O49" s="38" t="s">
        <v>61</v>
      </c>
      <c r="P49" s="7" t="s">
        <v>131</v>
      </c>
      <c r="Q49" s="7" t="s">
        <v>603</v>
      </c>
      <c r="R49" s="7" t="s">
        <v>62</v>
      </c>
      <c r="S49" s="7" t="s">
        <v>2922</v>
      </c>
      <c r="T49" s="29" t="s">
        <v>182</v>
      </c>
      <c r="U49" s="108">
        <f t="shared" si="0"/>
        <v>3.4782608695652174E-2</v>
      </c>
      <c r="V49" s="7" t="s">
        <v>2950</v>
      </c>
    </row>
    <row r="50" spans="1:22" x14ac:dyDescent="0.3">
      <c r="A50" s="7">
        <v>49</v>
      </c>
      <c r="B50" s="29" t="s">
        <v>143</v>
      </c>
      <c r="C50" s="29" t="s">
        <v>2937</v>
      </c>
      <c r="D50" s="91">
        <v>10326026</v>
      </c>
      <c r="E50" s="29">
        <v>85</v>
      </c>
      <c r="F50" s="7">
        <v>171</v>
      </c>
      <c r="G50" s="7">
        <v>51</v>
      </c>
      <c r="H50" s="53" t="s">
        <v>64</v>
      </c>
      <c r="I50" s="53" t="s">
        <v>86</v>
      </c>
      <c r="J50" s="7" t="s">
        <v>130</v>
      </c>
      <c r="K50" s="11">
        <v>2.013888888888889E-2</v>
      </c>
      <c r="L50" s="11">
        <v>4.3055555555555555E-2</v>
      </c>
      <c r="M50" s="7" t="s">
        <v>109</v>
      </c>
      <c r="N50" s="38" t="s">
        <v>109</v>
      </c>
      <c r="O50" s="38" t="s">
        <v>61</v>
      </c>
      <c r="P50" s="7" t="s">
        <v>131</v>
      </c>
      <c r="Q50" s="7" t="s">
        <v>86</v>
      </c>
      <c r="R50" s="7" t="s">
        <v>62</v>
      </c>
      <c r="S50" s="7" t="s">
        <v>2922</v>
      </c>
      <c r="T50" s="29" t="s">
        <v>398</v>
      </c>
      <c r="U50" s="108">
        <f t="shared" si="0"/>
        <v>0.6</v>
      </c>
      <c r="V50" s="7" t="s">
        <v>2009</v>
      </c>
    </row>
    <row r="51" spans="1:22" x14ac:dyDescent="0.3">
      <c r="A51" s="7">
        <v>50</v>
      </c>
      <c r="B51" s="29" t="s">
        <v>23</v>
      </c>
      <c r="C51" s="29" t="s">
        <v>2117</v>
      </c>
      <c r="D51" s="29">
        <v>50226054</v>
      </c>
      <c r="E51" s="29">
        <v>300</v>
      </c>
      <c r="F51" s="7">
        <v>761</v>
      </c>
      <c r="G51" s="7">
        <v>242</v>
      </c>
      <c r="H51" s="7" t="s">
        <v>2938</v>
      </c>
      <c r="I51" s="7" t="s">
        <v>109</v>
      </c>
      <c r="J51" s="7" t="s">
        <v>130</v>
      </c>
      <c r="K51" s="11">
        <v>0.7583333333333333</v>
      </c>
      <c r="L51" s="7" t="s">
        <v>109</v>
      </c>
      <c r="M51" s="7" t="s">
        <v>109</v>
      </c>
      <c r="N51" s="38" t="s">
        <v>109</v>
      </c>
      <c r="O51" s="38" t="s">
        <v>61</v>
      </c>
      <c r="P51" s="7" t="s">
        <v>131</v>
      </c>
      <c r="Q51" s="7" t="s">
        <v>84</v>
      </c>
      <c r="R51" s="7" t="s">
        <v>62</v>
      </c>
      <c r="S51" s="7" t="s">
        <v>2922</v>
      </c>
      <c r="T51" s="29" t="s">
        <v>289</v>
      </c>
      <c r="U51" s="108">
        <f t="shared" si="0"/>
        <v>0.80666666666666664</v>
      </c>
      <c r="V51" s="7" t="s">
        <v>2009</v>
      </c>
    </row>
    <row r="52" spans="1:22" x14ac:dyDescent="0.3">
      <c r="A52" s="7">
        <v>51</v>
      </c>
      <c r="B52" s="29" t="s">
        <v>23</v>
      </c>
      <c r="C52" s="29" t="s">
        <v>2199</v>
      </c>
      <c r="D52" s="29">
        <v>50226057</v>
      </c>
      <c r="E52" s="29">
        <v>300</v>
      </c>
      <c r="F52" s="7">
        <v>561</v>
      </c>
      <c r="G52" s="7">
        <v>274</v>
      </c>
      <c r="H52" s="7" t="s">
        <v>988</v>
      </c>
      <c r="I52" s="7" t="s">
        <v>109</v>
      </c>
      <c r="J52" s="7" t="s">
        <v>130</v>
      </c>
      <c r="K52" s="11">
        <v>0.84166666666666667</v>
      </c>
      <c r="L52" s="7" t="s">
        <v>109</v>
      </c>
      <c r="M52" s="7" t="s">
        <v>109</v>
      </c>
      <c r="N52" s="38" t="s">
        <v>109</v>
      </c>
      <c r="O52" s="38" t="s">
        <v>61</v>
      </c>
      <c r="P52" s="7" t="s">
        <v>131</v>
      </c>
      <c r="Q52" s="7" t="s">
        <v>64</v>
      </c>
      <c r="R52" s="7" t="s">
        <v>62</v>
      </c>
      <c r="S52" s="7" t="s">
        <v>2922</v>
      </c>
      <c r="T52" s="29" t="s">
        <v>289</v>
      </c>
      <c r="U52" s="108">
        <f t="shared" si="0"/>
        <v>0.91333333333333333</v>
      </c>
      <c r="V52" s="7" t="s">
        <v>1941</v>
      </c>
    </row>
    <row r="53" spans="1:22" x14ac:dyDescent="0.3">
      <c r="A53" s="7">
        <v>52</v>
      </c>
      <c r="B53" s="29" t="s">
        <v>23</v>
      </c>
      <c r="C53" s="29" t="s">
        <v>978</v>
      </c>
      <c r="D53" s="29">
        <v>50126276</v>
      </c>
      <c r="E53" s="29">
        <v>290</v>
      </c>
      <c r="F53" s="7">
        <v>394</v>
      </c>
      <c r="G53" s="7">
        <v>285</v>
      </c>
      <c r="H53" s="7" t="s">
        <v>983</v>
      </c>
      <c r="I53" s="7" t="s">
        <v>109</v>
      </c>
      <c r="J53" s="7" t="s">
        <v>130</v>
      </c>
      <c r="K53" s="11">
        <v>0.72986111111111107</v>
      </c>
      <c r="L53" s="7" t="s">
        <v>109</v>
      </c>
      <c r="M53" s="7" t="s">
        <v>109</v>
      </c>
      <c r="N53" s="38" t="s">
        <v>109</v>
      </c>
      <c r="O53" s="38" t="s">
        <v>61</v>
      </c>
      <c r="P53" s="7" t="s">
        <v>131</v>
      </c>
      <c r="Q53" s="7" t="s">
        <v>66</v>
      </c>
      <c r="R53" s="7" t="s">
        <v>62</v>
      </c>
      <c r="S53" s="7" t="s">
        <v>2922</v>
      </c>
      <c r="T53" s="29" t="s">
        <v>334</v>
      </c>
      <c r="U53" s="108">
        <f t="shared" si="0"/>
        <v>0.98275862068965514</v>
      </c>
      <c r="V53" s="7" t="s">
        <v>1941</v>
      </c>
    </row>
    <row r="54" spans="1:22" x14ac:dyDescent="0.3">
      <c r="A54" s="7">
        <v>53</v>
      </c>
      <c r="B54" s="29" t="s">
        <v>23</v>
      </c>
      <c r="C54" s="29" t="s">
        <v>2115</v>
      </c>
      <c r="D54" s="29">
        <v>50226055</v>
      </c>
      <c r="E54" s="29">
        <v>300</v>
      </c>
      <c r="F54" s="7">
        <v>492</v>
      </c>
      <c r="G54" s="7">
        <v>122</v>
      </c>
      <c r="H54" s="7" t="s">
        <v>2620</v>
      </c>
      <c r="I54" s="7" t="s">
        <v>109</v>
      </c>
      <c r="J54" s="7" t="s">
        <v>130</v>
      </c>
      <c r="K54" s="11">
        <v>0.95277777777777772</v>
      </c>
      <c r="L54" s="7" t="s">
        <v>109</v>
      </c>
      <c r="M54" s="7" t="s">
        <v>109</v>
      </c>
      <c r="N54" s="38" t="s">
        <v>109</v>
      </c>
      <c r="O54" s="38" t="s">
        <v>61</v>
      </c>
      <c r="P54" s="7" t="s">
        <v>131</v>
      </c>
      <c r="Q54" s="7" t="s">
        <v>82</v>
      </c>
      <c r="R54" s="7" t="s">
        <v>62</v>
      </c>
      <c r="S54" s="7" t="s">
        <v>2922</v>
      </c>
      <c r="T54" s="29" t="s">
        <v>289</v>
      </c>
      <c r="U54" s="108">
        <f t="shared" si="0"/>
        <v>0.40666666666666668</v>
      </c>
      <c r="V54" s="7" t="s">
        <v>2391</v>
      </c>
    </row>
    <row r="55" spans="1:22" x14ac:dyDescent="0.3">
      <c r="A55" s="7">
        <v>54</v>
      </c>
      <c r="B55" s="29" t="s">
        <v>23</v>
      </c>
      <c r="C55" s="29" t="s">
        <v>980</v>
      </c>
      <c r="D55" s="29">
        <v>50126278</v>
      </c>
      <c r="E55" s="29">
        <v>300</v>
      </c>
      <c r="F55" s="7">
        <v>569</v>
      </c>
      <c r="G55" s="7">
        <v>245</v>
      </c>
      <c r="H55" s="7" t="s">
        <v>2938</v>
      </c>
      <c r="I55" s="7" t="s">
        <v>109</v>
      </c>
      <c r="J55" s="7" t="s">
        <v>130</v>
      </c>
      <c r="K55" s="11">
        <v>0.82291666666666663</v>
      </c>
      <c r="L55" s="7" t="s">
        <v>109</v>
      </c>
      <c r="M55" s="7" t="s">
        <v>109</v>
      </c>
      <c r="N55" s="38" t="s">
        <v>109</v>
      </c>
      <c r="O55" s="38" t="s">
        <v>61</v>
      </c>
      <c r="P55" s="7" t="s">
        <v>131</v>
      </c>
      <c r="Q55" s="7" t="s">
        <v>84</v>
      </c>
      <c r="R55" s="7" t="s">
        <v>62</v>
      </c>
      <c r="S55" s="7" t="s">
        <v>2922</v>
      </c>
      <c r="T55" s="29" t="s">
        <v>334</v>
      </c>
      <c r="U55" s="108">
        <f t="shared" si="0"/>
        <v>0.81666666666666665</v>
      </c>
      <c r="V55" s="7" t="s">
        <v>1941</v>
      </c>
    </row>
    <row r="56" spans="1:22" x14ac:dyDescent="0.3">
      <c r="A56" s="7">
        <v>55</v>
      </c>
      <c r="B56" s="29" t="s">
        <v>23</v>
      </c>
      <c r="C56" s="29" t="s">
        <v>982</v>
      </c>
      <c r="D56" s="29">
        <v>50126277</v>
      </c>
      <c r="E56" s="29">
        <v>300</v>
      </c>
      <c r="F56" s="7">
        <v>555</v>
      </c>
      <c r="G56" s="7">
        <v>248</v>
      </c>
      <c r="H56" s="7" t="s">
        <v>2939</v>
      </c>
      <c r="I56" s="7" t="s">
        <v>109</v>
      </c>
      <c r="J56" s="7" t="s">
        <v>130</v>
      </c>
      <c r="K56" s="11">
        <v>0.87083333333333335</v>
      </c>
      <c r="L56" s="7" t="s">
        <v>109</v>
      </c>
      <c r="M56" s="7" t="s">
        <v>109</v>
      </c>
      <c r="N56" s="38" t="s">
        <v>109</v>
      </c>
      <c r="O56" s="38" t="s">
        <v>61</v>
      </c>
      <c r="P56" s="7" t="s">
        <v>131</v>
      </c>
      <c r="Q56" s="7" t="s">
        <v>64</v>
      </c>
      <c r="R56" s="7" t="s">
        <v>62</v>
      </c>
      <c r="S56" s="7" t="s">
        <v>2922</v>
      </c>
      <c r="T56" s="29" t="s">
        <v>334</v>
      </c>
      <c r="U56" s="108">
        <f t="shared" si="0"/>
        <v>0.82666666666666666</v>
      </c>
      <c r="V56" s="7" t="s">
        <v>1941</v>
      </c>
    </row>
    <row r="57" spans="1:22" x14ac:dyDescent="0.3">
      <c r="A57" s="7">
        <v>56</v>
      </c>
      <c r="B57" s="29" t="s">
        <v>23</v>
      </c>
      <c r="C57" s="29" t="s">
        <v>985</v>
      </c>
      <c r="D57" s="29">
        <v>50126273</v>
      </c>
      <c r="E57" s="29">
        <v>300</v>
      </c>
      <c r="F57" s="7">
        <v>436</v>
      </c>
      <c r="G57" s="7">
        <v>287</v>
      </c>
      <c r="H57" s="7" t="s">
        <v>2940</v>
      </c>
      <c r="I57" s="7" t="s">
        <v>109</v>
      </c>
      <c r="J57" s="7" t="s">
        <v>130</v>
      </c>
      <c r="K57" s="11">
        <v>2.7777777777777776E-2</v>
      </c>
      <c r="L57" s="7" t="s">
        <v>109</v>
      </c>
      <c r="M57" s="7" t="s">
        <v>109</v>
      </c>
      <c r="N57" s="38" t="s">
        <v>109</v>
      </c>
      <c r="O57" s="38" t="s">
        <v>61</v>
      </c>
      <c r="P57" s="7" t="s">
        <v>131</v>
      </c>
      <c r="Q57" s="7" t="s">
        <v>94</v>
      </c>
      <c r="R57" s="7" t="s">
        <v>62</v>
      </c>
      <c r="S57" s="7" t="s">
        <v>2922</v>
      </c>
      <c r="T57" s="29" t="s">
        <v>334</v>
      </c>
      <c r="U57" s="108">
        <f t="shared" si="0"/>
        <v>0.95666666666666667</v>
      </c>
      <c r="V57" s="7" t="s">
        <v>1941</v>
      </c>
    </row>
    <row r="58" spans="1:22" x14ac:dyDescent="0.3">
      <c r="A58" s="7">
        <v>57</v>
      </c>
      <c r="B58" s="29" t="s">
        <v>23</v>
      </c>
      <c r="C58" s="29" t="s">
        <v>2941</v>
      </c>
      <c r="D58" s="29">
        <v>50226071</v>
      </c>
      <c r="E58" s="29">
        <v>100</v>
      </c>
      <c r="F58" s="7">
        <v>184</v>
      </c>
      <c r="G58" s="7">
        <v>20</v>
      </c>
      <c r="H58" s="53" t="s">
        <v>65</v>
      </c>
      <c r="I58" s="7" t="s">
        <v>109</v>
      </c>
      <c r="J58" s="7" t="s">
        <v>130</v>
      </c>
      <c r="K58" s="11">
        <v>0.85763888888888884</v>
      </c>
      <c r="L58" s="7" t="s">
        <v>109</v>
      </c>
      <c r="M58" s="7" t="s">
        <v>109</v>
      </c>
      <c r="N58" s="38" t="s">
        <v>109</v>
      </c>
      <c r="O58" s="38" t="s">
        <v>61</v>
      </c>
      <c r="P58" s="7" t="s">
        <v>131</v>
      </c>
      <c r="Q58" s="7" t="s">
        <v>65</v>
      </c>
      <c r="R58" s="7" t="s">
        <v>62</v>
      </c>
      <c r="S58" s="7" t="s">
        <v>2922</v>
      </c>
      <c r="T58" s="29" t="s">
        <v>2264</v>
      </c>
      <c r="U58" s="108">
        <f t="shared" si="0"/>
        <v>0.2</v>
      </c>
      <c r="V58" s="7" t="s">
        <v>2391</v>
      </c>
    </row>
    <row r="59" spans="1:22" x14ac:dyDescent="0.3">
      <c r="A59" s="7">
        <v>58</v>
      </c>
      <c r="B59" s="29" t="s">
        <v>23</v>
      </c>
      <c r="C59" s="29" t="s">
        <v>1364</v>
      </c>
      <c r="D59" s="29">
        <v>50126341</v>
      </c>
      <c r="E59" s="29">
        <v>30</v>
      </c>
      <c r="F59" s="7">
        <v>61</v>
      </c>
      <c r="G59" s="7">
        <v>10</v>
      </c>
      <c r="H59" s="53" t="s">
        <v>66</v>
      </c>
      <c r="I59" s="7" t="s">
        <v>109</v>
      </c>
      <c r="J59" s="7" t="s">
        <v>130</v>
      </c>
      <c r="K59" s="11">
        <v>0.68125000000000002</v>
      </c>
      <c r="L59" s="7" t="s">
        <v>109</v>
      </c>
      <c r="M59" s="7" t="s">
        <v>109</v>
      </c>
      <c r="N59" s="38" t="s">
        <v>109</v>
      </c>
      <c r="O59" s="38" t="s">
        <v>61</v>
      </c>
      <c r="P59" s="7" t="s">
        <v>131</v>
      </c>
      <c r="Q59" s="7" t="s">
        <v>66</v>
      </c>
      <c r="R59" s="7" t="s">
        <v>62</v>
      </c>
      <c r="S59" s="7" t="s">
        <v>2922</v>
      </c>
      <c r="T59" s="29" t="s">
        <v>1365</v>
      </c>
      <c r="U59" s="108">
        <f t="shared" si="0"/>
        <v>0.33333333333333331</v>
      </c>
      <c r="V59" s="7" t="s">
        <v>2009</v>
      </c>
    </row>
    <row r="60" spans="1:22" x14ac:dyDescent="0.3">
      <c r="A60" s="7">
        <v>59</v>
      </c>
      <c r="B60" s="29" t="s">
        <v>23</v>
      </c>
      <c r="C60" s="29" t="s">
        <v>2121</v>
      </c>
      <c r="D60" s="29">
        <v>50226043</v>
      </c>
      <c r="E60" s="29">
        <v>75</v>
      </c>
      <c r="F60" s="7">
        <v>155</v>
      </c>
      <c r="G60" s="7">
        <v>30</v>
      </c>
      <c r="H60" s="53" t="s">
        <v>2964</v>
      </c>
      <c r="I60" s="7" t="s">
        <v>109</v>
      </c>
      <c r="J60" s="7" t="s">
        <v>130</v>
      </c>
      <c r="K60" s="11">
        <v>6.3888888888888884E-2</v>
      </c>
      <c r="L60" s="7" t="s">
        <v>109</v>
      </c>
      <c r="M60" s="7" t="s">
        <v>109</v>
      </c>
      <c r="N60" s="43" t="s">
        <v>1621</v>
      </c>
      <c r="O60" s="38" t="s">
        <v>61</v>
      </c>
      <c r="P60" s="7" t="s">
        <v>131</v>
      </c>
      <c r="Q60" s="7" t="s">
        <v>2964</v>
      </c>
      <c r="R60" s="7" t="s">
        <v>62</v>
      </c>
      <c r="S60" s="7" t="s">
        <v>2922</v>
      </c>
      <c r="T60" s="29" t="s">
        <v>464</v>
      </c>
      <c r="U60" s="108">
        <f t="shared" si="0"/>
        <v>0.4</v>
      </c>
      <c r="V60" s="7" t="s">
        <v>2965</v>
      </c>
    </row>
    <row r="61" spans="1:22" x14ac:dyDescent="0.3">
      <c r="A61" s="7">
        <v>60</v>
      </c>
      <c r="B61" s="29" t="s">
        <v>23</v>
      </c>
      <c r="C61" s="29" t="s">
        <v>2753</v>
      </c>
      <c r="D61" s="29">
        <v>50226123</v>
      </c>
      <c r="E61" s="29">
        <v>150</v>
      </c>
      <c r="F61" s="7">
        <v>325</v>
      </c>
      <c r="G61" s="7">
        <v>25</v>
      </c>
      <c r="H61" s="7" t="s">
        <v>1774</v>
      </c>
      <c r="I61" s="7" t="s">
        <v>109</v>
      </c>
      <c r="J61" s="7" t="s">
        <v>130</v>
      </c>
      <c r="K61" s="11">
        <v>0.74513888888888891</v>
      </c>
      <c r="L61" s="7" t="s">
        <v>109</v>
      </c>
      <c r="M61" s="7" t="s">
        <v>109</v>
      </c>
      <c r="N61" s="38" t="s">
        <v>109</v>
      </c>
      <c r="O61" s="38" t="s">
        <v>61</v>
      </c>
      <c r="P61" s="7" t="s">
        <v>131</v>
      </c>
      <c r="Q61" s="7" t="s">
        <v>71</v>
      </c>
      <c r="R61" s="7" t="s">
        <v>62</v>
      </c>
      <c r="S61" s="7" t="s">
        <v>2922</v>
      </c>
      <c r="T61" s="29" t="s">
        <v>362</v>
      </c>
      <c r="U61" s="108">
        <f t="shared" si="0"/>
        <v>0.16666666666666666</v>
      </c>
      <c r="V61" s="7" t="s">
        <v>2391</v>
      </c>
    </row>
    <row r="62" spans="1:22" x14ac:dyDescent="0.3">
      <c r="A62" s="7">
        <v>61</v>
      </c>
      <c r="B62" s="29" t="s">
        <v>23</v>
      </c>
      <c r="C62" s="29" t="s">
        <v>751</v>
      </c>
      <c r="D62" s="91">
        <v>50126143</v>
      </c>
      <c r="E62" s="29">
        <v>30</v>
      </c>
      <c r="F62" s="7">
        <v>75</v>
      </c>
      <c r="G62" s="7">
        <v>32</v>
      </c>
      <c r="H62" s="53" t="s">
        <v>196</v>
      </c>
      <c r="I62" s="53" t="s">
        <v>87</v>
      </c>
      <c r="J62" s="7" t="s">
        <v>130</v>
      </c>
      <c r="K62" s="11">
        <v>0.78541666666666665</v>
      </c>
      <c r="L62" s="11">
        <v>0.81874999999999998</v>
      </c>
      <c r="M62" s="7" t="s">
        <v>109</v>
      </c>
      <c r="N62" s="38" t="s">
        <v>109</v>
      </c>
      <c r="O62" s="38" t="s">
        <v>61</v>
      </c>
      <c r="P62" s="7" t="s">
        <v>131</v>
      </c>
      <c r="Q62" s="7" t="s">
        <v>87</v>
      </c>
      <c r="R62" s="7" t="s">
        <v>62</v>
      </c>
      <c r="S62" s="7" t="s">
        <v>2922</v>
      </c>
      <c r="T62" s="29" t="s">
        <v>480</v>
      </c>
      <c r="U62" s="108">
        <f t="shared" si="0"/>
        <v>1.0666666666666667</v>
      </c>
      <c r="V62" s="7" t="s">
        <v>1941</v>
      </c>
    </row>
    <row r="63" spans="1:22" x14ac:dyDescent="0.3">
      <c r="A63" s="7">
        <v>62</v>
      </c>
      <c r="B63" s="29" t="s">
        <v>23</v>
      </c>
      <c r="C63" s="29" t="s">
        <v>753</v>
      </c>
      <c r="D63" s="91">
        <v>50126146</v>
      </c>
      <c r="E63" s="29">
        <v>50</v>
      </c>
      <c r="F63" s="7">
        <v>76</v>
      </c>
      <c r="G63" s="7">
        <v>52</v>
      </c>
      <c r="H63" s="53" t="s">
        <v>87</v>
      </c>
      <c r="I63" s="7" t="s">
        <v>109</v>
      </c>
      <c r="J63" s="7" t="s">
        <v>130</v>
      </c>
      <c r="K63" s="11">
        <v>0.71875</v>
      </c>
      <c r="L63" s="7" t="s">
        <v>109</v>
      </c>
      <c r="M63" s="7" t="s">
        <v>109</v>
      </c>
      <c r="N63" s="38" t="s">
        <v>109</v>
      </c>
      <c r="O63" s="38" t="s">
        <v>61</v>
      </c>
      <c r="P63" s="7" t="s">
        <v>131</v>
      </c>
      <c r="Q63" s="7" t="s">
        <v>87</v>
      </c>
      <c r="R63" s="7" t="s">
        <v>62</v>
      </c>
      <c r="S63" s="7" t="s">
        <v>2922</v>
      </c>
      <c r="T63" s="29" t="s">
        <v>480</v>
      </c>
      <c r="U63" s="108">
        <f t="shared" si="0"/>
        <v>1.04</v>
      </c>
      <c r="V63" s="7" t="s">
        <v>1941</v>
      </c>
    </row>
    <row r="64" spans="1:22" x14ac:dyDescent="0.3">
      <c r="A64" s="7">
        <v>63</v>
      </c>
      <c r="B64" s="29" t="s">
        <v>23</v>
      </c>
      <c r="C64" s="29" t="s">
        <v>759</v>
      </c>
      <c r="D64" s="91">
        <v>50126147</v>
      </c>
      <c r="E64" s="29">
        <v>200</v>
      </c>
      <c r="F64" s="7">
        <v>371</v>
      </c>
      <c r="G64" s="7">
        <v>165</v>
      </c>
      <c r="H64" s="7" t="s">
        <v>969</v>
      </c>
      <c r="I64" s="7" t="s">
        <v>2942</v>
      </c>
      <c r="J64" s="7" t="s">
        <v>130</v>
      </c>
      <c r="K64" s="11">
        <v>0.84027777777777779</v>
      </c>
      <c r="L64" s="11">
        <v>0.92291666666666672</v>
      </c>
      <c r="M64" s="7" t="s">
        <v>109</v>
      </c>
      <c r="N64" s="38" t="s">
        <v>109</v>
      </c>
      <c r="O64" s="38" t="s">
        <v>61</v>
      </c>
      <c r="P64" s="7" t="s">
        <v>131</v>
      </c>
      <c r="Q64" s="7" t="s">
        <v>179</v>
      </c>
      <c r="R64" s="7" t="s">
        <v>62</v>
      </c>
      <c r="S64" s="7" t="s">
        <v>2922</v>
      </c>
      <c r="T64" s="29" t="s">
        <v>480</v>
      </c>
      <c r="U64" s="108">
        <f t="shared" si="0"/>
        <v>0.82499999999999996</v>
      </c>
      <c r="V64" s="7" t="s">
        <v>1941</v>
      </c>
    </row>
    <row r="65" spans="1:22" x14ac:dyDescent="0.3">
      <c r="A65" s="7">
        <v>64</v>
      </c>
      <c r="B65" s="29" t="s">
        <v>23</v>
      </c>
      <c r="C65" s="29" t="s">
        <v>1307</v>
      </c>
      <c r="D65" s="29">
        <v>50126334</v>
      </c>
      <c r="E65" s="29">
        <v>150</v>
      </c>
      <c r="F65" s="7">
        <v>175</v>
      </c>
      <c r="G65" s="7">
        <v>17</v>
      </c>
      <c r="H65" s="53" t="s">
        <v>2943</v>
      </c>
      <c r="I65" s="7" t="s">
        <v>109</v>
      </c>
      <c r="J65" s="7" t="s">
        <v>130</v>
      </c>
      <c r="K65" s="11">
        <v>0.89097222222222228</v>
      </c>
      <c r="L65" s="7" t="s">
        <v>109</v>
      </c>
      <c r="M65" s="7" t="s">
        <v>109</v>
      </c>
      <c r="N65" s="38" t="s">
        <v>109</v>
      </c>
      <c r="O65" s="38" t="s">
        <v>61</v>
      </c>
      <c r="P65" s="7" t="s">
        <v>131</v>
      </c>
      <c r="Q65" s="7" t="s">
        <v>82</v>
      </c>
      <c r="R65" s="7" t="s">
        <v>62</v>
      </c>
      <c r="S65" s="7" t="s">
        <v>2922</v>
      </c>
      <c r="T65" s="29" t="s">
        <v>1309</v>
      </c>
      <c r="U65" s="108">
        <f t="shared" si="0"/>
        <v>0.11333333333333333</v>
      </c>
      <c r="V65" s="7" t="s">
        <v>2950</v>
      </c>
    </row>
    <row r="66" spans="1:22" x14ac:dyDescent="0.3">
      <c r="A66" s="7">
        <v>65</v>
      </c>
      <c r="B66" s="29" t="s">
        <v>23</v>
      </c>
      <c r="C66" s="29" t="s">
        <v>1519</v>
      </c>
      <c r="D66" s="29">
        <v>50126353</v>
      </c>
      <c r="E66" s="29">
        <v>125</v>
      </c>
      <c r="F66" s="7">
        <v>213</v>
      </c>
      <c r="G66" s="7">
        <v>122</v>
      </c>
      <c r="H66" s="7" t="s">
        <v>989</v>
      </c>
      <c r="I66" s="7" t="s">
        <v>109</v>
      </c>
      <c r="J66" s="7" t="s">
        <v>130</v>
      </c>
      <c r="K66" s="11">
        <v>0.79791666666666672</v>
      </c>
      <c r="L66" s="7" t="s">
        <v>109</v>
      </c>
      <c r="M66" s="7" t="s">
        <v>109</v>
      </c>
      <c r="N66" s="38" t="s">
        <v>109</v>
      </c>
      <c r="O66" s="38" t="s">
        <v>61</v>
      </c>
      <c r="P66" s="7" t="s">
        <v>131</v>
      </c>
      <c r="Q66" s="7" t="s">
        <v>1082</v>
      </c>
      <c r="R66" s="7" t="s">
        <v>62</v>
      </c>
      <c r="S66" s="7" t="s">
        <v>2922</v>
      </c>
      <c r="T66" s="29" t="s">
        <v>1309</v>
      </c>
      <c r="U66" s="108">
        <f t="shared" si="0"/>
        <v>0.97599999999999998</v>
      </c>
      <c r="V66" s="7" t="s">
        <v>1941</v>
      </c>
    </row>
    <row r="67" spans="1:22" x14ac:dyDescent="0.3">
      <c r="A67" s="7">
        <v>66</v>
      </c>
      <c r="B67" s="29" t="s">
        <v>883</v>
      </c>
      <c r="C67" s="29" t="s">
        <v>2867</v>
      </c>
      <c r="D67" s="29">
        <v>60326001</v>
      </c>
      <c r="E67" s="29">
        <v>362</v>
      </c>
      <c r="F67" s="7">
        <v>711</v>
      </c>
      <c r="G67" s="7">
        <v>217</v>
      </c>
      <c r="H67" s="7" t="s">
        <v>2944</v>
      </c>
      <c r="I67" s="7" t="s">
        <v>109</v>
      </c>
      <c r="J67" s="7" t="s">
        <v>130</v>
      </c>
      <c r="K67" s="11">
        <v>0.94513888888888886</v>
      </c>
      <c r="L67" s="11">
        <v>0.97986111111111107</v>
      </c>
      <c r="M67" s="7" t="s">
        <v>109</v>
      </c>
      <c r="N67" s="43" t="s">
        <v>2949</v>
      </c>
      <c r="O67" s="38" t="s">
        <v>61</v>
      </c>
      <c r="P67" s="7" t="s">
        <v>131</v>
      </c>
      <c r="Q67" s="7" t="s">
        <v>94</v>
      </c>
      <c r="R67" s="7" t="s">
        <v>63</v>
      </c>
      <c r="S67" s="7" t="s">
        <v>123</v>
      </c>
      <c r="T67" s="29" t="s">
        <v>2870</v>
      </c>
      <c r="U67" s="108">
        <f t="shared" ref="U67:U69" si="1">G67/E67</f>
        <v>0.59944751381215466</v>
      </c>
      <c r="V67" s="7" t="s">
        <v>2009</v>
      </c>
    </row>
    <row r="68" spans="1:22" x14ac:dyDescent="0.3">
      <c r="A68" s="7">
        <v>67</v>
      </c>
      <c r="B68" s="29" t="s">
        <v>143</v>
      </c>
      <c r="C68" s="29" t="s">
        <v>1598</v>
      </c>
      <c r="D68" s="29">
        <v>10126044</v>
      </c>
      <c r="E68" s="29">
        <v>128</v>
      </c>
      <c r="F68" s="7">
        <v>199</v>
      </c>
      <c r="G68" s="7">
        <v>126</v>
      </c>
      <c r="H68" s="47" t="s">
        <v>2945</v>
      </c>
      <c r="I68" s="7" t="s">
        <v>2946</v>
      </c>
      <c r="J68" s="7" t="s">
        <v>130</v>
      </c>
      <c r="K68" s="11">
        <v>0.92708333333333337</v>
      </c>
      <c r="L68" s="11">
        <v>0.97291666666666665</v>
      </c>
      <c r="M68" s="7" t="s">
        <v>109</v>
      </c>
      <c r="N68" s="43" t="s">
        <v>2947</v>
      </c>
      <c r="O68" s="38" t="s">
        <v>61</v>
      </c>
      <c r="P68" s="7" t="s">
        <v>131</v>
      </c>
      <c r="Q68" s="7" t="s">
        <v>88</v>
      </c>
      <c r="R68" s="7" t="s">
        <v>62</v>
      </c>
      <c r="S68" s="7" t="s">
        <v>2249</v>
      </c>
      <c r="T68" s="29" t="s">
        <v>480</v>
      </c>
      <c r="U68" s="108">
        <f t="shared" si="1"/>
        <v>0.984375</v>
      </c>
      <c r="V68" s="7" t="s">
        <v>1941</v>
      </c>
    </row>
    <row r="69" spans="1:22" x14ac:dyDescent="0.3">
      <c r="A69" s="7">
        <v>68</v>
      </c>
      <c r="B69" s="29" t="s">
        <v>23</v>
      </c>
      <c r="C69" s="29" t="s">
        <v>516</v>
      </c>
      <c r="D69" s="29">
        <v>50126048</v>
      </c>
      <c r="E69" s="29">
        <v>100</v>
      </c>
      <c r="F69" s="7">
        <v>98</v>
      </c>
      <c r="G69" s="7">
        <v>48</v>
      </c>
      <c r="H69" s="7" t="s">
        <v>200</v>
      </c>
      <c r="I69" s="7" t="s">
        <v>109</v>
      </c>
      <c r="J69" s="7" t="s">
        <v>130</v>
      </c>
      <c r="K69" s="11">
        <v>0.95277777777777772</v>
      </c>
      <c r="L69" s="7" t="s">
        <v>109</v>
      </c>
      <c r="M69" s="7" t="s">
        <v>109</v>
      </c>
      <c r="N69" s="38" t="s">
        <v>109</v>
      </c>
      <c r="O69" s="38" t="s">
        <v>606</v>
      </c>
      <c r="P69" s="7" t="s">
        <v>131</v>
      </c>
      <c r="Q69" s="7" t="s">
        <v>200</v>
      </c>
      <c r="R69" s="7" t="s">
        <v>62</v>
      </c>
      <c r="S69" s="7" t="s">
        <v>109</v>
      </c>
      <c r="T69" s="29" t="s">
        <v>424</v>
      </c>
      <c r="U69" s="108">
        <f t="shared" si="1"/>
        <v>0.48</v>
      </c>
      <c r="V69" s="7" t="s">
        <v>2384</v>
      </c>
    </row>
    <row r="70" spans="1:22" x14ac:dyDescent="0.3">
      <c r="A70" s="7">
        <v>69</v>
      </c>
      <c r="B70" s="29" t="s">
        <v>23</v>
      </c>
      <c r="C70" s="29" t="s">
        <v>801</v>
      </c>
      <c r="D70" s="29">
        <v>50126196</v>
      </c>
      <c r="E70" s="29">
        <v>40</v>
      </c>
      <c r="F70" s="7">
        <v>40</v>
      </c>
      <c r="G70" s="7">
        <v>33</v>
      </c>
      <c r="H70" s="7" t="s">
        <v>87</v>
      </c>
      <c r="I70" s="7" t="s">
        <v>109</v>
      </c>
      <c r="J70" s="7" t="s">
        <v>130</v>
      </c>
      <c r="K70" s="11">
        <v>0.94236111111111109</v>
      </c>
      <c r="L70" s="7" t="s">
        <v>109</v>
      </c>
      <c r="M70" s="7" t="s">
        <v>109</v>
      </c>
      <c r="N70" s="38" t="s">
        <v>109</v>
      </c>
      <c r="O70" s="38" t="s">
        <v>606</v>
      </c>
      <c r="P70" s="7" t="s">
        <v>131</v>
      </c>
      <c r="Q70" s="7" t="s">
        <v>87</v>
      </c>
      <c r="R70" s="7" t="s">
        <v>62</v>
      </c>
      <c r="S70" s="7" t="s">
        <v>109</v>
      </c>
      <c r="T70" s="29" t="s">
        <v>424</v>
      </c>
      <c r="U70" s="108">
        <f t="shared" ref="U70" si="2">G70/E70</f>
        <v>0.82499999999999996</v>
      </c>
      <c r="V70" s="7" t="s">
        <v>2384</v>
      </c>
    </row>
    <row r="71" spans="1:22" x14ac:dyDescent="0.3">
      <c r="A71" s="7">
        <v>70</v>
      </c>
      <c r="B71" s="29" t="s">
        <v>23</v>
      </c>
      <c r="C71" s="29" t="s">
        <v>427</v>
      </c>
      <c r="D71" s="29">
        <v>50126022</v>
      </c>
      <c r="E71" s="29">
        <v>571</v>
      </c>
      <c r="F71" s="7">
        <v>435</v>
      </c>
      <c r="G71" s="7">
        <v>282</v>
      </c>
      <c r="H71" s="7" t="s">
        <v>2952</v>
      </c>
      <c r="I71" s="7" t="s">
        <v>109</v>
      </c>
      <c r="J71" s="7" t="s">
        <v>130</v>
      </c>
      <c r="K71" s="11">
        <v>0.96250000000000002</v>
      </c>
      <c r="L71" s="7" t="s">
        <v>109</v>
      </c>
      <c r="M71" s="7" t="s">
        <v>109</v>
      </c>
      <c r="N71" s="38" t="s">
        <v>109</v>
      </c>
      <c r="O71" s="38" t="s">
        <v>606</v>
      </c>
      <c r="P71" s="7" t="s">
        <v>131</v>
      </c>
      <c r="Q71" s="7" t="s">
        <v>84</v>
      </c>
      <c r="R71" s="7" t="s">
        <v>62</v>
      </c>
      <c r="S71" s="7" t="s">
        <v>109</v>
      </c>
      <c r="T71" s="29" t="s">
        <v>424</v>
      </c>
      <c r="U71" s="108">
        <f t="shared" ref="U71" si="3">G71/E71</f>
        <v>0.49387040280210159</v>
      </c>
      <c r="V71" s="7" t="s">
        <v>2384</v>
      </c>
    </row>
    <row r="72" spans="1:22" x14ac:dyDescent="0.3">
      <c r="A72" s="7">
        <v>71</v>
      </c>
      <c r="B72" s="29" t="s">
        <v>23</v>
      </c>
      <c r="C72" s="29" t="s">
        <v>845</v>
      </c>
      <c r="D72" s="29">
        <v>50126206</v>
      </c>
      <c r="E72" s="29">
        <v>217</v>
      </c>
      <c r="F72" s="7">
        <v>100</v>
      </c>
      <c r="G72" s="7">
        <v>5</v>
      </c>
      <c r="H72" s="7" t="s">
        <v>989</v>
      </c>
      <c r="I72" s="7" t="s">
        <v>109</v>
      </c>
      <c r="J72" s="7" t="s">
        <v>130</v>
      </c>
      <c r="K72" s="11">
        <v>0.95694444444444449</v>
      </c>
      <c r="L72" s="7" t="s">
        <v>109</v>
      </c>
      <c r="M72" s="7" t="s">
        <v>109</v>
      </c>
      <c r="N72" s="38" t="s">
        <v>109</v>
      </c>
      <c r="O72" s="38" t="s">
        <v>606</v>
      </c>
      <c r="P72" s="7" t="s">
        <v>131</v>
      </c>
      <c r="Q72" s="7" t="s">
        <v>89</v>
      </c>
      <c r="R72" s="7" t="s">
        <v>62</v>
      </c>
      <c r="S72" s="7" t="s">
        <v>109</v>
      </c>
      <c r="T72" s="29" t="s">
        <v>424</v>
      </c>
      <c r="U72" s="108">
        <f t="shared" ref="U72" si="4">G72/E72</f>
        <v>2.3041474654377881E-2</v>
      </c>
      <c r="V72" s="7" t="s">
        <v>2384</v>
      </c>
    </row>
    <row r="73" spans="1:22" x14ac:dyDescent="0.3">
      <c r="A73" s="7">
        <v>72</v>
      </c>
      <c r="B73" s="29" t="s">
        <v>23</v>
      </c>
      <c r="C73" s="29" t="s">
        <v>732</v>
      </c>
      <c r="D73" s="29">
        <v>50126122</v>
      </c>
      <c r="E73" s="29">
        <v>209</v>
      </c>
      <c r="F73" s="7">
        <v>86</v>
      </c>
      <c r="G73" s="7">
        <v>29</v>
      </c>
      <c r="H73" s="7" t="s">
        <v>2953</v>
      </c>
      <c r="I73" s="7" t="s">
        <v>109</v>
      </c>
      <c r="J73" s="7" t="s">
        <v>130</v>
      </c>
      <c r="K73" s="11">
        <v>0.9770833333333333</v>
      </c>
      <c r="L73" s="7" t="s">
        <v>109</v>
      </c>
      <c r="M73" s="7" t="s">
        <v>109</v>
      </c>
      <c r="N73" s="38" t="s">
        <v>109</v>
      </c>
      <c r="O73" s="38" t="s">
        <v>606</v>
      </c>
      <c r="P73" s="7" t="s">
        <v>131</v>
      </c>
      <c r="Q73" s="7" t="s">
        <v>91</v>
      </c>
      <c r="R73" s="7" t="s">
        <v>62</v>
      </c>
      <c r="S73" s="7" t="s">
        <v>109</v>
      </c>
      <c r="T73" s="29" t="s">
        <v>424</v>
      </c>
      <c r="U73" s="108">
        <f t="shared" ref="U73" si="5">G73/E73</f>
        <v>0.13875598086124402</v>
      </c>
      <c r="V73" s="7" t="s">
        <v>2384</v>
      </c>
    </row>
    <row r="74" spans="1:22" x14ac:dyDescent="0.3">
      <c r="A74" s="7">
        <v>73</v>
      </c>
      <c r="B74" s="29" t="s">
        <v>23</v>
      </c>
      <c r="C74" s="29" t="s">
        <v>1173</v>
      </c>
      <c r="D74" s="29">
        <v>50126327</v>
      </c>
      <c r="E74" s="29">
        <v>30</v>
      </c>
      <c r="F74" s="7">
        <v>13</v>
      </c>
      <c r="G74" s="7">
        <v>12</v>
      </c>
      <c r="H74" s="7" t="s">
        <v>88</v>
      </c>
      <c r="I74" s="7" t="s">
        <v>109</v>
      </c>
      <c r="J74" s="7" t="s">
        <v>130</v>
      </c>
      <c r="K74" s="11">
        <v>0.9506944444444444</v>
      </c>
      <c r="L74" s="7" t="s">
        <v>109</v>
      </c>
      <c r="M74" s="7" t="s">
        <v>109</v>
      </c>
      <c r="N74" s="38" t="s">
        <v>109</v>
      </c>
      <c r="O74" s="38" t="s">
        <v>606</v>
      </c>
      <c r="P74" s="7" t="s">
        <v>131</v>
      </c>
      <c r="Q74" s="7" t="s">
        <v>88</v>
      </c>
      <c r="R74" s="7" t="s">
        <v>62</v>
      </c>
      <c r="S74" s="7" t="s">
        <v>109</v>
      </c>
      <c r="T74" s="29" t="s">
        <v>424</v>
      </c>
      <c r="U74" s="108">
        <f t="shared" ref="U74" si="6">G74/E74</f>
        <v>0.4</v>
      </c>
      <c r="V74" s="7" t="s">
        <v>2384</v>
      </c>
    </row>
    <row r="75" spans="1:22" x14ac:dyDescent="0.3">
      <c r="A75" s="7">
        <v>74</v>
      </c>
      <c r="B75" s="29" t="s">
        <v>23</v>
      </c>
      <c r="C75" s="29" t="s">
        <v>429</v>
      </c>
      <c r="D75" s="29">
        <v>50126043</v>
      </c>
      <c r="E75" s="29">
        <v>10</v>
      </c>
      <c r="F75" s="7">
        <v>15</v>
      </c>
      <c r="G75" s="7">
        <v>10</v>
      </c>
      <c r="H75" s="7" t="s">
        <v>67</v>
      </c>
      <c r="I75" s="7" t="s">
        <v>109</v>
      </c>
      <c r="J75" s="7" t="s">
        <v>130</v>
      </c>
      <c r="K75" s="11">
        <v>0.96388888888888891</v>
      </c>
      <c r="L75" s="7" t="s">
        <v>109</v>
      </c>
      <c r="M75" s="7" t="s">
        <v>109</v>
      </c>
      <c r="N75" s="38" t="s">
        <v>109</v>
      </c>
      <c r="O75" s="38" t="s">
        <v>61</v>
      </c>
      <c r="P75" s="7" t="s">
        <v>131</v>
      </c>
      <c r="Q75" s="7" t="s">
        <v>67</v>
      </c>
      <c r="R75" s="7" t="s">
        <v>62</v>
      </c>
      <c r="S75" s="7" t="s">
        <v>2922</v>
      </c>
      <c r="T75" s="29" t="s">
        <v>424</v>
      </c>
      <c r="U75" s="108">
        <f t="shared" ref="U75:U119" si="7">G75/E75</f>
        <v>1</v>
      </c>
      <c r="V75" s="7" t="s">
        <v>1941</v>
      </c>
    </row>
    <row r="76" spans="1:22" x14ac:dyDescent="0.3">
      <c r="A76" s="7">
        <v>75</v>
      </c>
      <c r="B76" s="29" t="s">
        <v>23</v>
      </c>
      <c r="C76" s="29" t="s">
        <v>543</v>
      </c>
      <c r="D76" s="29">
        <v>50126088</v>
      </c>
      <c r="E76" s="29">
        <v>10</v>
      </c>
      <c r="F76" s="7">
        <v>25</v>
      </c>
      <c r="G76" s="7">
        <v>15</v>
      </c>
      <c r="H76" s="7" t="s">
        <v>196</v>
      </c>
      <c r="I76" s="7" t="s">
        <v>109</v>
      </c>
      <c r="J76" s="7" t="s">
        <v>130</v>
      </c>
      <c r="K76" s="11">
        <v>0.95902777777777781</v>
      </c>
      <c r="L76" s="7" t="s">
        <v>109</v>
      </c>
      <c r="M76" s="7" t="s">
        <v>109</v>
      </c>
      <c r="N76" s="38" t="s">
        <v>109</v>
      </c>
      <c r="O76" s="38" t="s">
        <v>61</v>
      </c>
      <c r="P76" s="7" t="s">
        <v>131</v>
      </c>
      <c r="Q76" s="7" t="s">
        <v>196</v>
      </c>
      <c r="R76" s="7" t="s">
        <v>62</v>
      </c>
      <c r="S76" s="7" t="s">
        <v>2922</v>
      </c>
      <c r="T76" s="29" t="s">
        <v>424</v>
      </c>
      <c r="U76" s="108">
        <f t="shared" si="7"/>
        <v>1.5</v>
      </c>
      <c r="V76" s="7" t="s">
        <v>1941</v>
      </c>
    </row>
    <row r="77" spans="1:22" x14ac:dyDescent="0.3">
      <c r="A77" s="7">
        <v>76</v>
      </c>
      <c r="B77" s="29" t="s">
        <v>23</v>
      </c>
      <c r="C77" s="29" t="s">
        <v>517</v>
      </c>
      <c r="D77" s="29">
        <v>50126049</v>
      </c>
      <c r="E77" s="29">
        <v>20</v>
      </c>
      <c r="F77" s="7">
        <v>43</v>
      </c>
      <c r="G77" s="7">
        <v>4</v>
      </c>
      <c r="H77" s="7" t="s">
        <v>71</v>
      </c>
      <c r="I77" s="7" t="s">
        <v>109</v>
      </c>
      <c r="J77" s="7" t="s">
        <v>130</v>
      </c>
      <c r="K77" s="11">
        <v>0.98541666666666672</v>
      </c>
      <c r="L77" s="7" t="s">
        <v>109</v>
      </c>
      <c r="M77" s="7" t="s">
        <v>109</v>
      </c>
      <c r="N77" s="38" t="s">
        <v>109</v>
      </c>
      <c r="O77" s="38" t="s">
        <v>61</v>
      </c>
      <c r="P77" s="7" t="s">
        <v>131</v>
      </c>
      <c r="Q77" s="7" t="s">
        <v>71</v>
      </c>
      <c r="R77" s="7" t="s">
        <v>62</v>
      </c>
      <c r="S77" s="7" t="s">
        <v>2922</v>
      </c>
      <c r="T77" s="29" t="s">
        <v>424</v>
      </c>
      <c r="U77" s="108">
        <f t="shared" si="7"/>
        <v>0.2</v>
      </c>
      <c r="V77" s="7" t="s">
        <v>2950</v>
      </c>
    </row>
    <row r="78" spans="1:22" x14ac:dyDescent="0.3">
      <c r="A78" s="147">
        <v>77</v>
      </c>
      <c r="B78" s="148" t="s">
        <v>23</v>
      </c>
      <c r="C78" s="148" t="s">
        <v>819</v>
      </c>
      <c r="D78" s="148">
        <v>50126227</v>
      </c>
      <c r="E78" s="148">
        <v>20</v>
      </c>
      <c r="F78" s="147" t="s">
        <v>109</v>
      </c>
      <c r="G78" s="147" t="s">
        <v>109</v>
      </c>
      <c r="H78" s="147" t="s">
        <v>64</v>
      </c>
      <c r="I78" s="147" t="s">
        <v>109</v>
      </c>
      <c r="J78" s="147" t="s">
        <v>85</v>
      </c>
      <c r="K78" s="152" t="s">
        <v>109</v>
      </c>
      <c r="L78" s="147" t="s">
        <v>109</v>
      </c>
      <c r="M78" s="147" t="s">
        <v>109</v>
      </c>
      <c r="N78" s="148" t="s">
        <v>109</v>
      </c>
      <c r="O78" s="148" t="s">
        <v>61</v>
      </c>
      <c r="P78" s="147" t="s">
        <v>109</v>
      </c>
      <c r="Q78" s="147" t="s">
        <v>109</v>
      </c>
      <c r="R78" s="147" t="s">
        <v>62</v>
      </c>
      <c r="S78" s="147" t="s">
        <v>2922</v>
      </c>
      <c r="T78" s="148" t="s">
        <v>424</v>
      </c>
      <c r="U78" s="151" t="e">
        <f t="shared" si="7"/>
        <v>#VALUE!</v>
      </c>
      <c r="V78" s="147" t="s">
        <v>109</v>
      </c>
    </row>
    <row r="79" spans="1:22" x14ac:dyDescent="0.3">
      <c r="A79" s="7">
        <v>78</v>
      </c>
      <c r="B79" s="29" t="s">
        <v>23</v>
      </c>
      <c r="C79" s="29" t="s">
        <v>1716</v>
      </c>
      <c r="D79" s="29">
        <v>50126402</v>
      </c>
      <c r="E79" s="29">
        <v>20</v>
      </c>
      <c r="F79" s="7">
        <v>38</v>
      </c>
      <c r="G79" s="7">
        <v>20</v>
      </c>
      <c r="H79" s="7" t="s">
        <v>66</v>
      </c>
      <c r="I79" s="7" t="s">
        <v>109</v>
      </c>
      <c r="J79" s="7" t="s">
        <v>130</v>
      </c>
      <c r="K79" s="11">
        <v>0.97638888888888886</v>
      </c>
      <c r="L79" s="7" t="s">
        <v>109</v>
      </c>
      <c r="M79" s="7" t="s">
        <v>109</v>
      </c>
      <c r="N79" s="38" t="s">
        <v>109</v>
      </c>
      <c r="O79" s="38" t="s">
        <v>61</v>
      </c>
      <c r="P79" s="7" t="s">
        <v>131</v>
      </c>
      <c r="Q79" s="7" t="s">
        <v>66</v>
      </c>
      <c r="R79" s="7" t="s">
        <v>62</v>
      </c>
      <c r="S79" s="7" t="s">
        <v>2922</v>
      </c>
      <c r="T79" s="29" t="s">
        <v>424</v>
      </c>
      <c r="U79" s="108">
        <f t="shared" si="7"/>
        <v>1</v>
      </c>
      <c r="V79" s="7" t="s">
        <v>1941</v>
      </c>
    </row>
    <row r="80" spans="1:22" x14ac:dyDescent="0.3">
      <c r="A80" s="7">
        <v>79</v>
      </c>
      <c r="B80" s="29" t="s">
        <v>23</v>
      </c>
      <c r="C80" s="29" t="s">
        <v>1663</v>
      </c>
      <c r="D80" s="29">
        <v>50126389</v>
      </c>
      <c r="E80" s="29">
        <v>20</v>
      </c>
      <c r="F80" s="7">
        <v>42</v>
      </c>
      <c r="G80" s="7">
        <v>25</v>
      </c>
      <c r="H80" s="7" t="s">
        <v>70</v>
      </c>
      <c r="I80" s="7" t="s">
        <v>109</v>
      </c>
      <c r="J80" s="7" t="s">
        <v>130</v>
      </c>
      <c r="K80" s="11">
        <v>0.97638888888888886</v>
      </c>
      <c r="L80" s="7" t="s">
        <v>109</v>
      </c>
      <c r="M80" s="7" t="s">
        <v>109</v>
      </c>
      <c r="N80" s="38" t="s">
        <v>109</v>
      </c>
      <c r="O80" s="38" t="s">
        <v>61</v>
      </c>
      <c r="P80" s="7" t="s">
        <v>131</v>
      </c>
      <c r="Q80" s="7" t="s">
        <v>70</v>
      </c>
      <c r="R80" s="7" t="s">
        <v>62</v>
      </c>
      <c r="S80" s="7" t="s">
        <v>2922</v>
      </c>
      <c r="T80" s="29" t="s">
        <v>424</v>
      </c>
      <c r="U80" s="108">
        <f t="shared" si="7"/>
        <v>1.25</v>
      </c>
      <c r="V80" s="7" t="s">
        <v>1941</v>
      </c>
    </row>
    <row r="81" spans="1:22" x14ac:dyDescent="0.3">
      <c r="A81" s="7">
        <v>80</v>
      </c>
      <c r="B81" s="29" t="s">
        <v>23</v>
      </c>
      <c r="C81" s="29" t="s">
        <v>926</v>
      </c>
      <c r="D81" s="29">
        <v>50126265</v>
      </c>
      <c r="E81" s="29">
        <v>20</v>
      </c>
      <c r="F81" s="7">
        <v>56</v>
      </c>
      <c r="G81" s="7">
        <v>28</v>
      </c>
      <c r="H81" s="7" t="s">
        <v>82</v>
      </c>
      <c r="I81" s="7" t="s">
        <v>109</v>
      </c>
      <c r="J81" s="7" t="s">
        <v>130</v>
      </c>
      <c r="K81" s="11">
        <v>3.2638888888888891E-2</v>
      </c>
      <c r="L81" s="7" t="s">
        <v>109</v>
      </c>
      <c r="M81" s="7" t="s">
        <v>109</v>
      </c>
      <c r="N81" s="38" t="s">
        <v>109</v>
      </c>
      <c r="O81" s="38" t="s">
        <v>61</v>
      </c>
      <c r="P81" s="7" t="s">
        <v>131</v>
      </c>
      <c r="Q81" s="7" t="s">
        <v>82</v>
      </c>
      <c r="R81" s="7" t="s">
        <v>62</v>
      </c>
      <c r="S81" s="7" t="s">
        <v>2922</v>
      </c>
      <c r="T81" s="29" t="s">
        <v>424</v>
      </c>
      <c r="U81" s="108">
        <f t="shared" si="7"/>
        <v>1.4</v>
      </c>
      <c r="V81" s="7" t="s">
        <v>1941</v>
      </c>
    </row>
    <row r="82" spans="1:22" x14ac:dyDescent="0.3">
      <c r="A82" s="7">
        <v>81</v>
      </c>
      <c r="B82" s="29" t="s">
        <v>23</v>
      </c>
      <c r="C82" s="29" t="s">
        <v>949</v>
      </c>
      <c r="D82" s="29">
        <v>50126238</v>
      </c>
      <c r="E82" s="29">
        <v>20</v>
      </c>
      <c r="F82" s="7">
        <v>30</v>
      </c>
      <c r="G82" s="7">
        <v>21</v>
      </c>
      <c r="H82" s="7" t="s">
        <v>69</v>
      </c>
      <c r="I82" s="7" t="s">
        <v>109</v>
      </c>
      <c r="J82" s="7" t="s">
        <v>130</v>
      </c>
      <c r="K82" s="11">
        <v>0.96805555555555556</v>
      </c>
      <c r="L82" s="7" t="s">
        <v>109</v>
      </c>
      <c r="M82" s="7" t="s">
        <v>109</v>
      </c>
      <c r="N82" s="38" t="s">
        <v>109</v>
      </c>
      <c r="O82" s="38" t="s">
        <v>61</v>
      </c>
      <c r="P82" s="7" t="s">
        <v>131</v>
      </c>
      <c r="Q82" s="7" t="s">
        <v>69</v>
      </c>
      <c r="R82" s="7" t="s">
        <v>62</v>
      </c>
      <c r="S82" s="7" t="s">
        <v>2922</v>
      </c>
      <c r="T82" s="29" t="s">
        <v>424</v>
      </c>
      <c r="U82" s="108">
        <f t="shared" si="7"/>
        <v>1.05</v>
      </c>
      <c r="V82" s="7" t="s">
        <v>1941</v>
      </c>
    </row>
    <row r="83" spans="1:22" x14ac:dyDescent="0.3">
      <c r="A83" s="7">
        <v>82</v>
      </c>
      <c r="B83" s="29" t="s">
        <v>23</v>
      </c>
      <c r="C83" s="29" t="s">
        <v>549</v>
      </c>
      <c r="D83" s="29">
        <v>50126094</v>
      </c>
      <c r="E83" s="29">
        <v>25</v>
      </c>
      <c r="F83" s="7">
        <v>47</v>
      </c>
      <c r="G83" s="7">
        <v>23</v>
      </c>
      <c r="H83" s="7" t="s">
        <v>65</v>
      </c>
      <c r="I83" s="7" t="s">
        <v>109</v>
      </c>
      <c r="J83" s="7" t="s">
        <v>130</v>
      </c>
      <c r="K83" s="11">
        <v>0.96527777777777779</v>
      </c>
      <c r="L83" s="7" t="s">
        <v>109</v>
      </c>
      <c r="M83" s="7" t="s">
        <v>109</v>
      </c>
      <c r="N83" s="38" t="s">
        <v>109</v>
      </c>
      <c r="O83" s="38" t="s">
        <v>61</v>
      </c>
      <c r="P83" s="7" t="s">
        <v>131</v>
      </c>
      <c r="Q83" s="7" t="s">
        <v>65</v>
      </c>
      <c r="R83" s="7" t="s">
        <v>62</v>
      </c>
      <c r="S83" s="7" t="s">
        <v>2922</v>
      </c>
      <c r="T83" s="29" t="s">
        <v>424</v>
      </c>
      <c r="U83" s="108">
        <f t="shared" si="7"/>
        <v>0.92</v>
      </c>
      <c r="V83" s="7" t="s">
        <v>1941</v>
      </c>
    </row>
    <row r="84" spans="1:22" x14ac:dyDescent="0.3">
      <c r="A84" s="7">
        <v>83</v>
      </c>
      <c r="B84" s="29" t="s">
        <v>23</v>
      </c>
      <c r="C84" s="29" t="s">
        <v>947</v>
      </c>
      <c r="D84" s="29">
        <v>50126237</v>
      </c>
      <c r="E84" s="29">
        <v>25</v>
      </c>
      <c r="F84" s="7">
        <v>49</v>
      </c>
      <c r="G84" s="7">
        <v>23</v>
      </c>
      <c r="H84" s="7" t="s">
        <v>184</v>
      </c>
      <c r="I84" s="7" t="s">
        <v>109</v>
      </c>
      <c r="J84" s="7" t="s">
        <v>130</v>
      </c>
      <c r="K84" s="11">
        <v>0.96944444444444444</v>
      </c>
      <c r="L84" s="7" t="s">
        <v>109</v>
      </c>
      <c r="M84" s="7" t="s">
        <v>109</v>
      </c>
      <c r="N84" s="38" t="s">
        <v>109</v>
      </c>
      <c r="O84" s="38" t="s">
        <v>61</v>
      </c>
      <c r="P84" s="7" t="s">
        <v>131</v>
      </c>
      <c r="Q84" s="7" t="s">
        <v>184</v>
      </c>
      <c r="R84" s="7" t="s">
        <v>62</v>
      </c>
      <c r="S84" s="7" t="s">
        <v>2922</v>
      </c>
      <c r="T84" s="29" t="s">
        <v>424</v>
      </c>
      <c r="U84" s="108">
        <f t="shared" si="7"/>
        <v>0.92</v>
      </c>
      <c r="V84" s="7" t="s">
        <v>1941</v>
      </c>
    </row>
    <row r="85" spans="1:22" x14ac:dyDescent="0.3">
      <c r="A85" s="7">
        <v>84</v>
      </c>
      <c r="B85" s="29" t="s">
        <v>23</v>
      </c>
      <c r="C85" s="29" t="s">
        <v>733</v>
      </c>
      <c r="D85" s="29">
        <v>50126129</v>
      </c>
      <c r="E85" s="29">
        <v>30</v>
      </c>
      <c r="F85" s="7">
        <v>49</v>
      </c>
      <c r="G85" s="7">
        <v>29</v>
      </c>
      <c r="H85" s="7" t="s">
        <v>84</v>
      </c>
      <c r="I85" s="7" t="s">
        <v>109</v>
      </c>
      <c r="J85" s="7" t="s">
        <v>130</v>
      </c>
      <c r="K85" s="11">
        <v>4.3055555555555555E-2</v>
      </c>
      <c r="L85" s="7" t="s">
        <v>109</v>
      </c>
      <c r="M85" s="7" t="s">
        <v>109</v>
      </c>
      <c r="N85" s="38" t="s">
        <v>109</v>
      </c>
      <c r="O85" s="38" t="s">
        <v>61</v>
      </c>
      <c r="P85" s="7" t="s">
        <v>131</v>
      </c>
      <c r="Q85" s="7" t="s">
        <v>84</v>
      </c>
      <c r="R85" s="7" t="s">
        <v>62</v>
      </c>
      <c r="S85" s="7" t="s">
        <v>2922</v>
      </c>
      <c r="T85" s="29" t="s">
        <v>424</v>
      </c>
      <c r="U85" s="108">
        <f t="shared" si="7"/>
        <v>0.96666666666666667</v>
      </c>
      <c r="V85" s="7" t="s">
        <v>1941</v>
      </c>
    </row>
    <row r="86" spans="1:22" x14ac:dyDescent="0.3">
      <c r="A86" s="7">
        <v>85</v>
      </c>
      <c r="B86" s="29" t="s">
        <v>23</v>
      </c>
      <c r="C86" s="29" t="s">
        <v>1642</v>
      </c>
      <c r="D86" s="29">
        <v>50126372</v>
      </c>
      <c r="E86" s="29">
        <v>30</v>
      </c>
      <c r="F86" s="7">
        <v>45</v>
      </c>
      <c r="G86" s="7">
        <v>34</v>
      </c>
      <c r="H86" s="7" t="s">
        <v>241</v>
      </c>
      <c r="I86" s="7" t="s">
        <v>109</v>
      </c>
      <c r="J86" s="7" t="s">
        <v>130</v>
      </c>
      <c r="K86" s="11">
        <v>0.96597222222222223</v>
      </c>
      <c r="L86" s="7" t="s">
        <v>109</v>
      </c>
      <c r="M86" s="7" t="s">
        <v>109</v>
      </c>
      <c r="N86" s="38" t="s">
        <v>109</v>
      </c>
      <c r="O86" s="38" t="s">
        <v>61</v>
      </c>
      <c r="P86" s="7" t="s">
        <v>131</v>
      </c>
      <c r="Q86" s="7" t="s">
        <v>241</v>
      </c>
      <c r="R86" s="7" t="s">
        <v>62</v>
      </c>
      <c r="S86" s="7" t="s">
        <v>2922</v>
      </c>
      <c r="T86" s="29" t="s">
        <v>424</v>
      </c>
      <c r="U86" s="108">
        <f t="shared" si="7"/>
        <v>1.1333333333333333</v>
      </c>
      <c r="V86" s="7" t="s">
        <v>1941</v>
      </c>
    </row>
    <row r="87" spans="1:22" x14ac:dyDescent="0.3">
      <c r="A87" s="7">
        <v>86</v>
      </c>
      <c r="B87" s="29" t="s">
        <v>23</v>
      </c>
      <c r="C87" s="29" t="s">
        <v>1221</v>
      </c>
      <c r="D87" s="29">
        <v>50126329</v>
      </c>
      <c r="E87" s="29">
        <v>30</v>
      </c>
      <c r="F87" s="7">
        <v>42</v>
      </c>
      <c r="G87" s="7">
        <v>34</v>
      </c>
      <c r="H87" s="7" t="s">
        <v>68</v>
      </c>
      <c r="I87" s="7" t="s">
        <v>109</v>
      </c>
      <c r="J87" s="7" t="s">
        <v>130</v>
      </c>
      <c r="K87" s="11">
        <v>0.98819444444444449</v>
      </c>
      <c r="L87" s="7" t="s">
        <v>109</v>
      </c>
      <c r="M87" s="7" t="s">
        <v>109</v>
      </c>
      <c r="N87" s="38" t="s">
        <v>109</v>
      </c>
      <c r="O87" s="38" t="s">
        <v>61</v>
      </c>
      <c r="P87" s="7" t="s">
        <v>131</v>
      </c>
      <c r="Q87" s="7" t="s">
        <v>68</v>
      </c>
      <c r="R87" s="7" t="s">
        <v>62</v>
      </c>
      <c r="S87" s="7" t="s">
        <v>2922</v>
      </c>
      <c r="T87" s="29" t="s">
        <v>424</v>
      </c>
      <c r="U87" s="108">
        <f t="shared" si="7"/>
        <v>1.1333333333333333</v>
      </c>
      <c r="V87" s="7" t="s">
        <v>1941</v>
      </c>
    </row>
    <row r="88" spans="1:22" x14ac:dyDescent="0.3">
      <c r="A88" s="7">
        <v>87</v>
      </c>
      <c r="B88" s="29" t="s">
        <v>23</v>
      </c>
      <c r="C88" s="29" t="s">
        <v>2036</v>
      </c>
      <c r="D88" s="29">
        <v>50226039</v>
      </c>
      <c r="E88" s="29">
        <v>30</v>
      </c>
      <c r="F88" s="7">
        <v>50</v>
      </c>
      <c r="G88" s="7">
        <v>32</v>
      </c>
      <c r="H88" s="7" t="s">
        <v>200</v>
      </c>
      <c r="I88" s="7" t="s">
        <v>109</v>
      </c>
      <c r="J88" s="7" t="s">
        <v>130</v>
      </c>
      <c r="K88" s="11">
        <v>5.5555555555555558E-3</v>
      </c>
      <c r="L88" s="7" t="s">
        <v>109</v>
      </c>
      <c r="M88" s="7" t="s">
        <v>109</v>
      </c>
      <c r="N88" s="38" t="s">
        <v>109</v>
      </c>
      <c r="O88" s="38" t="s">
        <v>61</v>
      </c>
      <c r="P88" s="7" t="s">
        <v>131</v>
      </c>
      <c r="Q88" s="7" t="s">
        <v>200</v>
      </c>
      <c r="R88" s="7" t="s">
        <v>62</v>
      </c>
      <c r="S88" s="7" t="s">
        <v>2922</v>
      </c>
      <c r="T88" s="29" t="s">
        <v>424</v>
      </c>
      <c r="U88" s="108">
        <f t="shared" si="7"/>
        <v>1.0666666666666667</v>
      </c>
      <c r="V88" s="7" t="s">
        <v>1941</v>
      </c>
    </row>
    <row r="89" spans="1:22" x14ac:dyDescent="0.3">
      <c r="A89" s="7">
        <v>88</v>
      </c>
      <c r="B89" s="29" t="s">
        <v>23</v>
      </c>
      <c r="C89" s="29" t="s">
        <v>1644</v>
      </c>
      <c r="D89" s="29">
        <v>50126370</v>
      </c>
      <c r="E89" s="29">
        <v>35</v>
      </c>
      <c r="F89" s="7">
        <v>57</v>
      </c>
      <c r="G89" s="7">
        <v>37</v>
      </c>
      <c r="H89" s="7" t="s">
        <v>153</v>
      </c>
      <c r="I89" s="7" t="s">
        <v>109</v>
      </c>
      <c r="J89" s="7" t="s">
        <v>130</v>
      </c>
      <c r="K89" s="11">
        <v>0.96319444444444446</v>
      </c>
      <c r="L89" s="7" t="s">
        <v>109</v>
      </c>
      <c r="M89" s="7" t="s">
        <v>109</v>
      </c>
      <c r="N89" s="38" t="s">
        <v>109</v>
      </c>
      <c r="O89" s="38" t="s">
        <v>61</v>
      </c>
      <c r="P89" s="7" t="s">
        <v>131</v>
      </c>
      <c r="Q89" s="7" t="s">
        <v>153</v>
      </c>
      <c r="R89" s="7" t="s">
        <v>62</v>
      </c>
      <c r="S89" s="7" t="s">
        <v>2922</v>
      </c>
      <c r="T89" s="29" t="s">
        <v>424</v>
      </c>
      <c r="U89" s="108">
        <f t="shared" si="7"/>
        <v>1.0571428571428572</v>
      </c>
      <c r="V89" s="7" t="s">
        <v>1941</v>
      </c>
    </row>
    <row r="90" spans="1:22" x14ac:dyDescent="0.3">
      <c r="A90" s="7">
        <v>89</v>
      </c>
      <c r="B90" s="29" t="s">
        <v>23</v>
      </c>
      <c r="C90" s="29" t="s">
        <v>934</v>
      </c>
      <c r="D90" s="29">
        <v>50126262</v>
      </c>
      <c r="E90" s="29">
        <v>35</v>
      </c>
      <c r="F90" s="7">
        <v>41</v>
      </c>
      <c r="G90" s="7">
        <v>32</v>
      </c>
      <c r="H90" s="7" t="s">
        <v>222</v>
      </c>
      <c r="I90" s="7" t="s">
        <v>109</v>
      </c>
      <c r="J90" s="7" t="s">
        <v>130</v>
      </c>
      <c r="K90" s="11">
        <v>5.5555555555555558E-3</v>
      </c>
      <c r="L90" s="7" t="s">
        <v>109</v>
      </c>
      <c r="M90" s="7" t="s">
        <v>109</v>
      </c>
      <c r="N90" s="38" t="s">
        <v>109</v>
      </c>
      <c r="O90" s="38" t="s">
        <v>61</v>
      </c>
      <c r="P90" s="7" t="s">
        <v>131</v>
      </c>
      <c r="Q90" s="7" t="s">
        <v>222</v>
      </c>
      <c r="R90" s="7" t="s">
        <v>62</v>
      </c>
      <c r="S90" s="7" t="s">
        <v>2922</v>
      </c>
      <c r="T90" s="29" t="s">
        <v>424</v>
      </c>
      <c r="U90" s="108">
        <f t="shared" si="7"/>
        <v>0.91428571428571426</v>
      </c>
      <c r="V90" s="7" t="s">
        <v>1941</v>
      </c>
    </row>
    <row r="91" spans="1:22" x14ac:dyDescent="0.3">
      <c r="A91" s="7">
        <v>90</v>
      </c>
      <c r="B91" s="29" t="s">
        <v>23</v>
      </c>
      <c r="C91" s="29" t="s">
        <v>935</v>
      </c>
      <c r="D91" s="29">
        <v>50126266</v>
      </c>
      <c r="E91" s="29">
        <v>35</v>
      </c>
      <c r="F91" s="7">
        <v>39</v>
      </c>
      <c r="G91" s="7">
        <v>36</v>
      </c>
      <c r="H91" s="7" t="s">
        <v>154</v>
      </c>
      <c r="I91" s="7" t="s">
        <v>109</v>
      </c>
      <c r="J91" s="7" t="s">
        <v>130</v>
      </c>
      <c r="K91" s="11">
        <v>0.96597222222222223</v>
      </c>
      <c r="L91" s="7" t="s">
        <v>109</v>
      </c>
      <c r="M91" s="7" t="s">
        <v>109</v>
      </c>
      <c r="N91" s="38" t="s">
        <v>109</v>
      </c>
      <c r="O91" s="38" t="s">
        <v>61</v>
      </c>
      <c r="P91" s="7" t="s">
        <v>131</v>
      </c>
      <c r="Q91" s="7" t="s">
        <v>154</v>
      </c>
      <c r="R91" s="7" t="s">
        <v>62</v>
      </c>
      <c r="S91" s="7" t="s">
        <v>2922</v>
      </c>
      <c r="T91" s="29" t="s">
        <v>424</v>
      </c>
      <c r="U91" s="108">
        <f t="shared" si="7"/>
        <v>1.0285714285714285</v>
      </c>
      <c r="V91" s="7" t="s">
        <v>1941</v>
      </c>
    </row>
    <row r="92" spans="1:22" x14ac:dyDescent="0.3">
      <c r="A92" s="7">
        <v>91</v>
      </c>
      <c r="B92" s="29" t="s">
        <v>23</v>
      </c>
      <c r="C92" s="29" t="s">
        <v>534</v>
      </c>
      <c r="D92" s="29">
        <v>50126079</v>
      </c>
      <c r="E92" s="29">
        <v>35</v>
      </c>
      <c r="F92" s="7">
        <v>44</v>
      </c>
      <c r="G92" s="7">
        <v>40</v>
      </c>
      <c r="H92" s="7" t="s">
        <v>91</v>
      </c>
      <c r="I92" s="7" t="s">
        <v>109</v>
      </c>
      <c r="J92" s="7" t="s">
        <v>130</v>
      </c>
      <c r="K92" s="11">
        <v>3.3333333333333333E-2</v>
      </c>
      <c r="L92" s="7" t="s">
        <v>109</v>
      </c>
      <c r="M92" s="7" t="s">
        <v>109</v>
      </c>
      <c r="N92" s="38" t="s">
        <v>109</v>
      </c>
      <c r="O92" s="38" t="s">
        <v>61</v>
      </c>
      <c r="P92" s="7" t="s">
        <v>131</v>
      </c>
      <c r="Q92" s="7" t="s">
        <v>91</v>
      </c>
      <c r="R92" s="7" t="s">
        <v>62</v>
      </c>
      <c r="S92" s="7" t="s">
        <v>2922</v>
      </c>
      <c r="T92" s="29" t="s">
        <v>424</v>
      </c>
      <c r="U92" s="108">
        <f t="shared" si="7"/>
        <v>1.1428571428571428</v>
      </c>
      <c r="V92" s="7" t="s">
        <v>1941</v>
      </c>
    </row>
    <row r="93" spans="1:22" x14ac:dyDescent="0.3">
      <c r="A93" s="7">
        <v>94</v>
      </c>
      <c r="B93" s="29" t="s">
        <v>23</v>
      </c>
      <c r="C93" s="29" t="s">
        <v>538</v>
      </c>
      <c r="D93" s="29">
        <v>50126084</v>
      </c>
      <c r="E93" s="29">
        <v>40</v>
      </c>
      <c r="F93" s="7">
        <v>75</v>
      </c>
      <c r="G93" s="7">
        <v>37</v>
      </c>
      <c r="H93" s="7" t="s">
        <v>179</v>
      </c>
      <c r="I93" s="7" t="s">
        <v>109</v>
      </c>
      <c r="J93" s="7" t="s">
        <v>130</v>
      </c>
      <c r="K93" s="11">
        <v>1.8055555555555554E-2</v>
      </c>
      <c r="L93" s="7" t="s">
        <v>109</v>
      </c>
      <c r="M93" s="7" t="s">
        <v>109</v>
      </c>
      <c r="N93" s="38" t="s">
        <v>109</v>
      </c>
      <c r="O93" s="38" t="s">
        <v>61</v>
      </c>
      <c r="P93" s="7" t="s">
        <v>131</v>
      </c>
      <c r="Q93" s="7" t="s">
        <v>179</v>
      </c>
      <c r="R93" s="7" t="s">
        <v>62</v>
      </c>
      <c r="S93" s="7" t="s">
        <v>2922</v>
      </c>
      <c r="T93" s="29" t="s">
        <v>424</v>
      </c>
      <c r="U93" s="108">
        <f t="shared" si="7"/>
        <v>0.92500000000000004</v>
      </c>
      <c r="V93" s="7" t="s">
        <v>1941</v>
      </c>
    </row>
    <row r="94" spans="1:22" x14ac:dyDescent="0.3">
      <c r="A94" s="7">
        <v>95</v>
      </c>
      <c r="B94" s="29" t="s">
        <v>23</v>
      </c>
      <c r="C94" s="29" t="s">
        <v>844</v>
      </c>
      <c r="D94" s="29">
        <v>50126204</v>
      </c>
      <c r="E94" s="29">
        <v>40</v>
      </c>
      <c r="F94" s="7">
        <v>81</v>
      </c>
      <c r="G94" s="7">
        <v>23</v>
      </c>
      <c r="H94" s="7" t="s">
        <v>89</v>
      </c>
      <c r="I94" s="7" t="s">
        <v>109</v>
      </c>
      <c r="J94" s="7" t="s">
        <v>130</v>
      </c>
      <c r="K94" s="11">
        <v>0.98402777777777772</v>
      </c>
      <c r="L94" s="7" t="s">
        <v>109</v>
      </c>
      <c r="M94" s="7" t="s">
        <v>109</v>
      </c>
      <c r="N94" s="38" t="s">
        <v>109</v>
      </c>
      <c r="O94" s="38" t="s">
        <v>61</v>
      </c>
      <c r="P94" s="7" t="s">
        <v>131</v>
      </c>
      <c r="Q94" s="7" t="s">
        <v>89</v>
      </c>
      <c r="R94" s="7" t="s">
        <v>62</v>
      </c>
      <c r="S94" s="7" t="s">
        <v>2922</v>
      </c>
      <c r="T94" s="29" t="s">
        <v>424</v>
      </c>
      <c r="U94" s="108">
        <f t="shared" si="7"/>
        <v>0.57499999999999996</v>
      </c>
      <c r="V94" s="7" t="s">
        <v>2950</v>
      </c>
    </row>
    <row r="95" spans="1:22" x14ac:dyDescent="0.3">
      <c r="A95" s="7">
        <v>96</v>
      </c>
      <c r="B95" s="29" t="s">
        <v>23</v>
      </c>
      <c r="C95" s="29" t="s">
        <v>550</v>
      </c>
      <c r="D95" s="29">
        <v>50126093</v>
      </c>
      <c r="E95" s="29">
        <v>40</v>
      </c>
      <c r="F95" s="7">
        <v>55</v>
      </c>
      <c r="G95" s="7">
        <v>42</v>
      </c>
      <c r="H95" s="7" t="s">
        <v>209</v>
      </c>
      <c r="I95" s="7" t="s">
        <v>109</v>
      </c>
      <c r="J95" s="7" t="s">
        <v>130</v>
      </c>
      <c r="K95" s="11">
        <v>6.2500000000000003E-3</v>
      </c>
      <c r="L95" s="7" t="s">
        <v>109</v>
      </c>
      <c r="M95" s="7" t="s">
        <v>109</v>
      </c>
      <c r="N95" s="38" t="s">
        <v>109</v>
      </c>
      <c r="O95" s="38" t="s">
        <v>61</v>
      </c>
      <c r="P95" s="7" t="s">
        <v>131</v>
      </c>
      <c r="Q95" s="7" t="s">
        <v>209</v>
      </c>
      <c r="R95" s="7" t="s">
        <v>62</v>
      </c>
      <c r="S95" s="7" t="s">
        <v>2922</v>
      </c>
      <c r="T95" s="29" t="s">
        <v>424</v>
      </c>
      <c r="U95" s="108">
        <f t="shared" si="7"/>
        <v>1.05</v>
      </c>
      <c r="V95" s="7" t="s">
        <v>1941</v>
      </c>
    </row>
    <row r="96" spans="1:22" x14ac:dyDescent="0.3">
      <c r="A96" s="7">
        <v>97</v>
      </c>
      <c r="B96" s="29" t="s">
        <v>23</v>
      </c>
      <c r="C96" s="29" t="s">
        <v>726</v>
      </c>
      <c r="D96" s="29">
        <v>50126114</v>
      </c>
      <c r="E96" s="29">
        <v>40</v>
      </c>
      <c r="F96" s="7">
        <v>74</v>
      </c>
      <c r="G96" s="7">
        <v>47</v>
      </c>
      <c r="H96" s="7" t="s">
        <v>94</v>
      </c>
      <c r="I96" s="7" t="s">
        <v>109</v>
      </c>
      <c r="J96" s="7" t="s">
        <v>130</v>
      </c>
      <c r="K96" s="11">
        <v>6.805555555555555E-2</v>
      </c>
      <c r="L96" s="7" t="s">
        <v>109</v>
      </c>
      <c r="M96" s="7" t="s">
        <v>109</v>
      </c>
      <c r="N96" s="38" t="s">
        <v>109</v>
      </c>
      <c r="O96" s="38" t="s">
        <v>61</v>
      </c>
      <c r="P96" s="7" t="s">
        <v>131</v>
      </c>
      <c r="Q96" s="7" t="s">
        <v>94</v>
      </c>
      <c r="R96" s="7" t="s">
        <v>62</v>
      </c>
      <c r="S96" s="7" t="s">
        <v>2922</v>
      </c>
      <c r="T96" s="29" t="s">
        <v>424</v>
      </c>
      <c r="U96" s="108">
        <f t="shared" si="7"/>
        <v>1.175</v>
      </c>
      <c r="V96" s="7" t="s">
        <v>1941</v>
      </c>
    </row>
    <row r="97" spans="1:22" x14ac:dyDescent="0.3">
      <c r="A97" s="7">
        <v>98</v>
      </c>
      <c r="B97" s="29" t="s">
        <v>23</v>
      </c>
      <c r="C97" s="29" t="s">
        <v>528</v>
      </c>
      <c r="D97" s="29">
        <v>50126058</v>
      </c>
      <c r="E97" s="29">
        <v>45</v>
      </c>
      <c r="F97" s="7">
        <v>84</v>
      </c>
      <c r="G97" s="7">
        <v>35</v>
      </c>
      <c r="H97" s="7" t="s">
        <v>86</v>
      </c>
      <c r="I97" s="7" t="s">
        <v>109</v>
      </c>
      <c r="J97" s="7" t="s">
        <v>130</v>
      </c>
      <c r="K97" s="7" t="s">
        <v>2962</v>
      </c>
      <c r="L97" s="7" t="s">
        <v>109</v>
      </c>
      <c r="M97" s="7" t="s">
        <v>109</v>
      </c>
      <c r="N97" s="38" t="s">
        <v>109</v>
      </c>
      <c r="O97" s="38" t="s">
        <v>61</v>
      </c>
      <c r="P97" s="7" t="s">
        <v>131</v>
      </c>
      <c r="Q97" s="7" t="s">
        <v>86</v>
      </c>
      <c r="R97" s="7" t="s">
        <v>62</v>
      </c>
      <c r="S97" s="7" t="s">
        <v>2922</v>
      </c>
      <c r="T97" s="29" t="s">
        <v>424</v>
      </c>
      <c r="U97" s="108">
        <f t="shared" si="7"/>
        <v>0.77777777777777779</v>
      </c>
      <c r="V97" s="7" t="s">
        <v>2009</v>
      </c>
    </row>
    <row r="98" spans="1:22" x14ac:dyDescent="0.3">
      <c r="A98" s="7">
        <v>99</v>
      </c>
      <c r="B98" s="29" t="s">
        <v>23</v>
      </c>
      <c r="C98" s="29" t="s">
        <v>511</v>
      </c>
      <c r="D98" s="29">
        <v>50126044</v>
      </c>
      <c r="E98" s="29">
        <v>50</v>
      </c>
      <c r="F98" s="7">
        <v>76</v>
      </c>
      <c r="G98" s="7">
        <v>55</v>
      </c>
      <c r="H98" s="7" t="s">
        <v>88</v>
      </c>
      <c r="I98" s="7" t="s">
        <v>109</v>
      </c>
      <c r="J98" s="7" t="s">
        <v>130</v>
      </c>
      <c r="K98" s="11">
        <v>1.9444444444444445E-2</v>
      </c>
      <c r="L98" s="7" t="s">
        <v>109</v>
      </c>
      <c r="M98" s="7" t="s">
        <v>109</v>
      </c>
      <c r="N98" s="38" t="s">
        <v>109</v>
      </c>
      <c r="O98" s="38" t="s">
        <v>61</v>
      </c>
      <c r="P98" s="7" t="s">
        <v>131</v>
      </c>
      <c r="Q98" s="7" t="s">
        <v>88</v>
      </c>
      <c r="R98" s="7" t="s">
        <v>62</v>
      </c>
      <c r="S98" s="7" t="s">
        <v>2922</v>
      </c>
      <c r="T98" s="29" t="s">
        <v>424</v>
      </c>
      <c r="U98" s="108">
        <f t="shared" si="7"/>
        <v>1.1000000000000001</v>
      </c>
      <c r="V98" s="7" t="s">
        <v>1941</v>
      </c>
    </row>
    <row r="99" spans="1:22" x14ac:dyDescent="0.3">
      <c r="A99" s="7">
        <v>100</v>
      </c>
      <c r="B99" s="29" t="s">
        <v>23</v>
      </c>
      <c r="C99" s="29" t="s">
        <v>514</v>
      </c>
      <c r="D99" s="29">
        <v>50126046</v>
      </c>
      <c r="E99" s="29">
        <v>50</v>
      </c>
      <c r="F99" s="7">
        <v>76</v>
      </c>
      <c r="G99" s="7">
        <v>51</v>
      </c>
      <c r="H99" s="7" t="s">
        <v>67</v>
      </c>
      <c r="I99" s="7" t="s">
        <v>109</v>
      </c>
      <c r="J99" s="7" t="s">
        <v>130</v>
      </c>
      <c r="K99" s="11">
        <v>0.9868055555555556</v>
      </c>
      <c r="L99" s="7" t="s">
        <v>109</v>
      </c>
      <c r="M99" s="7" t="s">
        <v>109</v>
      </c>
      <c r="N99" s="38" t="s">
        <v>109</v>
      </c>
      <c r="O99" s="38" t="s">
        <v>61</v>
      </c>
      <c r="P99" s="7" t="s">
        <v>131</v>
      </c>
      <c r="Q99" s="7" t="s">
        <v>67</v>
      </c>
      <c r="R99" s="7" t="s">
        <v>62</v>
      </c>
      <c r="S99" s="7" t="s">
        <v>2922</v>
      </c>
      <c r="T99" s="29" t="s">
        <v>424</v>
      </c>
      <c r="U99" s="108">
        <f t="shared" si="7"/>
        <v>1.02</v>
      </c>
      <c r="V99" s="7" t="s">
        <v>1941</v>
      </c>
    </row>
    <row r="100" spans="1:22" x14ac:dyDescent="0.3">
      <c r="A100" s="7">
        <v>101</v>
      </c>
      <c r="B100" s="29" t="s">
        <v>23</v>
      </c>
      <c r="C100" s="29" t="s">
        <v>515</v>
      </c>
      <c r="D100" s="29">
        <v>50126047</v>
      </c>
      <c r="E100" s="29">
        <v>50</v>
      </c>
      <c r="F100" s="7">
        <v>61</v>
      </c>
      <c r="G100" s="7">
        <v>50</v>
      </c>
      <c r="H100" s="7" t="s">
        <v>196</v>
      </c>
      <c r="I100" s="7" t="s">
        <v>109</v>
      </c>
      <c r="J100" s="7" t="s">
        <v>130</v>
      </c>
      <c r="K100" s="11">
        <v>6.25E-2</v>
      </c>
      <c r="L100" s="7" t="s">
        <v>109</v>
      </c>
      <c r="M100" s="7" t="s">
        <v>109</v>
      </c>
      <c r="N100" s="38" t="s">
        <v>109</v>
      </c>
      <c r="O100" s="38" t="s">
        <v>61</v>
      </c>
      <c r="P100" s="7" t="s">
        <v>131</v>
      </c>
      <c r="Q100" s="7" t="s">
        <v>196</v>
      </c>
      <c r="R100" s="7" t="s">
        <v>62</v>
      </c>
      <c r="S100" s="7" t="s">
        <v>2922</v>
      </c>
      <c r="T100" s="29" t="s">
        <v>424</v>
      </c>
      <c r="U100" s="108">
        <f t="shared" si="7"/>
        <v>1</v>
      </c>
      <c r="V100" s="7" t="s">
        <v>1941</v>
      </c>
    </row>
    <row r="101" spans="1:22" x14ac:dyDescent="0.3">
      <c r="A101" s="7">
        <v>102</v>
      </c>
      <c r="B101" s="29" t="s">
        <v>23</v>
      </c>
      <c r="C101" s="29" t="s">
        <v>2694</v>
      </c>
      <c r="D101" s="29">
        <v>50226120</v>
      </c>
      <c r="E101" s="29">
        <v>50</v>
      </c>
      <c r="F101" s="7">
        <v>64</v>
      </c>
      <c r="G101" s="7">
        <v>55</v>
      </c>
      <c r="H101" s="7" t="s">
        <v>71</v>
      </c>
      <c r="I101" s="7" t="s">
        <v>109</v>
      </c>
      <c r="J101" s="7" t="s">
        <v>130</v>
      </c>
      <c r="K101" s="11">
        <v>0.96875</v>
      </c>
      <c r="L101" s="7" t="s">
        <v>109</v>
      </c>
      <c r="M101" s="7" t="s">
        <v>109</v>
      </c>
      <c r="N101" s="38" t="s">
        <v>109</v>
      </c>
      <c r="O101" s="38" t="s">
        <v>61</v>
      </c>
      <c r="P101" s="7" t="s">
        <v>131</v>
      </c>
      <c r="Q101" s="7" t="s">
        <v>71</v>
      </c>
      <c r="R101" s="7" t="s">
        <v>62</v>
      </c>
      <c r="S101" s="7" t="s">
        <v>2922</v>
      </c>
      <c r="T101" s="29" t="s">
        <v>424</v>
      </c>
      <c r="U101" s="108">
        <f t="shared" si="7"/>
        <v>1.1000000000000001</v>
      </c>
      <c r="V101" s="7" t="s">
        <v>1941</v>
      </c>
    </row>
    <row r="102" spans="1:22" x14ac:dyDescent="0.3">
      <c r="A102" s="7">
        <v>104</v>
      </c>
      <c r="B102" s="29" t="s">
        <v>23</v>
      </c>
      <c r="C102" s="29" t="s">
        <v>710</v>
      </c>
      <c r="D102" s="29">
        <v>50126165</v>
      </c>
      <c r="E102" s="29">
        <v>65</v>
      </c>
      <c r="F102" s="7">
        <v>143</v>
      </c>
      <c r="G102" s="7">
        <v>42</v>
      </c>
      <c r="H102" s="7" t="s">
        <v>66</v>
      </c>
      <c r="I102" s="7" t="s">
        <v>109</v>
      </c>
      <c r="J102" s="7" t="s">
        <v>130</v>
      </c>
      <c r="K102" s="11">
        <v>9.7222222222222224E-3</v>
      </c>
      <c r="L102" s="7" t="s">
        <v>109</v>
      </c>
      <c r="M102" s="7" t="s">
        <v>109</v>
      </c>
      <c r="N102" s="38" t="s">
        <v>109</v>
      </c>
      <c r="O102" s="38" t="s">
        <v>61</v>
      </c>
      <c r="P102" s="7" t="s">
        <v>131</v>
      </c>
      <c r="Q102" s="7" t="s">
        <v>66</v>
      </c>
      <c r="R102" s="7" t="s">
        <v>62</v>
      </c>
      <c r="S102" s="7" t="s">
        <v>2922</v>
      </c>
      <c r="T102" s="29" t="s">
        <v>424</v>
      </c>
      <c r="U102" s="108">
        <f t="shared" si="7"/>
        <v>0.64615384615384619</v>
      </c>
      <c r="V102" s="7" t="s">
        <v>2391</v>
      </c>
    </row>
    <row r="103" spans="1:22" x14ac:dyDescent="0.3">
      <c r="A103" s="7">
        <v>105</v>
      </c>
      <c r="B103" s="29" t="s">
        <v>23</v>
      </c>
      <c r="C103" s="29" t="s">
        <v>735</v>
      </c>
      <c r="D103" s="29">
        <v>50126130</v>
      </c>
      <c r="E103" s="29">
        <v>65</v>
      </c>
      <c r="F103" s="7">
        <v>27</v>
      </c>
      <c r="G103" s="7">
        <v>9</v>
      </c>
      <c r="H103" s="7" t="s">
        <v>70</v>
      </c>
      <c r="I103" s="7" t="s">
        <v>109</v>
      </c>
      <c r="J103" s="7" t="s">
        <v>130</v>
      </c>
      <c r="K103" s="11">
        <v>6.9444444444444447E-4</v>
      </c>
      <c r="L103" s="7" t="s">
        <v>109</v>
      </c>
      <c r="M103" s="7" t="s">
        <v>109</v>
      </c>
      <c r="N103" s="38" t="s">
        <v>109</v>
      </c>
      <c r="O103" s="38" t="s">
        <v>61</v>
      </c>
      <c r="P103" s="7" t="s">
        <v>131</v>
      </c>
      <c r="Q103" s="7" t="s">
        <v>70</v>
      </c>
      <c r="R103" s="7" t="s">
        <v>62</v>
      </c>
      <c r="S103" s="7" t="s">
        <v>2922</v>
      </c>
      <c r="T103" s="29" t="s">
        <v>424</v>
      </c>
      <c r="U103" s="108">
        <f t="shared" si="7"/>
        <v>0.13846153846153847</v>
      </c>
      <c r="V103" s="7" t="s">
        <v>2391</v>
      </c>
    </row>
    <row r="104" spans="1:22" x14ac:dyDescent="0.3">
      <c r="A104" s="7">
        <v>106</v>
      </c>
      <c r="B104" s="29" t="s">
        <v>23</v>
      </c>
      <c r="C104" s="29" t="s">
        <v>2955</v>
      </c>
      <c r="D104" s="29">
        <v>50326019</v>
      </c>
      <c r="E104" s="29">
        <v>65</v>
      </c>
      <c r="F104" s="7">
        <v>85</v>
      </c>
      <c r="G104" s="7">
        <v>67</v>
      </c>
      <c r="H104" s="7" t="s">
        <v>82</v>
      </c>
      <c r="I104" s="7" t="s">
        <v>109</v>
      </c>
      <c r="J104" s="7" t="s">
        <v>130</v>
      </c>
      <c r="K104" s="11">
        <v>1.4583333333333334E-2</v>
      </c>
      <c r="L104" s="7" t="s">
        <v>109</v>
      </c>
      <c r="M104" s="7" t="s">
        <v>109</v>
      </c>
      <c r="N104" s="38" t="s">
        <v>109</v>
      </c>
      <c r="O104" s="38" t="s">
        <v>61</v>
      </c>
      <c r="P104" s="7" t="s">
        <v>131</v>
      </c>
      <c r="Q104" s="7" t="s">
        <v>82</v>
      </c>
      <c r="R104" s="7" t="s">
        <v>62</v>
      </c>
      <c r="S104" s="7" t="s">
        <v>2922</v>
      </c>
      <c r="T104" s="29" t="s">
        <v>424</v>
      </c>
      <c r="U104" s="108">
        <f t="shared" si="7"/>
        <v>1.0307692307692307</v>
      </c>
      <c r="V104" s="7" t="s">
        <v>1941</v>
      </c>
    </row>
    <row r="105" spans="1:22" x14ac:dyDescent="0.3">
      <c r="A105" s="7">
        <v>107</v>
      </c>
      <c r="B105" s="29" t="s">
        <v>23</v>
      </c>
      <c r="C105" s="29" t="s">
        <v>2956</v>
      </c>
      <c r="D105" s="29">
        <v>50326021</v>
      </c>
      <c r="E105" s="29">
        <v>65</v>
      </c>
      <c r="F105" s="7">
        <v>82</v>
      </c>
      <c r="G105" s="7">
        <v>68</v>
      </c>
      <c r="H105" s="7" t="s">
        <v>69</v>
      </c>
      <c r="I105" s="7" t="s">
        <v>109</v>
      </c>
      <c r="J105" s="7" t="s">
        <v>130</v>
      </c>
      <c r="K105" s="11">
        <v>0.99027777777777781</v>
      </c>
      <c r="L105" s="7" t="s">
        <v>109</v>
      </c>
      <c r="M105" s="7" t="s">
        <v>109</v>
      </c>
      <c r="N105" s="38" t="s">
        <v>109</v>
      </c>
      <c r="O105" s="38" t="s">
        <v>61</v>
      </c>
      <c r="P105" s="7" t="s">
        <v>131</v>
      </c>
      <c r="Q105" s="7" t="s">
        <v>69</v>
      </c>
      <c r="R105" s="7" t="s">
        <v>62</v>
      </c>
      <c r="S105" s="7" t="s">
        <v>2922</v>
      </c>
      <c r="T105" s="29" t="s">
        <v>424</v>
      </c>
      <c r="U105" s="108">
        <f t="shared" si="7"/>
        <v>1.0461538461538462</v>
      </c>
      <c r="V105" s="7" t="s">
        <v>1941</v>
      </c>
    </row>
    <row r="106" spans="1:22" x14ac:dyDescent="0.3">
      <c r="A106" s="7">
        <v>108</v>
      </c>
      <c r="B106" s="29" t="s">
        <v>23</v>
      </c>
      <c r="C106" s="29" t="s">
        <v>2957</v>
      </c>
      <c r="D106" s="29">
        <v>50326020</v>
      </c>
      <c r="E106" s="29">
        <v>65</v>
      </c>
      <c r="F106" s="7">
        <v>93</v>
      </c>
      <c r="G106" s="7">
        <v>68</v>
      </c>
      <c r="H106" s="7" t="s">
        <v>65</v>
      </c>
      <c r="I106" s="7" t="s">
        <v>109</v>
      </c>
      <c r="J106" s="7" t="s">
        <v>130</v>
      </c>
      <c r="K106" s="11">
        <v>0.99027777777777781</v>
      </c>
      <c r="L106" s="7" t="s">
        <v>109</v>
      </c>
      <c r="M106" s="7" t="s">
        <v>109</v>
      </c>
      <c r="N106" s="38" t="s">
        <v>109</v>
      </c>
      <c r="O106" s="38" t="s">
        <v>61</v>
      </c>
      <c r="P106" s="7" t="s">
        <v>131</v>
      </c>
      <c r="Q106" s="7" t="s">
        <v>65</v>
      </c>
      <c r="R106" s="7" t="s">
        <v>62</v>
      </c>
      <c r="S106" s="7" t="s">
        <v>2922</v>
      </c>
      <c r="T106" s="29" t="s">
        <v>424</v>
      </c>
      <c r="U106" s="108">
        <f t="shared" si="7"/>
        <v>1.0461538461538462</v>
      </c>
      <c r="V106" s="7" t="s">
        <v>1941</v>
      </c>
    </row>
    <row r="107" spans="1:22" x14ac:dyDescent="0.3">
      <c r="A107" s="7">
        <v>110</v>
      </c>
      <c r="B107" s="29" t="s">
        <v>23</v>
      </c>
      <c r="C107" s="29" t="s">
        <v>932</v>
      </c>
      <c r="D107" s="29">
        <v>50126263</v>
      </c>
      <c r="E107" s="29">
        <v>65</v>
      </c>
      <c r="F107" s="7">
        <v>40</v>
      </c>
      <c r="G107" s="7">
        <v>35</v>
      </c>
      <c r="H107" s="7" t="s">
        <v>84</v>
      </c>
      <c r="I107" s="7" t="s">
        <v>109</v>
      </c>
      <c r="J107" s="7" t="s">
        <v>130</v>
      </c>
      <c r="K107" s="11">
        <v>2.4305555555555556E-2</v>
      </c>
      <c r="L107" s="7" t="s">
        <v>109</v>
      </c>
      <c r="M107" s="7" t="s">
        <v>109</v>
      </c>
      <c r="N107" s="38" t="s">
        <v>109</v>
      </c>
      <c r="O107" s="38" t="s">
        <v>61</v>
      </c>
      <c r="P107" s="7" t="s">
        <v>131</v>
      </c>
      <c r="Q107" s="7" t="s">
        <v>84</v>
      </c>
      <c r="R107" s="7" t="s">
        <v>62</v>
      </c>
      <c r="S107" s="7" t="s">
        <v>2922</v>
      </c>
      <c r="T107" s="29" t="s">
        <v>424</v>
      </c>
      <c r="U107" s="108">
        <f t="shared" si="7"/>
        <v>0.53846153846153844</v>
      </c>
      <c r="V107" s="7" t="s">
        <v>2963</v>
      </c>
    </row>
    <row r="108" spans="1:22" x14ac:dyDescent="0.3">
      <c r="A108" s="7">
        <v>112</v>
      </c>
      <c r="B108" s="29" t="s">
        <v>23</v>
      </c>
      <c r="C108" s="29" t="s">
        <v>2958</v>
      </c>
      <c r="D108" s="29">
        <v>50326018</v>
      </c>
      <c r="E108" s="29">
        <v>50</v>
      </c>
      <c r="F108" s="7">
        <v>75</v>
      </c>
      <c r="G108" s="7">
        <v>55</v>
      </c>
      <c r="H108" s="7" t="s">
        <v>68</v>
      </c>
      <c r="I108" s="7" t="s">
        <v>109</v>
      </c>
      <c r="J108" s="7" t="s">
        <v>130</v>
      </c>
      <c r="K108" s="11">
        <v>0.97361111111111109</v>
      </c>
      <c r="L108" s="7" t="s">
        <v>109</v>
      </c>
      <c r="M108" s="7" t="s">
        <v>109</v>
      </c>
      <c r="N108" s="38" t="s">
        <v>109</v>
      </c>
      <c r="O108" s="38" t="s">
        <v>61</v>
      </c>
      <c r="P108" s="7" t="s">
        <v>131</v>
      </c>
      <c r="Q108" s="7" t="s">
        <v>68</v>
      </c>
      <c r="R108" s="7" t="s">
        <v>62</v>
      </c>
      <c r="S108" s="7" t="s">
        <v>2922</v>
      </c>
      <c r="T108" s="29" t="s">
        <v>424</v>
      </c>
      <c r="U108" s="108">
        <f t="shared" si="7"/>
        <v>1.1000000000000001</v>
      </c>
      <c r="V108" s="7" t="s">
        <v>1941</v>
      </c>
    </row>
    <row r="109" spans="1:22" x14ac:dyDescent="0.3">
      <c r="A109" s="7">
        <v>113</v>
      </c>
      <c r="B109" s="29" t="s">
        <v>23</v>
      </c>
      <c r="C109" s="29" t="s">
        <v>1618</v>
      </c>
      <c r="D109" s="29">
        <v>50126391</v>
      </c>
      <c r="E109" s="29">
        <v>50</v>
      </c>
      <c r="F109" s="7">
        <v>117</v>
      </c>
      <c r="G109" s="7">
        <v>18</v>
      </c>
      <c r="H109" s="7" t="s">
        <v>200</v>
      </c>
      <c r="I109" s="7" t="s">
        <v>109</v>
      </c>
      <c r="J109" s="7" t="s">
        <v>130</v>
      </c>
      <c r="K109" s="11">
        <v>0.98472222222222228</v>
      </c>
      <c r="L109" s="7" t="s">
        <v>109</v>
      </c>
      <c r="M109" s="7" t="s">
        <v>109</v>
      </c>
      <c r="N109" s="38" t="s">
        <v>109</v>
      </c>
      <c r="O109" s="38" t="s">
        <v>61</v>
      </c>
      <c r="P109" s="7" t="s">
        <v>131</v>
      </c>
      <c r="Q109" s="7" t="s">
        <v>200</v>
      </c>
      <c r="R109" s="7" t="s">
        <v>62</v>
      </c>
      <c r="S109" s="7" t="s">
        <v>2922</v>
      </c>
      <c r="T109" s="29" t="s">
        <v>424</v>
      </c>
      <c r="U109" s="108">
        <f t="shared" si="7"/>
        <v>0.36</v>
      </c>
      <c r="V109" s="7" t="s">
        <v>2009</v>
      </c>
    </row>
    <row r="110" spans="1:22" x14ac:dyDescent="0.3">
      <c r="A110" s="7">
        <v>114</v>
      </c>
      <c r="B110" s="29" t="s">
        <v>23</v>
      </c>
      <c r="C110" s="29" t="s">
        <v>811</v>
      </c>
      <c r="D110" s="29">
        <v>50126222</v>
      </c>
      <c r="E110" s="29">
        <v>60</v>
      </c>
      <c r="F110" s="7">
        <v>74</v>
      </c>
      <c r="G110" s="7">
        <v>65</v>
      </c>
      <c r="H110" s="7" t="s">
        <v>153</v>
      </c>
      <c r="I110" s="7" t="s">
        <v>109</v>
      </c>
      <c r="J110" s="7" t="s">
        <v>130</v>
      </c>
      <c r="K110" s="11">
        <v>0.98263888888888884</v>
      </c>
      <c r="L110" s="7" t="s">
        <v>109</v>
      </c>
      <c r="M110" s="7" t="s">
        <v>109</v>
      </c>
      <c r="N110" s="38" t="s">
        <v>109</v>
      </c>
      <c r="O110" s="38" t="s">
        <v>61</v>
      </c>
      <c r="P110" s="7" t="s">
        <v>131</v>
      </c>
      <c r="Q110" s="7" t="s">
        <v>153</v>
      </c>
      <c r="R110" s="7" t="s">
        <v>62</v>
      </c>
      <c r="S110" s="7" t="s">
        <v>2922</v>
      </c>
      <c r="T110" s="29" t="s">
        <v>424</v>
      </c>
      <c r="U110" s="108">
        <f t="shared" si="7"/>
        <v>1.0833333333333333</v>
      </c>
      <c r="V110" s="7" t="s">
        <v>1941</v>
      </c>
    </row>
    <row r="111" spans="1:22" x14ac:dyDescent="0.3">
      <c r="A111" s="7">
        <v>115</v>
      </c>
      <c r="B111" s="29" t="s">
        <v>23</v>
      </c>
      <c r="C111" s="29" t="s">
        <v>428</v>
      </c>
      <c r="D111" s="29">
        <v>50126024</v>
      </c>
      <c r="E111" s="29">
        <v>60</v>
      </c>
      <c r="F111" s="7">
        <v>86</v>
      </c>
      <c r="G111" s="7">
        <v>61</v>
      </c>
      <c r="H111" s="7" t="s">
        <v>222</v>
      </c>
      <c r="I111" s="7" t="s">
        <v>109</v>
      </c>
      <c r="J111" s="7" t="s">
        <v>130</v>
      </c>
      <c r="K111" s="11">
        <v>0.9770833333333333</v>
      </c>
      <c r="L111" s="7" t="s">
        <v>109</v>
      </c>
      <c r="M111" s="7" t="s">
        <v>109</v>
      </c>
      <c r="N111" s="38" t="s">
        <v>109</v>
      </c>
      <c r="O111" s="38" t="s">
        <v>61</v>
      </c>
      <c r="P111" s="7" t="s">
        <v>131</v>
      </c>
      <c r="Q111" s="7" t="s">
        <v>222</v>
      </c>
      <c r="R111" s="7" t="s">
        <v>62</v>
      </c>
      <c r="S111" s="7" t="s">
        <v>2922</v>
      </c>
      <c r="T111" s="29" t="s">
        <v>424</v>
      </c>
      <c r="U111" s="108">
        <f t="shared" si="7"/>
        <v>1.0166666666666666</v>
      </c>
      <c r="V111" s="7" t="s">
        <v>1941</v>
      </c>
    </row>
    <row r="112" spans="1:22" x14ac:dyDescent="0.3">
      <c r="A112" s="7">
        <v>116</v>
      </c>
      <c r="B112" s="29" t="s">
        <v>23</v>
      </c>
      <c r="C112" s="29" t="s">
        <v>1664</v>
      </c>
      <c r="D112" s="29">
        <v>50126367</v>
      </c>
      <c r="E112" s="29">
        <v>60</v>
      </c>
      <c r="F112" s="7">
        <v>63</v>
      </c>
      <c r="G112" s="7">
        <v>63</v>
      </c>
      <c r="H112" s="7" t="s">
        <v>154</v>
      </c>
      <c r="I112" s="7" t="s">
        <v>109</v>
      </c>
      <c r="J112" s="7" t="s">
        <v>130</v>
      </c>
      <c r="K112" s="11">
        <v>0.98611111111111116</v>
      </c>
      <c r="L112" s="7" t="s">
        <v>109</v>
      </c>
      <c r="M112" s="7" t="s">
        <v>109</v>
      </c>
      <c r="N112" s="38" t="s">
        <v>109</v>
      </c>
      <c r="O112" s="38" t="s">
        <v>61</v>
      </c>
      <c r="P112" s="7" t="s">
        <v>131</v>
      </c>
      <c r="Q112" s="7" t="s">
        <v>154</v>
      </c>
      <c r="R112" s="7" t="s">
        <v>62</v>
      </c>
      <c r="S112" s="7" t="s">
        <v>2922</v>
      </c>
      <c r="T112" s="29" t="s">
        <v>424</v>
      </c>
      <c r="U112" s="108">
        <f t="shared" si="7"/>
        <v>1.05</v>
      </c>
      <c r="V112" s="7" t="s">
        <v>1941</v>
      </c>
    </row>
    <row r="113" spans="1:22" x14ac:dyDescent="0.3">
      <c r="A113" s="7">
        <v>117</v>
      </c>
      <c r="B113" s="29" t="s">
        <v>23</v>
      </c>
      <c r="C113" s="29" t="s">
        <v>2959</v>
      </c>
      <c r="D113" s="29">
        <v>50326016</v>
      </c>
      <c r="E113" s="29">
        <v>75</v>
      </c>
      <c r="F113" s="7">
        <v>90</v>
      </c>
      <c r="G113" s="7">
        <v>80</v>
      </c>
      <c r="H113" s="7" t="s">
        <v>91</v>
      </c>
      <c r="I113" s="7" t="s">
        <v>109</v>
      </c>
      <c r="J113" s="7" t="s">
        <v>130</v>
      </c>
      <c r="K113" s="11">
        <v>1.9444444444444445E-2</v>
      </c>
      <c r="L113" s="7" t="s">
        <v>109</v>
      </c>
      <c r="M113" s="7" t="s">
        <v>109</v>
      </c>
      <c r="N113" s="38" t="s">
        <v>109</v>
      </c>
      <c r="O113" s="38" t="s">
        <v>61</v>
      </c>
      <c r="P113" s="7" t="s">
        <v>131</v>
      </c>
      <c r="Q113" s="7" t="s">
        <v>91</v>
      </c>
      <c r="R113" s="7" t="s">
        <v>62</v>
      </c>
      <c r="S113" s="7" t="s">
        <v>2922</v>
      </c>
      <c r="T113" s="29" t="s">
        <v>424</v>
      </c>
      <c r="U113" s="108">
        <f t="shared" si="7"/>
        <v>1.0666666666666667</v>
      </c>
      <c r="V113" s="7" t="s">
        <v>1941</v>
      </c>
    </row>
    <row r="114" spans="1:22" x14ac:dyDescent="0.3">
      <c r="A114" s="7">
        <v>118</v>
      </c>
      <c r="B114" s="29" t="s">
        <v>23</v>
      </c>
      <c r="C114" s="29" t="s">
        <v>850</v>
      </c>
      <c r="D114" s="29">
        <v>50126214</v>
      </c>
      <c r="E114" s="29">
        <v>75</v>
      </c>
      <c r="F114" s="7">
        <v>93</v>
      </c>
      <c r="G114" s="7">
        <v>76</v>
      </c>
      <c r="H114" s="7" t="s">
        <v>87</v>
      </c>
      <c r="I114" s="7" t="s">
        <v>109</v>
      </c>
      <c r="J114" s="7" t="s">
        <v>130</v>
      </c>
      <c r="K114" s="11">
        <v>0.98541666666666672</v>
      </c>
      <c r="L114" s="7" t="s">
        <v>109</v>
      </c>
      <c r="M114" s="7" t="s">
        <v>109</v>
      </c>
      <c r="N114" s="38" t="s">
        <v>109</v>
      </c>
      <c r="O114" s="38" t="s">
        <v>61</v>
      </c>
      <c r="P114" s="7" t="s">
        <v>131</v>
      </c>
      <c r="Q114" s="7" t="s">
        <v>87</v>
      </c>
      <c r="R114" s="7" t="s">
        <v>62</v>
      </c>
      <c r="S114" s="7" t="s">
        <v>2922</v>
      </c>
      <c r="T114" s="29" t="s">
        <v>424</v>
      </c>
      <c r="U114" s="108">
        <f t="shared" si="7"/>
        <v>1.0133333333333334</v>
      </c>
      <c r="V114" s="7" t="s">
        <v>1941</v>
      </c>
    </row>
    <row r="115" spans="1:22" x14ac:dyDescent="0.3">
      <c r="A115" s="7">
        <v>119</v>
      </c>
      <c r="B115" s="29" t="s">
        <v>23</v>
      </c>
      <c r="C115" s="29" t="s">
        <v>928</v>
      </c>
      <c r="D115" s="29">
        <v>50126264</v>
      </c>
      <c r="E115" s="29">
        <v>75</v>
      </c>
      <c r="F115" s="7">
        <v>105</v>
      </c>
      <c r="G115" s="7">
        <v>85</v>
      </c>
      <c r="H115" s="7" t="s">
        <v>95</v>
      </c>
      <c r="I115" s="7" t="s">
        <v>109</v>
      </c>
      <c r="J115" s="7" t="s">
        <v>130</v>
      </c>
      <c r="K115" s="11">
        <v>0.98333333333333328</v>
      </c>
      <c r="L115" s="7" t="s">
        <v>109</v>
      </c>
      <c r="M115" s="7" t="s">
        <v>109</v>
      </c>
      <c r="N115" s="38" t="s">
        <v>109</v>
      </c>
      <c r="O115" s="38" t="s">
        <v>61</v>
      </c>
      <c r="P115" s="7" t="s">
        <v>131</v>
      </c>
      <c r="Q115" s="7" t="s">
        <v>95</v>
      </c>
      <c r="R115" s="7" t="s">
        <v>62</v>
      </c>
      <c r="S115" s="7" t="s">
        <v>2922</v>
      </c>
      <c r="T115" s="29" t="s">
        <v>424</v>
      </c>
      <c r="U115" s="108">
        <f t="shared" si="7"/>
        <v>1.1333333333333333</v>
      </c>
      <c r="V115" s="7" t="s">
        <v>1941</v>
      </c>
    </row>
    <row r="116" spans="1:22" x14ac:dyDescent="0.3">
      <c r="A116" s="7">
        <v>120</v>
      </c>
      <c r="B116" s="29" t="s">
        <v>23</v>
      </c>
      <c r="C116" s="29" t="s">
        <v>937</v>
      </c>
      <c r="D116" s="29">
        <v>50126267</v>
      </c>
      <c r="E116" s="29">
        <v>75</v>
      </c>
      <c r="F116" s="7">
        <v>81</v>
      </c>
      <c r="G116" s="7">
        <v>74</v>
      </c>
      <c r="H116" s="7" t="s">
        <v>184</v>
      </c>
      <c r="I116" s="7" t="s">
        <v>109</v>
      </c>
      <c r="J116" s="7" t="s">
        <v>130</v>
      </c>
      <c r="K116" s="11">
        <v>0.98888888888888893</v>
      </c>
      <c r="L116" s="7" t="s">
        <v>109</v>
      </c>
      <c r="M116" s="7" t="s">
        <v>109</v>
      </c>
      <c r="N116" s="38" t="s">
        <v>109</v>
      </c>
      <c r="O116" s="38" t="s">
        <v>61</v>
      </c>
      <c r="P116" s="7" t="s">
        <v>131</v>
      </c>
      <c r="Q116" s="7" t="s">
        <v>184</v>
      </c>
      <c r="R116" s="7" t="s">
        <v>62</v>
      </c>
      <c r="S116" s="7" t="s">
        <v>2922</v>
      </c>
      <c r="T116" s="29" t="s">
        <v>424</v>
      </c>
      <c r="U116" s="108">
        <f t="shared" si="7"/>
        <v>0.98666666666666669</v>
      </c>
      <c r="V116" s="7" t="s">
        <v>1941</v>
      </c>
    </row>
    <row r="117" spans="1:22" x14ac:dyDescent="0.3">
      <c r="A117" s="7">
        <v>121</v>
      </c>
      <c r="B117" s="29" t="s">
        <v>23</v>
      </c>
      <c r="C117" s="29" t="s">
        <v>2960</v>
      </c>
      <c r="D117" s="29">
        <v>50326017</v>
      </c>
      <c r="E117" s="29">
        <v>100</v>
      </c>
      <c r="F117" s="7">
        <v>100</v>
      </c>
      <c r="G117" s="7">
        <v>93</v>
      </c>
      <c r="H117" s="7" t="s">
        <v>89</v>
      </c>
      <c r="I117" s="7" t="s">
        <v>109</v>
      </c>
      <c r="J117" s="7" t="s">
        <v>130</v>
      </c>
      <c r="K117" s="11">
        <v>1.1805555555555555E-2</v>
      </c>
      <c r="L117" s="7" t="s">
        <v>109</v>
      </c>
      <c r="M117" s="7" t="s">
        <v>109</v>
      </c>
      <c r="N117" s="38" t="s">
        <v>109</v>
      </c>
      <c r="O117" s="38" t="s">
        <v>61</v>
      </c>
      <c r="P117" s="7" t="s">
        <v>131</v>
      </c>
      <c r="Q117" s="7" t="s">
        <v>89</v>
      </c>
      <c r="R117" s="7" t="s">
        <v>62</v>
      </c>
      <c r="S117" s="7" t="s">
        <v>2922</v>
      </c>
      <c r="T117" s="29" t="s">
        <v>424</v>
      </c>
      <c r="U117" s="108">
        <f t="shared" si="7"/>
        <v>0.93</v>
      </c>
      <c r="V117" s="7" t="s">
        <v>1941</v>
      </c>
    </row>
    <row r="118" spans="1:22" x14ac:dyDescent="0.3">
      <c r="A118" s="7">
        <v>123</v>
      </c>
      <c r="B118" s="29" t="s">
        <v>23</v>
      </c>
      <c r="C118" s="29" t="s">
        <v>849</v>
      </c>
      <c r="D118" s="29">
        <v>50126213</v>
      </c>
      <c r="E118" s="29">
        <v>175</v>
      </c>
      <c r="F118" s="7">
        <v>206</v>
      </c>
      <c r="G118" s="7">
        <v>174</v>
      </c>
      <c r="H118" s="7" t="s">
        <v>764</v>
      </c>
      <c r="I118" s="7" t="s">
        <v>109</v>
      </c>
      <c r="J118" s="7" t="s">
        <v>130</v>
      </c>
      <c r="K118" s="11">
        <v>4.5138888888888888E-2</v>
      </c>
      <c r="L118" s="7" t="s">
        <v>109</v>
      </c>
      <c r="M118" s="7" t="s">
        <v>109</v>
      </c>
      <c r="N118" s="38" t="s">
        <v>109</v>
      </c>
      <c r="O118" s="38" t="s">
        <v>61</v>
      </c>
      <c r="P118" s="7" t="s">
        <v>131</v>
      </c>
      <c r="Q118" s="7" t="s">
        <v>94</v>
      </c>
      <c r="R118" s="7" t="s">
        <v>62</v>
      </c>
      <c r="S118" s="7" t="s">
        <v>2922</v>
      </c>
      <c r="T118" s="29" t="s">
        <v>424</v>
      </c>
      <c r="U118" s="108">
        <f t="shared" si="7"/>
        <v>0.99428571428571433</v>
      </c>
      <c r="V118" s="7" t="s">
        <v>1941</v>
      </c>
    </row>
    <row r="119" spans="1:22" x14ac:dyDescent="0.3">
      <c r="A119" s="7">
        <v>124</v>
      </c>
      <c r="B119" s="29" t="s">
        <v>23</v>
      </c>
      <c r="C119" s="29" t="s">
        <v>940</v>
      </c>
      <c r="D119" s="29">
        <v>50126249</v>
      </c>
      <c r="E119" s="29">
        <v>350</v>
      </c>
      <c r="F119" s="7">
        <v>552</v>
      </c>
      <c r="G119" s="7">
        <v>313</v>
      </c>
      <c r="H119" s="7" t="s">
        <v>2961</v>
      </c>
      <c r="I119" s="7" t="s">
        <v>109</v>
      </c>
      <c r="J119" s="7" t="s">
        <v>130</v>
      </c>
      <c r="K119" s="11">
        <v>0.99305555555555558</v>
      </c>
      <c r="L119" s="7" t="s">
        <v>109</v>
      </c>
      <c r="M119" s="7" t="s">
        <v>109</v>
      </c>
      <c r="N119" s="38" t="s">
        <v>109</v>
      </c>
      <c r="O119" s="38" t="s">
        <v>61</v>
      </c>
      <c r="P119" s="7" t="s">
        <v>131</v>
      </c>
      <c r="Q119" s="7" t="s">
        <v>86</v>
      </c>
      <c r="R119" s="7" t="s">
        <v>62</v>
      </c>
      <c r="S119" s="7" t="s">
        <v>2922</v>
      </c>
      <c r="T119" s="29" t="s">
        <v>424</v>
      </c>
      <c r="U119" s="108">
        <f t="shared" si="7"/>
        <v>0.89428571428571424</v>
      </c>
      <c r="V119" s="7" t="s">
        <v>1941</v>
      </c>
    </row>
  </sheetData>
  <conditionalFormatting sqref="D1">
    <cfRule type="duplicateValues" dxfId="51" priority="2"/>
  </conditionalFormatting>
  <conditionalFormatting sqref="D1:D1048576">
    <cfRule type="duplicateValues" dxfId="50" priority="1"/>
  </conditionalFormatting>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CAAB6-BC60-4179-A762-8EFE0460D057}">
  <dimension ref="A1:V150"/>
  <sheetViews>
    <sheetView topLeftCell="I1" workbookViewId="0">
      <pane ySplit="1" topLeftCell="A2" activePane="bottomLeft" state="frozen"/>
      <selection activeCell="I1" sqref="I1"/>
      <selection pane="bottomLeft" activeCell="J1" sqref="A1:XFD1"/>
    </sheetView>
  </sheetViews>
  <sheetFormatPr defaultRowHeight="14.4" x14ac:dyDescent="0.3"/>
  <cols>
    <col min="1" max="2" width="8.88671875" style="31"/>
    <col min="3" max="3" width="53.6640625" style="31" customWidth="1"/>
    <col min="4" max="7" width="8.88671875" style="31"/>
    <col min="8" max="8" width="44.33203125" style="31" bestFit="1" customWidth="1"/>
    <col min="9" max="9" width="34.88671875" style="31" customWidth="1"/>
    <col min="10" max="10" width="8.88671875" style="31"/>
    <col min="11" max="11" width="17.21875" style="31" customWidth="1"/>
    <col min="12" max="12" width="23.21875" style="31" customWidth="1"/>
    <col min="13" max="13" width="17.44140625" style="31" customWidth="1"/>
    <col min="14" max="14" width="87" style="31" customWidth="1"/>
    <col min="15" max="16" width="8.88671875" style="31"/>
    <col min="17" max="17" width="15.109375" style="31" customWidth="1"/>
    <col min="18" max="18" width="18.109375" style="31" customWidth="1"/>
    <col min="19" max="21" width="8.88671875" style="31"/>
    <col min="22" max="22" width="14.5546875" style="31" customWidth="1"/>
    <col min="23" max="16384" width="8.88671875" style="31"/>
  </cols>
  <sheetData>
    <row r="1" spans="1:22" x14ac:dyDescent="0.3">
      <c r="A1" s="1" t="s">
        <v>0</v>
      </c>
      <c r="B1" s="1" t="s">
        <v>1</v>
      </c>
      <c r="C1" s="1" t="s">
        <v>2</v>
      </c>
      <c r="D1" s="1" t="s">
        <v>3</v>
      </c>
      <c r="E1" s="1" t="s">
        <v>4</v>
      </c>
      <c r="F1" s="1" t="s">
        <v>5</v>
      </c>
      <c r="G1" s="1" t="s">
        <v>6</v>
      </c>
      <c r="H1" s="1" t="s">
        <v>7</v>
      </c>
      <c r="I1" s="1" t="s">
        <v>8</v>
      </c>
      <c r="J1" s="1" t="s">
        <v>9</v>
      </c>
      <c r="K1" s="2" t="s">
        <v>2218</v>
      </c>
      <c r="L1" s="2" t="s">
        <v>2219</v>
      </c>
      <c r="M1" s="3" t="s">
        <v>2281</v>
      </c>
      <c r="N1" s="4" t="s">
        <v>13</v>
      </c>
      <c r="O1" s="1" t="s">
        <v>14</v>
      </c>
      <c r="P1" s="1" t="s">
        <v>15</v>
      </c>
      <c r="Q1" s="1" t="s">
        <v>16</v>
      </c>
      <c r="R1" s="1" t="s">
        <v>17</v>
      </c>
      <c r="S1" s="127" t="s">
        <v>2282</v>
      </c>
      <c r="T1" s="1" t="s">
        <v>19</v>
      </c>
      <c r="U1" s="1" t="s">
        <v>20</v>
      </c>
      <c r="V1" s="1" t="s">
        <v>21</v>
      </c>
    </row>
    <row r="2" spans="1:22" x14ac:dyDescent="0.3">
      <c r="A2" s="7">
        <v>1</v>
      </c>
      <c r="B2" s="29" t="s">
        <v>23</v>
      </c>
      <c r="C2" s="29" t="s">
        <v>2966</v>
      </c>
      <c r="D2" s="29">
        <v>50326012</v>
      </c>
      <c r="E2" s="29">
        <v>65</v>
      </c>
      <c r="F2" s="7">
        <v>75</v>
      </c>
      <c r="G2" s="7">
        <v>48</v>
      </c>
      <c r="H2" s="89" t="s">
        <v>154</v>
      </c>
      <c r="I2" s="7" t="s">
        <v>109</v>
      </c>
      <c r="J2" s="7" t="s">
        <v>130</v>
      </c>
      <c r="K2" s="11">
        <v>0.69374999999999998</v>
      </c>
      <c r="L2" s="7" t="s">
        <v>109</v>
      </c>
      <c r="M2" s="7" t="s">
        <v>109</v>
      </c>
      <c r="N2" s="32" t="s">
        <v>110</v>
      </c>
      <c r="O2" s="29" t="s">
        <v>61</v>
      </c>
      <c r="P2" s="7" t="s">
        <v>131</v>
      </c>
      <c r="Q2" s="7" t="s">
        <v>154</v>
      </c>
      <c r="R2" s="7" t="s">
        <v>62</v>
      </c>
      <c r="S2" s="7" t="s">
        <v>512</v>
      </c>
      <c r="T2" s="29" t="s">
        <v>424</v>
      </c>
      <c r="U2" s="108">
        <f>G2/E2</f>
        <v>0.7384615384615385</v>
      </c>
      <c r="V2" s="7" t="s">
        <v>152</v>
      </c>
    </row>
    <row r="3" spans="1:22" x14ac:dyDescent="0.3">
      <c r="A3" s="7">
        <v>2</v>
      </c>
      <c r="B3" s="29" t="s">
        <v>23</v>
      </c>
      <c r="C3" s="29" t="s">
        <v>2967</v>
      </c>
      <c r="D3" s="29">
        <v>50326013</v>
      </c>
      <c r="E3" s="29">
        <v>65</v>
      </c>
      <c r="F3" s="7">
        <v>84</v>
      </c>
      <c r="G3" s="7">
        <v>72</v>
      </c>
      <c r="H3" s="89" t="s">
        <v>93</v>
      </c>
      <c r="I3" s="7" t="s">
        <v>109</v>
      </c>
      <c r="J3" s="7" t="s">
        <v>130</v>
      </c>
      <c r="K3" s="11">
        <v>0.70277777777777772</v>
      </c>
      <c r="L3" s="7" t="s">
        <v>109</v>
      </c>
      <c r="M3" s="7" t="s">
        <v>109</v>
      </c>
      <c r="N3" s="32" t="s">
        <v>110</v>
      </c>
      <c r="O3" s="29" t="s">
        <v>61</v>
      </c>
      <c r="P3" s="7" t="s">
        <v>131</v>
      </c>
      <c r="Q3" s="7" t="s">
        <v>93</v>
      </c>
      <c r="R3" s="7" t="s">
        <v>62</v>
      </c>
      <c r="S3" s="7" t="s">
        <v>512</v>
      </c>
      <c r="T3" s="29" t="s">
        <v>424</v>
      </c>
      <c r="U3" s="108">
        <f t="shared" ref="U3:U17" si="0">G3/E3</f>
        <v>1.1076923076923078</v>
      </c>
      <c r="V3" s="7" t="s">
        <v>1945</v>
      </c>
    </row>
    <row r="4" spans="1:22" x14ac:dyDescent="0.3">
      <c r="A4" s="7">
        <v>3</v>
      </c>
      <c r="B4" s="29" t="s">
        <v>23</v>
      </c>
      <c r="C4" s="29" t="s">
        <v>2960</v>
      </c>
      <c r="D4" s="29">
        <v>50326017</v>
      </c>
      <c r="E4" s="29">
        <v>200</v>
      </c>
      <c r="F4" s="7">
        <v>259</v>
      </c>
      <c r="G4" s="7">
        <v>232</v>
      </c>
      <c r="H4" s="89" t="s">
        <v>1549</v>
      </c>
      <c r="I4" s="7" t="s">
        <v>109</v>
      </c>
      <c r="J4" s="7" t="s">
        <v>130</v>
      </c>
      <c r="K4" s="11">
        <v>0.72569444444444442</v>
      </c>
      <c r="L4" s="7" t="s">
        <v>109</v>
      </c>
      <c r="M4" s="7" t="s">
        <v>109</v>
      </c>
      <c r="N4" s="32" t="s">
        <v>110</v>
      </c>
      <c r="O4" s="29" t="s">
        <v>61</v>
      </c>
      <c r="P4" s="7" t="s">
        <v>131</v>
      </c>
      <c r="Q4" s="7" t="s">
        <v>90</v>
      </c>
      <c r="R4" s="7" t="s">
        <v>62</v>
      </c>
      <c r="S4" s="7" t="s">
        <v>512</v>
      </c>
      <c r="T4" s="29" t="s">
        <v>424</v>
      </c>
      <c r="U4" s="108">
        <f t="shared" si="0"/>
        <v>1.1599999999999999</v>
      </c>
      <c r="V4" s="7" t="s">
        <v>1945</v>
      </c>
    </row>
    <row r="5" spans="1:22" x14ac:dyDescent="0.3">
      <c r="A5" s="7">
        <v>4</v>
      </c>
      <c r="B5" s="29" t="s">
        <v>23</v>
      </c>
      <c r="C5" s="29" t="s">
        <v>427</v>
      </c>
      <c r="D5" s="29">
        <v>50126022</v>
      </c>
      <c r="E5" s="29">
        <v>160</v>
      </c>
      <c r="F5" s="7">
        <v>204</v>
      </c>
      <c r="G5" s="7">
        <v>167</v>
      </c>
      <c r="H5" s="7" t="s">
        <v>2968</v>
      </c>
      <c r="I5" s="7" t="s">
        <v>109</v>
      </c>
      <c r="J5" s="7" t="s">
        <v>130</v>
      </c>
      <c r="K5" s="11">
        <v>0.75972222222222219</v>
      </c>
      <c r="L5" s="7" t="s">
        <v>109</v>
      </c>
      <c r="M5" s="7" t="s">
        <v>109</v>
      </c>
      <c r="N5" s="32" t="s">
        <v>110</v>
      </c>
      <c r="O5" s="29" t="s">
        <v>61</v>
      </c>
      <c r="P5" s="7" t="s">
        <v>131</v>
      </c>
      <c r="Q5" s="7" t="s">
        <v>67</v>
      </c>
      <c r="R5" s="7" t="s">
        <v>62</v>
      </c>
      <c r="S5" s="7" t="s">
        <v>512</v>
      </c>
      <c r="T5" s="29" t="s">
        <v>424</v>
      </c>
      <c r="U5" s="108">
        <f t="shared" si="0"/>
        <v>1.04375</v>
      </c>
      <c r="V5" s="7" t="s">
        <v>1945</v>
      </c>
    </row>
    <row r="6" spans="1:22" x14ac:dyDescent="0.3">
      <c r="A6" s="7">
        <v>5</v>
      </c>
      <c r="B6" s="29" t="s">
        <v>23</v>
      </c>
      <c r="C6" s="29" t="s">
        <v>1664</v>
      </c>
      <c r="D6" s="29">
        <v>50126367</v>
      </c>
      <c r="E6" s="29">
        <v>180</v>
      </c>
      <c r="F6" s="7">
        <v>204</v>
      </c>
      <c r="G6" s="7">
        <v>191</v>
      </c>
      <c r="H6" s="89" t="s">
        <v>2969</v>
      </c>
      <c r="I6" s="7" t="s">
        <v>109</v>
      </c>
      <c r="J6" s="7" t="s">
        <v>130</v>
      </c>
      <c r="K6" s="11">
        <v>0.69930555555555551</v>
      </c>
      <c r="L6" s="7" t="s">
        <v>109</v>
      </c>
      <c r="M6" s="7" t="s">
        <v>109</v>
      </c>
      <c r="N6" s="32" t="s">
        <v>110</v>
      </c>
      <c r="O6" s="29" t="s">
        <v>61</v>
      </c>
      <c r="P6" s="7" t="s">
        <v>131</v>
      </c>
      <c r="Q6" s="7" t="s">
        <v>274</v>
      </c>
      <c r="R6" s="7" t="s">
        <v>62</v>
      </c>
      <c r="S6" s="7" t="s">
        <v>512</v>
      </c>
      <c r="T6" s="29" t="s">
        <v>424</v>
      </c>
      <c r="U6" s="108">
        <f t="shared" si="0"/>
        <v>1.0611111111111111</v>
      </c>
      <c r="V6" s="7" t="s">
        <v>1945</v>
      </c>
    </row>
    <row r="7" spans="1:22" x14ac:dyDescent="0.3">
      <c r="A7" s="7">
        <v>6</v>
      </c>
      <c r="B7" s="29" t="s">
        <v>23</v>
      </c>
      <c r="C7" s="29" t="s">
        <v>849</v>
      </c>
      <c r="D7" s="29">
        <v>50126213</v>
      </c>
      <c r="E7" s="29">
        <v>350</v>
      </c>
      <c r="F7" s="7">
        <v>413</v>
      </c>
      <c r="G7" s="7">
        <v>355</v>
      </c>
      <c r="H7" s="89" t="s">
        <v>3032</v>
      </c>
      <c r="I7" s="7" t="s">
        <v>109</v>
      </c>
      <c r="J7" s="7" t="s">
        <v>130</v>
      </c>
      <c r="K7" s="11">
        <v>0.85</v>
      </c>
      <c r="L7" s="7" t="s">
        <v>109</v>
      </c>
      <c r="M7" s="7" t="s">
        <v>109</v>
      </c>
      <c r="N7" s="32" t="s">
        <v>110</v>
      </c>
      <c r="O7" s="29" t="s">
        <v>61</v>
      </c>
      <c r="P7" s="7" t="s">
        <v>131</v>
      </c>
      <c r="Q7" s="7" t="s">
        <v>91</v>
      </c>
      <c r="R7" s="7" t="s">
        <v>62</v>
      </c>
      <c r="S7" s="7" t="s">
        <v>512</v>
      </c>
      <c r="T7" s="29" t="s">
        <v>424</v>
      </c>
      <c r="U7" s="108">
        <f t="shared" si="0"/>
        <v>1.0142857142857142</v>
      </c>
      <c r="V7" s="7" t="s">
        <v>1945</v>
      </c>
    </row>
    <row r="8" spans="1:22" x14ac:dyDescent="0.3">
      <c r="A8" s="7">
        <v>7</v>
      </c>
      <c r="B8" s="29" t="s">
        <v>23</v>
      </c>
      <c r="C8" s="29" t="s">
        <v>940</v>
      </c>
      <c r="D8" s="29">
        <v>50126249</v>
      </c>
      <c r="E8" s="29">
        <v>220</v>
      </c>
      <c r="F8" s="7">
        <v>307</v>
      </c>
      <c r="G8" s="7">
        <v>218</v>
      </c>
      <c r="H8" s="7" t="s">
        <v>2970</v>
      </c>
      <c r="I8" s="7" t="s">
        <v>109</v>
      </c>
      <c r="J8" s="7" t="s">
        <v>130</v>
      </c>
      <c r="K8" s="11">
        <v>0.73750000000000004</v>
      </c>
      <c r="L8" s="7" t="s">
        <v>109</v>
      </c>
      <c r="M8" s="7" t="s">
        <v>109</v>
      </c>
      <c r="N8" s="32" t="s">
        <v>110</v>
      </c>
      <c r="O8" s="29" t="s">
        <v>61</v>
      </c>
      <c r="P8" s="7" t="s">
        <v>131</v>
      </c>
      <c r="Q8" s="7" t="s">
        <v>154</v>
      </c>
      <c r="R8" s="7" t="s">
        <v>62</v>
      </c>
      <c r="S8" s="7" t="s">
        <v>512</v>
      </c>
      <c r="T8" s="29" t="s">
        <v>424</v>
      </c>
      <c r="U8" s="108">
        <f t="shared" si="0"/>
        <v>0.99090909090909096</v>
      </c>
      <c r="V8" s="7" t="s">
        <v>1945</v>
      </c>
    </row>
    <row r="9" spans="1:22" x14ac:dyDescent="0.3">
      <c r="A9" s="7">
        <v>8</v>
      </c>
      <c r="B9" s="29" t="s">
        <v>23</v>
      </c>
      <c r="C9" s="29" t="s">
        <v>714</v>
      </c>
      <c r="D9" s="29">
        <v>50126168</v>
      </c>
      <c r="E9" s="29">
        <v>95</v>
      </c>
      <c r="F9" s="7">
        <v>44</v>
      </c>
      <c r="G9" s="7">
        <v>4</v>
      </c>
      <c r="H9" s="7" t="s">
        <v>68</v>
      </c>
      <c r="I9" s="7" t="s">
        <v>109</v>
      </c>
      <c r="J9" s="7" t="s">
        <v>130</v>
      </c>
      <c r="K9" s="11">
        <v>0.68194444444444446</v>
      </c>
      <c r="L9" s="7" t="s">
        <v>109</v>
      </c>
      <c r="M9" s="7" t="s">
        <v>109</v>
      </c>
      <c r="N9" s="32" t="s">
        <v>110</v>
      </c>
      <c r="O9" s="29" t="s">
        <v>61</v>
      </c>
      <c r="P9" s="7" t="s">
        <v>131</v>
      </c>
      <c r="Q9" s="7" t="s">
        <v>68</v>
      </c>
      <c r="R9" s="7" t="s">
        <v>62</v>
      </c>
      <c r="S9" s="7" t="s">
        <v>512</v>
      </c>
      <c r="T9" s="29" t="s">
        <v>424</v>
      </c>
      <c r="U9" s="108">
        <f t="shared" si="0"/>
        <v>4.2105263157894736E-2</v>
      </c>
      <c r="V9" s="7" t="s">
        <v>152</v>
      </c>
    </row>
    <row r="10" spans="1:22" x14ac:dyDescent="0.3">
      <c r="A10" s="7">
        <v>9</v>
      </c>
      <c r="B10" s="29" t="s">
        <v>23</v>
      </c>
      <c r="C10" s="29" t="s">
        <v>2879</v>
      </c>
      <c r="D10" s="29">
        <v>50326005</v>
      </c>
      <c r="E10" s="29">
        <v>160</v>
      </c>
      <c r="F10" s="7">
        <v>310</v>
      </c>
      <c r="G10" s="7">
        <v>172</v>
      </c>
      <c r="H10" s="7" t="s">
        <v>2971</v>
      </c>
      <c r="I10" s="7" t="s">
        <v>109</v>
      </c>
      <c r="J10" s="7" t="s">
        <v>130</v>
      </c>
      <c r="K10" s="11">
        <v>0.68541666666666667</v>
      </c>
      <c r="L10" s="7" t="s">
        <v>109</v>
      </c>
      <c r="M10" s="7" t="s">
        <v>109</v>
      </c>
      <c r="N10" s="32" t="s">
        <v>110</v>
      </c>
      <c r="O10" s="29" t="s">
        <v>61</v>
      </c>
      <c r="P10" s="7" t="s">
        <v>131</v>
      </c>
      <c r="Q10" s="7" t="s">
        <v>214</v>
      </c>
      <c r="R10" s="7" t="s">
        <v>62</v>
      </c>
      <c r="S10" s="7" t="s">
        <v>512</v>
      </c>
      <c r="T10" s="29" t="s">
        <v>424</v>
      </c>
      <c r="U10" s="108">
        <f t="shared" si="0"/>
        <v>1.075</v>
      </c>
      <c r="V10" s="7" t="s">
        <v>1945</v>
      </c>
    </row>
    <row r="11" spans="1:22" x14ac:dyDescent="0.3">
      <c r="A11" s="7">
        <v>10</v>
      </c>
      <c r="B11" s="29" t="s">
        <v>23</v>
      </c>
      <c r="C11" s="29" t="s">
        <v>1919</v>
      </c>
      <c r="D11" s="29">
        <v>50226021</v>
      </c>
      <c r="E11" s="29">
        <v>180</v>
      </c>
      <c r="F11" s="7">
        <v>210</v>
      </c>
      <c r="G11" s="7">
        <v>183</v>
      </c>
      <c r="H11" s="7" t="s">
        <v>2970</v>
      </c>
      <c r="I11" s="7" t="s">
        <v>109</v>
      </c>
      <c r="J11" s="7" t="s">
        <v>130</v>
      </c>
      <c r="K11" s="11">
        <v>0.7993055555555556</v>
      </c>
      <c r="L11" s="7" t="s">
        <v>109</v>
      </c>
      <c r="M11" s="7" t="s">
        <v>109</v>
      </c>
      <c r="N11" s="32" t="s">
        <v>110</v>
      </c>
      <c r="O11" s="29" t="s">
        <v>61</v>
      </c>
      <c r="P11" s="7" t="s">
        <v>131</v>
      </c>
      <c r="Q11" s="7" t="s">
        <v>88</v>
      </c>
      <c r="R11" s="7" t="s">
        <v>62</v>
      </c>
      <c r="S11" s="7" t="s">
        <v>512</v>
      </c>
      <c r="T11" s="29" t="s">
        <v>424</v>
      </c>
      <c r="U11" s="108">
        <f t="shared" si="0"/>
        <v>1.0166666666666666</v>
      </c>
      <c r="V11" s="7" t="s">
        <v>1945</v>
      </c>
    </row>
    <row r="12" spans="1:22" x14ac:dyDescent="0.3">
      <c r="A12" s="7">
        <v>11</v>
      </c>
      <c r="B12" s="29" t="s">
        <v>23</v>
      </c>
      <c r="C12" s="29" t="s">
        <v>2640</v>
      </c>
      <c r="D12" s="29">
        <v>50226119</v>
      </c>
      <c r="E12" s="29">
        <v>150</v>
      </c>
      <c r="F12" s="7">
        <v>199</v>
      </c>
      <c r="G12" s="7">
        <v>154</v>
      </c>
      <c r="H12" s="7" t="s">
        <v>969</v>
      </c>
      <c r="I12" s="7" t="s">
        <v>109</v>
      </c>
      <c r="J12" s="7" t="s">
        <v>130</v>
      </c>
      <c r="K12" s="11">
        <v>0.68333333333333335</v>
      </c>
      <c r="L12" s="7" t="s">
        <v>109</v>
      </c>
      <c r="M12" s="7" t="s">
        <v>109</v>
      </c>
      <c r="N12" s="32" t="s">
        <v>110</v>
      </c>
      <c r="O12" s="29" t="s">
        <v>61</v>
      </c>
      <c r="P12" s="7" t="s">
        <v>131</v>
      </c>
      <c r="Q12" s="7" t="s">
        <v>200</v>
      </c>
      <c r="R12" s="7" t="s">
        <v>62</v>
      </c>
      <c r="S12" s="7" t="s">
        <v>512</v>
      </c>
      <c r="T12" s="29" t="s">
        <v>424</v>
      </c>
      <c r="U12" s="108">
        <f t="shared" si="0"/>
        <v>1.0266666666666666</v>
      </c>
      <c r="V12" s="7" t="s">
        <v>1945</v>
      </c>
    </row>
    <row r="13" spans="1:22" x14ac:dyDescent="0.3">
      <c r="A13" s="7">
        <v>12</v>
      </c>
      <c r="B13" s="29" t="s">
        <v>23</v>
      </c>
      <c r="C13" s="29" t="s">
        <v>1123</v>
      </c>
      <c r="D13" s="29">
        <v>50126211</v>
      </c>
      <c r="E13" s="29">
        <v>100</v>
      </c>
      <c r="F13" s="7">
        <v>160</v>
      </c>
      <c r="G13" s="7">
        <v>91</v>
      </c>
      <c r="H13" s="7" t="s">
        <v>91</v>
      </c>
      <c r="I13" s="7" t="s">
        <v>109</v>
      </c>
      <c r="J13" s="7" t="s">
        <v>130</v>
      </c>
      <c r="K13" s="11">
        <v>0.76041666666666663</v>
      </c>
      <c r="L13" s="7" t="s">
        <v>109</v>
      </c>
      <c r="M13" s="7" t="s">
        <v>109</v>
      </c>
      <c r="N13" s="32" t="s">
        <v>110</v>
      </c>
      <c r="O13" s="29" t="s">
        <v>61</v>
      </c>
      <c r="P13" s="7" t="s">
        <v>131</v>
      </c>
      <c r="Q13" s="7" t="s">
        <v>91</v>
      </c>
      <c r="R13" s="7" t="s">
        <v>62</v>
      </c>
      <c r="S13" s="7" t="s">
        <v>512</v>
      </c>
      <c r="T13" s="29" t="s">
        <v>424</v>
      </c>
      <c r="U13" s="108">
        <f t="shared" si="0"/>
        <v>0.91</v>
      </c>
      <c r="V13" s="7" t="s">
        <v>1945</v>
      </c>
    </row>
    <row r="14" spans="1:22" x14ac:dyDescent="0.3">
      <c r="A14" s="7">
        <v>13</v>
      </c>
      <c r="B14" s="29" t="s">
        <v>23</v>
      </c>
      <c r="C14" s="29" t="s">
        <v>811</v>
      </c>
      <c r="D14" s="29">
        <v>50126222</v>
      </c>
      <c r="E14" s="29">
        <v>100</v>
      </c>
      <c r="F14" s="7">
        <v>117</v>
      </c>
      <c r="G14" s="7">
        <v>102</v>
      </c>
      <c r="H14" s="89" t="s">
        <v>222</v>
      </c>
      <c r="I14" s="7" t="s">
        <v>109</v>
      </c>
      <c r="J14" s="7" t="s">
        <v>130</v>
      </c>
      <c r="K14" s="11">
        <v>0.77569444444444446</v>
      </c>
      <c r="L14" s="7" t="s">
        <v>109</v>
      </c>
      <c r="M14" s="7" t="s">
        <v>109</v>
      </c>
      <c r="N14" s="29" t="s">
        <v>109</v>
      </c>
      <c r="O14" s="29" t="s">
        <v>61</v>
      </c>
      <c r="P14" s="7" t="s">
        <v>131</v>
      </c>
      <c r="Q14" s="7" t="s">
        <v>222</v>
      </c>
      <c r="R14" s="7" t="s">
        <v>62</v>
      </c>
      <c r="S14" s="7" t="s">
        <v>512</v>
      </c>
      <c r="T14" s="29" t="s">
        <v>424</v>
      </c>
      <c r="U14" s="108">
        <f t="shared" si="0"/>
        <v>1.02</v>
      </c>
      <c r="V14" s="7" t="s">
        <v>1945</v>
      </c>
    </row>
    <row r="15" spans="1:22" x14ac:dyDescent="0.3">
      <c r="A15" s="7">
        <v>14</v>
      </c>
      <c r="B15" s="29" t="s">
        <v>23</v>
      </c>
      <c r="C15" s="29" t="s">
        <v>2972</v>
      </c>
      <c r="D15" s="29">
        <v>50326014</v>
      </c>
      <c r="E15" s="29">
        <v>45</v>
      </c>
      <c r="F15" s="7">
        <v>60</v>
      </c>
      <c r="G15" s="7">
        <v>50</v>
      </c>
      <c r="H15" s="89" t="s">
        <v>66</v>
      </c>
      <c r="I15" s="7" t="s">
        <v>109</v>
      </c>
      <c r="J15" s="7" t="s">
        <v>130</v>
      </c>
      <c r="K15" s="11">
        <v>0.75555555555555554</v>
      </c>
      <c r="L15" s="7" t="s">
        <v>109</v>
      </c>
      <c r="M15" s="7" t="s">
        <v>109</v>
      </c>
      <c r="N15" s="29" t="s">
        <v>109</v>
      </c>
      <c r="O15" s="29" t="s">
        <v>61</v>
      </c>
      <c r="P15" s="7" t="s">
        <v>131</v>
      </c>
      <c r="Q15" s="7" t="s">
        <v>66</v>
      </c>
      <c r="R15" s="7" t="s">
        <v>62</v>
      </c>
      <c r="S15" s="7" t="s">
        <v>512</v>
      </c>
      <c r="T15" s="29" t="s">
        <v>424</v>
      </c>
      <c r="U15" s="108">
        <f t="shared" si="0"/>
        <v>1.1111111111111112</v>
      </c>
      <c r="V15" s="7" t="s">
        <v>1945</v>
      </c>
    </row>
    <row r="16" spans="1:22" x14ac:dyDescent="0.3">
      <c r="A16" s="7">
        <v>15</v>
      </c>
      <c r="B16" s="29" t="s">
        <v>23</v>
      </c>
      <c r="C16" s="29" t="s">
        <v>1915</v>
      </c>
      <c r="D16" s="29">
        <v>50226019</v>
      </c>
      <c r="E16" s="29">
        <v>65</v>
      </c>
      <c r="F16" s="7">
        <v>83</v>
      </c>
      <c r="G16" s="7">
        <v>74</v>
      </c>
      <c r="H16" s="89" t="s">
        <v>88</v>
      </c>
      <c r="I16" s="7" t="s">
        <v>109</v>
      </c>
      <c r="J16" s="7" t="s">
        <v>130</v>
      </c>
      <c r="K16" s="11">
        <v>0.8305555555555556</v>
      </c>
      <c r="L16" s="7" t="s">
        <v>109</v>
      </c>
      <c r="M16" s="7" t="s">
        <v>109</v>
      </c>
      <c r="N16" s="29" t="s">
        <v>109</v>
      </c>
      <c r="O16" s="29" t="s">
        <v>61</v>
      </c>
      <c r="P16" s="7" t="s">
        <v>131</v>
      </c>
      <c r="Q16" s="7" t="s">
        <v>88</v>
      </c>
      <c r="R16" s="7" t="s">
        <v>62</v>
      </c>
      <c r="S16" s="7" t="s">
        <v>512</v>
      </c>
      <c r="T16" s="29" t="s">
        <v>424</v>
      </c>
      <c r="U16" s="108">
        <f t="shared" si="0"/>
        <v>1.1384615384615384</v>
      </c>
      <c r="V16" s="7" t="s">
        <v>1945</v>
      </c>
    </row>
    <row r="17" spans="1:22" x14ac:dyDescent="0.3">
      <c r="A17" s="7">
        <v>16</v>
      </c>
      <c r="B17" s="29" t="s">
        <v>23</v>
      </c>
      <c r="C17" s="29" t="s">
        <v>1917</v>
      </c>
      <c r="D17" s="29">
        <v>50226023</v>
      </c>
      <c r="E17" s="29">
        <v>55</v>
      </c>
      <c r="F17" s="7">
        <v>76</v>
      </c>
      <c r="G17" s="7">
        <v>64</v>
      </c>
      <c r="H17" s="89" t="s">
        <v>86</v>
      </c>
      <c r="I17" s="7" t="s">
        <v>109</v>
      </c>
      <c r="J17" s="7" t="s">
        <v>130</v>
      </c>
      <c r="K17" s="11">
        <v>0.72499999999999998</v>
      </c>
      <c r="L17" s="7" t="s">
        <v>109</v>
      </c>
      <c r="M17" s="7" t="s">
        <v>109</v>
      </c>
      <c r="N17" s="29" t="s">
        <v>109</v>
      </c>
      <c r="O17" s="29" t="s">
        <v>61</v>
      </c>
      <c r="P17" s="7" t="s">
        <v>131</v>
      </c>
      <c r="Q17" s="7" t="s">
        <v>86</v>
      </c>
      <c r="R17" s="7" t="s">
        <v>62</v>
      </c>
      <c r="S17" s="7" t="s">
        <v>512</v>
      </c>
      <c r="T17" s="29" t="s">
        <v>424</v>
      </c>
      <c r="U17" s="108">
        <f t="shared" si="0"/>
        <v>1.1636363636363636</v>
      </c>
      <c r="V17" s="7" t="s">
        <v>1945</v>
      </c>
    </row>
    <row r="18" spans="1:22" x14ac:dyDescent="0.3">
      <c r="A18" s="7">
        <v>149</v>
      </c>
      <c r="B18" s="74" t="s">
        <v>23</v>
      </c>
      <c r="C18" s="7" t="s">
        <v>753</v>
      </c>
      <c r="D18" s="7">
        <v>50126146</v>
      </c>
      <c r="E18" s="7">
        <v>31</v>
      </c>
      <c r="F18" s="7">
        <v>31</v>
      </c>
      <c r="G18" s="7">
        <v>28</v>
      </c>
      <c r="H18" s="7" t="s">
        <v>3048</v>
      </c>
      <c r="I18" s="7" t="s">
        <v>2692</v>
      </c>
      <c r="J18" s="7" t="s">
        <v>130</v>
      </c>
      <c r="K18" s="11">
        <v>9.5138888888888884E-2</v>
      </c>
      <c r="L18" s="11">
        <v>0.12152777777777778</v>
      </c>
      <c r="M18" s="7" t="s">
        <v>109</v>
      </c>
      <c r="N18" s="7" t="s">
        <v>109</v>
      </c>
      <c r="O18" s="7" t="s">
        <v>145</v>
      </c>
      <c r="P18" s="7" t="s">
        <v>131</v>
      </c>
      <c r="Q18" s="7" t="s">
        <v>2692</v>
      </c>
      <c r="R18" s="7" t="s">
        <v>62</v>
      </c>
      <c r="S18" s="7" t="s">
        <v>1525</v>
      </c>
      <c r="T18" s="73" t="s">
        <v>480</v>
      </c>
      <c r="U18" s="108">
        <f t="shared" ref="U18:U49" si="1">G18/E18</f>
        <v>0.90322580645161288</v>
      </c>
      <c r="V18" s="7" t="s">
        <v>2629</v>
      </c>
    </row>
    <row r="19" spans="1:22" x14ac:dyDescent="0.3">
      <c r="A19" s="7">
        <v>18</v>
      </c>
      <c r="B19" s="29" t="s">
        <v>23</v>
      </c>
      <c r="C19" s="29" t="s">
        <v>538</v>
      </c>
      <c r="D19" s="29">
        <v>50126084</v>
      </c>
      <c r="E19" s="29">
        <v>35</v>
      </c>
      <c r="F19" s="7">
        <v>81</v>
      </c>
      <c r="G19" s="7">
        <v>41</v>
      </c>
      <c r="H19" s="89" t="s">
        <v>70</v>
      </c>
      <c r="I19" s="7" t="s">
        <v>109</v>
      </c>
      <c r="J19" s="7" t="s">
        <v>130</v>
      </c>
      <c r="K19" s="11">
        <v>0.67083333333333328</v>
      </c>
      <c r="L19" s="7" t="s">
        <v>109</v>
      </c>
      <c r="M19" s="7" t="s">
        <v>109</v>
      </c>
      <c r="N19" s="29" t="s">
        <v>109</v>
      </c>
      <c r="O19" s="29" t="s">
        <v>61</v>
      </c>
      <c r="P19" s="7" t="s">
        <v>131</v>
      </c>
      <c r="Q19" s="7" t="s">
        <v>70</v>
      </c>
      <c r="R19" s="7" t="s">
        <v>62</v>
      </c>
      <c r="S19" s="7" t="s">
        <v>512</v>
      </c>
      <c r="T19" s="29" t="s">
        <v>424</v>
      </c>
      <c r="U19" s="108">
        <f t="shared" si="1"/>
        <v>1.1714285714285715</v>
      </c>
      <c r="V19" s="7" t="s">
        <v>1945</v>
      </c>
    </row>
    <row r="20" spans="1:22" x14ac:dyDescent="0.3">
      <c r="A20" s="7">
        <v>19</v>
      </c>
      <c r="B20" s="29" t="s">
        <v>23</v>
      </c>
      <c r="C20" s="29" t="s">
        <v>928</v>
      </c>
      <c r="D20" s="29">
        <v>50126264</v>
      </c>
      <c r="E20" s="29">
        <v>220</v>
      </c>
      <c r="F20" s="7">
        <v>329</v>
      </c>
      <c r="G20" s="7">
        <v>233</v>
      </c>
      <c r="H20" s="7" t="s">
        <v>2973</v>
      </c>
      <c r="I20" s="7" t="s">
        <v>109</v>
      </c>
      <c r="J20" s="7" t="s">
        <v>130</v>
      </c>
      <c r="K20" s="11">
        <v>5.4166666666666669E-2</v>
      </c>
      <c r="L20" s="7" t="s">
        <v>109</v>
      </c>
      <c r="M20" s="7" t="s">
        <v>109</v>
      </c>
      <c r="N20" s="29" t="s">
        <v>109</v>
      </c>
      <c r="O20" s="29" t="s">
        <v>61</v>
      </c>
      <c r="P20" s="7" t="s">
        <v>131</v>
      </c>
      <c r="Q20" s="7" t="s">
        <v>94</v>
      </c>
      <c r="R20" s="7" t="s">
        <v>62</v>
      </c>
      <c r="S20" s="7" t="s">
        <v>512</v>
      </c>
      <c r="T20" s="29" t="s">
        <v>424</v>
      </c>
      <c r="U20" s="108">
        <f t="shared" si="1"/>
        <v>1.0590909090909091</v>
      </c>
      <c r="V20" s="7" t="s">
        <v>1945</v>
      </c>
    </row>
    <row r="21" spans="1:22" x14ac:dyDescent="0.3">
      <c r="A21" s="7">
        <v>20</v>
      </c>
      <c r="B21" s="29" t="s">
        <v>23</v>
      </c>
      <c r="C21" s="29" t="s">
        <v>935</v>
      </c>
      <c r="D21" s="29">
        <v>50126266</v>
      </c>
      <c r="E21" s="29">
        <v>45</v>
      </c>
      <c r="F21" s="7">
        <v>66</v>
      </c>
      <c r="G21" s="7">
        <v>50</v>
      </c>
      <c r="H21" s="89" t="s">
        <v>241</v>
      </c>
      <c r="I21" s="7" t="s">
        <v>109</v>
      </c>
      <c r="J21" s="7" t="s">
        <v>130</v>
      </c>
      <c r="K21" s="11">
        <v>0.99027777777777781</v>
      </c>
      <c r="L21" s="7" t="s">
        <v>109</v>
      </c>
      <c r="M21" s="7" t="s">
        <v>109</v>
      </c>
      <c r="N21" s="29" t="s">
        <v>109</v>
      </c>
      <c r="O21" s="29" t="s">
        <v>61</v>
      </c>
      <c r="P21" s="7" t="s">
        <v>131</v>
      </c>
      <c r="Q21" s="7" t="s">
        <v>241</v>
      </c>
      <c r="R21" s="7" t="s">
        <v>62</v>
      </c>
      <c r="S21" s="7" t="s">
        <v>512</v>
      </c>
      <c r="T21" s="29" t="s">
        <v>424</v>
      </c>
      <c r="U21" s="108">
        <f t="shared" si="1"/>
        <v>1.1111111111111112</v>
      </c>
      <c r="V21" s="7" t="s">
        <v>1945</v>
      </c>
    </row>
    <row r="22" spans="1:22" x14ac:dyDescent="0.3">
      <c r="A22" s="7">
        <v>21</v>
      </c>
      <c r="B22" s="29" t="s">
        <v>23</v>
      </c>
      <c r="C22" s="29" t="s">
        <v>937</v>
      </c>
      <c r="D22" s="29">
        <v>50126267</v>
      </c>
      <c r="E22" s="29">
        <v>150</v>
      </c>
      <c r="F22" s="7">
        <v>197</v>
      </c>
      <c r="G22" s="7">
        <v>156</v>
      </c>
      <c r="H22" s="7" t="s">
        <v>2974</v>
      </c>
      <c r="I22" s="7" t="s">
        <v>109</v>
      </c>
      <c r="J22" s="7" t="s">
        <v>130</v>
      </c>
      <c r="K22" s="11">
        <v>0.90833333333333333</v>
      </c>
      <c r="L22" s="7" t="s">
        <v>109</v>
      </c>
      <c r="M22" s="7" t="s">
        <v>109</v>
      </c>
      <c r="N22" s="29" t="s">
        <v>109</v>
      </c>
      <c r="O22" s="29" t="s">
        <v>61</v>
      </c>
      <c r="P22" s="7" t="s">
        <v>131</v>
      </c>
      <c r="Q22" s="7" t="s">
        <v>84</v>
      </c>
      <c r="R22" s="7" t="s">
        <v>62</v>
      </c>
      <c r="S22" s="7" t="s">
        <v>512</v>
      </c>
      <c r="T22" s="29" t="s">
        <v>424</v>
      </c>
      <c r="U22" s="108">
        <f t="shared" si="1"/>
        <v>1.04</v>
      </c>
      <c r="V22" s="7" t="s">
        <v>1945</v>
      </c>
    </row>
    <row r="23" spans="1:22" s="124" customFormat="1" x14ac:dyDescent="0.3">
      <c r="A23" s="7">
        <v>47</v>
      </c>
      <c r="B23" s="29" t="s">
        <v>23</v>
      </c>
      <c r="C23" s="29" t="s">
        <v>2354</v>
      </c>
      <c r="D23" s="29">
        <v>50226083</v>
      </c>
      <c r="E23" s="29">
        <v>30</v>
      </c>
      <c r="F23" s="7" t="s">
        <v>109</v>
      </c>
      <c r="G23" s="7" t="s">
        <v>109</v>
      </c>
      <c r="H23" s="89" t="s">
        <v>184</v>
      </c>
      <c r="I23" s="7" t="s">
        <v>109</v>
      </c>
      <c r="J23" s="18" t="s">
        <v>85</v>
      </c>
      <c r="K23" s="7" t="s">
        <v>109</v>
      </c>
      <c r="L23" s="7" t="s">
        <v>109</v>
      </c>
      <c r="M23" s="7" t="s">
        <v>109</v>
      </c>
      <c r="N23" s="29" t="s">
        <v>109</v>
      </c>
      <c r="O23" s="29" t="s">
        <v>61</v>
      </c>
      <c r="P23" s="7" t="s">
        <v>109</v>
      </c>
      <c r="Q23" s="7" t="s">
        <v>109</v>
      </c>
      <c r="R23" s="7" t="s">
        <v>62</v>
      </c>
      <c r="S23" s="7" t="s">
        <v>512</v>
      </c>
      <c r="T23" s="29" t="s">
        <v>424</v>
      </c>
      <c r="U23" s="108" t="s">
        <v>109</v>
      </c>
      <c r="V23" s="7" t="s">
        <v>109</v>
      </c>
    </row>
    <row r="24" spans="1:22" x14ac:dyDescent="0.3">
      <c r="A24" s="7">
        <v>23</v>
      </c>
      <c r="B24" s="29" t="s">
        <v>23</v>
      </c>
      <c r="C24" s="29" t="s">
        <v>428</v>
      </c>
      <c r="D24" s="29">
        <v>50126024</v>
      </c>
      <c r="E24" s="29">
        <v>100</v>
      </c>
      <c r="F24" s="7">
        <v>166</v>
      </c>
      <c r="G24" s="7">
        <v>104</v>
      </c>
      <c r="H24" s="89" t="s">
        <v>64</v>
      </c>
      <c r="I24" s="7" t="s">
        <v>109</v>
      </c>
      <c r="J24" s="7" t="s">
        <v>130</v>
      </c>
      <c r="K24" s="11">
        <v>0.79305555555555551</v>
      </c>
      <c r="L24" s="7" t="s">
        <v>109</v>
      </c>
      <c r="M24" s="7" t="s">
        <v>109</v>
      </c>
      <c r="N24" s="29" t="s">
        <v>109</v>
      </c>
      <c r="O24" s="29" t="s">
        <v>61</v>
      </c>
      <c r="P24" s="7" t="s">
        <v>131</v>
      </c>
      <c r="Q24" s="7" t="s">
        <v>64</v>
      </c>
      <c r="R24" s="7" t="s">
        <v>62</v>
      </c>
      <c r="S24" s="7" t="s">
        <v>512</v>
      </c>
      <c r="T24" s="29" t="s">
        <v>424</v>
      </c>
      <c r="U24" s="108">
        <f t="shared" si="1"/>
        <v>1.04</v>
      </c>
      <c r="V24" s="7" t="s">
        <v>1945</v>
      </c>
    </row>
    <row r="25" spans="1:22" x14ac:dyDescent="0.3">
      <c r="A25" s="7">
        <v>24</v>
      </c>
      <c r="B25" s="29" t="s">
        <v>23</v>
      </c>
      <c r="C25" s="29" t="s">
        <v>534</v>
      </c>
      <c r="D25" s="29">
        <v>50126079</v>
      </c>
      <c r="E25" s="29">
        <v>65</v>
      </c>
      <c r="F25" s="7">
        <v>73</v>
      </c>
      <c r="G25" s="7">
        <v>67</v>
      </c>
      <c r="H25" s="89" t="s">
        <v>91</v>
      </c>
      <c r="I25" s="7" t="s">
        <v>109</v>
      </c>
      <c r="J25" s="7" t="s">
        <v>130</v>
      </c>
      <c r="K25" s="11">
        <v>5.9722222222222225E-2</v>
      </c>
      <c r="L25" s="7" t="s">
        <v>109</v>
      </c>
      <c r="M25" s="7" t="s">
        <v>109</v>
      </c>
      <c r="N25" s="29" t="s">
        <v>109</v>
      </c>
      <c r="O25" s="29" t="s">
        <v>61</v>
      </c>
      <c r="P25" s="7" t="s">
        <v>131</v>
      </c>
      <c r="Q25" s="7" t="s">
        <v>91</v>
      </c>
      <c r="R25" s="7" t="s">
        <v>62</v>
      </c>
      <c r="S25" s="7" t="s">
        <v>512</v>
      </c>
      <c r="T25" s="29" t="s">
        <v>424</v>
      </c>
      <c r="U25" s="108">
        <f t="shared" si="1"/>
        <v>1.0307692307692307</v>
      </c>
      <c r="V25" s="7" t="s">
        <v>1945</v>
      </c>
    </row>
    <row r="26" spans="1:22" x14ac:dyDescent="0.3">
      <c r="A26" s="7">
        <v>25</v>
      </c>
      <c r="B26" s="29" t="s">
        <v>23</v>
      </c>
      <c r="C26" s="29" t="s">
        <v>848</v>
      </c>
      <c r="D26" s="29">
        <v>50126212</v>
      </c>
      <c r="E26" s="29">
        <v>40</v>
      </c>
      <c r="F26" s="7">
        <v>60</v>
      </c>
      <c r="G26" s="7">
        <v>43</v>
      </c>
      <c r="H26" s="89" t="s">
        <v>527</v>
      </c>
      <c r="I26" s="7" t="s">
        <v>109</v>
      </c>
      <c r="J26" s="7" t="s">
        <v>130</v>
      </c>
      <c r="K26" s="11">
        <v>0.65694444444444444</v>
      </c>
      <c r="L26" s="7" t="s">
        <v>109</v>
      </c>
      <c r="M26" s="7" t="s">
        <v>109</v>
      </c>
      <c r="N26" s="29" t="s">
        <v>109</v>
      </c>
      <c r="O26" s="29" t="s">
        <v>61</v>
      </c>
      <c r="P26" s="7" t="s">
        <v>131</v>
      </c>
      <c r="Q26" s="7" t="s">
        <v>153</v>
      </c>
      <c r="R26" s="7" t="s">
        <v>62</v>
      </c>
      <c r="S26" s="7" t="s">
        <v>512</v>
      </c>
      <c r="T26" s="29" t="s">
        <v>424</v>
      </c>
      <c r="U26" s="108">
        <f t="shared" si="1"/>
        <v>1.075</v>
      </c>
      <c r="V26" s="7" t="s">
        <v>1945</v>
      </c>
    </row>
    <row r="27" spans="1:22" x14ac:dyDescent="0.3">
      <c r="A27" s="7">
        <v>26</v>
      </c>
      <c r="B27" s="29" t="s">
        <v>23</v>
      </c>
      <c r="C27" s="29" t="s">
        <v>850</v>
      </c>
      <c r="D27" s="29">
        <v>50126214</v>
      </c>
      <c r="E27" s="29">
        <v>200</v>
      </c>
      <c r="F27" s="7">
        <v>277</v>
      </c>
      <c r="G27" s="7">
        <v>206</v>
      </c>
      <c r="H27" s="7" t="s">
        <v>2975</v>
      </c>
      <c r="I27" s="7" t="s">
        <v>109</v>
      </c>
      <c r="J27" s="7" t="s">
        <v>130</v>
      </c>
      <c r="K27" s="11">
        <v>0.97222222222222221</v>
      </c>
      <c r="L27" s="7" t="s">
        <v>109</v>
      </c>
      <c r="M27" s="7" t="s">
        <v>109</v>
      </c>
      <c r="N27" s="29" t="s">
        <v>109</v>
      </c>
      <c r="O27" s="29" t="s">
        <v>61</v>
      </c>
      <c r="P27" s="7" t="s">
        <v>131</v>
      </c>
      <c r="Q27" s="7" t="s">
        <v>93</v>
      </c>
      <c r="R27" s="7" t="s">
        <v>62</v>
      </c>
      <c r="S27" s="7" t="s">
        <v>512</v>
      </c>
      <c r="T27" s="29" t="s">
        <v>424</v>
      </c>
      <c r="U27" s="108">
        <f t="shared" si="1"/>
        <v>1.03</v>
      </c>
      <c r="V27" s="7" t="s">
        <v>1945</v>
      </c>
    </row>
    <row r="28" spans="1:22" x14ac:dyDescent="0.3">
      <c r="A28" s="7">
        <v>27</v>
      </c>
      <c r="B28" s="29" t="s">
        <v>23</v>
      </c>
      <c r="C28" s="29" t="s">
        <v>794</v>
      </c>
      <c r="D28" s="29">
        <v>50126194</v>
      </c>
      <c r="E28" s="29">
        <v>30</v>
      </c>
      <c r="F28" s="7">
        <v>41</v>
      </c>
      <c r="G28" s="7">
        <v>31</v>
      </c>
      <c r="H28" s="89" t="s">
        <v>214</v>
      </c>
      <c r="I28" s="7" t="s">
        <v>109</v>
      </c>
      <c r="J28" s="7" t="s">
        <v>130</v>
      </c>
      <c r="K28" s="11">
        <v>0.99444444444444446</v>
      </c>
      <c r="L28" s="7" t="s">
        <v>109</v>
      </c>
      <c r="M28" s="7" t="s">
        <v>109</v>
      </c>
      <c r="N28" s="29" t="s">
        <v>109</v>
      </c>
      <c r="O28" s="29" t="s">
        <v>61</v>
      </c>
      <c r="P28" s="7" t="s">
        <v>131</v>
      </c>
      <c r="Q28" s="7" t="s">
        <v>214</v>
      </c>
      <c r="R28" s="7" t="s">
        <v>62</v>
      </c>
      <c r="S28" s="7" t="s">
        <v>512</v>
      </c>
      <c r="T28" s="29" t="s">
        <v>424</v>
      </c>
      <c r="U28" s="108">
        <f t="shared" si="1"/>
        <v>1.0333333333333334</v>
      </c>
      <c r="V28" s="7" t="s">
        <v>1945</v>
      </c>
    </row>
    <row r="29" spans="1:22" x14ac:dyDescent="0.3">
      <c r="A29" s="7">
        <v>28</v>
      </c>
      <c r="B29" s="29" t="s">
        <v>23</v>
      </c>
      <c r="C29" s="29" t="s">
        <v>908</v>
      </c>
      <c r="D29" s="29">
        <v>50126251</v>
      </c>
      <c r="E29" s="29">
        <v>55</v>
      </c>
      <c r="F29" s="7">
        <v>93</v>
      </c>
      <c r="G29" s="7">
        <v>55</v>
      </c>
      <c r="H29" s="89" t="s">
        <v>90</v>
      </c>
      <c r="I29" s="7" t="s">
        <v>109</v>
      </c>
      <c r="J29" s="7" t="s">
        <v>130</v>
      </c>
      <c r="K29" s="11">
        <v>0.90972222222222221</v>
      </c>
      <c r="L29" s="7" t="s">
        <v>109</v>
      </c>
      <c r="M29" s="7" t="s">
        <v>109</v>
      </c>
      <c r="N29" s="29" t="s">
        <v>109</v>
      </c>
      <c r="O29" s="29" t="s">
        <v>61</v>
      </c>
      <c r="P29" s="7" t="s">
        <v>131</v>
      </c>
      <c r="Q29" s="7" t="s">
        <v>90</v>
      </c>
      <c r="R29" s="7" t="s">
        <v>62</v>
      </c>
      <c r="S29" s="7" t="s">
        <v>512</v>
      </c>
      <c r="T29" s="29" t="s">
        <v>424</v>
      </c>
      <c r="U29" s="108">
        <f t="shared" si="1"/>
        <v>1</v>
      </c>
      <c r="V29" s="7" t="s">
        <v>1945</v>
      </c>
    </row>
    <row r="30" spans="1:22" x14ac:dyDescent="0.3">
      <c r="A30" s="7">
        <v>29</v>
      </c>
      <c r="B30" s="29" t="s">
        <v>23</v>
      </c>
      <c r="C30" s="29" t="s">
        <v>1923</v>
      </c>
      <c r="D30" s="29">
        <v>50226028</v>
      </c>
      <c r="E30" s="29">
        <v>30</v>
      </c>
      <c r="F30" s="7">
        <v>37</v>
      </c>
      <c r="G30" s="7">
        <v>30</v>
      </c>
      <c r="H30" s="89" t="s">
        <v>71</v>
      </c>
      <c r="I30" s="7" t="s">
        <v>109</v>
      </c>
      <c r="J30" s="7" t="s">
        <v>130</v>
      </c>
      <c r="K30" s="11">
        <v>0.91249999999999998</v>
      </c>
      <c r="L30" s="7" t="s">
        <v>109</v>
      </c>
      <c r="M30" s="7" t="s">
        <v>109</v>
      </c>
      <c r="N30" s="29" t="s">
        <v>109</v>
      </c>
      <c r="O30" s="29" t="s">
        <v>61</v>
      </c>
      <c r="P30" s="7" t="s">
        <v>131</v>
      </c>
      <c r="Q30" s="7" t="s">
        <v>71</v>
      </c>
      <c r="R30" s="7" t="s">
        <v>62</v>
      </c>
      <c r="S30" s="7" t="s">
        <v>512</v>
      </c>
      <c r="T30" s="29" t="s">
        <v>424</v>
      </c>
      <c r="U30" s="108">
        <f t="shared" si="1"/>
        <v>1</v>
      </c>
      <c r="V30" s="7" t="s">
        <v>1945</v>
      </c>
    </row>
    <row r="31" spans="1:22" x14ac:dyDescent="0.3">
      <c r="A31" s="7">
        <v>30</v>
      </c>
      <c r="B31" s="29" t="s">
        <v>23</v>
      </c>
      <c r="C31" s="29" t="s">
        <v>712</v>
      </c>
      <c r="D31" s="29">
        <v>50126170</v>
      </c>
      <c r="E31" s="29">
        <v>30</v>
      </c>
      <c r="F31" s="7">
        <v>59</v>
      </c>
      <c r="G31" s="7">
        <v>36</v>
      </c>
      <c r="H31" s="89" t="s">
        <v>241</v>
      </c>
      <c r="I31" s="7" t="s">
        <v>109</v>
      </c>
      <c r="J31" s="7" t="s">
        <v>130</v>
      </c>
      <c r="K31" s="11">
        <v>1.6666666666666666E-2</v>
      </c>
      <c r="L31" s="7" t="s">
        <v>109</v>
      </c>
      <c r="M31" s="7" t="s">
        <v>109</v>
      </c>
      <c r="N31" s="29" t="s">
        <v>109</v>
      </c>
      <c r="O31" s="29" t="s">
        <v>61</v>
      </c>
      <c r="P31" s="7" t="s">
        <v>131</v>
      </c>
      <c r="Q31" s="7" t="s">
        <v>241</v>
      </c>
      <c r="R31" s="7" t="s">
        <v>62</v>
      </c>
      <c r="S31" s="7" t="s">
        <v>512</v>
      </c>
      <c r="T31" s="29" t="s">
        <v>424</v>
      </c>
      <c r="U31" s="108">
        <f t="shared" si="1"/>
        <v>1.2</v>
      </c>
      <c r="V31" s="7" t="s">
        <v>1945</v>
      </c>
    </row>
    <row r="32" spans="1:22" x14ac:dyDescent="0.3">
      <c r="A32" s="7">
        <v>31</v>
      </c>
      <c r="B32" s="29" t="s">
        <v>23</v>
      </c>
      <c r="C32" s="29" t="s">
        <v>824</v>
      </c>
      <c r="D32" s="29">
        <v>50126209</v>
      </c>
      <c r="E32" s="29">
        <v>35</v>
      </c>
      <c r="F32" s="7">
        <v>51</v>
      </c>
      <c r="G32" s="7">
        <v>45</v>
      </c>
      <c r="H32" s="153" t="s">
        <v>274</v>
      </c>
      <c r="I32" s="7" t="s">
        <v>109</v>
      </c>
      <c r="J32" s="7" t="s">
        <v>130</v>
      </c>
      <c r="K32" s="11">
        <v>0.97986111111111107</v>
      </c>
      <c r="L32" s="7" t="s">
        <v>109</v>
      </c>
      <c r="M32" s="7" t="s">
        <v>109</v>
      </c>
      <c r="N32" s="29" t="s">
        <v>109</v>
      </c>
      <c r="O32" s="29" t="s">
        <v>61</v>
      </c>
      <c r="P32" s="7" t="s">
        <v>131</v>
      </c>
      <c r="Q32" s="7" t="s">
        <v>274</v>
      </c>
      <c r="R32" s="7" t="s">
        <v>62</v>
      </c>
      <c r="S32" s="7" t="s">
        <v>512</v>
      </c>
      <c r="T32" s="29" t="s">
        <v>424</v>
      </c>
      <c r="U32" s="108">
        <f t="shared" si="1"/>
        <v>1.2857142857142858</v>
      </c>
      <c r="V32" s="7" t="s">
        <v>1945</v>
      </c>
    </row>
    <row r="33" spans="1:22" x14ac:dyDescent="0.3">
      <c r="A33" s="7">
        <v>32</v>
      </c>
      <c r="B33" s="29" t="s">
        <v>23</v>
      </c>
      <c r="C33" s="29" t="s">
        <v>1651</v>
      </c>
      <c r="D33" s="29">
        <v>50126375</v>
      </c>
      <c r="E33" s="29">
        <v>30</v>
      </c>
      <c r="F33" s="7">
        <v>61</v>
      </c>
      <c r="G33" s="7">
        <v>32</v>
      </c>
      <c r="H33" s="89" t="s">
        <v>196</v>
      </c>
      <c r="I33" s="7" t="s">
        <v>109</v>
      </c>
      <c r="J33" s="7" t="s">
        <v>130</v>
      </c>
      <c r="K33" s="11">
        <v>0.67083333333333328</v>
      </c>
      <c r="L33" s="7" t="s">
        <v>109</v>
      </c>
      <c r="M33" s="7" t="s">
        <v>109</v>
      </c>
      <c r="N33" s="29" t="s">
        <v>109</v>
      </c>
      <c r="O33" s="29" t="s">
        <v>61</v>
      </c>
      <c r="P33" s="7" t="s">
        <v>131</v>
      </c>
      <c r="Q33" s="7" t="s">
        <v>196</v>
      </c>
      <c r="R33" s="7" t="s">
        <v>62</v>
      </c>
      <c r="S33" s="7" t="s">
        <v>512</v>
      </c>
      <c r="T33" s="29" t="s">
        <v>424</v>
      </c>
      <c r="U33" s="108">
        <f t="shared" si="1"/>
        <v>1.0666666666666667</v>
      </c>
      <c r="V33" s="7" t="s">
        <v>1945</v>
      </c>
    </row>
    <row r="34" spans="1:22" x14ac:dyDescent="0.3">
      <c r="A34" s="7">
        <v>33</v>
      </c>
      <c r="B34" s="29" t="s">
        <v>23</v>
      </c>
      <c r="C34" s="29" t="s">
        <v>1918</v>
      </c>
      <c r="D34" s="29">
        <v>50226022</v>
      </c>
      <c r="E34" s="29">
        <v>65</v>
      </c>
      <c r="F34" s="7">
        <v>107</v>
      </c>
      <c r="G34" s="7">
        <v>74</v>
      </c>
      <c r="H34" s="89" t="s">
        <v>196</v>
      </c>
      <c r="I34" s="7" t="s">
        <v>109</v>
      </c>
      <c r="J34" s="7" t="s">
        <v>130</v>
      </c>
      <c r="K34" s="11">
        <v>0.88541666666666663</v>
      </c>
      <c r="L34" s="7" t="s">
        <v>109</v>
      </c>
      <c r="M34" s="7" t="s">
        <v>109</v>
      </c>
      <c r="N34" s="29" t="s">
        <v>109</v>
      </c>
      <c r="O34" s="29" t="s">
        <v>61</v>
      </c>
      <c r="P34" s="7" t="s">
        <v>131</v>
      </c>
      <c r="Q34" s="7" t="s">
        <v>196</v>
      </c>
      <c r="R34" s="7" t="s">
        <v>62</v>
      </c>
      <c r="S34" s="7" t="s">
        <v>512</v>
      </c>
      <c r="T34" s="29" t="s">
        <v>424</v>
      </c>
      <c r="U34" s="108">
        <f t="shared" si="1"/>
        <v>1.1384615384615384</v>
      </c>
      <c r="V34" s="7" t="s">
        <v>1945</v>
      </c>
    </row>
    <row r="35" spans="1:22" x14ac:dyDescent="0.3">
      <c r="A35" s="7">
        <v>34</v>
      </c>
      <c r="B35" s="29" t="s">
        <v>23</v>
      </c>
      <c r="C35" s="29" t="s">
        <v>2178</v>
      </c>
      <c r="D35" s="29">
        <v>50226073</v>
      </c>
      <c r="E35" s="29">
        <v>220</v>
      </c>
      <c r="F35" s="7">
        <v>207</v>
      </c>
      <c r="G35" s="7">
        <v>175</v>
      </c>
      <c r="H35" s="7" t="s">
        <v>2976</v>
      </c>
      <c r="I35" s="7" t="s">
        <v>109</v>
      </c>
      <c r="J35" s="7" t="s">
        <v>130</v>
      </c>
      <c r="K35" s="11">
        <v>5.8333333333333334E-2</v>
      </c>
      <c r="L35" s="7" t="s">
        <v>109</v>
      </c>
      <c r="M35" s="7" t="s">
        <v>109</v>
      </c>
      <c r="N35" s="29" t="s">
        <v>109</v>
      </c>
      <c r="O35" s="29" t="s">
        <v>61</v>
      </c>
      <c r="P35" s="7" t="s">
        <v>131</v>
      </c>
      <c r="Q35" s="7" t="s">
        <v>86</v>
      </c>
      <c r="R35" s="7" t="s">
        <v>62</v>
      </c>
      <c r="S35" s="7" t="s">
        <v>512</v>
      </c>
      <c r="T35" s="29" t="s">
        <v>424</v>
      </c>
      <c r="U35" s="108">
        <f t="shared" si="1"/>
        <v>0.79545454545454541</v>
      </c>
      <c r="V35" s="7" t="s">
        <v>1313</v>
      </c>
    </row>
    <row r="36" spans="1:22" x14ac:dyDescent="0.3">
      <c r="A36" s="7">
        <v>35</v>
      </c>
      <c r="B36" s="29" t="s">
        <v>23</v>
      </c>
      <c r="C36" s="29" t="s">
        <v>540</v>
      </c>
      <c r="D36" s="29">
        <v>50126082</v>
      </c>
      <c r="E36" s="29">
        <v>65</v>
      </c>
      <c r="F36" s="7">
        <v>105</v>
      </c>
      <c r="G36" s="7">
        <v>60</v>
      </c>
      <c r="H36" s="89" t="s">
        <v>222</v>
      </c>
      <c r="I36" s="7" t="s">
        <v>109</v>
      </c>
      <c r="J36" s="7" t="s">
        <v>130</v>
      </c>
      <c r="K36" s="11">
        <v>0.875</v>
      </c>
      <c r="L36" s="7" t="s">
        <v>109</v>
      </c>
      <c r="M36" s="7" t="s">
        <v>109</v>
      </c>
      <c r="N36" s="29" t="s">
        <v>109</v>
      </c>
      <c r="O36" s="29" t="s">
        <v>61</v>
      </c>
      <c r="P36" s="7" t="s">
        <v>131</v>
      </c>
      <c r="Q36" s="7" t="s">
        <v>222</v>
      </c>
      <c r="R36" s="7" t="s">
        <v>62</v>
      </c>
      <c r="S36" s="7" t="s">
        <v>512</v>
      </c>
      <c r="T36" s="29" t="s">
        <v>424</v>
      </c>
      <c r="U36" s="108">
        <f t="shared" si="1"/>
        <v>0.92307692307692313</v>
      </c>
      <c r="V36" s="7" t="s">
        <v>1945</v>
      </c>
    </row>
    <row r="37" spans="1:22" x14ac:dyDescent="0.3">
      <c r="A37" s="7">
        <v>109</v>
      </c>
      <c r="B37" s="29" t="s">
        <v>143</v>
      </c>
      <c r="C37" s="29" t="s">
        <v>1599</v>
      </c>
      <c r="D37" s="29">
        <v>10126043</v>
      </c>
      <c r="E37" s="91">
        <v>70</v>
      </c>
      <c r="F37" s="7">
        <v>100</v>
      </c>
      <c r="G37" s="7">
        <v>60</v>
      </c>
      <c r="H37" s="89" t="s">
        <v>184</v>
      </c>
      <c r="I37" s="89" t="s">
        <v>90</v>
      </c>
      <c r="J37" s="7" t="s">
        <v>130</v>
      </c>
      <c r="K37" s="11">
        <v>6.1111111111111109E-2</v>
      </c>
      <c r="L37" s="11">
        <v>7.3611111111111113E-2</v>
      </c>
      <c r="M37" s="7" t="s">
        <v>109</v>
      </c>
      <c r="N37" s="43" t="s">
        <v>3001</v>
      </c>
      <c r="O37" s="29" t="s">
        <v>61</v>
      </c>
      <c r="P37" s="7" t="s">
        <v>131</v>
      </c>
      <c r="Q37" s="7" t="s">
        <v>90</v>
      </c>
      <c r="R37" s="7" t="s">
        <v>62</v>
      </c>
      <c r="S37" s="7" t="s">
        <v>512</v>
      </c>
      <c r="T37" s="29" t="s">
        <v>480</v>
      </c>
      <c r="U37" s="108">
        <f t="shared" si="1"/>
        <v>0.8571428571428571</v>
      </c>
      <c r="V37" s="7" t="s">
        <v>1945</v>
      </c>
    </row>
    <row r="38" spans="1:22" x14ac:dyDescent="0.3">
      <c r="A38" s="7">
        <v>37</v>
      </c>
      <c r="B38" s="29" t="s">
        <v>23</v>
      </c>
      <c r="C38" s="29" t="s">
        <v>840</v>
      </c>
      <c r="D38" s="29">
        <v>50126075</v>
      </c>
      <c r="E38" s="29">
        <v>55</v>
      </c>
      <c r="F38" s="7">
        <v>72</v>
      </c>
      <c r="G38" s="7">
        <v>61</v>
      </c>
      <c r="H38" s="89" t="s">
        <v>94</v>
      </c>
      <c r="I38" s="7" t="s">
        <v>109</v>
      </c>
      <c r="J38" s="7" t="s">
        <v>130</v>
      </c>
      <c r="K38" s="11">
        <v>1.0416666666666666E-2</v>
      </c>
      <c r="L38" s="7" t="s">
        <v>109</v>
      </c>
      <c r="M38" s="7" t="s">
        <v>109</v>
      </c>
      <c r="N38" s="29" t="s">
        <v>109</v>
      </c>
      <c r="O38" s="29" t="s">
        <v>61</v>
      </c>
      <c r="P38" s="7" t="s">
        <v>131</v>
      </c>
      <c r="Q38" s="7" t="s">
        <v>94</v>
      </c>
      <c r="R38" s="7" t="s">
        <v>62</v>
      </c>
      <c r="S38" s="7" t="s">
        <v>512</v>
      </c>
      <c r="T38" s="29" t="s">
        <v>424</v>
      </c>
      <c r="U38" s="108">
        <f t="shared" si="1"/>
        <v>1.1090909090909091</v>
      </c>
      <c r="V38" s="7" t="s">
        <v>1945</v>
      </c>
    </row>
    <row r="39" spans="1:22" x14ac:dyDescent="0.3">
      <c r="A39" s="7">
        <v>38</v>
      </c>
      <c r="B39" s="29" t="s">
        <v>23</v>
      </c>
      <c r="C39" s="29" t="s">
        <v>921</v>
      </c>
      <c r="D39" s="29">
        <v>50126260</v>
      </c>
      <c r="E39" s="29">
        <v>55</v>
      </c>
      <c r="F39" s="7">
        <v>97</v>
      </c>
      <c r="G39" s="7">
        <v>52</v>
      </c>
      <c r="H39" s="89" t="s">
        <v>1082</v>
      </c>
      <c r="I39" s="7" t="s">
        <v>109</v>
      </c>
      <c r="J39" s="7" t="s">
        <v>130</v>
      </c>
      <c r="K39" s="11">
        <v>0.70763888888888893</v>
      </c>
      <c r="L39" s="7" t="s">
        <v>109</v>
      </c>
      <c r="M39" s="7" t="s">
        <v>109</v>
      </c>
      <c r="N39" s="29" t="s">
        <v>109</v>
      </c>
      <c r="O39" s="29" t="s">
        <v>61</v>
      </c>
      <c r="P39" s="7" t="s">
        <v>131</v>
      </c>
      <c r="Q39" s="7" t="s">
        <v>89</v>
      </c>
      <c r="R39" s="7" t="s">
        <v>62</v>
      </c>
      <c r="S39" s="7" t="s">
        <v>512</v>
      </c>
      <c r="T39" s="29" t="s">
        <v>424</v>
      </c>
      <c r="U39" s="108">
        <f t="shared" si="1"/>
        <v>0.94545454545454544</v>
      </c>
      <c r="V39" s="7" t="s">
        <v>1945</v>
      </c>
    </row>
    <row r="40" spans="1:22" x14ac:dyDescent="0.3">
      <c r="A40" s="7">
        <v>39</v>
      </c>
      <c r="B40" s="29" t="s">
        <v>23</v>
      </c>
      <c r="C40" s="29" t="s">
        <v>925</v>
      </c>
      <c r="D40" s="29">
        <v>50126261</v>
      </c>
      <c r="E40" s="29">
        <v>35</v>
      </c>
      <c r="F40" s="7">
        <v>55</v>
      </c>
      <c r="G40" s="7">
        <v>40</v>
      </c>
      <c r="H40" s="89" t="s">
        <v>67</v>
      </c>
      <c r="I40" s="7" t="s">
        <v>109</v>
      </c>
      <c r="J40" s="7" t="s">
        <v>130</v>
      </c>
      <c r="K40" s="11">
        <v>0.67777777777777781</v>
      </c>
      <c r="L40" s="7" t="s">
        <v>109</v>
      </c>
      <c r="M40" s="7" t="s">
        <v>109</v>
      </c>
      <c r="N40" s="29" t="s">
        <v>109</v>
      </c>
      <c r="O40" s="29" t="s">
        <v>61</v>
      </c>
      <c r="P40" s="7" t="s">
        <v>131</v>
      </c>
      <c r="Q40" s="7" t="s">
        <v>67</v>
      </c>
      <c r="R40" s="7" t="s">
        <v>62</v>
      </c>
      <c r="S40" s="7" t="s">
        <v>512</v>
      </c>
      <c r="T40" s="29" t="s">
        <v>424</v>
      </c>
      <c r="U40" s="108">
        <f t="shared" si="1"/>
        <v>1.1428571428571428</v>
      </c>
      <c r="V40" s="7" t="s">
        <v>1945</v>
      </c>
    </row>
    <row r="41" spans="1:22" x14ac:dyDescent="0.3">
      <c r="A41" s="7">
        <v>40</v>
      </c>
      <c r="B41" s="29" t="s">
        <v>23</v>
      </c>
      <c r="C41" s="29" t="s">
        <v>725</v>
      </c>
      <c r="D41" s="29">
        <v>50126113</v>
      </c>
      <c r="E41" s="29">
        <v>45</v>
      </c>
      <c r="F41" s="7">
        <v>69</v>
      </c>
      <c r="G41" s="7">
        <v>45</v>
      </c>
      <c r="H41" s="89" t="s">
        <v>196</v>
      </c>
      <c r="I41" s="7" t="s">
        <v>109</v>
      </c>
      <c r="J41" s="7" t="s">
        <v>130</v>
      </c>
      <c r="K41" s="11">
        <v>0.69236111111111109</v>
      </c>
      <c r="L41" s="7" t="s">
        <v>109</v>
      </c>
      <c r="M41" s="7" t="s">
        <v>109</v>
      </c>
      <c r="N41" s="29" t="s">
        <v>109</v>
      </c>
      <c r="O41" s="29" t="s">
        <v>61</v>
      </c>
      <c r="P41" s="7" t="s">
        <v>131</v>
      </c>
      <c r="Q41" s="7" t="s">
        <v>196</v>
      </c>
      <c r="R41" s="7" t="s">
        <v>62</v>
      </c>
      <c r="S41" s="7" t="s">
        <v>512</v>
      </c>
      <c r="T41" s="29" t="s">
        <v>424</v>
      </c>
      <c r="U41" s="108">
        <f t="shared" si="1"/>
        <v>1</v>
      </c>
      <c r="V41" s="7" t="s">
        <v>1945</v>
      </c>
    </row>
    <row r="42" spans="1:22" x14ac:dyDescent="0.3">
      <c r="A42" s="7">
        <v>41</v>
      </c>
      <c r="B42" s="29" t="s">
        <v>23</v>
      </c>
      <c r="C42" s="29" t="s">
        <v>2038</v>
      </c>
      <c r="D42" s="29">
        <v>50226044</v>
      </c>
      <c r="E42" s="29">
        <v>100</v>
      </c>
      <c r="F42" s="7">
        <v>138</v>
      </c>
      <c r="G42" s="7">
        <v>98</v>
      </c>
      <c r="H42" s="89" t="s">
        <v>86</v>
      </c>
      <c r="I42" s="7" t="s">
        <v>109</v>
      </c>
      <c r="J42" s="7" t="s">
        <v>130</v>
      </c>
      <c r="K42" s="11">
        <v>2.9166666666666667E-2</v>
      </c>
      <c r="L42" s="7" t="s">
        <v>109</v>
      </c>
      <c r="M42" s="7" t="s">
        <v>109</v>
      </c>
      <c r="N42" s="29" t="s">
        <v>109</v>
      </c>
      <c r="O42" s="29" t="s">
        <v>61</v>
      </c>
      <c r="P42" s="7" t="s">
        <v>131</v>
      </c>
      <c r="Q42" s="7" t="s">
        <v>86</v>
      </c>
      <c r="R42" s="7" t="s">
        <v>62</v>
      </c>
      <c r="S42" s="7" t="s">
        <v>512</v>
      </c>
      <c r="T42" s="29" t="s">
        <v>424</v>
      </c>
      <c r="U42" s="108">
        <f t="shared" si="1"/>
        <v>0.98</v>
      </c>
      <c r="V42" s="7" t="s">
        <v>1945</v>
      </c>
    </row>
    <row r="43" spans="1:22" x14ac:dyDescent="0.3">
      <c r="A43" s="7">
        <v>42</v>
      </c>
      <c r="B43" s="29" t="s">
        <v>23</v>
      </c>
      <c r="C43" s="29" t="s">
        <v>707</v>
      </c>
      <c r="D43" s="29">
        <v>50126169</v>
      </c>
      <c r="E43" s="29">
        <v>30</v>
      </c>
      <c r="F43" s="7">
        <v>44</v>
      </c>
      <c r="G43" s="7">
        <v>31</v>
      </c>
      <c r="H43" s="89" t="s">
        <v>82</v>
      </c>
      <c r="I43" s="7" t="s">
        <v>109</v>
      </c>
      <c r="J43" s="7" t="s">
        <v>130</v>
      </c>
      <c r="K43" s="11">
        <v>0.67083333333333328</v>
      </c>
      <c r="L43" s="7" t="s">
        <v>109</v>
      </c>
      <c r="M43" s="7" t="s">
        <v>109</v>
      </c>
      <c r="N43" s="29" t="s">
        <v>109</v>
      </c>
      <c r="O43" s="29" t="s">
        <v>61</v>
      </c>
      <c r="P43" s="7" t="s">
        <v>131</v>
      </c>
      <c r="Q43" s="7" t="s">
        <v>82</v>
      </c>
      <c r="R43" s="7" t="s">
        <v>62</v>
      </c>
      <c r="S43" s="7" t="s">
        <v>512</v>
      </c>
      <c r="T43" s="29" t="s">
        <v>424</v>
      </c>
      <c r="U43" s="108">
        <f t="shared" si="1"/>
        <v>1.0333333333333334</v>
      </c>
      <c r="V43" s="7" t="s">
        <v>1945</v>
      </c>
    </row>
    <row r="44" spans="1:22" x14ac:dyDescent="0.3">
      <c r="A44" s="7">
        <v>43</v>
      </c>
      <c r="B44" s="29" t="s">
        <v>23</v>
      </c>
      <c r="C44" s="29" t="s">
        <v>713</v>
      </c>
      <c r="D44" s="29">
        <v>50126167</v>
      </c>
      <c r="E44" s="29">
        <v>30</v>
      </c>
      <c r="F44" s="7">
        <v>48</v>
      </c>
      <c r="G44" s="7">
        <v>23</v>
      </c>
      <c r="H44" s="89" t="s">
        <v>68</v>
      </c>
      <c r="I44" s="7" t="s">
        <v>109</v>
      </c>
      <c r="J44" s="7" t="s">
        <v>130</v>
      </c>
      <c r="K44" s="11">
        <v>1.6666666666666666E-2</v>
      </c>
      <c r="L44" s="7" t="s">
        <v>109</v>
      </c>
      <c r="M44" s="7" t="s">
        <v>109</v>
      </c>
      <c r="N44" s="29" t="s">
        <v>109</v>
      </c>
      <c r="O44" s="29" t="s">
        <v>61</v>
      </c>
      <c r="P44" s="7" t="s">
        <v>131</v>
      </c>
      <c r="Q44" s="7" t="s">
        <v>68</v>
      </c>
      <c r="R44" s="7" t="s">
        <v>62</v>
      </c>
      <c r="S44" s="7" t="s">
        <v>512</v>
      </c>
      <c r="T44" s="29" t="s">
        <v>424</v>
      </c>
      <c r="U44" s="108">
        <f t="shared" si="1"/>
        <v>0.76666666666666672</v>
      </c>
      <c r="V44" s="7" t="s">
        <v>1945</v>
      </c>
    </row>
    <row r="45" spans="1:22" x14ac:dyDescent="0.3">
      <c r="A45" s="7">
        <v>44</v>
      </c>
      <c r="B45" s="29" t="s">
        <v>23</v>
      </c>
      <c r="C45" s="29" t="s">
        <v>832</v>
      </c>
      <c r="D45" s="29">
        <v>50126109</v>
      </c>
      <c r="E45" s="29">
        <v>30</v>
      </c>
      <c r="F45" s="7">
        <v>42</v>
      </c>
      <c r="G45" s="7">
        <v>31</v>
      </c>
      <c r="H45" s="89" t="s">
        <v>64</v>
      </c>
      <c r="I45" s="7" t="s">
        <v>109</v>
      </c>
      <c r="J45" s="7" t="s">
        <v>130</v>
      </c>
      <c r="K45" s="11">
        <v>0.85763888888888884</v>
      </c>
      <c r="L45" s="7" t="s">
        <v>109</v>
      </c>
      <c r="M45" s="7" t="s">
        <v>109</v>
      </c>
      <c r="N45" s="29" t="s">
        <v>109</v>
      </c>
      <c r="O45" s="29" t="s">
        <v>61</v>
      </c>
      <c r="P45" s="7" t="s">
        <v>131</v>
      </c>
      <c r="Q45" s="7" t="s">
        <v>64</v>
      </c>
      <c r="R45" s="7" t="s">
        <v>62</v>
      </c>
      <c r="S45" s="7" t="s">
        <v>512</v>
      </c>
      <c r="T45" s="29" t="s">
        <v>424</v>
      </c>
      <c r="U45" s="108">
        <f t="shared" si="1"/>
        <v>1.0333333333333334</v>
      </c>
      <c r="V45" s="7" t="s">
        <v>1945</v>
      </c>
    </row>
    <row r="46" spans="1:22" x14ac:dyDescent="0.3">
      <c r="A46" s="7">
        <v>45</v>
      </c>
      <c r="B46" s="29" t="s">
        <v>23</v>
      </c>
      <c r="C46" s="29" t="s">
        <v>841</v>
      </c>
      <c r="D46" s="29">
        <v>50126201</v>
      </c>
      <c r="E46" s="29">
        <v>30</v>
      </c>
      <c r="F46" s="7">
        <v>40</v>
      </c>
      <c r="G46" s="7">
        <v>34</v>
      </c>
      <c r="H46" s="89" t="s">
        <v>222</v>
      </c>
      <c r="I46" s="7" t="s">
        <v>109</v>
      </c>
      <c r="J46" s="7" t="s">
        <v>130</v>
      </c>
      <c r="K46" s="11">
        <v>0.92361111111111116</v>
      </c>
      <c r="L46" s="7" t="s">
        <v>109</v>
      </c>
      <c r="M46" s="7" t="s">
        <v>109</v>
      </c>
      <c r="N46" s="29" t="s">
        <v>109</v>
      </c>
      <c r="O46" s="29" t="s">
        <v>61</v>
      </c>
      <c r="P46" s="7" t="s">
        <v>131</v>
      </c>
      <c r="Q46" s="7" t="s">
        <v>222</v>
      </c>
      <c r="R46" s="7" t="s">
        <v>62</v>
      </c>
      <c r="S46" s="7" t="s">
        <v>512</v>
      </c>
      <c r="T46" s="29" t="s">
        <v>424</v>
      </c>
      <c r="U46" s="108">
        <f t="shared" si="1"/>
        <v>1.1333333333333333</v>
      </c>
      <c r="V46" s="7" t="s">
        <v>1945</v>
      </c>
    </row>
    <row r="47" spans="1:22" x14ac:dyDescent="0.3">
      <c r="A47" s="7">
        <v>46</v>
      </c>
      <c r="B47" s="29" t="s">
        <v>23</v>
      </c>
      <c r="C47" s="29" t="s">
        <v>843</v>
      </c>
      <c r="D47" s="29">
        <v>50126203</v>
      </c>
      <c r="E47" s="29">
        <v>30</v>
      </c>
      <c r="F47" s="7">
        <v>90</v>
      </c>
      <c r="G47" s="7">
        <v>26</v>
      </c>
      <c r="H47" s="89" t="s">
        <v>65</v>
      </c>
      <c r="I47" s="7" t="s">
        <v>109</v>
      </c>
      <c r="J47" s="7" t="s">
        <v>130</v>
      </c>
      <c r="K47" s="11">
        <v>2.7083333333333334E-2</v>
      </c>
      <c r="L47" s="7" t="s">
        <v>109</v>
      </c>
      <c r="M47" s="7" t="s">
        <v>109</v>
      </c>
      <c r="N47" s="29" t="s">
        <v>109</v>
      </c>
      <c r="O47" s="29" t="s">
        <v>61</v>
      </c>
      <c r="P47" s="7" t="s">
        <v>131</v>
      </c>
      <c r="Q47" s="7" t="s">
        <v>65</v>
      </c>
      <c r="R47" s="7" t="s">
        <v>62</v>
      </c>
      <c r="S47" s="7" t="s">
        <v>512</v>
      </c>
      <c r="T47" s="29" t="s">
        <v>424</v>
      </c>
      <c r="U47" s="108">
        <f t="shared" si="1"/>
        <v>0.8666666666666667</v>
      </c>
      <c r="V47" s="7" t="s">
        <v>1945</v>
      </c>
    </row>
    <row r="48" spans="1:22" s="124" customFormat="1" x14ac:dyDescent="0.3">
      <c r="A48" s="7">
        <v>120</v>
      </c>
      <c r="B48" s="29" t="s">
        <v>143</v>
      </c>
      <c r="C48" s="29" t="s">
        <v>2824</v>
      </c>
      <c r="D48" s="29">
        <v>10226015</v>
      </c>
      <c r="E48" s="91">
        <v>15</v>
      </c>
      <c r="F48" s="7" t="s">
        <v>109</v>
      </c>
      <c r="G48" s="7" t="s">
        <v>109</v>
      </c>
      <c r="H48" s="89" t="s">
        <v>184</v>
      </c>
      <c r="I48" s="89" t="s">
        <v>88</v>
      </c>
      <c r="J48" s="18" t="s">
        <v>85</v>
      </c>
      <c r="K48" s="7" t="s">
        <v>109</v>
      </c>
      <c r="L48" s="7" t="s">
        <v>109</v>
      </c>
      <c r="M48" s="7" t="s">
        <v>109</v>
      </c>
      <c r="N48" s="38" t="s">
        <v>109</v>
      </c>
      <c r="O48" s="29" t="s">
        <v>61</v>
      </c>
      <c r="P48" s="7" t="s">
        <v>109</v>
      </c>
      <c r="Q48" s="7" t="s">
        <v>109</v>
      </c>
      <c r="R48" s="7" t="s">
        <v>62</v>
      </c>
      <c r="S48" s="7" t="s">
        <v>512</v>
      </c>
      <c r="T48" s="29" t="s">
        <v>2253</v>
      </c>
      <c r="U48" s="108" t="s">
        <v>109</v>
      </c>
      <c r="V48" s="7" t="s">
        <v>109</v>
      </c>
    </row>
    <row r="49" spans="1:22" x14ac:dyDescent="0.3">
      <c r="A49" s="7">
        <v>48</v>
      </c>
      <c r="B49" s="29" t="s">
        <v>23</v>
      </c>
      <c r="C49" s="29" t="s">
        <v>2357</v>
      </c>
      <c r="D49" s="29">
        <v>50226084</v>
      </c>
      <c r="E49" s="29">
        <v>30</v>
      </c>
      <c r="F49" s="7">
        <v>116</v>
      </c>
      <c r="G49" s="7">
        <v>22</v>
      </c>
      <c r="H49" s="89" t="s">
        <v>69</v>
      </c>
      <c r="I49" s="7" t="s">
        <v>109</v>
      </c>
      <c r="J49" s="7" t="s">
        <v>130</v>
      </c>
      <c r="K49" s="11">
        <v>0.71180555555555558</v>
      </c>
      <c r="L49" s="7" t="s">
        <v>109</v>
      </c>
      <c r="M49" s="7" t="s">
        <v>109</v>
      </c>
      <c r="N49" s="29" t="s">
        <v>109</v>
      </c>
      <c r="O49" s="29" t="s">
        <v>61</v>
      </c>
      <c r="P49" s="7" t="s">
        <v>131</v>
      </c>
      <c r="Q49" s="7" t="s">
        <v>69</v>
      </c>
      <c r="R49" s="7" t="s">
        <v>62</v>
      </c>
      <c r="S49" s="7" t="s">
        <v>512</v>
      </c>
      <c r="T49" s="29" t="s">
        <v>424</v>
      </c>
      <c r="U49" s="108">
        <f t="shared" si="1"/>
        <v>0.73333333333333328</v>
      </c>
      <c r="V49" s="7" t="s">
        <v>152</v>
      </c>
    </row>
    <row r="50" spans="1:22" x14ac:dyDescent="0.3">
      <c r="A50" s="7">
        <v>49</v>
      </c>
      <c r="B50" s="29" t="s">
        <v>23</v>
      </c>
      <c r="C50" s="29" t="s">
        <v>2327</v>
      </c>
      <c r="D50" s="29">
        <v>50226080</v>
      </c>
      <c r="E50" s="38">
        <v>50</v>
      </c>
      <c r="F50" s="7">
        <v>100</v>
      </c>
      <c r="G50" s="7">
        <v>50</v>
      </c>
      <c r="H50" s="89" t="s">
        <v>67</v>
      </c>
      <c r="I50" s="7" t="s">
        <v>109</v>
      </c>
      <c r="J50" s="7" t="s">
        <v>130</v>
      </c>
      <c r="K50" s="11">
        <v>0.8618055555555556</v>
      </c>
      <c r="L50" s="7" t="s">
        <v>109</v>
      </c>
      <c r="M50" s="7" t="s">
        <v>109</v>
      </c>
      <c r="N50" s="38" t="s">
        <v>109</v>
      </c>
      <c r="O50" s="29" t="s">
        <v>61</v>
      </c>
      <c r="P50" s="7" t="s">
        <v>131</v>
      </c>
      <c r="Q50" s="7" t="s">
        <v>67</v>
      </c>
      <c r="R50" s="7" t="s">
        <v>62</v>
      </c>
      <c r="S50" s="7" t="s">
        <v>512</v>
      </c>
      <c r="T50" s="29" t="s">
        <v>252</v>
      </c>
      <c r="U50" s="108">
        <f t="shared" ref="U50:U81" si="2">G50/E50</f>
        <v>1</v>
      </c>
      <c r="V50" s="7" t="s">
        <v>1945</v>
      </c>
    </row>
    <row r="51" spans="1:22" x14ac:dyDescent="0.3">
      <c r="A51" s="7">
        <v>50</v>
      </c>
      <c r="B51" s="29" t="s">
        <v>23</v>
      </c>
      <c r="C51" s="29" t="s">
        <v>2328</v>
      </c>
      <c r="D51" s="29">
        <v>50226079</v>
      </c>
      <c r="E51" s="38">
        <v>30</v>
      </c>
      <c r="F51" s="7">
        <v>61</v>
      </c>
      <c r="G51" s="7">
        <v>28</v>
      </c>
      <c r="H51" s="89" t="s">
        <v>66</v>
      </c>
      <c r="I51" s="7" t="s">
        <v>109</v>
      </c>
      <c r="J51" s="7" t="s">
        <v>130</v>
      </c>
      <c r="K51" s="11">
        <v>0.66874999999999996</v>
      </c>
      <c r="L51" s="7" t="s">
        <v>109</v>
      </c>
      <c r="M51" s="7" t="s">
        <v>109</v>
      </c>
      <c r="N51" s="38" t="s">
        <v>109</v>
      </c>
      <c r="O51" s="29" t="s">
        <v>61</v>
      </c>
      <c r="P51" s="7" t="s">
        <v>131</v>
      </c>
      <c r="Q51" s="7" t="s">
        <v>66</v>
      </c>
      <c r="R51" s="7" t="s">
        <v>62</v>
      </c>
      <c r="S51" s="7" t="s">
        <v>512</v>
      </c>
      <c r="T51" s="29" t="s">
        <v>252</v>
      </c>
      <c r="U51" s="108">
        <f t="shared" si="2"/>
        <v>0.93333333333333335</v>
      </c>
      <c r="V51" s="7" t="s">
        <v>1945</v>
      </c>
    </row>
    <row r="52" spans="1:22" x14ac:dyDescent="0.3">
      <c r="A52" s="7">
        <v>51</v>
      </c>
      <c r="B52" s="29" t="s">
        <v>23</v>
      </c>
      <c r="C52" s="29" t="s">
        <v>1287</v>
      </c>
      <c r="D52" s="29">
        <v>50126331</v>
      </c>
      <c r="E52" s="38">
        <v>50</v>
      </c>
      <c r="F52" s="7">
        <v>78</v>
      </c>
      <c r="G52" s="7">
        <v>57</v>
      </c>
      <c r="H52" s="89" t="s">
        <v>274</v>
      </c>
      <c r="I52" s="7" t="s">
        <v>109</v>
      </c>
      <c r="J52" s="7" t="s">
        <v>130</v>
      </c>
      <c r="K52" s="11">
        <v>0.96597222222222223</v>
      </c>
      <c r="L52" s="7" t="s">
        <v>109</v>
      </c>
      <c r="M52" s="7" t="s">
        <v>109</v>
      </c>
      <c r="N52" s="38" t="s">
        <v>109</v>
      </c>
      <c r="O52" s="29" t="s">
        <v>61</v>
      </c>
      <c r="P52" s="7" t="s">
        <v>131</v>
      </c>
      <c r="Q52" s="7" t="s">
        <v>274</v>
      </c>
      <c r="R52" s="7" t="s">
        <v>62</v>
      </c>
      <c r="S52" s="7" t="s">
        <v>512</v>
      </c>
      <c r="T52" s="29" t="s">
        <v>266</v>
      </c>
      <c r="U52" s="108">
        <f t="shared" si="2"/>
        <v>1.1399999999999999</v>
      </c>
      <c r="V52" s="7" t="s">
        <v>1945</v>
      </c>
    </row>
    <row r="53" spans="1:22" x14ac:dyDescent="0.3">
      <c r="A53" s="7">
        <v>52</v>
      </c>
      <c r="B53" s="29" t="s">
        <v>23</v>
      </c>
      <c r="C53" s="29" t="s">
        <v>1285</v>
      </c>
      <c r="D53" s="29">
        <v>50126330</v>
      </c>
      <c r="E53" s="38">
        <v>50</v>
      </c>
      <c r="F53" s="7">
        <v>71</v>
      </c>
      <c r="G53" s="7">
        <v>59</v>
      </c>
      <c r="H53" s="89" t="s">
        <v>70</v>
      </c>
      <c r="I53" s="7" t="s">
        <v>109</v>
      </c>
      <c r="J53" s="7" t="s">
        <v>130</v>
      </c>
      <c r="K53" s="11">
        <v>0.81666666666666665</v>
      </c>
      <c r="L53" s="7" t="s">
        <v>109</v>
      </c>
      <c r="M53" s="7" t="s">
        <v>109</v>
      </c>
      <c r="N53" s="38" t="s">
        <v>109</v>
      </c>
      <c r="O53" s="29" t="s">
        <v>61</v>
      </c>
      <c r="P53" s="7" t="s">
        <v>131</v>
      </c>
      <c r="Q53" s="7" t="s">
        <v>70</v>
      </c>
      <c r="R53" s="7" t="s">
        <v>62</v>
      </c>
      <c r="S53" s="7" t="s">
        <v>512</v>
      </c>
      <c r="T53" s="29" t="s">
        <v>266</v>
      </c>
      <c r="U53" s="108">
        <f t="shared" si="2"/>
        <v>1.18</v>
      </c>
      <c r="V53" s="7" t="s">
        <v>1945</v>
      </c>
    </row>
    <row r="54" spans="1:22" x14ac:dyDescent="0.3">
      <c r="A54" s="7">
        <v>53</v>
      </c>
      <c r="B54" s="29" t="s">
        <v>23</v>
      </c>
      <c r="C54" s="29" t="s">
        <v>1286</v>
      </c>
      <c r="D54" s="29">
        <v>50126332</v>
      </c>
      <c r="E54" s="38">
        <v>50</v>
      </c>
      <c r="F54" s="7">
        <v>74</v>
      </c>
      <c r="G54" s="7">
        <v>53</v>
      </c>
      <c r="H54" s="89" t="s">
        <v>67</v>
      </c>
      <c r="I54" s="7" t="s">
        <v>109</v>
      </c>
      <c r="J54" s="7" t="s">
        <v>130</v>
      </c>
      <c r="K54" s="11">
        <v>0.71180555555555558</v>
      </c>
      <c r="L54" s="7" t="s">
        <v>109</v>
      </c>
      <c r="M54" s="7" t="s">
        <v>109</v>
      </c>
      <c r="N54" s="38" t="s">
        <v>109</v>
      </c>
      <c r="O54" s="29" t="s">
        <v>61</v>
      </c>
      <c r="P54" s="7" t="s">
        <v>131</v>
      </c>
      <c r="Q54" s="7" t="s">
        <v>67</v>
      </c>
      <c r="R54" s="7" t="s">
        <v>62</v>
      </c>
      <c r="S54" s="7" t="s">
        <v>512</v>
      </c>
      <c r="T54" s="29" t="s">
        <v>266</v>
      </c>
      <c r="U54" s="108">
        <f t="shared" si="2"/>
        <v>1.06</v>
      </c>
      <c r="V54" s="7" t="s">
        <v>1945</v>
      </c>
    </row>
    <row r="55" spans="1:22" x14ac:dyDescent="0.3">
      <c r="A55" s="7">
        <v>54</v>
      </c>
      <c r="B55" s="29" t="s">
        <v>23</v>
      </c>
      <c r="C55" s="29" t="s">
        <v>852</v>
      </c>
      <c r="D55" s="29">
        <v>50126207</v>
      </c>
      <c r="E55" s="38">
        <v>100</v>
      </c>
      <c r="F55" s="7">
        <v>165</v>
      </c>
      <c r="G55" s="7">
        <v>27</v>
      </c>
      <c r="H55" s="89" t="s">
        <v>70</v>
      </c>
      <c r="I55" s="7" t="s">
        <v>109</v>
      </c>
      <c r="J55" s="7" t="s">
        <v>130</v>
      </c>
      <c r="K55" s="11">
        <v>0.8979166666666667</v>
      </c>
      <c r="L55" s="7" t="s">
        <v>109</v>
      </c>
      <c r="M55" s="7" t="s">
        <v>109</v>
      </c>
      <c r="N55" s="38" t="s">
        <v>109</v>
      </c>
      <c r="O55" s="29" t="s">
        <v>61</v>
      </c>
      <c r="P55" s="7" t="s">
        <v>131</v>
      </c>
      <c r="Q55" s="7" t="s">
        <v>70</v>
      </c>
      <c r="R55" s="7" t="s">
        <v>62</v>
      </c>
      <c r="S55" s="7" t="s">
        <v>512</v>
      </c>
      <c r="T55" s="29" t="s">
        <v>853</v>
      </c>
      <c r="U55" s="108">
        <f t="shared" si="2"/>
        <v>0.27</v>
      </c>
      <c r="V55" s="7" t="s">
        <v>2391</v>
      </c>
    </row>
    <row r="56" spans="1:22" x14ac:dyDescent="0.3">
      <c r="A56" s="7">
        <v>55</v>
      </c>
      <c r="B56" s="29" t="s">
        <v>23</v>
      </c>
      <c r="C56" s="29" t="s">
        <v>854</v>
      </c>
      <c r="D56" s="29">
        <v>50126208</v>
      </c>
      <c r="E56" s="38">
        <v>50</v>
      </c>
      <c r="F56" s="7">
        <v>100</v>
      </c>
      <c r="G56" s="7">
        <v>54</v>
      </c>
      <c r="H56" s="89" t="s">
        <v>69</v>
      </c>
      <c r="I56" s="7" t="s">
        <v>109</v>
      </c>
      <c r="J56" s="7" t="s">
        <v>130</v>
      </c>
      <c r="K56" s="11">
        <v>0.89583333333333337</v>
      </c>
      <c r="L56" s="7" t="s">
        <v>109</v>
      </c>
      <c r="M56" s="7" t="s">
        <v>109</v>
      </c>
      <c r="N56" s="38" t="s">
        <v>109</v>
      </c>
      <c r="O56" s="29" t="s">
        <v>61</v>
      </c>
      <c r="P56" s="7" t="s">
        <v>131</v>
      </c>
      <c r="Q56" s="7" t="s">
        <v>69</v>
      </c>
      <c r="R56" s="7" t="s">
        <v>62</v>
      </c>
      <c r="S56" s="7" t="s">
        <v>512</v>
      </c>
      <c r="T56" s="29" t="s">
        <v>853</v>
      </c>
      <c r="U56" s="108">
        <f t="shared" si="2"/>
        <v>1.08</v>
      </c>
      <c r="V56" s="7" t="s">
        <v>1945</v>
      </c>
    </row>
    <row r="57" spans="1:22" x14ac:dyDescent="0.3">
      <c r="A57" s="7">
        <v>56</v>
      </c>
      <c r="B57" s="29" t="s">
        <v>23</v>
      </c>
      <c r="C57" s="29" t="s">
        <v>647</v>
      </c>
      <c r="D57" s="29">
        <v>50126033</v>
      </c>
      <c r="E57" s="154">
        <v>50</v>
      </c>
      <c r="F57" s="7">
        <v>107</v>
      </c>
      <c r="G57" s="7">
        <v>25</v>
      </c>
      <c r="H57" s="89" t="s">
        <v>69</v>
      </c>
      <c r="I57" s="89" t="s">
        <v>94</v>
      </c>
      <c r="J57" s="7" t="s">
        <v>130</v>
      </c>
      <c r="K57" s="11">
        <v>0.9194444444444444</v>
      </c>
      <c r="L57" s="11">
        <v>0.9506944444444444</v>
      </c>
      <c r="M57" s="7" t="s">
        <v>109</v>
      </c>
      <c r="N57" s="38" t="s">
        <v>109</v>
      </c>
      <c r="O57" s="29" t="s">
        <v>61</v>
      </c>
      <c r="P57" s="7" t="s">
        <v>131</v>
      </c>
      <c r="Q57" s="7" t="s">
        <v>94</v>
      </c>
      <c r="R57" s="7" t="s">
        <v>62</v>
      </c>
      <c r="S57" s="7" t="s">
        <v>512</v>
      </c>
      <c r="T57" s="29" t="s">
        <v>480</v>
      </c>
      <c r="U57" s="108">
        <f t="shared" si="2"/>
        <v>0.5</v>
      </c>
      <c r="V57" s="7" t="s">
        <v>1313</v>
      </c>
    </row>
    <row r="58" spans="1:22" x14ac:dyDescent="0.3">
      <c r="A58" s="7">
        <v>57</v>
      </c>
      <c r="B58" s="29" t="s">
        <v>23</v>
      </c>
      <c r="C58" s="29" t="s">
        <v>648</v>
      </c>
      <c r="D58" s="29">
        <v>50126036</v>
      </c>
      <c r="E58" s="154">
        <v>100</v>
      </c>
      <c r="F58" s="7">
        <v>136</v>
      </c>
      <c r="G58" s="7">
        <v>86</v>
      </c>
      <c r="H58" s="89" t="s">
        <v>214</v>
      </c>
      <c r="I58" s="89" t="s">
        <v>86</v>
      </c>
      <c r="J58" s="7" t="s">
        <v>130</v>
      </c>
      <c r="K58" s="11">
        <v>0.94305555555555554</v>
      </c>
      <c r="L58" s="11">
        <v>5.5555555555555558E-3</v>
      </c>
      <c r="M58" s="7" t="s">
        <v>109</v>
      </c>
      <c r="N58" s="38" t="s">
        <v>109</v>
      </c>
      <c r="O58" s="29" t="s">
        <v>61</v>
      </c>
      <c r="P58" s="7" t="s">
        <v>131</v>
      </c>
      <c r="Q58" s="7" t="s">
        <v>86</v>
      </c>
      <c r="R58" s="7" t="s">
        <v>62</v>
      </c>
      <c r="S58" s="7" t="s">
        <v>512</v>
      </c>
      <c r="T58" s="29" t="s">
        <v>480</v>
      </c>
      <c r="U58" s="108">
        <f t="shared" si="2"/>
        <v>0.86</v>
      </c>
      <c r="V58" s="7" t="s">
        <v>1945</v>
      </c>
    </row>
    <row r="59" spans="1:22" x14ac:dyDescent="0.3">
      <c r="A59" s="7">
        <v>58</v>
      </c>
      <c r="B59" s="29" t="s">
        <v>23</v>
      </c>
      <c r="C59" s="29" t="s">
        <v>650</v>
      </c>
      <c r="D59" s="29">
        <v>50126035</v>
      </c>
      <c r="E59" s="154">
        <v>200</v>
      </c>
      <c r="F59" s="7">
        <v>390</v>
      </c>
      <c r="G59" s="7">
        <v>186</v>
      </c>
      <c r="H59" s="7" t="s">
        <v>920</v>
      </c>
      <c r="I59" s="7" t="s">
        <v>3030</v>
      </c>
      <c r="J59" s="7" t="s">
        <v>130</v>
      </c>
      <c r="K59" s="11">
        <v>0.90763888888888888</v>
      </c>
      <c r="L59" s="11">
        <v>0.9868055555555556</v>
      </c>
      <c r="M59" s="7" t="s">
        <v>109</v>
      </c>
      <c r="N59" s="38" t="s">
        <v>109</v>
      </c>
      <c r="O59" s="29" t="s">
        <v>61</v>
      </c>
      <c r="P59" s="7" t="s">
        <v>131</v>
      </c>
      <c r="Q59" s="7" t="s">
        <v>154</v>
      </c>
      <c r="R59" s="7" t="s">
        <v>62</v>
      </c>
      <c r="S59" s="7" t="s">
        <v>512</v>
      </c>
      <c r="T59" s="29" t="s">
        <v>480</v>
      </c>
      <c r="U59" s="108">
        <f t="shared" si="2"/>
        <v>0.93</v>
      </c>
      <c r="V59" s="7" t="s">
        <v>1945</v>
      </c>
    </row>
    <row r="60" spans="1:22" x14ac:dyDescent="0.3">
      <c r="A60" s="7">
        <v>59</v>
      </c>
      <c r="B60" s="29" t="s">
        <v>23</v>
      </c>
      <c r="C60" s="29" t="s">
        <v>651</v>
      </c>
      <c r="D60" s="29">
        <v>50126034</v>
      </c>
      <c r="E60" s="154">
        <v>150</v>
      </c>
      <c r="F60" s="7">
        <v>290</v>
      </c>
      <c r="G60" s="7">
        <v>75</v>
      </c>
      <c r="H60" s="7" t="s">
        <v>2977</v>
      </c>
      <c r="I60" s="7" t="s">
        <v>2970</v>
      </c>
      <c r="J60" s="7" t="s">
        <v>130</v>
      </c>
      <c r="K60" s="11">
        <v>0.89722222222222225</v>
      </c>
      <c r="L60" s="11">
        <v>0.90625</v>
      </c>
      <c r="M60" s="7" t="s">
        <v>109</v>
      </c>
      <c r="N60" s="38" t="s">
        <v>109</v>
      </c>
      <c r="O60" s="29" t="s">
        <v>61</v>
      </c>
      <c r="P60" s="7" t="s">
        <v>131</v>
      </c>
      <c r="Q60" s="7" t="s">
        <v>88</v>
      </c>
      <c r="R60" s="7" t="s">
        <v>62</v>
      </c>
      <c r="S60" s="7" t="s">
        <v>512</v>
      </c>
      <c r="T60" s="29" t="s">
        <v>480</v>
      </c>
      <c r="U60" s="108">
        <f t="shared" si="2"/>
        <v>0.5</v>
      </c>
      <c r="V60" s="7" t="s">
        <v>1313</v>
      </c>
    </row>
    <row r="61" spans="1:22" x14ac:dyDescent="0.3">
      <c r="A61" s="7">
        <v>60</v>
      </c>
      <c r="B61" s="29" t="s">
        <v>23</v>
      </c>
      <c r="C61" s="29" t="s">
        <v>654</v>
      </c>
      <c r="D61" s="29">
        <v>50126032</v>
      </c>
      <c r="E61" s="154">
        <v>50</v>
      </c>
      <c r="F61" s="7">
        <v>100</v>
      </c>
      <c r="G61" s="7">
        <v>38</v>
      </c>
      <c r="H61" s="89" t="s">
        <v>82</v>
      </c>
      <c r="I61" s="89" t="s">
        <v>1082</v>
      </c>
      <c r="J61" s="7" t="s">
        <v>130</v>
      </c>
      <c r="K61" s="11">
        <v>0.96458333333333335</v>
      </c>
      <c r="L61" s="11">
        <v>0.98333333333333328</v>
      </c>
      <c r="M61" s="7" t="s">
        <v>109</v>
      </c>
      <c r="N61" s="38" t="s">
        <v>109</v>
      </c>
      <c r="O61" s="29" t="s">
        <v>61</v>
      </c>
      <c r="P61" s="7" t="s">
        <v>131</v>
      </c>
      <c r="Q61" s="7" t="s">
        <v>89</v>
      </c>
      <c r="R61" s="7" t="s">
        <v>62</v>
      </c>
      <c r="S61" s="7" t="s">
        <v>512</v>
      </c>
      <c r="T61" s="29" t="s">
        <v>480</v>
      </c>
      <c r="U61" s="108">
        <f t="shared" si="2"/>
        <v>0.76</v>
      </c>
      <c r="V61" s="7" t="s">
        <v>152</v>
      </c>
    </row>
    <row r="62" spans="1:22" x14ac:dyDescent="0.3">
      <c r="A62" s="7">
        <v>61</v>
      </c>
      <c r="B62" s="29" t="s">
        <v>23</v>
      </c>
      <c r="C62" s="29" t="s">
        <v>656</v>
      </c>
      <c r="D62" s="29">
        <v>50126031</v>
      </c>
      <c r="E62" s="154">
        <v>100</v>
      </c>
      <c r="F62" s="7">
        <v>133</v>
      </c>
      <c r="G62" s="7">
        <v>39</v>
      </c>
      <c r="H62" s="89" t="s">
        <v>71</v>
      </c>
      <c r="I62" s="89" t="s">
        <v>91</v>
      </c>
      <c r="J62" s="7" t="s">
        <v>130</v>
      </c>
      <c r="K62" s="11">
        <v>0.89236111111111116</v>
      </c>
      <c r="L62" s="11">
        <v>0.93125000000000002</v>
      </c>
      <c r="M62" s="7" t="s">
        <v>109</v>
      </c>
      <c r="N62" s="38" t="s">
        <v>109</v>
      </c>
      <c r="O62" s="29" t="s">
        <v>61</v>
      </c>
      <c r="P62" s="7" t="s">
        <v>131</v>
      </c>
      <c r="Q62" s="7" t="s">
        <v>91</v>
      </c>
      <c r="R62" s="7" t="s">
        <v>62</v>
      </c>
      <c r="S62" s="7" t="s">
        <v>512</v>
      </c>
      <c r="T62" s="29" t="s">
        <v>480</v>
      </c>
      <c r="U62" s="108">
        <f t="shared" si="2"/>
        <v>0.39</v>
      </c>
      <c r="V62" s="7" t="s">
        <v>2391</v>
      </c>
    </row>
    <row r="63" spans="1:22" s="124" customFormat="1" x14ac:dyDescent="0.3">
      <c r="A63" s="7">
        <v>62</v>
      </c>
      <c r="B63" s="29" t="s">
        <v>23</v>
      </c>
      <c r="C63" s="29" t="s">
        <v>657</v>
      </c>
      <c r="D63" s="29">
        <v>50126030</v>
      </c>
      <c r="E63" s="154">
        <v>75</v>
      </c>
      <c r="F63" s="7">
        <v>131</v>
      </c>
      <c r="G63" s="7">
        <v>63</v>
      </c>
      <c r="H63" s="89" t="s">
        <v>184</v>
      </c>
      <c r="I63" s="89" t="s">
        <v>94</v>
      </c>
      <c r="J63" s="7" t="s">
        <v>130</v>
      </c>
      <c r="K63" s="11">
        <v>3.2638888888888891E-2</v>
      </c>
      <c r="L63" s="7" t="s">
        <v>1457</v>
      </c>
      <c r="M63" s="7" t="s">
        <v>109</v>
      </c>
      <c r="N63" s="38" t="s">
        <v>109</v>
      </c>
      <c r="O63" s="29" t="s">
        <v>61</v>
      </c>
      <c r="P63" s="7" t="s">
        <v>131</v>
      </c>
      <c r="Q63" s="7" t="s">
        <v>94</v>
      </c>
      <c r="R63" s="7" t="s">
        <v>62</v>
      </c>
      <c r="S63" s="7" t="s">
        <v>512</v>
      </c>
      <c r="T63" s="29" t="s">
        <v>480</v>
      </c>
      <c r="U63" s="108">
        <f t="shared" si="2"/>
        <v>0.84</v>
      </c>
      <c r="V63" s="7" t="s">
        <v>1945</v>
      </c>
    </row>
    <row r="64" spans="1:22" x14ac:dyDescent="0.3">
      <c r="A64" s="7">
        <v>63</v>
      </c>
      <c r="B64" s="29" t="s">
        <v>23</v>
      </c>
      <c r="C64" s="29" t="s">
        <v>2482</v>
      </c>
      <c r="D64" s="29">
        <v>50226085</v>
      </c>
      <c r="E64" s="38">
        <v>50</v>
      </c>
      <c r="F64" s="7">
        <v>97</v>
      </c>
      <c r="G64" s="7">
        <v>56</v>
      </c>
      <c r="H64" s="89" t="s">
        <v>196</v>
      </c>
      <c r="I64" s="7" t="s">
        <v>109</v>
      </c>
      <c r="J64" s="7" t="s">
        <v>130</v>
      </c>
      <c r="K64" s="11">
        <v>0.94097222222222221</v>
      </c>
      <c r="L64" s="7" t="s">
        <v>109</v>
      </c>
      <c r="M64" s="7" t="s">
        <v>109</v>
      </c>
      <c r="N64" s="43" t="s">
        <v>110</v>
      </c>
      <c r="O64" s="29" t="s">
        <v>61</v>
      </c>
      <c r="P64" s="7" t="s">
        <v>131</v>
      </c>
      <c r="Q64" s="7" t="s">
        <v>196</v>
      </c>
      <c r="R64" s="7" t="s">
        <v>62</v>
      </c>
      <c r="S64" s="7" t="s">
        <v>512</v>
      </c>
      <c r="T64" s="29" t="s">
        <v>250</v>
      </c>
      <c r="U64" s="108">
        <f t="shared" si="2"/>
        <v>1.1200000000000001</v>
      </c>
      <c r="V64" s="7" t="s">
        <v>1945</v>
      </c>
    </row>
    <row r="65" spans="1:22" x14ac:dyDescent="0.3">
      <c r="A65" s="7">
        <v>64</v>
      </c>
      <c r="B65" s="29" t="s">
        <v>23</v>
      </c>
      <c r="C65" s="29" t="s">
        <v>2483</v>
      </c>
      <c r="D65" s="29">
        <v>50226086</v>
      </c>
      <c r="E65" s="38">
        <v>50</v>
      </c>
      <c r="F65" s="7">
        <v>100</v>
      </c>
      <c r="G65" s="7">
        <v>41</v>
      </c>
      <c r="H65" s="89" t="s">
        <v>241</v>
      </c>
      <c r="I65" s="7" t="s">
        <v>109</v>
      </c>
      <c r="J65" s="7" t="s">
        <v>130</v>
      </c>
      <c r="K65" s="11">
        <v>0.67222222222222228</v>
      </c>
      <c r="L65" s="7" t="s">
        <v>109</v>
      </c>
      <c r="M65" s="7" t="s">
        <v>109</v>
      </c>
      <c r="N65" s="43" t="s">
        <v>110</v>
      </c>
      <c r="O65" s="29" t="s">
        <v>61</v>
      </c>
      <c r="P65" s="7" t="s">
        <v>131</v>
      </c>
      <c r="Q65" s="7" t="s">
        <v>241</v>
      </c>
      <c r="R65" s="7" t="s">
        <v>62</v>
      </c>
      <c r="S65" s="7" t="s">
        <v>512</v>
      </c>
      <c r="T65" s="29" t="s">
        <v>250</v>
      </c>
      <c r="U65" s="108">
        <f t="shared" si="2"/>
        <v>0.82</v>
      </c>
      <c r="V65" s="7" t="s">
        <v>1313</v>
      </c>
    </row>
    <row r="66" spans="1:22" x14ac:dyDescent="0.3">
      <c r="A66" s="7">
        <v>65</v>
      </c>
      <c r="B66" s="29" t="s">
        <v>23</v>
      </c>
      <c r="C66" s="29" t="s">
        <v>2484</v>
      </c>
      <c r="D66" s="29">
        <v>50226100</v>
      </c>
      <c r="E66" s="38">
        <v>30</v>
      </c>
      <c r="F66" s="7">
        <v>2</v>
      </c>
      <c r="G66" s="7">
        <v>0</v>
      </c>
      <c r="H66" s="89" t="s">
        <v>200</v>
      </c>
      <c r="I66" s="7" t="s">
        <v>109</v>
      </c>
      <c r="J66" s="7" t="s">
        <v>130</v>
      </c>
      <c r="K66" s="11">
        <v>4.8611111111111112E-2</v>
      </c>
      <c r="L66" s="7" t="s">
        <v>109</v>
      </c>
      <c r="M66" s="7" t="s">
        <v>109</v>
      </c>
      <c r="N66" s="43" t="s">
        <v>2978</v>
      </c>
      <c r="O66" s="29" t="s">
        <v>61</v>
      </c>
      <c r="P66" s="7" t="s">
        <v>131</v>
      </c>
      <c r="Q66" s="7" t="s">
        <v>200</v>
      </c>
      <c r="R66" s="7" t="s">
        <v>62</v>
      </c>
      <c r="S66" s="7" t="s">
        <v>512</v>
      </c>
      <c r="T66" s="29" t="s">
        <v>1240</v>
      </c>
      <c r="U66" s="108">
        <f t="shared" si="2"/>
        <v>0</v>
      </c>
      <c r="V66" s="7" t="s">
        <v>152</v>
      </c>
    </row>
    <row r="67" spans="1:22" x14ac:dyDescent="0.3">
      <c r="A67" s="7">
        <v>66</v>
      </c>
      <c r="B67" s="29" t="s">
        <v>23</v>
      </c>
      <c r="C67" s="29" t="s">
        <v>2736</v>
      </c>
      <c r="D67" s="29">
        <v>50226124</v>
      </c>
      <c r="E67" s="38">
        <v>200</v>
      </c>
      <c r="F67" s="7">
        <v>124</v>
      </c>
      <c r="G67" s="7">
        <v>23</v>
      </c>
      <c r="H67" s="7" t="s">
        <v>2979</v>
      </c>
      <c r="I67" s="7" t="s">
        <v>109</v>
      </c>
      <c r="J67" s="7" t="s">
        <v>130</v>
      </c>
      <c r="K67" s="11">
        <v>2.4305555555555556E-2</v>
      </c>
      <c r="L67" s="7" t="s">
        <v>109</v>
      </c>
      <c r="M67" s="7" t="s">
        <v>109</v>
      </c>
      <c r="N67" s="38" t="s">
        <v>109</v>
      </c>
      <c r="O67" s="29" t="s">
        <v>61</v>
      </c>
      <c r="P67" s="7" t="s">
        <v>131</v>
      </c>
      <c r="Q67" s="7" t="s">
        <v>71</v>
      </c>
      <c r="R67" s="7" t="s">
        <v>62</v>
      </c>
      <c r="S67" s="7" t="s">
        <v>512</v>
      </c>
      <c r="T67" s="29" t="s">
        <v>1341</v>
      </c>
      <c r="U67" s="108">
        <f t="shared" si="2"/>
        <v>0.115</v>
      </c>
      <c r="V67" s="7" t="s">
        <v>2391</v>
      </c>
    </row>
    <row r="68" spans="1:22" x14ac:dyDescent="0.3">
      <c r="A68" s="7">
        <v>67</v>
      </c>
      <c r="B68" s="29" t="s">
        <v>23</v>
      </c>
      <c r="C68" s="29" t="s">
        <v>380</v>
      </c>
      <c r="D68" s="29">
        <v>50425241</v>
      </c>
      <c r="E68" s="29">
        <v>150</v>
      </c>
      <c r="F68" s="7" t="s">
        <v>109</v>
      </c>
      <c r="G68" s="7" t="s">
        <v>109</v>
      </c>
      <c r="H68" s="7" t="s">
        <v>2980</v>
      </c>
      <c r="I68" s="7" t="s">
        <v>109</v>
      </c>
      <c r="J68" s="18" t="s">
        <v>85</v>
      </c>
      <c r="K68" s="7" t="s">
        <v>109</v>
      </c>
      <c r="L68" s="7" t="s">
        <v>109</v>
      </c>
      <c r="M68" s="7" t="s">
        <v>109</v>
      </c>
      <c r="N68" s="38" t="s">
        <v>109</v>
      </c>
      <c r="O68" s="29" t="s">
        <v>61</v>
      </c>
      <c r="P68" s="7" t="s">
        <v>109</v>
      </c>
      <c r="Q68" s="7" t="s">
        <v>109</v>
      </c>
      <c r="R68" s="7" t="s">
        <v>62</v>
      </c>
      <c r="S68" s="7" t="s">
        <v>512</v>
      </c>
      <c r="T68" s="29" t="s">
        <v>379</v>
      </c>
      <c r="U68" s="108" t="s">
        <v>109</v>
      </c>
      <c r="V68" s="7" t="s">
        <v>109</v>
      </c>
    </row>
    <row r="69" spans="1:22" x14ac:dyDescent="0.3">
      <c r="A69" s="7">
        <v>68</v>
      </c>
      <c r="B69" s="29" t="s">
        <v>23</v>
      </c>
      <c r="C69" s="91" t="s">
        <v>2981</v>
      </c>
      <c r="D69" s="135">
        <v>50326028</v>
      </c>
      <c r="E69" s="91">
        <v>50</v>
      </c>
      <c r="F69" s="7" t="s">
        <v>109</v>
      </c>
      <c r="G69" s="7" t="s">
        <v>109</v>
      </c>
      <c r="H69" s="89" t="s">
        <v>71</v>
      </c>
      <c r="I69" s="7" t="s">
        <v>109</v>
      </c>
      <c r="J69" s="18" t="s">
        <v>85</v>
      </c>
      <c r="K69" s="7" t="s">
        <v>109</v>
      </c>
      <c r="L69" s="7" t="s">
        <v>109</v>
      </c>
      <c r="M69" s="7" t="s">
        <v>109</v>
      </c>
      <c r="N69" s="38" t="s">
        <v>109</v>
      </c>
      <c r="O69" s="29" t="s">
        <v>61</v>
      </c>
      <c r="P69" s="7" t="s">
        <v>109</v>
      </c>
      <c r="Q69" s="7" t="s">
        <v>109</v>
      </c>
      <c r="R69" s="7" t="s">
        <v>62</v>
      </c>
      <c r="S69" s="7" t="s">
        <v>512</v>
      </c>
      <c r="T69" s="29" t="s">
        <v>379</v>
      </c>
      <c r="U69" s="108" t="s">
        <v>109</v>
      </c>
      <c r="V69" s="7" t="s">
        <v>109</v>
      </c>
    </row>
    <row r="70" spans="1:22" x14ac:dyDescent="0.3">
      <c r="A70" s="7">
        <v>69</v>
      </c>
      <c r="B70" s="29" t="s">
        <v>23</v>
      </c>
      <c r="C70" s="91" t="s">
        <v>2982</v>
      </c>
      <c r="D70" s="135">
        <v>50326029</v>
      </c>
      <c r="E70" s="91">
        <v>50</v>
      </c>
      <c r="F70" s="7" t="s">
        <v>109</v>
      </c>
      <c r="G70" s="7" t="s">
        <v>109</v>
      </c>
      <c r="H70" s="7" t="s">
        <v>214</v>
      </c>
      <c r="I70" s="7" t="s">
        <v>109</v>
      </c>
      <c r="J70" s="18" t="s">
        <v>85</v>
      </c>
      <c r="K70" s="7" t="s">
        <v>109</v>
      </c>
      <c r="L70" s="7" t="s">
        <v>109</v>
      </c>
      <c r="M70" s="7" t="s">
        <v>109</v>
      </c>
      <c r="N70" s="38" t="s">
        <v>109</v>
      </c>
      <c r="O70" s="29" t="s">
        <v>61</v>
      </c>
      <c r="P70" s="7" t="s">
        <v>109</v>
      </c>
      <c r="Q70" s="7" t="s">
        <v>109</v>
      </c>
      <c r="R70" s="7" t="s">
        <v>62</v>
      </c>
      <c r="S70" s="7" t="s">
        <v>512</v>
      </c>
      <c r="T70" s="29" t="s">
        <v>379</v>
      </c>
      <c r="U70" s="108" t="s">
        <v>109</v>
      </c>
      <c r="V70" s="7" t="s">
        <v>109</v>
      </c>
    </row>
    <row r="71" spans="1:22" x14ac:dyDescent="0.3">
      <c r="A71" s="7">
        <v>70</v>
      </c>
      <c r="B71" s="29" t="s">
        <v>23</v>
      </c>
      <c r="C71" s="29" t="s">
        <v>2139</v>
      </c>
      <c r="D71" s="29">
        <v>50226059</v>
      </c>
      <c r="E71" s="29">
        <v>40</v>
      </c>
      <c r="F71" s="7">
        <v>35</v>
      </c>
      <c r="G71" s="7">
        <v>13</v>
      </c>
      <c r="H71" s="89" t="s">
        <v>66</v>
      </c>
      <c r="I71" s="7" t="s">
        <v>109</v>
      </c>
      <c r="J71" s="7" t="s">
        <v>130</v>
      </c>
      <c r="K71" s="11">
        <v>3.125E-2</v>
      </c>
      <c r="L71" s="7" t="s">
        <v>109</v>
      </c>
      <c r="M71" s="7" t="s">
        <v>109</v>
      </c>
      <c r="N71" s="43" t="s">
        <v>2223</v>
      </c>
      <c r="O71" s="29" t="s">
        <v>61</v>
      </c>
      <c r="P71" s="7" t="s">
        <v>131</v>
      </c>
      <c r="Q71" s="7" t="s">
        <v>66</v>
      </c>
      <c r="R71" s="7" t="s">
        <v>62</v>
      </c>
      <c r="S71" s="7" t="s">
        <v>512</v>
      </c>
      <c r="T71" s="29" t="s">
        <v>121</v>
      </c>
      <c r="U71" s="108">
        <f t="shared" si="2"/>
        <v>0.32500000000000001</v>
      </c>
      <c r="V71" s="7" t="s">
        <v>152</v>
      </c>
    </row>
    <row r="72" spans="1:22" x14ac:dyDescent="0.3">
      <c r="A72" s="7">
        <v>71</v>
      </c>
      <c r="B72" s="29" t="s">
        <v>23</v>
      </c>
      <c r="C72" s="29" t="s">
        <v>2135</v>
      </c>
      <c r="D72" s="29">
        <v>50226063</v>
      </c>
      <c r="E72" s="29">
        <v>10</v>
      </c>
      <c r="F72" s="7">
        <v>8</v>
      </c>
      <c r="G72" s="7">
        <v>0</v>
      </c>
      <c r="H72" s="89" t="s">
        <v>65</v>
      </c>
      <c r="I72" s="7" t="s">
        <v>109</v>
      </c>
      <c r="J72" s="7" t="s">
        <v>130</v>
      </c>
      <c r="K72" s="11">
        <v>0.70347222222222228</v>
      </c>
      <c r="L72" s="7" t="s">
        <v>109</v>
      </c>
      <c r="M72" s="7" t="s">
        <v>109</v>
      </c>
      <c r="N72" s="43" t="s">
        <v>2223</v>
      </c>
      <c r="O72" s="29" t="s">
        <v>61</v>
      </c>
      <c r="P72" s="7" t="s">
        <v>131</v>
      </c>
      <c r="Q72" s="7" t="s">
        <v>65</v>
      </c>
      <c r="R72" s="7" t="s">
        <v>62</v>
      </c>
      <c r="S72" s="7" t="s">
        <v>512</v>
      </c>
      <c r="T72" s="29" t="s">
        <v>121</v>
      </c>
      <c r="U72" s="108">
        <f t="shared" si="2"/>
        <v>0</v>
      </c>
      <c r="V72" s="7" t="s">
        <v>152</v>
      </c>
    </row>
    <row r="73" spans="1:22" x14ac:dyDescent="0.3">
      <c r="A73" s="7">
        <v>72</v>
      </c>
      <c r="B73" s="29" t="s">
        <v>23</v>
      </c>
      <c r="C73" s="29" t="s">
        <v>2840</v>
      </c>
      <c r="D73" s="29">
        <v>50326001</v>
      </c>
      <c r="E73" s="29">
        <v>100</v>
      </c>
      <c r="F73" s="7">
        <v>184</v>
      </c>
      <c r="G73" s="7">
        <v>98</v>
      </c>
      <c r="H73" s="89" t="s">
        <v>241</v>
      </c>
      <c r="I73" s="7" t="s">
        <v>109</v>
      </c>
      <c r="J73" s="7" t="s">
        <v>130</v>
      </c>
      <c r="K73" s="11">
        <v>0.86388888888888893</v>
      </c>
      <c r="L73" s="7" t="s">
        <v>109</v>
      </c>
      <c r="M73" s="7" t="s">
        <v>109</v>
      </c>
      <c r="N73" s="38" t="s">
        <v>109</v>
      </c>
      <c r="O73" s="29" t="s">
        <v>61</v>
      </c>
      <c r="P73" s="7" t="s">
        <v>131</v>
      </c>
      <c r="Q73" s="7" t="s">
        <v>241</v>
      </c>
      <c r="R73" s="7" t="s">
        <v>62</v>
      </c>
      <c r="S73" s="7" t="s">
        <v>512</v>
      </c>
      <c r="T73" s="29" t="s">
        <v>2841</v>
      </c>
      <c r="U73" s="108">
        <f t="shared" si="2"/>
        <v>0.98</v>
      </c>
      <c r="V73" s="7" t="s">
        <v>1945</v>
      </c>
    </row>
    <row r="74" spans="1:22" x14ac:dyDescent="0.3">
      <c r="A74" s="7">
        <v>73</v>
      </c>
      <c r="B74" s="29" t="s">
        <v>23</v>
      </c>
      <c r="C74" s="29" t="s">
        <v>2842</v>
      </c>
      <c r="D74" s="29">
        <v>50326002</v>
      </c>
      <c r="E74" s="29">
        <v>90</v>
      </c>
      <c r="F74" s="7">
        <v>113</v>
      </c>
      <c r="G74" s="7">
        <v>96</v>
      </c>
      <c r="H74" s="89" t="s">
        <v>214</v>
      </c>
      <c r="I74" s="7" t="s">
        <v>109</v>
      </c>
      <c r="J74" s="7" t="s">
        <v>130</v>
      </c>
      <c r="K74" s="11">
        <v>0.96458333333333335</v>
      </c>
      <c r="L74" s="7" t="s">
        <v>109</v>
      </c>
      <c r="M74" s="7" t="s">
        <v>109</v>
      </c>
      <c r="N74" s="38" t="s">
        <v>109</v>
      </c>
      <c r="O74" s="29" t="s">
        <v>61</v>
      </c>
      <c r="P74" s="7" t="s">
        <v>131</v>
      </c>
      <c r="Q74" s="7" t="s">
        <v>214</v>
      </c>
      <c r="R74" s="7" t="s">
        <v>62</v>
      </c>
      <c r="S74" s="7" t="s">
        <v>512</v>
      </c>
      <c r="T74" s="29" t="s">
        <v>2841</v>
      </c>
      <c r="U74" s="108">
        <f t="shared" si="2"/>
        <v>1.0666666666666667</v>
      </c>
      <c r="V74" s="7" t="s">
        <v>1945</v>
      </c>
    </row>
    <row r="75" spans="1:22" x14ac:dyDescent="0.3">
      <c r="A75" s="7">
        <v>74</v>
      </c>
      <c r="B75" s="29" t="s">
        <v>23</v>
      </c>
      <c r="C75" s="29" t="s">
        <v>2843</v>
      </c>
      <c r="D75" s="29">
        <v>50326003</v>
      </c>
      <c r="E75" s="29">
        <v>20</v>
      </c>
      <c r="F75" s="7">
        <v>53</v>
      </c>
      <c r="G75" s="7">
        <v>17</v>
      </c>
      <c r="H75" s="89" t="s">
        <v>274</v>
      </c>
      <c r="I75" s="7" t="s">
        <v>109</v>
      </c>
      <c r="J75" s="7" t="s">
        <v>130</v>
      </c>
      <c r="K75" s="11">
        <v>0.67222222222222228</v>
      </c>
      <c r="L75" s="7" t="s">
        <v>109</v>
      </c>
      <c r="M75" s="7" t="s">
        <v>109</v>
      </c>
      <c r="N75" s="43" t="s">
        <v>2223</v>
      </c>
      <c r="O75" s="29" t="s">
        <v>61</v>
      </c>
      <c r="P75" s="7" t="s">
        <v>131</v>
      </c>
      <c r="Q75" s="7" t="s">
        <v>274</v>
      </c>
      <c r="R75" s="7" t="s">
        <v>62</v>
      </c>
      <c r="S75" s="7" t="s">
        <v>512</v>
      </c>
      <c r="T75" s="29" t="s">
        <v>2841</v>
      </c>
      <c r="U75" s="108">
        <f t="shared" si="2"/>
        <v>0.85</v>
      </c>
      <c r="V75" s="7" t="s">
        <v>1313</v>
      </c>
    </row>
    <row r="76" spans="1:22" x14ac:dyDescent="0.3">
      <c r="A76" s="7">
        <v>75</v>
      </c>
      <c r="B76" s="29" t="s">
        <v>23</v>
      </c>
      <c r="C76" s="29" t="s">
        <v>2844</v>
      </c>
      <c r="D76" s="29">
        <v>50326004</v>
      </c>
      <c r="E76" s="29">
        <v>130</v>
      </c>
      <c r="F76" s="7">
        <v>271</v>
      </c>
      <c r="G76" s="7">
        <v>66</v>
      </c>
      <c r="H76" s="7" t="s">
        <v>920</v>
      </c>
      <c r="I76" s="7" t="s">
        <v>109</v>
      </c>
      <c r="J76" s="7" t="s">
        <v>130</v>
      </c>
      <c r="K76" s="11">
        <v>0.76111111111111107</v>
      </c>
      <c r="L76" s="7" t="s">
        <v>109</v>
      </c>
      <c r="M76" s="7" t="s">
        <v>109</v>
      </c>
      <c r="N76" s="43" t="s">
        <v>2223</v>
      </c>
      <c r="O76" s="29" t="s">
        <v>61</v>
      </c>
      <c r="P76" s="7" t="s">
        <v>131</v>
      </c>
      <c r="Q76" s="7" t="s">
        <v>68</v>
      </c>
      <c r="R76" s="7" t="s">
        <v>62</v>
      </c>
      <c r="S76" s="7" t="s">
        <v>512</v>
      </c>
      <c r="T76" s="29" t="s">
        <v>2841</v>
      </c>
      <c r="U76" s="108">
        <f t="shared" si="2"/>
        <v>0.50769230769230766</v>
      </c>
      <c r="V76" s="7" t="s">
        <v>1313</v>
      </c>
    </row>
    <row r="77" spans="1:22" x14ac:dyDescent="0.3">
      <c r="A77" s="7">
        <v>76</v>
      </c>
      <c r="B77" s="29" t="s">
        <v>23</v>
      </c>
      <c r="C77" s="29" t="s">
        <v>2983</v>
      </c>
      <c r="D77" s="29">
        <v>50326023</v>
      </c>
      <c r="E77" s="29">
        <v>130</v>
      </c>
      <c r="F77" s="7">
        <v>283</v>
      </c>
      <c r="G77" s="7">
        <v>71</v>
      </c>
      <c r="H77" s="7" t="s">
        <v>922</v>
      </c>
      <c r="I77" s="7" t="s">
        <v>109</v>
      </c>
      <c r="J77" s="7" t="s">
        <v>130</v>
      </c>
      <c r="K77" s="11">
        <v>0.78472222222222221</v>
      </c>
      <c r="L77" s="7" t="s">
        <v>109</v>
      </c>
      <c r="M77" s="7" t="s">
        <v>109</v>
      </c>
      <c r="N77" s="38" t="s">
        <v>109</v>
      </c>
      <c r="O77" s="29" t="s">
        <v>61</v>
      </c>
      <c r="P77" s="7" t="s">
        <v>131</v>
      </c>
      <c r="Q77" s="7" t="s">
        <v>200</v>
      </c>
      <c r="R77" s="7" t="s">
        <v>62</v>
      </c>
      <c r="S77" s="7" t="s">
        <v>512</v>
      </c>
      <c r="T77" s="29" t="s">
        <v>121</v>
      </c>
      <c r="U77" s="108">
        <f t="shared" si="2"/>
        <v>0.5461538461538461</v>
      </c>
      <c r="V77" s="7" t="s">
        <v>2391</v>
      </c>
    </row>
    <row r="78" spans="1:22" x14ac:dyDescent="0.3">
      <c r="A78" s="7">
        <v>77</v>
      </c>
      <c r="B78" s="29" t="s">
        <v>23</v>
      </c>
      <c r="C78" s="29" t="s">
        <v>1062</v>
      </c>
      <c r="D78" s="29">
        <v>50126304</v>
      </c>
      <c r="E78" s="29">
        <v>80</v>
      </c>
      <c r="F78" s="7">
        <v>171</v>
      </c>
      <c r="G78" s="7">
        <v>42</v>
      </c>
      <c r="H78" s="89" t="s">
        <v>70</v>
      </c>
      <c r="I78" s="7" t="s">
        <v>109</v>
      </c>
      <c r="J78" s="7" t="s">
        <v>130</v>
      </c>
      <c r="K78" s="11">
        <v>1.9444444444444445E-2</v>
      </c>
      <c r="L78" s="7" t="s">
        <v>109</v>
      </c>
      <c r="M78" s="7" t="s">
        <v>109</v>
      </c>
      <c r="N78" s="38" t="s">
        <v>109</v>
      </c>
      <c r="O78" s="38" t="s">
        <v>61</v>
      </c>
      <c r="P78" s="7" t="s">
        <v>131</v>
      </c>
      <c r="Q78" s="7" t="s">
        <v>70</v>
      </c>
      <c r="R78" s="7" t="s">
        <v>62</v>
      </c>
      <c r="S78" s="7" t="s">
        <v>512</v>
      </c>
      <c r="T78" s="29" t="s">
        <v>1063</v>
      </c>
      <c r="U78" s="108">
        <f t="shared" si="2"/>
        <v>0.52500000000000002</v>
      </c>
      <c r="V78" s="7" t="s">
        <v>1313</v>
      </c>
    </row>
    <row r="79" spans="1:22" x14ac:dyDescent="0.3">
      <c r="A79" s="7">
        <v>78</v>
      </c>
      <c r="B79" s="29" t="s">
        <v>23</v>
      </c>
      <c r="C79" s="29" t="s">
        <v>1064</v>
      </c>
      <c r="D79" s="29">
        <v>50126306</v>
      </c>
      <c r="E79" s="29">
        <v>80</v>
      </c>
      <c r="F79" s="7">
        <v>133</v>
      </c>
      <c r="G79" s="7">
        <v>31</v>
      </c>
      <c r="H79" s="89" t="s">
        <v>84</v>
      </c>
      <c r="I79" s="7" t="s">
        <v>109</v>
      </c>
      <c r="J79" s="7" t="s">
        <v>130</v>
      </c>
      <c r="K79" s="11">
        <v>5.5555555555555558E-3</v>
      </c>
      <c r="L79" s="7" t="s">
        <v>109</v>
      </c>
      <c r="M79" s="7" t="s">
        <v>109</v>
      </c>
      <c r="N79" s="38" t="s">
        <v>109</v>
      </c>
      <c r="O79" s="38" t="s">
        <v>61</v>
      </c>
      <c r="P79" s="7" t="s">
        <v>131</v>
      </c>
      <c r="Q79" s="7" t="s">
        <v>84</v>
      </c>
      <c r="R79" s="7" t="s">
        <v>62</v>
      </c>
      <c r="S79" s="7" t="s">
        <v>512</v>
      </c>
      <c r="T79" s="29" t="s">
        <v>1063</v>
      </c>
      <c r="U79" s="108">
        <f t="shared" si="2"/>
        <v>0.38750000000000001</v>
      </c>
      <c r="V79" s="7" t="s">
        <v>2391</v>
      </c>
    </row>
    <row r="80" spans="1:22" x14ac:dyDescent="0.3">
      <c r="A80" s="7">
        <v>79</v>
      </c>
      <c r="B80" s="29" t="s">
        <v>23</v>
      </c>
      <c r="C80" s="29" t="s">
        <v>1065</v>
      </c>
      <c r="D80" s="29">
        <v>50126305</v>
      </c>
      <c r="E80" s="29">
        <v>100</v>
      </c>
      <c r="F80" s="7">
        <v>200</v>
      </c>
      <c r="G80" s="7">
        <v>97</v>
      </c>
      <c r="H80" s="89" t="s">
        <v>196</v>
      </c>
      <c r="I80" s="7" t="s">
        <v>109</v>
      </c>
      <c r="J80" s="7" t="s">
        <v>130</v>
      </c>
      <c r="K80" s="11">
        <v>4.5138888888888888E-2</v>
      </c>
      <c r="L80" s="7" t="s">
        <v>109</v>
      </c>
      <c r="M80" s="7" t="s">
        <v>109</v>
      </c>
      <c r="N80" s="38" t="s">
        <v>109</v>
      </c>
      <c r="O80" s="38" t="s">
        <v>61</v>
      </c>
      <c r="P80" s="7" t="s">
        <v>131</v>
      </c>
      <c r="Q80" s="7" t="s">
        <v>196</v>
      </c>
      <c r="R80" s="7" t="s">
        <v>62</v>
      </c>
      <c r="S80" s="7" t="s">
        <v>512</v>
      </c>
      <c r="T80" s="29" t="s">
        <v>1063</v>
      </c>
      <c r="U80" s="108">
        <f t="shared" si="2"/>
        <v>0.97</v>
      </c>
      <c r="V80" s="7" t="s">
        <v>1945</v>
      </c>
    </row>
    <row r="81" spans="1:22" x14ac:dyDescent="0.3">
      <c r="A81" s="7">
        <v>80</v>
      </c>
      <c r="B81" s="29" t="s">
        <v>23</v>
      </c>
      <c r="C81" s="29" t="s">
        <v>137</v>
      </c>
      <c r="D81" s="29">
        <v>51225033</v>
      </c>
      <c r="E81" s="29">
        <v>120</v>
      </c>
      <c r="F81" s="7">
        <v>198</v>
      </c>
      <c r="G81" s="7">
        <v>94</v>
      </c>
      <c r="H81" s="7" t="s">
        <v>2984</v>
      </c>
      <c r="I81" s="7" t="s">
        <v>109</v>
      </c>
      <c r="J81" s="7" t="s">
        <v>130</v>
      </c>
      <c r="K81" s="11">
        <v>0.9868055555555556</v>
      </c>
      <c r="L81" s="7" t="s">
        <v>109</v>
      </c>
      <c r="M81" s="7" t="s">
        <v>109</v>
      </c>
      <c r="N81" s="38" t="s">
        <v>109</v>
      </c>
      <c r="O81" s="38" t="s">
        <v>61</v>
      </c>
      <c r="P81" s="7" t="s">
        <v>131</v>
      </c>
      <c r="Q81" s="7" t="s">
        <v>3045</v>
      </c>
      <c r="R81" s="7" t="s">
        <v>62</v>
      </c>
      <c r="S81" s="7" t="s">
        <v>512</v>
      </c>
      <c r="T81" s="29" t="s">
        <v>142</v>
      </c>
      <c r="U81" s="108">
        <f t="shared" si="2"/>
        <v>0.78333333333333333</v>
      </c>
      <c r="V81" s="7" t="s">
        <v>1313</v>
      </c>
    </row>
    <row r="82" spans="1:22" x14ac:dyDescent="0.3">
      <c r="A82" s="7">
        <v>81</v>
      </c>
      <c r="B82" s="29" t="s">
        <v>23</v>
      </c>
      <c r="C82" s="29" t="s">
        <v>139</v>
      </c>
      <c r="D82" s="29">
        <v>51225032</v>
      </c>
      <c r="E82" s="29">
        <v>100</v>
      </c>
      <c r="F82" s="7">
        <v>150</v>
      </c>
      <c r="G82" s="7">
        <v>43</v>
      </c>
      <c r="H82" s="89" t="s">
        <v>200</v>
      </c>
      <c r="I82" s="7" t="s">
        <v>109</v>
      </c>
      <c r="J82" s="7" t="s">
        <v>130</v>
      </c>
      <c r="K82" s="11">
        <v>0.87638888888888888</v>
      </c>
      <c r="L82" s="7" t="s">
        <v>109</v>
      </c>
      <c r="M82" s="7" t="s">
        <v>109</v>
      </c>
      <c r="N82" s="38" t="s">
        <v>109</v>
      </c>
      <c r="O82" s="38" t="s">
        <v>61</v>
      </c>
      <c r="P82" s="7" t="s">
        <v>131</v>
      </c>
      <c r="Q82" s="7" t="s">
        <v>200</v>
      </c>
      <c r="R82" s="7" t="s">
        <v>62</v>
      </c>
      <c r="S82" s="7" t="s">
        <v>512</v>
      </c>
      <c r="T82" s="29" t="s">
        <v>142</v>
      </c>
      <c r="U82" s="108">
        <f t="shared" ref="U82:U100" si="3">G82/E82</f>
        <v>0.43</v>
      </c>
      <c r="V82" s="7" t="s">
        <v>2391</v>
      </c>
    </row>
    <row r="83" spans="1:22" x14ac:dyDescent="0.3">
      <c r="A83" s="7">
        <v>82</v>
      </c>
      <c r="B83" s="29" t="s">
        <v>23</v>
      </c>
      <c r="C83" s="29" t="s">
        <v>484</v>
      </c>
      <c r="D83" s="29">
        <v>50126012</v>
      </c>
      <c r="E83" s="91">
        <v>40</v>
      </c>
      <c r="F83" s="7" t="s">
        <v>109</v>
      </c>
      <c r="G83" s="7" t="s">
        <v>109</v>
      </c>
      <c r="H83" s="89" t="s">
        <v>196</v>
      </c>
      <c r="I83" s="89" t="s">
        <v>154</v>
      </c>
      <c r="J83" s="18" t="s">
        <v>85</v>
      </c>
      <c r="K83" s="7" t="s">
        <v>109</v>
      </c>
      <c r="L83" s="7" t="s">
        <v>109</v>
      </c>
      <c r="M83" s="7" t="s">
        <v>109</v>
      </c>
      <c r="N83" s="38" t="s">
        <v>109</v>
      </c>
      <c r="O83" s="38" t="s">
        <v>61</v>
      </c>
      <c r="P83" s="7" t="s">
        <v>109</v>
      </c>
      <c r="Q83" s="7" t="s">
        <v>109</v>
      </c>
      <c r="R83" s="7" t="s">
        <v>62</v>
      </c>
      <c r="S83" s="7" t="s">
        <v>512</v>
      </c>
      <c r="T83" s="29" t="s">
        <v>480</v>
      </c>
      <c r="U83" s="108" t="s">
        <v>109</v>
      </c>
      <c r="V83" s="7" t="s">
        <v>109</v>
      </c>
    </row>
    <row r="84" spans="1:22" x14ac:dyDescent="0.3">
      <c r="A84" s="7">
        <v>83</v>
      </c>
      <c r="B84" s="29" t="s">
        <v>23</v>
      </c>
      <c r="C84" s="29" t="s">
        <v>2234</v>
      </c>
      <c r="D84" s="29">
        <v>50226075</v>
      </c>
      <c r="E84" s="29">
        <v>50</v>
      </c>
      <c r="F84" s="7">
        <v>77</v>
      </c>
      <c r="G84" s="7">
        <v>58</v>
      </c>
      <c r="H84" s="89" t="s">
        <v>200</v>
      </c>
      <c r="I84" s="7" t="s">
        <v>109</v>
      </c>
      <c r="J84" s="7" t="s">
        <v>130</v>
      </c>
      <c r="K84" s="11">
        <v>1.3888888888888889E-3</v>
      </c>
      <c r="L84" s="7" t="s">
        <v>109</v>
      </c>
      <c r="M84" s="7" t="s">
        <v>109</v>
      </c>
      <c r="N84" s="38" t="s">
        <v>109</v>
      </c>
      <c r="O84" s="38" t="s">
        <v>61</v>
      </c>
      <c r="P84" s="7" t="s">
        <v>131</v>
      </c>
      <c r="Q84" s="7" t="s">
        <v>200</v>
      </c>
      <c r="R84" s="7" t="s">
        <v>62</v>
      </c>
      <c r="S84" s="7" t="s">
        <v>512</v>
      </c>
      <c r="T84" s="29" t="s">
        <v>278</v>
      </c>
      <c r="U84" s="108">
        <f t="shared" si="3"/>
        <v>1.1599999999999999</v>
      </c>
      <c r="V84" s="7" t="s">
        <v>1945</v>
      </c>
    </row>
    <row r="85" spans="1:22" x14ac:dyDescent="0.3">
      <c r="A85" s="7">
        <v>84</v>
      </c>
      <c r="B85" s="29" t="s">
        <v>23</v>
      </c>
      <c r="C85" s="29" t="s">
        <v>743</v>
      </c>
      <c r="D85" s="29">
        <v>50126124</v>
      </c>
      <c r="E85" s="29">
        <v>50</v>
      </c>
      <c r="F85" s="7">
        <v>81</v>
      </c>
      <c r="G85" s="7">
        <v>21</v>
      </c>
      <c r="H85" s="89" t="s">
        <v>82</v>
      </c>
      <c r="I85" s="7" t="s">
        <v>109</v>
      </c>
      <c r="J85" s="7" t="s">
        <v>130</v>
      </c>
      <c r="K85" s="11">
        <v>3.472222222222222E-3</v>
      </c>
      <c r="L85" s="7" t="s">
        <v>109</v>
      </c>
      <c r="M85" s="7" t="s">
        <v>109</v>
      </c>
      <c r="N85" s="38" t="s">
        <v>109</v>
      </c>
      <c r="O85" s="38" t="s">
        <v>61</v>
      </c>
      <c r="P85" s="7" t="s">
        <v>131</v>
      </c>
      <c r="Q85" s="7" t="s">
        <v>82</v>
      </c>
      <c r="R85" s="7" t="s">
        <v>62</v>
      </c>
      <c r="S85" s="7" t="s">
        <v>512</v>
      </c>
      <c r="T85" s="29" t="s">
        <v>278</v>
      </c>
      <c r="U85" s="108">
        <f t="shared" si="3"/>
        <v>0.42</v>
      </c>
      <c r="V85" s="7" t="s">
        <v>1313</v>
      </c>
    </row>
    <row r="86" spans="1:22" x14ac:dyDescent="0.3">
      <c r="A86" s="7">
        <v>85</v>
      </c>
      <c r="B86" s="29" t="s">
        <v>23</v>
      </c>
      <c r="C86" s="29" t="s">
        <v>1839</v>
      </c>
      <c r="D86" s="29">
        <v>50226015</v>
      </c>
      <c r="E86" s="29">
        <v>20</v>
      </c>
      <c r="F86" s="7">
        <v>33</v>
      </c>
      <c r="G86" s="7">
        <v>7</v>
      </c>
      <c r="H86" s="89" t="s">
        <v>67</v>
      </c>
      <c r="I86" s="7" t="s">
        <v>109</v>
      </c>
      <c r="J86" s="7" t="s">
        <v>130</v>
      </c>
      <c r="K86" s="11">
        <v>0.78333333333333333</v>
      </c>
      <c r="L86" s="7" t="s">
        <v>109</v>
      </c>
      <c r="M86" s="7" t="s">
        <v>109</v>
      </c>
      <c r="N86" s="38" t="s">
        <v>109</v>
      </c>
      <c r="O86" s="38" t="s">
        <v>61</v>
      </c>
      <c r="P86" s="7" t="s">
        <v>131</v>
      </c>
      <c r="Q86" s="7" t="s">
        <v>67</v>
      </c>
      <c r="R86" s="7" t="s">
        <v>62</v>
      </c>
      <c r="S86" s="7" t="s">
        <v>512</v>
      </c>
      <c r="T86" s="29" t="s">
        <v>278</v>
      </c>
      <c r="U86" s="108">
        <f t="shared" si="3"/>
        <v>0.35</v>
      </c>
      <c r="V86" s="7" t="s">
        <v>152</v>
      </c>
    </row>
    <row r="87" spans="1:22" x14ac:dyDescent="0.3">
      <c r="A87" s="7">
        <v>86</v>
      </c>
      <c r="B87" s="29" t="s">
        <v>23</v>
      </c>
      <c r="C87" s="29" t="s">
        <v>2151</v>
      </c>
      <c r="D87" s="29">
        <v>50226069</v>
      </c>
      <c r="E87" s="29">
        <v>100</v>
      </c>
      <c r="F87" s="7">
        <v>118</v>
      </c>
      <c r="G87" s="7">
        <v>101</v>
      </c>
      <c r="H87" s="89" t="s">
        <v>82</v>
      </c>
      <c r="I87" s="7" t="s">
        <v>109</v>
      </c>
      <c r="J87" s="7" t="s">
        <v>130</v>
      </c>
      <c r="K87" s="11">
        <v>0.89444444444444449</v>
      </c>
      <c r="L87" s="7" t="s">
        <v>109</v>
      </c>
      <c r="M87" s="7" t="s">
        <v>109</v>
      </c>
      <c r="N87" s="38" t="s">
        <v>109</v>
      </c>
      <c r="O87" s="38" t="s">
        <v>61</v>
      </c>
      <c r="P87" s="7" t="s">
        <v>131</v>
      </c>
      <c r="Q87" s="7" t="s">
        <v>82</v>
      </c>
      <c r="R87" s="7" t="s">
        <v>62</v>
      </c>
      <c r="S87" s="7" t="s">
        <v>512</v>
      </c>
      <c r="T87" s="29" t="s">
        <v>270</v>
      </c>
      <c r="U87" s="108">
        <f t="shared" si="3"/>
        <v>1.01</v>
      </c>
      <c r="V87" s="7" t="s">
        <v>1945</v>
      </c>
    </row>
    <row r="88" spans="1:22" x14ac:dyDescent="0.3">
      <c r="A88" s="7">
        <v>87</v>
      </c>
      <c r="B88" s="29" t="s">
        <v>25</v>
      </c>
      <c r="C88" s="29" t="s">
        <v>2985</v>
      </c>
      <c r="D88" s="29">
        <v>40326003</v>
      </c>
      <c r="E88" s="91">
        <v>60</v>
      </c>
      <c r="F88" s="7">
        <v>42</v>
      </c>
      <c r="G88" s="7">
        <v>30</v>
      </c>
      <c r="H88" s="89" t="s">
        <v>82</v>
      </c>
      <c r="I88" s="89" t="s">
        <v>1082</v>
      </c>
      <c r="J88" s="7" t="s">
        <v>130</v>
      </c>
      <c r="K88" s="11">
        <v>0.77500000000000002</v>
      </c>
      <c r="L88" s="11">
        <v>0.80208333333333337</v>
      </c>
      <c r="M88" s="7" t="s">
        <v>109</v>
      </c>
      <c r="N88" s="29" t="s">
        <v>109</v>
      </c>
      <c r="O88" s="29" t="s">
        <v>61</v>
      </c>
      <c r="P88" s="7" t="s">
        <v>131</v>
      </c>
      <c r="Q88" s="7" t="s">
        <v>89</v>
      </c>
      <c r="R88" s="7" t="s">
        <v>62</v>
      </c>
      <c r="S88" s="7" t="s">
        <v>512</v>
      </c>
      <c r="T88" s="29" t="s">
        <v>2986</v>
      </c>
      <c r="U88" s="108">
        <f t="shared" si="3"/>
        <v>0.5</v>
      </c>
      <c r="V88" s="7" t="s">
        <v>152</v>
      </c>
    </row>
    <row r="89" spans="1:22" x14ac:dyDescent="0.3">
      <c r="A89" s="7">
        <v>88</v>
      </c>
      <c r="B89" s="29" t="s">
        <v>25</v>
      </c>
      <c r="C89" s="29" t="s">
        <v>2987</v>
      </c>
      <c r="D89" s="29">
        <v>40326004</v>
      </c>
      <c r="E89" s="91">
        <v>380</v>
      </c>
      <c r="F89" s="7">
        <v>401</v>
      </c>
      <c r="G89" s="7">
        <v>114</v>
      </c>
      <c r="H89" s="7" t="s">
        <v>2988</v>
      </c>
      <c r="I89" s="53" t="s">
        <v>3025</v>
      </c>
      <c r="J89" s="7" t="s">
        <v>130</v>
      </c>
      <c r="K89" s="11">
        <v>0.96597222222222223</v>
      </c>
      <c r="L89" s="11">
        <v>3.2638888888888891E-2</v>
      </c>
      <c r="M89" s="7" t="s">
        <v>109</v>
      </c>
      <c r="N89" s="29" t="s">
        <v>109</v>
      </c>
      <c r="O89" s="29" t="s">
        <v>61</v>
      </c>
      <c r="P89" s="7" t="s">
        <v>131</v>
      </c>
      <c r="Q89" s="7" t="s">
        <v>91</v>
      </c>
      <c r="R89" s="7" t="s">
        <v>62</v>
      </c>
      <c r="S89" s="7" t="s">
        <v>512</v>
      </c>
      <c r="T89" s="29" t="s">
        <v>2986</v>
      </c>
      <c r="U89" s="108">
        <f t="shared" si="3"/>
        <v>0.3</v>
      </c>
      <c r="V89" s="7" t="s">
        <v>2391</v>
      </c>
    </row>
    <row r="90" spans="1:22" x14ac:dyDescent="0.3">
      <c r="A90" s="7">
        <v>89</v>
      </c>
      <c r="B90" s="29" t="s">
        <v>292</v>
      </c>
      <c r="C90" s="29" t="s">
        <v>2747</v>
      </c>
      <c r="D90" s="29">
        <v>40226021</v>
      </c>
      <c r="E90" s="91">
        <v>189</v>
      </c>
      <c r="F90" s="7">
        <v>44</v>
      </c>
      <c r="G90" s="7">
        <v>2</v>
      </c>
      <c r="H90" s="7" t="s">
        <v>196</v>
      </c>
      <c r="I90" s="7" t="s">
        <v>93</v>
      </c>
      <c r="J90" s="7" t="s">
        <v>130</v>
      </c>
      <c r="K90" s="11">
        <v>0.85486111111111107</v>
      </c>
      <c r="L90" s="11">
        <v>2.6388888888888889E-2</v>
      </c>
      <c r="M90" s="7" t="s">
        <v>109</v>
      </c>
      <c r="N90" s="29" t="s">
        <v>109</v>
      </c>
      <c r="O90" s="29" t="s">
        <v>61</v>
      </c>
      <c r="P90" s="7" t="s">
        <v>131</v>
      </c>
      <c r="Q90" s="7" t="s">
        <v>93</v>
      </c>
      <c r="R90" s="7" t="s">
        <v>63</v>
      </c>
      <c r="S90" s="7" t="s">
        <v>512</v>
      </c>
      <c r="T90" s="29" t="s">
        <v>2749</v>
      </c>
      <c r="U90" s="108">
        <f t="shared" si="3"/>
        <v>1.0582010582010581E-2</v>
      </c>
      <c r="V90" s="7" t="s">
        <v>152</v>
      </c>
    </row>
    <row r="91" spans="1:22" x14ac:dyDescent="0.3">
      <c r="A91" s="7">
        <v>90</v>
      </c>
      <c r="B91" s="29" t="s">
        <v>26</v>
      </c>
      <c r="C91" s="29" t="s">
        <v>1388</v>
      </c>
      <c r="D91" s="29">
        <v>40126024</v>
      </c>
      <c r="E91" s="91">
        <v>499</v>
      </c>
      <c r="F91" s="7">
        <v>711</v>
      </c>
      <c r="G91" s="7">
        <v>125</v>
      </c>
      <c r="H91" s="7" t="s">
        <v>2989</v>
      </c>
      <c r="I91" s="7" t="s">
        <v>3029</v>
      </c>
      <c r="J91" s="7" t="s">
        <v>130</v>
      </c>
      <c r="K91" s="11">
        <v>0.80555555555555558</v>
      </c>
      <c r="L91" s="11">
        <v>0.92847222222222225</v>
      </c>
      <c r="M91" s="7" t="s">
        <v>109</v>
      </c>
      <c r="N91" s="32" t="s">
        <v>110</v>
      </c>
      <c r="O91" s="29" t="s">
        <v>61</v>
      </c>
      <c r="P91" s="7" t="s">
        <v>131</v>
      </c>
      <c r="Q91" s="7" t="s">
        <v>94</v>
      </c>
      <c r="R91" s="7" t="s">
        <v>62</v>
      </c>
      <c r="S91" s="7" t="s">
        <v>512</v>
      </c>
      <c r="T91" s="29" t="s">
        <v>121</v>
      </c>
      <c r="U91" s="108">
        <f t="shared" si="3"/>
        <v>0.25050100200400799</v>
      </c>
      <c r="V91" s="7" t="s">
        <v>2391</v>
      </c>
    </row>
    <row r="92" spans="1:22" x14ac:dyDescent="0.3">
      <c r="A92" s="7">
        <v>91</v>
      </c>
      <c r="B92" s="29" t="s">
        <v>26</v>
      </c>
      <c r="C92" s="29" t="s">
        <v>1389</v>
      </c>
      <c r="D92" s="29">
        <v>40126028</v>
      </c>
      <c r="E92" s="91">
        <v>269</v>
      </c>
      <c r="F92" s="7">
        <v>373</v>
      </c>
      <c r="G92" s="7">
        <v>255</v>
      </c>
      <c r="H92" s="7" t="s">
        <v>2990</v>
      </c>
      <c r="I92" s="7" t="s">
        <v>2991</v>
      </c>
      <c r="J92" s="7" t="s">
        <v>130</v>
      </c>
      <c r="K92" s="11">
        <v>0.82638888888888884</v>
      </c>
      <c r="L92" s="11">
        <v>0.92291666666666672</v>
      </c>
      <c r="M92" s="7" t="s">
        <v>109</v>
      </c>
      <c r="N92" s="32" t="s">
        <v>110</v>
      </c>
      <c r="O92" s="29" t="s">
        <v>61</v>
      </c>
      <c r="P92" s="7" t="s">
        <v>131</v>
      </c>
      <c r="Q92" s="7" t="s">
        <v>154</v>
      </c>
      <c r="R92" s="7" t="s">
        <v>62</v>
      </c>
      <c r="S92" s="7" t="s">
        <v>512</v>
      </c>
      <c r="T92" s="29" t="s">
        <v>121</v>
      </c>
      <c r="U92" s="108">
        <f t="shared" si="3"/>
        <v>0.94795539033457255</v>
      </c>
      <c r="V92" s="7" t="s">
        <v>1945</v>
      </c>
    </row>
    <row r="93" spans="1:22" x14ac:dyDescent="0.3">
      <c r="A93" s="7">
        <v>92</v>
      </c>
      <c r="B93" s="29" t="s">
        <v>26</v>
      </c>
      <c r="C93" s="29" t="s">
        <v>1391</v>
      </c>
      <c r="D93" s="29">
        <v>40126023</v>
      </c>
      <c r="E93" s="91">
        <v>211</v>
      </c>
      <c r="F93" s="7">
        <v>389</v>
      </c>
      <c r="G93" s="7">
        <v>48</v>
      </c>
      <c r="H93" s="7" t="s">
        <v>2992</v>
      </c>
      <c r="I93" s="7" t="s">
        <v>2993</v>
      </c>
      <c r="J93" s="7" t="s">
        <v>130</v>
      </c>
      <c r="K93" s="11">
        <v>0.93819444444444444</v>
      </c>
      <c r="L93" s="11">
        <v>4.1666666666666666E-3</v>
      </c>
      <c r="M93" s="7" t="s">
        <v>109</v>
      </c>
      <c r="N93" s="32" t="s">
        <v>110</v>
      </c>
      <c r="O93" s="29" t="s">
        <v>61</v>
      </c>
      <c r="P93" s="7" t="s">
        <v>131</v>
      </c>
      <c r="Q93" s="7" t="s">
        <v>91</v>
      </c>
      <c r="R93" s="7" t="s">
        <v>62</v>
      </c>
      <c r="S93" s="7" t="s">
        <v>512</v>
      </c>
      <c r="T93" s="29" t="s">
        <v>121</v>
      </c>
      <c r="U93" s="108">
        <f t="shared" si="3"/>
        <v>0.22748815165876776</v>
      </c>
      <c r="V93" s="7" t="s">
        <v>2391</v>
      </c>
    </row>
    <row r="94" spans="1:22" x14ac:dyDescent="0.3">
      <c r="A94" s="7">
        <v>93</v>
      </c>
      <c r="B94" s="29" t="s">
        <v>26</v>
      </c>
      <c r="C94" s="29" t="s">
        <v>2462</v>
      </c>
      <c r="D94" s="29">
        <v>40226014</v>
      </c>
      <c r="E94" s="91">
        <v>375</v>
      </c>
      <c r="F94" s="7">
        <v>447</v>
      </c>
      <c r="G94" s="7">
        <v>134</v>
      </c>
      <c r="H94" s="7" t="s">
        <v>2994</v>
      </c>
      <c r="I94" s="53" t="s">
        <v>2995</v>
      </c>
      <c r="J94" s="7" t="s">
        <v>130</v>
      </c>
      <c r="K94" s="11">
        <v>0.92569444444444449</v>
      </c>
      <c r="L94" s="11">
        <v>0.96388888888888891</v>
      </c>
      <c r="M94" s="7" t="s">
        <v>109</v>
      </c>
      <c r="N94" s="32" t="s">
        <v>2996</v>
      </c>
      <c r="O94" s="29" t="s">
        <v>61</v>
      </c>
      <c r="P94" s="7" t="s">
        <v>131</v>
      </c>
      <c r="Q94" s="7" t="s">
        <v>94</v>
      </c>
      <c r="R94" s="7" t="s">
        <v>62</v>
      </c>
      <c r="S94" s="7" t="s">
        <v>512</v>
      </c>
      <c r="T94" s="29" t="s">
        <v>122</v>
      </c>
      <c r="U94" s="108">
        <f t="shared" si="3"/>
        <v>0.35733333333333334</v>
      </c>
      <c r="V94" s="7" t="s">
        <v>2391</v>
      </c>
    </row>
    <row r="95" spans="1:22" x14ac:dyDescent="0.3">
      <c r="A95" s="7">
        <v>94</v>
      </c>
      <c r="B95" s="29" t="s">
        <v>26</v>
      </c>
      <c r="C95" s="29" t="s">
        <v>2465</v>
      </c>
      <c r="D95" s="29">
        <v>40226011</v>
      </c>
      <c r="E95" s="91">
        <v>35</v>
      </c>
      <c r="F95" s="7">
        <v>35</v>
      </c>
      <c r="G95" s="7">
        <v>1</v>
      </c>
      <c r="H95" s="89" t="s">
        <v>70</v>
      </c>
      <c r="I95" s="89" t="s">
        <v>154</v>
      </c>
      <c r="J95" s="7" t="s">
        <v>130</v>
      </c>
      <c r="K95" s="11">
        <v>1.5972222222222221E-2</v>
      </c>
      <c r="L95" s="11">
        <v>3.6111111111111108E-2</v>
      </c>
      <c r="M95" s="7" t="s">
        <v>109</v>
      </c>
      <c r="N95" s="29" t="s">
        <v>109</v>
      </c>
      <c r="O95" s="29" t="s">
        <v>61</v>
      </c>
      <c r="P95" s="7" t="s">
        <v>131</v>
      </c>
      <c r="Q95" s="7" t="s">
        <v>154</v>
      </c>
      <c r="R95" s="7" t="s">
        <v>62</v>
      </c>
      <c r="S95" s="7" t="s">
        <v>512</v>
      </c>
      <c r="T95" s="29" t="s">
        <v>122</v>
      </c>
      <c r="U95" s="108">
        <f t="shared" si="3"/>
        <v>2.8571428571428571E-2</v>
      </c>
      <c r="V95" s="7" t="s">
        <v>152</v>
      </c>
    </row>
    <row r="96" spans="1:22" x14ac:dyDescent="0.3">
      <c r="A96" s="7">
        <v>95</v>
      </c>
      <c r="B96" s="29" t="s">
        <v>26</v>
      </c>
      <c r="C96" s="29" t="s">
        <v>2632</v>
      </c>
      <c r="D96" s="29">
        <v>40226018</v>
      </c>
      <c r="E96" s="91">
        <v>244</v>
      </c>
      <c r="F96" s="7">
        <v>412</v>
      </c>
      <c r="G96" s="7">
        <v>237</v>
      </c>
      <c r="H96" s="7" t="s">
        <v>2997</v>
      </c>
      <c r="I96" s="7" t="s">
        <v>3027</v>
      </c>
      <c r="J96" s="7" t="s">
        <v>130</v>
      </c>
      <c r="K96" s="11">
        <v>0.8256944444444444</v>
      </c>
      <c r="L96" s="11">
        <v>0.85902777777777772</v>
      </c>
      <c r="M96" s="7" t="s">
        <v>109</v>
      </c>
      <c r="N96" s="29" t="s">
        <v>109</v>
      </c>
      <c r="O96" s="29" t="s">
        <v>61</v>
      </c>
      <c r="P96" s="7" t="s">
        <v>131</v>
      </c>
      <c r="Q96" s="7" t="s">
        <v>154</v>
      </c>
      <c r="R96" s="7" t="s">
        <v>62</v>
      </c>
      <c r="S96" s="7" t="s">
        <v>512</v>
      </c>
      <c r="T96" s="29" t="s">
        <v>2636</v>
      </c>
      <c r="U96" s="108">
        <f t="shared" si="3"/>
        <v>0.97131147540983609</v>
      </c>
      <c r="V96" s="7" t="s">
        <v>1945</v>
      </c>
    </row>
    <row r="97" spans="1:22" x14ac:dyDescent="0.3">
      <c r="A97" s="7">
        <v>96</v>
      </c>
      <c r="B97" s="29" t="s">
        <v>26</v>
      </c>
      <c r="C97" s="29" t="s">
        <v>2637</v>
      </c>
      <c r="D97" s="29">
        <v>40226019</v>
      </c>
      <c r="E97" s="91">
        <v>388</v>
      </c>
      <c r="F97" s="7">
        <v>225</v>
      </c>
      <c r="G97" s="7">
        <v>42</v>
      </c>
      <c r="H97" s="7" t="s">
        <v>2998</v>
      </c>
      <c r="I97" s="53" t="s">
        <v>3023</v>
      </c>
      <c r="J97" s="7" t="s">
        <v>130</v>
      </c>
      <c r="K97" s="11">
        <v>0.92569444444444449</v>
      </c>
      <c r="L97" s="11">
        <v>0.93680555555555556</v>
      </c>
      <c r="M97" s="7" t="s">
        <v>109</v>
      </c>
      <c r="N97" s="29" t="s">
        <v>109</v>
      </c>
      <c r="O97" s="29" t="s">
        <v>61</v>
      </c>
      <c r="P97" s="7" t="s">
        <v>131</v>
      </c>
      <c r="Q97" s="7" t="s">
        <v>94</v>
      </c>
      <c r="R97" s="7" t="s">
        <v>62</v>
      </c>
      <c r="S97" s="7" t="s">
        <v>512</v>
      </c>
      <c r="T97" s="29" t="s">
        <v>2636</v>
      </c>
      <c r="U97" s="108">
        <f t="shared" si="3"/>
        <v>0.10824742268041238</v>
      </c>
      <c r="V97" s="7" t="s">
        <v>152</v>
      </c>
    </row>
    <row r="98" spans="1:22" x14ac:dyDescent="0.3">
      <c r="A98" s="7">
        <v>97</v>
      </c>
      <c r="B98" s="29" t="s">
        <v>26</v>
      </c>
      <c r="C98" s="29" t="s">
        <v>2875</v>
      </c>
      <c r="D98" s="29">
        <v>40326001</v>
      </c>
      <c r="E98" s="91">
        <v>143</v>
      </c>
      <c r="F98" s="7">
        <v>209</v>
      </c>
      <c r="G98" s="7">
        <v>148</v>
      </c>
      <c r="H98" s="7" t="s">
        <v>2979</v>
      </c>
      <c r="I98" s="7" t="s">
        <v>3026</v>
      </c>
      <c r="J98" s="7" t="s">
        <v>130</v>
      </c>
      <c r="K98" s="11">
        <v>0.75486111111111109</v>
      </c>
      <c r="L98" s="11">
        <v>0.86875000000000002</v>
      </c>
      <c r="M98" s="7" t="s">
        <v>109</v>
      </c>
      <c r="N98" s="29" t="s">
        <v>109</v>
      </c>
      <c r="O98" s="29" t="s">
        <v>61</v>
      </c>
      <c r="P98" s="7" t="s">
        <v>131</v>
      </c>
      <c r="Q98" s="7" t="s">
        <v>91</v>
      </c>
      <c r="R98" s="7" t="s">
        <v>62</v>
      </c>
      <c r="S98" s="7" t="s">
        <v>512</v>
      </c>
      <c r="T98" s="29" t="s">
        <v>1397</v>
      </c>
      <c r="U98" s="108">
        <f t="shared" si="3"/>
        <v>1.034965034965035</v>
      </c>
      <c r="V98" s="7" t="s">
        <v>1945</v>
      </c>
    </row>
    <row r="99" spans="1:22" x14ac:dyDescent="0.3">
      <c r="A99" s="7">
        <v>98</v>
      </c>
      <c r="B99" s="29" t="s">
        <v>26</v>
      </c>
      <c r="C99" s="29" t="s">
        <v>1394</v>
      </c>
      <c r="D99" s="29">
        <v>40126021</v>
      </c>
      <c r="E99" s="91">
        <v>99</v>
      </c>
      <c r="F99" s="7">
        <v>142</v>
      </c>
      <c r="G99" s="7">
        <v>99</v>
      </c>
      <c r="H99" s="89" t="s">
        <v>274</v>
      </c>
      <c r="I99" s="89" t="s">
        <v>154</v>
      </c>
      <c r="J99" s="7" t="s">
        <v>130</v>
      </c>
      <c r="K99" s="11">
        <v>0.83750000000000002</v>
      </c>
      <c r="L99" s="11">
        <v>0.97638888888888886</v>
      </c>
      <c r="M99" s="7" t="s">
        <v>109</v>
      </c>
      <c r="N99" s="29" t="s">
        <v>109</v>
      </c>
      <c r="O99" s="29" t="s">
        <v>61</v>
      </c>
      <c r="P99" s="7" t="s">
        <v>131</v>
      </c>
      <c r="Q99" s="7" t="s">
        <v>154</v>
      </c>
      <c r="R99" s="7" t="s">
        <v>62</v>
      </c>
      <c r="S99" s="7" t="s">
        <v>512</v>
      </c>
      <c r="T99" s="29" t="s">
        <v>1397</v>
      </c>
      <c r="U99" s="108">
        <f t="shared" si="3"/>
        <v>1</v>
      </c>
      <c r="V99" s="7" t="s">
        <v>1945</v>
      </c>
    </row>
    <row r="100" spans="1:22" x14ac:dyDescent="0.3">
      <c r="A100" s="7">
        <v>99</v>
      </c>
      <c r="B100" s="29" t="s">
        <v>143</v>
      </c>
      <c r="C100" s="29" t="s">
        <v>2359</v>
      </c>
      <c r="D100" s="29">
        <v>10226038</v>
      </c>
      <c r="E100" s="91">
        <v>300</v>
      </c>
      <c r="F100" s="7">
        <v>393</v>
      </c>
      <c r="G100" s="7">
        <v>139</v>
      </c>
      <c r="H100" s="7" t="s">
        <v>2999</v>
      </c>
      <c r="I100" s="7" t="s">
        <v>3000</v>
      </c>
      <c r="J100" s="7" t="s">
        <v>130</v>
      </c>
      <c r="K100" s="11">
        <v>3.0555555555555555E-2</v>
      </c>
      <c r="L100" s="11">
        <v>5.486111111111111E-2</v>
      </c>
      <c r="M100" s="7" t="s">
        <v>109</v>
      </c>
      <c r="N100" s="43" t="s">
        <v>3001</v>
      </c>
      <c r="O100" s="29" t="s">
        <v>61</v>
      </c>
      <c r="P100" s="7" t="s">
        <v>131</v>
      </c>
      <c r="Q100" s="7" t="s">
        <v>93</v>
      </c>
      <c r="R100" s="7" t="s">
        <v>62</v>
      </c>
      <c r="S100" s="7" t="s">
        <v>512</v>
      </c>
      <c r="T100" s="29" t="s">
        <v>402</v>
      </c>
      <c r="U100" s="108">
        <f t="shared" si="3"/>
        <v>0.46333333333333332</v>
      </c>
      <c r="V100" s="7" t="s">
        <v>2391</v>
      </c>
    </row>
    <row r="101" spans="1:22" x14ac:dyDescent="0.3">
      <c r="A101" s="7">
        <v>100</v>
      </c>
      <c r="B101" s="29" t="s">
        <v>143</v>
      </c>
      <c r="C101" s="29" t="s">
        <v>2305</v>
      </c>
      <c r="D101" s="29">
        <v>10226022</v>
      </c>
      <c r="E101" s="91" t="s">
        <v>287</v>
      </c>
      <c r="F101" s="7">
        <v>278</v>
      </c>
      <c r="G101" s="7">
        <v>61</v>
      </c>
      <c r="H101" s="53" t="s">
        <v>3038</v>
      </c>
      <c r="I101" s="7" t="s">
        <v>3039</v>
      </c>
      <c r="J101" s="7" t="s">
        <v>130</v>
      </c>
      <c r="K101" s="11">
        <v>0.97152777777777777</v>
      </c>
      <c r="L101" s="11">
        <v>0.99791666666666667</v>
      </c>
      <c r="M101" s="7" t="s">
        <v>109</v>
      </c>
      <c r="N101" s="38" t="s">
        <v>109</v>
      </c>
      <c r="O101" s="29" t="s">
        <v>61</v>
      </c>
      <c r="P101" s="7" t="s">
        <v>131</v>
      </c>
      <c r="Q101" s="7" t="s">
        <v>88</v>
      </c>
      <c r="R101" s="7" t="s">
        <v>62</v>
      </c>
      <c r="S101" s="7" t="s">
        <v>512</v>
      </c>
      <c r="T101" s="29" t="s">
        <v>402</v>
      </c>
      <c r="U101" s="108" t="s">
        <v>109</v>
      </c>
      <c r="V101" s="7" t="s">
        <v>152</v>
      </c>
    </row>
    <row r="102" spans="1:22" x14ac:dyDescent="0.3">
      <c r="A102" s="7">
        <v>101</v>
      </c>
      <c r="B102" s="29" t="s">
        <v>143</v>
      </c>
      <c r="C102" s="29" t="s">
        <v>2304</v>
      </c>
      <c r="D102" s="29">
        <v>10226023</v>
      </c>
      <c r="E102" s="91" t="s">
        <v>3002</v>
      </c>
      <c r="F102" s="7">
        <v>180</v>
      </c>
      <c r="G102" s="7">
        <v>22</v>
      </c>
      <c r="H102" s="7" t="s">
        <v>3040</v>
      </c>
      <c r="I102" s="7" t="s">
        <v>979</v>
      </c>
      <c r="J102" s="7" t="s">
        <v>130</v>
      </c>
      <c r="K102" s="11">
        <v>1.3888888888888888E-2</v>
      </c>
      <c r="L102" s="11">
        <v>2.4305555555555556E-2</v>
      </c>
      <c r="M102" s="7" t="s">
        <v>109</v>
      </c>
      <c r="N102" s="38" t="s">
        <v>109</v>
      </c>
      <c r="O102" s="29" t="s">
        <v>61</v>
      </c>
      <c r="P102" s="7" t="s">
        <v>131</v>
      </c>
      <c r="Q102" s="7" t="s">
        <v>93</v>
      </c>
      <c r="R102" s="7" t="s">
        <v>62</v>
      </c>
      <c r="S102" s="7" t="s">
        <v>512</v>
      </c>
      <c r="T102" s="29" t="s">
        <v>402</v>
      </c>
      <c r="U102" s="108" t="s">
        <v>109</v>
      </c>
      <c r="V102" s="7" t="s">
        <v>152</v>
      </c>
    </row>
    <row r="103" spans="1:22" x14ac:dyDescent="0.3">
      <c r="A103" s="7">
        <v>102</v>
      </c>
      <c r="B103" s="29" t="s">
        <v>143</v>
      </c>
      <c r="C103" s="29" t="s">
        <v>1667</v>
      </c>
      <c r="D103" s="29">
        <v>10126048</v>
      </c>
      <c r="E103" s="91">
        <v>100</v>
      </c>
      <c r="F103" s="7">
        <v>33</v>
      </c>
      <c r="G103" s="7">
        <v>6</v>
      </c>
      <c r="H103" s="89" t="s">
        <v>68</v>
      </c>
      <c r="I103" s="89" t="s">
        <v>86</v>
      </c>
      <c r="J103" s="7" t="s">
        <v>130</v>
      </c>
      <c r="K103" s="11">
        <v>0.97499999999999998</v>
      </c>
      <c r="L103" s="11">
        <v>1.3888888888888888E-2</v>
      </c>
      <c r="M103" s="7" t="s">
        <v>109</v>
      </c>
      <c r="N103" s="43" t="s">
        <v>2223</v>
      </c>
      <c r="O103" s="29" t="s">
        <v>61</v>
      </c>
      <c r="P103" s="7" t="s">
        <v>131</v>
      </c>
      <c r="Q103" s="7" t="s">
        <v>86</v>
      </c>
      <c r="R103" s="7" t="s">
        <v>62</v>
      </c>
      <c r="S103" s="7" t="s">
        <v>512</v>
      </c>
      <c r="T103" s="29" t="s">
        <v>402</v>
      </c>
      <c r="U103" s="108">
        <f t="shared" ref="U103:U110" si="4">G103/E103</f>
        <v>0.06</v>
      </c>
      <c r="V103" s="7" t="s">
        <v>152</v>
      </c>
    </row>
    <row r="104" spans="1:22" x14ac:dyDescent="0.3">
      <c r="A104" s="7">
        <v>103</v>
      </c>
      <c r="B104" s="29" t="s">
        <v>143</v>
      </c>
      <c r="C104" s="29" t="s">
        <v>2834</v>
      </c>
      <c r="D104" s="29">
        <v>10326014</v>
      </c>
      <c r="E104" s="91">
        <v>50</v>
      </c>
      <c r="F104" s="7">
        <v>113</v>
      </c>
      <c r="G104" s="7">
        <v>36</v>
      </c>
      <c r="H104" s="89" t="s">
        <v>68</v>
      </c>
      <c r="I104" s="89" t="s">
        <v>86</v>
      </c>
      <c r="J104" s="7" t="s">
        <v>130</v>
      </c>
      <c r="K104" s="11">
        <v>0.74027777777777781</v>
      </c>
      <c r="L104" s="11">
        <v>0.80486111111111114</v>
      </c>
      <c r="M104" s="7" t="s">
        <v>109</v>
      </c>
      <c r="N104" s="43" t="s">
        <v>2223</v>
      </c>
      <c r="O104" s="29" t="s">
        <v>61</v>
      </c>
      <c r="P104" s="7" t="s">
        <v>131</v>
      </c>
      <c r="Q104" s="7" t="s">
        <v>86</v>
      </c>
      <c r="R104" s="7" t="s">
        <v>62</v>
      </c>
      <c r="S104" s="7" t="s">
        <v>512</v>
      </c>
      <c r="T104" s="29" t="s">
        <v>121</v>
      </c>
      <c r="U104" s="108">
        <f t="shared" si="4"/>
        <v>0.72</v>
      </c>
      <c r="V104" s="7" t="s">
        <v>1313</v>
      </c>
    </row>
    <row r="105" spans="1:22" x14ac:dyDescent="0.3">
      <c r="A105" s="7">
        <v>104</v>
      </c>
      <c r="B105" s="29" t="s">
        <v>143</v>
      </c>
      <c r="C105" s="29" t="s">
        <v>2836</v>
      </c>
      <c r="D105" s="29">
        <v>10326015</v>
      </c>
      <c r="E105" s="91">
        <v>50</v>
      </c>
      <c r="F105" s="7" t="s">
        <v>109</v>
      </c>
      <c r="G105" s="7" t="s">
        <v>109</v>
      </c>
      <c r="H105" s="89" t="s">
        <v>64</v>
      </c>
      <c r="I105" s="89" t="s">
        <v>86</v>
      </c>
      <c r="J105" s="18" t="s">
        <v>85</v>
      </c>
      <c r="K105" s="7" t="s">
        <v>109</v>
      </c>
      <c r="L105" s="7" t="s">
        <v>109</v>
      </c>
      <c r="M105" s="7" t="s">
        <v>109</v>
      </c>
      <c r="N105" s="38" t="s">
        <v>109</v>
      </c>
      <c r="O105" s="29" t="s">
        <v>61</v>
      </c>
      <c r="P105" s="7" t="s">
        <v>109</v>
      </c>
      <c r="Q105" s="7" t="s">
        <v>109</v>
      </c>
      <c r="R105" s="7" t="s">
        <v>62</v>
      </c>
      <c r="S105" s="7" t="s">
        <v>512</v>
      </c>
      <c r="T105" s="29" t="s">
        <v>121</v>
      </c>
      <c r="U105" s="108" t="s">
        <v>109</v>
      </c>
      <c r="V105" s="7" t="s">
        <v>109</v>
      </c>
    </row>
    <row r="106" spans="1:22" x14ac:dyDescent="0.3">
      <c r="A106" s="7">
        <v>105</v>
      </c>
      <c r="B106" s="29" t="s">
        <v>143</v>
      </c>
      <c r="C106" s="29" t="s">
        <v>2786</v>
      </c>
      <c r="D106" s="29">
        <v>10326002</v>
      </c>
      <c r="E106" s="91">
        <v>35</v>
      </c>
      <c r="F106" s="7">
        <v>51</v>
      </c>
      <c r="G106" s="7">
        <v>37</v>
      </c>
      <c r="H106" s="89" t="s">
        <v>71</v>
      </c>
      <c r="I106" s="89" t="s">
        <v>91</v>
      </c>
      <c r="J106" s="7" t="s">
        <v>130</v>
      </c>
      <c r="K106" s="11">
        <v>0.72152777777777777</v>
      </c>
      <c r="L106" s="11">
        <v>0.77222222222222225</v>
      </c>
      <c r="M106" s="7" t="s">
        <v>109</v>
      </c>
      <c r="N106" s="38" t="s">
        <v>109</v>
      </c>
      <c r="O106" s="29" t="s">
        <v>61</v>
      </c>
      <c r="P106" s="7" t="s">
        <v>131</v>
      </c>
      <c r="Q106" s="7" t="s">
        <v>91</v>
      </c>
      <c r="R106" s="7" t="s">
        <v>62</v>
      </c>
      <c r="S106" s="7" t="s">
        <v>512</v>
      </c>
      <c r="T106" s="29" t="s">
        <v>121</v>
      </c>
      <c r="U106" s="108">
        <f t="shared" si="4"/>
        <v>1.0571428571428572</v>
      </c>
      <c r="V106" s="7" t="s">
        <v>1945</v>
      </c>
    </row>
    <row r="107" spans="1:22" x14ac:dyDescent="0.3">
      <c r="A107" s="7">
        <v>106</v>
      </c>
      <c r="B107" s="29" t="s">
        <v>143</v>
      </c>
      <c r="C107" s="29" t="s">
        <v>2789</v>
      </c>
      <c r="D107" s="29">
        <v>10326005</v>
      </c>
      <c r="E107" s="91">
        <v>35</v>
      </c>
      <c r="F107" s="7">
        <v>60</v>
      </c>
      <c r="G107" s="7">
        <v>33</v>
      </c>
      <c r="H107" s="89" t="s">
        <v>241</v>
      </c>
      <c r="I107" s="89" t="s">
        <v>93</v>
      </c>
      <c r="J107" s="7" t="s">
        <v>130</v>
      </c>
      <c r="K107" s="11">
        <v>0.77986111111111112</v>
      </c>
      <c r="L107" s="11">
        <v>0.87986111111111109</v>
      </c>
      <c r="M107" s="7" t="s">
        <v>109</v>
      </c>
      <c r="N107" s="43" t="s">
        <v>2223</v>
      </c>
      <c r="O107" s="29" t="s">
        <v>61</v>
      </c>
      <c r="P107" s="7" t="s">
        <v>131</v>
      </c>
      <c r="Q107" s="7" t="s">
        <v>93</v>
      </c>
      <c r="R107" s="7" t="s">
        <v>62</v>
      </c>
      <c r="S107" s="7" t="s">
        <v>512</v>
      </c>
      <c r="T107" s="29" t="s">
        <v>121</v>
      </c>
      <c r="U107" s="108">
        <f t="shared" si="4"/>
        <v>0.94285714285714284</v>
      </c>
      <c r="V107" s="7" t="s">
        <v>1313</v>
      </c>
    </row>
    <row r="108" spans="1:22" x14ac:dyDescent="0.3">
      <c r="A108" s="7">
        <v>107</v>
      </c>
      <c r="B108" s="29" t="s">
        <v>143</v>
      </c>
      <c r="C108" s="29" t="s">
        <v>2366</v>
      </c>
      <c r="D108" s="29">
        <v>10226040</v>
      </c>
      <c r="E108" s="91">
        <v>75</v>
      </c>
      <c r="F108" s="7">
        <v>102</v>
      </c>
      <c r="G108" s="7">
        <v>68</v>
      </c>
      <c r="H108" s="89" t="s">
        <v>222</v>
      </c>
      <c r="I108" s="89" t="s">
        <v>93</v>
      </c>
      <c r="J108" s="7" t="s">
        <v>130</v>
      </c>
      <c r="K108" s="11">
        <v>0.68888888888888888</v>
      </c>
      <c r="L108" s="11">
        <v>0.74375000000000002</v>
      </c>
      <c r="M108" s="7" t="s">
        <v>109</v>
      </c>
      <c r="N108" s="43" t="s">
        <v>2223</v>
      </c>
      <c r="O108" s="29" t="s">
        <v>61</v>
      </c>
      <c r="P108" s="7" t="s">
        <v>131</v>
      </c>
      <c r="Q108" s="7" t="s">
        <v>93</v>
      </c>
      <c r="R108" s="7" t="s">
        <v>62</v>
      </c>
      <c r="S108" s="7" t="s">
        <v>512</v>
      </c>
      <c r="T108" s="29" t="s">
        <v>334</v>
      </c>
      <c r="U108" s="108">
        <f t="shared" si="4"/>
        <v>0.90666666666666662</v>
      </c>
      <c r="V108" s="7" t="s">
        <v>1313</v>
      </c>
    </row>
    <row r="109" spans="1:22" x14ac:dyDescent="0.3">
      <c r="A109" s="7">
        <v>108</v>
      </c>
      <c r="B109" s="29" t="s">
        <v>143</v>
      </c>
      <c r="C109" s="29" t="s">
        <v>1598</v>
      </c>
      <c r="D109" s="29">
        <v>10126044</v>
      </c>
      <c r="E109" s="91">
        <v>165</v>
      </c>
      <c r="F109" s="7">
        <v>234</v>
      </c>
      <c r="G109" s="7">
        <v>143</v>
      </c>
      <c r="H109" s="7" t="s">
        <v>938</v>
      </c>
      <c r="I109" s="7" t="s">
        <v>1549</v>
      </c>
      <c r="J109" s="7" t="s">
        <v>130</v>
      </c>
      <c r="K109" s="11">
        <v>1.9444444444444445E-2</v>
      </c>
      <c r="L109" s="11">
        <v>3.6805555555555557E-2</v>
      </c>
      <c r="M109" s="7" t="s">
        <v>109</v>
      </c>
      <c r="N109" s="43" t="s">
        <v>3001</v>
      </c>
      <c r="O109" s="29" t="s">
        <v>61</v>
      </c>
      <c r="P109" s="7" t="s">
        <v>131</v>
      </c>
      <c r="Q109" s="7" t="s">
        <v>90</v>
      </c>
      <c r="R109" s="7" t="s">
        <v>62</v>
      </c>
      <c r="S109" s="7" t="s">
        <v>512</v>
      </c>
      <c r="T109" s="29" t="s">
        <v>480</v>
      </c>
      <c r="U109" s="108">
        <f t="shared" si="4"/>
        <v>0.8666666666666667</v>
      </c>
      <c r="V109" s="7" t="s">
        <v>1313</v>
      </c>
    </row>
    <row r="110" spans="1:22" x14ac:dyDescent="0.3">
      <c r="A110" s="7">
        <v>130</v>
      </c>
      <c r="B110" s="29" t="s">
        <v>23</v>
      </c>
      <c r="C110" s="29" t="s">
        <v>757</v>
      </c>
      <c r="D110" s="29">
        <v>50126145</v>
      </c>
      <c r="E110" s="91">
        <v>100</v>
      </c>
      <c r="F110" s="7">
        <v>115</v>
      </c>
      <c r="G110" s="7">
        <v>7</v>
      </c>
      <c r="H110" s="89" t="s">
        <v>65</v>
      </c>
      <c r="I110" s="89" t="s">
        <v>86</v>
      </c>
      <c r="J110" s="7" t="s">
        <v>130</v>
      </c>
      <c r="K110" s="11">
        <v>2.361111111111111E-2</v>
      </c>
      <c r="L110" s="11">
        <v>7.9166666666666663E-2</v>
      </c>
      <c r="M110" s="7" t="s">
        <v>109</v>
      </c>
      <c r="N110" s="29" t="s">
        <v>109</v>
      </c>
      <c r="O110" s="29" t="s">
        <v>61</v>
      </c>
      <c r="P110" s="7" t="s">
        <v>131</v>
      </c>
      <c r="Q110" s="7" t="s">
        <v>86</v>
      </c>
      <c r="R110" s="7" t="s">
        <v>62</v>
      </c>
      <c r="S110" s="7" t="s">
        <v>512</v>
      </c>
      <c r="T110" s="29" t="s">
        <v>480</v>
      </c>
      <c r="U110" s="108">
        <f t="shared" si="4"/>
        <v>7.0000000000000007E-2</v>
      </c>
      <c r="V110" s="7" t="s">
        <v>2391</v>
      </c>
    </row>
    <row r="111" spans="1:22" x14ac:dyDescent="0.3">
      <c r="A111" s="7">
        <v>110</v>
      </c>
      <c r="B111" s="29" t="s">
        <v>143</v>
      </c>
      <c r="C111" s="29" t="s">
        <v>2703</v>
      </c>
      <c r="D111" s="29">
        <v>10226065</v>
      </c>
      <c r="E111" s="91" t="s">
        <v>287</v>
      </c>
      <c r="F111" s="7">
        <v>87</v>
      </c>
      <c r="G111" s="7">
        <v>2</v>
      </c>
      <c r="H111" s="7" t="s">
        <v>214</v>
      </c>
      <c r="I111" s="7" t="s">
        <v>1082</v>
      </c>
      <c r="J111" s="7" t="s">
        <v>130</v>
      </c>
      <c r="K111" s="11">
        <v>0.80555555555555558</v>
      </c>
      <c r="L111" s="11">
        <v>0.83402777777777781</v>
      </c>
      <c r="M111" s="7" t="s">
        <v>109</v>
      </c>
      <c r="N111" s="38" t="s">
        <v>109</v>
      </c>
      <c r="O111" s="29" t="s">
        <v>61</v>
      </c>
      <c r="P111" s="7" t="s">
        <v>131</v>
      </c>
      <c r="Q111" s="7" t="s">
        <v>89</v>
      </c>
      <c r="R111" s="7" t="s">
        <v>62</v>
      </c>
      <c r="S111" s="7" t="s">
        <v>512</v>
      </c>
      <c r="T111" s="29" t="s">
        <v>2661</v>
      </c>
      <c r="U111" s="108" t="s">
        <v>109</v>
      </c>
      <c r="V111" s="7" t="s">
        <v>152</v>
      </c>
    </row>
    <row r="112" spans="1:22" x14ac:dyDescent="0.3">
      <c r="A112" s="7">
        <v>111</v>
      </c>
      <c r="B112" s="29" t="s">
        <v>143</v>
      </c>
      <c r="C112" s="29" t="s">
        <v>2704</v>
      </c>
      <c r="D112" s="29">
        <v>10226066</v>
      </c>
      <c r="E112" s="91" t="s">
        <v>287</v>
      </c>
      <c r="F112" s="7">
        <v>91</v>
      </c>
      <c r="G112" s="7">
        <v>25</v>
      </c>
      <c r="H112" s="7" t="s">
        <v>71</v>
      </c>
      <c r="I112" s="7" t="s">
        <v>94</v>
      </c>
      <c r="J112" s="7" t="s">
        <v>130</v>
      </c>
      <c r="K112" s="11">
        <v>0.97013888888888888</v>
      </c>
      <c r="L112" s="11">
        <v>0.98541666666666672</v>
      </c>
      <c r="M112" s="7" t="s">
        <v>109</v>
      </c>
      <c r="N112" s="38" t="s">
        <v>109</v>
      </c>
      <c r="O112" s="29" t="s">
        <v>61</v>
      </c>
      <c r="P112" s="7" t="s">
        <v>131</v>
      </c>
      <c r="Q112" s="7" t="s">
        <v>94</v>
      </c>
      <c r="R112" s="7" t="s">
        <v>62</v>
      </c>
      <c r="S112" s="7" t="s">
        <v>512</v>
      </c>
      <c r="T112" s="29" t="s">
        <v>2661</v>
      </c>
      <c r="U112" s="108" t="s">
        <v>109</v>
      </c>
      <c r="V112" s="7" t="s">
        <v>152</v>
      </c>
    </row>
    <row r="113" spans="1:22" x14ac:dyDescent="0.3">
      <c r="A113" s="7">
        <v>112</v>
      </c>
      <c r="B113" s="29" t="s">
        <v>143</v>
      </c>
      <c r="C113" s="29" t="s">
        <v>3003</v>
      </c>
      <c r="D113" s="29">
        <v>10326030</v>
      </c>
      <c r="E113" s="91">
        <v>80</v>
      </c>
      <c r="F113" s="7">
        <v>120</v>
      </c>
      <c r="G113" s="7">
        <v>78</v>
      </c>
      <c r="H113" s="89" t="s">
        <v>527</v>
      </c>
      <c r="I113" s="89" t="s">
        <v>88</v>
      </c>
      <c r="J113" s="7" t="s">
        <v>130</v>
      </c>
      <c r="K113" s="11">
        <v>0.97083333333333333</v>
      </c>
      <c r="L113" s="11">
        <v>0.99097222222222225</v>
      </c>
      <c r="M113" s="7" t="s">
        <v>109</v>
      </c>
      <c r="N113" s="38" t="s">
        <v>109</v>
      </c>
      <c r="O113" s="29" t="s">
        <v>61</v>
      </c>
      <c r="P113" s="7" t="s">
        <v>131</v>
      </c>
      <c r="Q113" s="7" t="s">
        <v>88</v>
      </c>
      <c r="R113" s="7" t="s">
        <v>62</v>
      </c>
      <c r="S113" s="7" t="s">
        <v>512</v>
      </c>
      <c r="T113" s="29" t="s">
        <v>121</v>
      </c>
      <c r="U113" s="108">
        <f>G113/E113</f>
        <v>0.97499999999999998</v>
      </c>
      <c r="V113" s="7" t="s">
        <v>1945</v>
      </c>
    </row>
    <row r="114" spans="1:22" x14ac:dyDescent="0.3">
      <c r="A114" s="7">
        <v>113</v>
      </c>
      <c r="B114" s="29" t="s">
        <v>143</v>
      </c>
      <c r="C114" s="29" t="s">
        <v>3004</v>
      </c>
      <c r="D114" s="38">
        <v>10326027</v>
      </c>
      <c r="E114" s="91" t="s">
        <v>287</v>
      </c>
      <c r="F114" s="7">
        <v>11</v>
      </c>
      <c r="G114" s="7">
        <v>2</v>
      </c>
      <c r="H114" s="7" t="s">
        <v>67</v>
      </c>
      <c r="I114" s="7" t="s">
        <v>90</v>
      </c>
      <c r="J114" s="7" t="s">
        <v>130</v>
      </c>
      <c r="K114" s="11">
        <v>0.76180555555555551</v>
      </c>
      <c r="L114" s="11">
        <v>0.83680555555555558</v>
      </c>
      <c r="M114" s="7" t="s">
        <v>109</v>
      </c>
      <c r="N114" s="38" t="s">
        <v>109</v>
      </c>
      <c r="O114" s="29" t="s">
        <v>61</v>
      </c>
      <c r="P114" s="7" t="s">
        <v>131</v>
      </c>
      <c r="Q114" s="7" t="s">
        <v>90</v>
      </c>
      <c r="R114" s="7" t="s">
        <v>62</v>
      </c>
      <c r="S114" s="7" t="s">
        <v>512</v>
      </c>
      <c r="T114" s="29" t="s">
        <v>121</v>
      </c>
      <c r="U114" s="108" t="s">
        <v>109</v>
      </c>
      <c r="V114" s="7" t="s">
        <v>152</v>
      </c>
    </row>
    <row r="115" spans="1:22" x14ac:dyDescent="0.3">
      <c r="A115" s="7">
        <v>114</v>
      </c>
      <c r="B115" s="29" t="s">
        <v>143</v>
      </c>
      <c r="C115" s="29" t="s">
        <v>3005</v>
      </c>
      <c r="D115" s="38">
        <v>10326028</v>
      </c>
      <c r="E115" s="91">
        <v>50</v>
      </c>
      <c r="F115" s="7">
        <v>68</v>
      </c>
      <c r="G115" s="7">
        <v>55</v>
      </c>
      <c r="H115" s="89" t="s">
        <v>222</v>
      </c>
      <c r="I115" s="89" t="s">
        <v>93</v>
      </c>
      <c r="J115" s="7" t="s">
        <v>130</v>
      </c>
      <c r="K115" s="11">
        <v>0.72222222222222221</v>
      </c>
      <c r="L115" s="11">
        <v>0.8</v>
      </c>
      <c r="M115" s="7" t="s">
        <v>109</v>
      </c>
      <c r="N115" s="38" t="s">
        <v>109</v>
      </c>
      <c r="O115" s="29" t="s">
        <v>61</v>
      </c>
      <c r="P115" s="7" t="s">
        <v>131</v>
      </c>
      <c r="Q115" s="7" t="s">
        <v>93</v>
      </c>
      <c r="R115" s="7" t="s">
        <v>62</v>
      </c>
      <c r="S115" s="7" t="s">
        <v>512</v>
      </c>
      <c r="T115" s="29" t="s">
        <v>121</v>
      </c>
      <c r="U115" s="108">
        <f t="shared" ref="U115:U150" si="5">G115/E115</f>
        <v>1.1000000000000001</v>
      </c>
      <c r="V115" s="7" t="s">
        <v>1945</v>
      </c>
    </row>
    <row r="116" spans="1:22" x14ac:dyDescent="0.3">
      <c r="A116" s="7">
        <v>121</v>
      </c>
      <c r="B116" s="29" t="s">
        <v>170</v>
      </c>
      <c r="C116" s="29" t="s">
        <v>1355</v>
      </c>
      <c r="D116" s="29">
        <v>40126027</v>
      </c>
      <c r="E116" s="91">
        <v>210</v>
      </c>
      <c r="F116" s="7">
        <v>190</v>
      </c>
      <c r="G116" s="7">
        <v>135</v>
      </c>
      <c r="H116" s="7" t="s">
        <v>3024</v>
      </c>
      <c r="I116" s="7" t="s">
        <v>1549</v>
      </c>
      <c r="J116" s="7" t="s">
        <v>130</v>
      </c>
      <c r="K116" s="11">
        <v>0.75208333333333333</v>
      </c>
      <c r="L116" s="11">
        <v>8.5416666666666669E-2</v>
      </c>
      <c r="M116" s="7" t="s">
        <v>109</v>
      </c>
      <c r="N116" s="32" t="s">
        <v>3009</v>
      </c>
      <c r="O116" s="29" t="s">
        <v>145</v>
      </c>
      <c r="P116" s="7" t="s">
        <v>131</v>
      </c>
      <c r="Q116" s="7" t="s">
        <v>94</v>
      </c>
      <c r="R116" s="7" t="s">
        <v>62</v>
      </c>
      <c r="S116" s="7" t="s">
        <v>512</v>
      </c>
      <c r="T116" s="29" t="s">
        <v>1356</v>
      </c>
      <c r="U116" s="108">
        <f t="shared" si="5"/>
        <v>0.6428571428571429</v>
      </c>
      <c r="V116" s="7" t="s">
        <v>2629</v>
      </c>
    </row>
    <row r="117" spans="1:22" x14ac:dyDescent="0.3">
      <c r="A117" s="7">
        <v>116</v>
      </c>
      <c r="B117" s="29" t="s">
        <v>143</v>
      </c>
      <c r="C117" s="29" t="s">
        <v>2705</v>
      </c>
      <c r="D117" s="29">
        <v>10226067</v>
      </c>
      <c r="E117" s="91">
        <v>150</v>
      </c>
      <c r="F117" s="7">
        <v>311</v>
      </c>
      <c r="G117" s="7">
        <v>71</v>
      </c>
      <c r="H117" s="7" t="s">
        <v>3007</v>
      </c>
      <c r="I117" s="7" t="s">
        <v>3008</v>
      </c>
      <c r="J117" s="7" t="s">
        <v>130</v>
      </c>
      <c r="K117" s="11">
        <v>0.70763888888888893</v>
      </c>
      <c r="L117" s="11">
        <v>0.7944444444444444</v>
      </c>
      <c r="M117" s="7" t="s">
        <v>109</v>
      </c>
      <c r="N117" s="38" t="s">
        <v>109</v>
      </c>
      <c r="O117" s="29" t="s">
        <v>61</v>
      </c>
      <c r="P117" s="7" t="s">
        <v>131</v>
      </c>
      <c r="Q117" s="7" t="s">
        <v>86</v>
      </c>
      <c r="R117" s="7" t="s">
        <v>62</v>
      </c>
      <c r="S117" s="7" t="s">
        <v>512</v>
      </c>
      <c r="T117" s="29" t="s">
        <v>2719</v>
      </c>
      <c r="U117" s="108">
        <f t="shared" si="5"/>
        <v>0.47333333333333333</v>
      </c>
      <c r="V117" s="7" t="s">
        <v>1313</v>
      </c>
    </row>
    <row r="118" spans="1:22" x14ac:dyDescent="0.3">
      <c r="A118" s="7">
        <v>117</v>
      </c>
      <c r="B118" s="29" t="s">
        <v>143</v>
      </c>
      <c r="C118" s="29" t="s">
        <v>2937</v>
      </c>
      <c r="D118" s="29">
        <v>10326026</v>
      </c>
      <c r="E118" s="91">
        <v>30</v>
      </c>
      <c r="F118" s="7">
        <v>55</v>
      </c>
      <c r="G118" s="7">
        <v>25</v>
      </c>
      <c r="H118" s="89" t="s">
        <v>65</v>
      </c>
      <c r="I118" s="155" t="s">
        <v>1082</v>
      </c>
      <c r="J118" s="7" t="s">
        <v>130</v>
      </c>
      <c r="K118" s="11">
        <v>4.8611111111111112E-3</v>
      </c>
      <c r="L118" s="11">
        <v>3.9583333333333331E-2</v>
      </c>
      <c r="M118" s="7" t="s">
        <v>109</v>
      </c>
      <c r="N118" s="38" t="s">
        <v>109</v>
      </c>
      <c r="O118" s="29" t="s">
        <v>61</v>
      </c>
      <c r="P118" s="7" t="s">
        <v>131</v>
      </c>
      <c r="Q118" s="7" t="s">
        <v>89</v>
      </c>
      <c r="R118" s="7" t="s">
        <v>62</v>
      </c>
      <c r="S118" s="7" t="s">
        <v>512</v>
      </c>
      <c r="T118" s="29" t="s">
        <v>398</v>
      </c>
      <c r="U118" s="108">
        <f t="shared" si="5"/>
        <v>0.83333333333333337</v>
      </c>
      <c r="V118" s="7" t="s">
        <v>1945</v>
      </c>
    </row>
    <row r="119" spans="1:22" x14ac:dyDescent="0.3">
      <c r="A119" s="7">
        <v>118</v>
      </c>
      <c r="B119" s="29" t="s">
        <v>143</v>
      </c>
      <c r="C119" s="29" t="s">
        <v>2745</v>
      </c>
      <c r="D119" s="29">
        <v>10226071</v>
      </c>
      <c r="E119" s="91">
        <v>65</v>
      </c>
      <c r="F119" s="7">
        <v>141</v>
      </c>
      <c r="G119" s="7">
        <v>8</v>
      </c>
      <c r="H119" s="89" t="s">
        <v>214</v>
      </c>
      <c r="I119" s="155" t="s">
        <v>91</v>
      </c>
      <c r="J119" s="7" t="s">
        <v>130</v>
      </c>
      <c r="K119" s="11">
        <v>0.98611111111111116</v>
      </c>
      <c r="L119" s="11">
        <v>4.0972222222222222E-2</v>
      </c>
      <c r="M119" s="7" t="s">
        <v>109</v>
      </c>
      <c r="N119" s="38" t="s">
        <v>109</v>
      </c>
      <c r="O119" s="29" t="s">
        <v>61</v>
      </c>
      <c r="P119" s="7" t="s">
        <v>131</v>
      </c>
      <c r="Q119" s="7" t="s">
        <v>91</v>
      </c>
      <c r="R119" s="7" t="s">
        <v>62</v>
      </c>
      <c r="S119" s="7" t="s">
        <v>512</v>
      </c>
      <c r="T119" s="29" t="s">
        <v>182</v>
      </c>
      <c r="U119" s="108">
        <f t="shared" si="5"/>
        <v>0.12307692307692308</v>
      </c>
      <c r="V119" s="7" t="s">
        <v>1313</v>
      </c>
    </row>
    <row r="120" spans="1:22" x14ac:dyDescent="0.3">
      <c r="A120" s="7">
        <v>119</v>
      </c>
      <c r="B120" s="29" t="s">
        <v>143</v>
      </c>
      <c r="C120" s="29" t="s">
        <v>2790</v>
      </c>
      <c r="D120" s="29">
        <v>10326001</v>
      </c>
      <c r="E120" s="91">
        <v>85</v>
      </c>
      <c r="F120" s="7">
        <v>135</v>
      </c>
      <c r="G120" s="7">
        <v>90</v>
      </c>
      <c r="H120" s="89" t="s">
        <v>527</v>
      </c>
      <c r="I120" s="155" t="s">
        <v>88</v>
      </c>
      <c r="J120" s="7" t="s">
        <v>130</v>
      </c>
      <c r="K120" s="11">
        <v>0.72361111111111109</v>
      </c>
      <c r="L120" s="11">
        <v>0.77638888888888891</v>
      </c>
      <c r="M120" s="7" t="s">
        <v>109</v>
      </c>
      <c r="N120" s="38" t="s">
        <v>109</v>
      </c>
      <c r="O120" s="29" t="s">
        <v>61</v>
      </c>
      <c r="P120" s="7" t="s">
        <v>131</v>
      </c>
      <c r="Q120" s="7" t="s">
        <v>88</v>
      </c>
      <c r="R120" s="7" t="s">
        <v>62</v>
      </c>
      <c r="S120" s="7" t="s">
        <v>512</v>
      </c>
      <c r="T120" s="29" t="s">
        <v>398</v>
      </c>
      <c r="U120" s="108">
        <f t="shared" si="5"/>
        <v>1.0588235294117647</v>
      </c>
      <c r="V120" s="7" t="s">
        <v>1945</v>
      </c>
    </row>
    <row r="121" spans="1:22" x14ac:dyDescent="0.3">
      <c r="A121" s="7">
        <v>145</v>
      </c>
      <c r="B121" s="7" t="s">
        <v>143</v>
      </c>
      <c r="C121" s="7" t="s">
        <v>779</v>
      </c>
      <c r="D121" s="7">
        <v>10126010</v>
      </c>
      <c r="E121" s="7">
        <v>115</v>
      </c>
      <c r="F121" s="7">
        <v>115</v>
      </c>
      <c r="G121" s="7">
        <v>81</v>
      </c>
      <c r="H121" s="7" t="s">
        <v>82</v>
      </c>
      <c r="I121" s="89" t="s">
        <v>86</v>
      </c>
      <c r="J121" s="7" t="s">
        <v>130</v>
      </c>
      <c r="K121" s="11">
        <v>7.0833333333333331E-2</v>
      </c>
      <c r="L121" s="7" t="s">
        <v>3051</v>
      </c>
      <c r="M121" s="7" t="s">
        <v>109</v>
      </c>
      <c r="N121" s="7" t="s">
        <v>109</v>
      </c>
      <c r="O121" s="7" t="s">
        <v>145</v>
      </c>
      <c r="P121" s="7" t="s">
        <v>131</v>
      </c>
      <c r="Q121" s="7" t="s">
        <v>86</v>
      </c>
      <c r="R121" s="7" t="s">
        <v>62</v>
      </c>
      <c r="S121" s="7" t="s">
        <v>146</v>
      </c>
      <c r="T121" s="73" t="s">
        <v>780</v>
      </c>
      <c r="U121" s="108">
        <f t="shared" si="5"/>
        <v>0.70434782608695656</v>
      </c>
      <c r="V121" s="7" t="s">
        <v>2629</v>
      </c>
    </row>
    <row r="122" spans="1:22" x14ac:dyDescent="0.3">
      <c r="A122" s="7">
        <v>36</v>
      </c>
      <c r="B122" s="29" t="s">
        <v>23</v>
      </c>
      <c r="C122" s="29" t="s">
        <v>547</v>
      </c>
      <c r="D122" s="29">
        <v>50126102</v>
      </c>
      <c r="E122" s="29">
        <v>30</v>
      </c>
      <c r="F122" s="7">
        <v>35</v>
      </c>
      <c r="G122" s="7">
        <v>33</v>
      </c>
      <c r="H122" s="89" t="s">
        <v>200</v>
      </c>
      <c r="I122" s="7" t="s">
        <v>109</v>
      </c>
      <c r="J122" s="7" t="s">
        <v>130</v>
      </c>
      <c r="K122" s="11">
        <v>4.3749999999999997E-2</v>
      </c>
      <c r="L122" s="7" t="s">
        <v>109</v>
      </c>
      <c r="M122" s="7" t="s">
        <v>109</v>
      </c>
      <c r="N122" s="29" t="s">
        <v>109</v>
      </c>
      <c r="O122" s="29" t="s">
        <v>61</v>
      </c>
      <c r="P122" s="7" t="s">
        <v>131</v>
      </c>
      <c r="Q122" s="7" t="s">
        <v>200</v>
      </c>
      <c r="R122" s="7" t="s">
        <v>62</v>
      </c>
      <c r="S122" s="7" t="s">
        <v>512</v>
      </c>
      <c r="T122" s="29" t="s">
        <v>424</v>
      </c>
      <c r="U122" s="108">
        <f t="shared" si="5"/>
        <v>1.1000000000000001</v>
      </c>
      <c r="V122" s="7" t="s">
        <v>1945</v>
      </c>
    </row>
    <row r="123" spans="1:22" x14ac:dyDescent="0.3">
      <c r="A123" s="7">
        <v>122</v>
      </c>
      <c r="B123" s="29" t="s">
        <v>2395</v>
      </c>
      <c r="C123" s="29" t="s">
        <v>2429</v>
      </c>
      <c r="D123" s="29">
        <v>40226009</v>
      </c>
      <c r="E123" s="91">
        <v>216</v>
      </c>
      <c r="F123" s="7">
        <v>234</v>
      </c>
      <c r="G123" s="7">
        <v>34</v>
      </c>
      <c r="H123" s="7" t="s">
        <v>3010</v>
      </c>
      <c r="I123" s="53" t="s">
        <v>3028</v>
      </c>
      <c r="J123" s="7" t="s">
        <v>130</v>
      </c>
      <c r="K123" s="11">
        <v>3.888888888888889E-2</v>
      </c>
      <c r="L123" s="11">
        <v>5.0694444444444445E-2</v>
      </c>
      <c r="M123" s="7" t="s">
        <v>109</v>
      </c>
      <c r="N123" s="29" t="s">
        <v>109</v>
      </c>
      <c r="O123" s="29" t="s">
        <v>61</v>
      </c>
      <c r="P123" s="7" t="s">
        <v>131</v>
      </c>
      <c r="Q123" s="7" t="s">
        <v>86</v>
      </c>
      <c r="R123" s="7" t="s">
        <v>62</v>
      </c>
      <c r="S123" s="7" t="s">
        <v>512</v>
      </c>
      <c r="T123" s="29" t="s">
        <v>2430</v>
      </c>
      <c r="U123" s="108">
        <f t="shared" si="5"/>
        <v>0.15740740740740741</v>
      </c>
      <c r="V123" s="7" t="s">
        <v>2391</v>
      </c>
    </row>
    <row r="124" spans="1:22" x14ac:dyDescent="0.3">
      <c r="A124" s="7">
        <v>123</v>
      </c>
      <c r="B124" s="29" t="s">
        <v>23</v>
      </c>
      <c r="C124" s="29" t="s">
        <v>1370</v>
      </c>
      <c r="D124" s="29">
        <v>50126342</v>
      </c>
      <c r="E124" s="29">
        <v>5</v>
      </c>
      <c r="F124" s="7">
        <v>6</v>
      </c>
      <c r="G124" s="7">
        <v>0</v>
      </c>
      <c r="H124" s="89" t="s">
        <v>527</v>
      </c>
      <c r="I124" s="7" t="s">
        <v>109</v>
      </c>
      <c r="J124" s="7" t="s">
        <v>130</v>
      </c>
      <c r="K124" s="11">
        <v>0.75208333333333333</v>
      </c>
      <c r="L124" s="7" t="s">
        <v>109</v>
      </c>
      <c r="M124" s="7" t="s">
        <v>109</v>
      </c>
      <c r="N124" s="29" t="s">
        <v>109</v>
      </c>
      <c r="O124" s="29" t="s">
        <v>61</v>
      </c>
      <c r="P124" s="7" t="s">
        <v>131</v>
      </c>
      <c r="Q124" s="7" t="s">
        <v>153</v>
      </c>
      <c r="R124" s="7" t="s">
        <v>62</v>
      </c>
      <c r="S124" s="7" t="s">
        <v>512</v>
      </c>
      <c r="T124" s="29" t="s">
        <v>1365</v>
      </c>
      <c r="U124" s="108">
        <f t="shared" si="5"/>
        <v>0</v>
      </c>
      <c r="V124" s="7" t="s">
        <v>152</v>
      </c>
    </row>
    <row r="125" spans="1:22" x14ac:dyDescent="0.3">
      <c r="A125" s="7">
        <v>124</v>
      </c>
      <c r="B125" s="29" t="s">
        <v>23</v>
      </c>
      <c r="C125" s="29" t="s">
        <v>1366</v>
      </c>
      <c r="D125" s="29">
        <v>50126343</v>
      </c>
      <c r="E125" s="29">
        <v>100</v>
      </c>
      <c r="F125" s="7">
        <v>174</v>
      </c>
      <c r="G125" s="7">
        <v>47</v>
      </c>
      <c r="H125" s="89" t="s">
        <v>64</v>
      </c>
      <c r="I125" s="7" t="s">
        <v>109</v>
      </c>
      <c r="J125" s="7" t="s">
        <v>130</v>
      </c>
      <c r="K125" s="11">
        <v>0.9770833333333333</v>
      </c>
      <c r="L125" s="7" t="s">
        <v>109</v>
      </c>
      <c r="M125" s="7" t="s">
        <v>109</v>
      </c>
      <c r="N125" s="29" t="s">
        <v>109</v>
      </c>
      <c r="O125" s="29" t="s">
        <v>61</v>
      </c>
      <c r="P125" s="7" t="s">
        <v>131</v>
      </c>
      <c r="Q125" s="7" t="s">
        <v>64</v>
      </c>
      <c r="R125" s="7" t="s">
        <v>62</v>
      </c>
      <c r="S125" s="7" t="s">
        <v>512</v>
      </c>
      <c r="T125" s="29" t="s">
        <v>1365</v>
      </c>
      <c r="U125" s="108">
        <f t="shared" si="5"/>
        <v>0.47</v>
      </c>
      <c r="V125" s="7" t="s">
        <v>2391</v>
      </c>
    </row>
    <row r="126" spans="1:22" x14ac:dyDescent="0.3">
      <c r="A126" s="7">
        <v>125</v>
      </c>
      <c r="B126" s="29" t="s">
        <v>23</v>
      </c>
      <c r="C126" s="29" t="s">
        <v>1371</v>
      </c>
      <c r="D126" s="29">
        <v>50126338</v>
      </c>
      <c r="E126" s="29">
        <v>100</v>
      </c>
      <c r="F126" s="7">
        <v>21</v>
      </c>
      <c r="G126" s="7">
        <v>3</v>
      </c>
      <c r="H126" s="89" t="s">
        <v>222</v>
      </c>
      <c r="I126" s="7" t="s">
        <v>109</v>
      </c>
      <c r="J126" s="7" t="s">
        <v>130</v>
      </c>
      <c r="K126" s="11">
        <v>0.9819444444444444</v>
      </c>
      <c r="L126" s="7" t="s">
        <v>109</v>
      </c>
      <c r="M126" s="7" t="s">
        <v>109</v>
      </c>
      <c r="N126" s="29" t="s">
        <v>109</v>
      </c>
      <c r="O126" s="29" t="s">
        <v>61</v>
      </c>
      <c r="P126" s="7" t="s">
        <v>131</v>
      </c>
      <c r="Q126" s="7" t="s">
        <v>3045</v>
      </c>
      <c r="R126" s="7" t="s">
        <v>62</v>
      </c>
      <c r="S126" s="7" t="s">
        <v>512</v>
      </c>
      <c r="T126" s="29" t="s">
        <v>1365</v>
      </c>
      <c r="U126" s="108">
        <f t="shared" si="5"/>
        <v>0.03</v>
      </c>
      <c r="V126" s="7" t="s">
        <v>152</v>
      </c>
    </row>
    <row r="127" spans="1:22" x14ac:dyDescent="0.3">
      <c r="A127" s="7">
        <v>126</v>
      </c>
      <c r="B127" s="29" t="s">
        <v>23</v>
      </c>
      <c r="C127" s="29" t="s">
        <v>2753</v>
      </c>
      <c r="D127" s="29">
        <v>50226123</v>
      </c>
      <c r="E127" s="29">
        <v>200</v>
      </c>
      <c r="F127" s="7">
        <v>269</v>
      </c>
      <c r="G127" s="7">
        <v>72</v>
      </c>
      <c r="H127" s="7" t="s">
        <v>2977</v>
      </c>
      <c r="I127" s="7" t="s">
        <v>109</v>
      </c>
      <c r="J127" s="7" t="s">
        <v>130</v>
      </c>
      <c r="K127" s="11">
        <v>2.6388888888888889E-2</v>
      </c>
      <c r="L127" s="7" t="s">
        <v>109</v>
      </c>
      <c r="M127" s="7" t="s">
        <v>109</v>
      </c>
      <c r="N127" s="29" t="s">
        <v>109</v>
      </c>
      <c r="O127" s="29" t="s">
        <v>61</v>
      </c>
      <c r="P127" s="7" t="s">
        <v>131</v>
      </c>
      <c r="Q127" s="7" t="s">
        <v>153</v>
      </c>
      <c r="R127" s="7" t="s">
        <v>62</v>
      </c>
      <c r="S127" s="7" t="s">
        <v>512</v>
      </c>
      <c r="T127" s="29" t="s">
        <v>362</v>
      </c>
      <c r="U127" s="108">
        <f t="shared" si="5"/>
        <v>0.36</v>
      </c>
      <c r="V127" s="7" t="s">
        <v>2391</v>
      </c>
    </row>
    <row r="128" spans="1:22" x14ac:dyDescent="0.3">
      <c r="A128" s="7">
        <v>127</v>
      </c>
      <c r="B128" s="29" t="s">
        <v>23</v>
      </c>
      <c r="C128" s="29" t="s">
        <v>2115</v>
      </c>
      <c r="D128" s="29">
        <v>50226055</v>
      </c>
      <c r="E128" s="29">
        <v>250</v>
      </c>
      <c r="F128" s="7">
        <f>528+143</f>
        <v>671</v>
      </c>
      <c r="G128" s="7">
        <f>97+28</f>
        <v>125</v>
      </c>
      <c r="H128" s="7" t="s">
        <v>3011</v>
      </c>
      <c r="I128" s="7" t="s">
        <v>109</v>
      </c>
      <c r="J128" s="7" t="s">
        <v>130</v>
      </c>
      <c r="K128" s="11">
        <v>0.97569444444444442</v>
      </c>
      <c r="L128" s="7" t="s">
        <v>109</v>
      </c>
      <c r="M128" s="7" t="s">
        <v>109</v>
      </c>
      <c r="N128" s="29" t="s">
        <v>109</v>
      </c>
      <c r="O128" s="29" t="s">
        <v>61</v>
      </c>
      <c r="P128" s="7" t="s">
        <v>131</v>
      </c>
      <c r="Q128" s="7" t="s">
        <v>184</v>
      </c>
      <c r="R128" s="7" t="s">
        <v>62</v>
      </c>
      <c r="S128" s="7" t="s">
        <v>512</v>
      </c>
      <c r="T128" s="29" t="s">
        <v>289</v>
      </c>
      <c r="U128" s="108">
        <f t="shared" si="5"/>
        <v>0.5</v>
      </c>
      <c r="V128" s="7" t="s">
        <v>2391</v>
      </c>
    </row>
    <row r="129" spans="1:22" x14ac:dyDescent="0.3">
      <c r="A129" s="7">
        <v>128</v>
      </c>
      <c r="B129" s="29" t="s">
        <v>23</v>
      </c>
      <c r="C129" s="29" t="s">
        <v>2117</v>
      </c>
      <c r="D129" s="29">
        <v>50226054</v>
      </c>
      <c r="E129" s="29">
        <v>345</v>
      </c>
      <c r="F129" s="7">
        <v>613</v>
      </c>
      <c r="G129" s="7">
        <v>256</v>
      </c>
      <c r="H129" s="7" t="s">
        <v>3012</v>
      </c>
      <c r="I129" s="7" t="s">
        <v>109</v>
      </c>
      <c r="J129" s="7" t="s">
        <v>130</v>
      </c>
      <c r="K129" s="11">
        <v>0.05</v>
      </c>
      <c r="L129" s="7" t="s">
        <v>109</v>
      </c>
      <c r="M129" s="7" t="s">
        <v>109</v>
      </c>
      <c r="N129" s="29" t="s">
        <v>109</v>
      </c>
      <c r="O129" s="29" t="s">
        <v>61</v>
      </c>
      <c r="P129" s="7" t="s">
        <v>131</v>
      </c>
      <c r="Q129" s="7" t="s">
        <v>84</v>
      </c>
      <c r="R129" s="7" t="s">
        <v>62</v>
      </c>
      <c r="S129" s="7" t="s">
        <v>512</v>
      </c>
      <c r="T129" s="29" t="s">
        <v>289</v>
      </c>
      <c r="U129" s="108">
        <f t="shared" si="5"/>
        <v>0.74202898550724639</v>
      </c>
      <c r="V129" s="7" t="s">
        <v>1313</v>
      </c>
    </row>
    <row r="130" spans="1:22" x14ac:dyDescent="0.3">
      <c r="A130" s="7">
        <v>129</v>
      </c>
      <c r="B130" s="29" t="s">
        <v>23</v>
      </c>
      <c r="C130" s="29" t="s">
        <v>2199</v>
      </c>
      <c r="D130" s="29">
        <v>50226057</v>
      </c>
      <c r="E130" s="29">
        <v>337</v>
      </c>
      <c r="F130" s="7">
        <v>525</v>
      </c>
      <c r="G130" s="7">
        <v>262</v>
      </c>
      <c r="H130" s="7" t="s">
        <v>3013</v>
      </c>
      <c r="I130" s="7" t="s">
        <v>109</v>
      </c>
      <c r="J130" s="7" t="s">
        <v>130</v>
      </c>
      <c r="K130" s="11">
        <v>3.5416666666666666E-2</v>
      </c>
      <c r="L130" s="7" t="s">
        <v>109</v>
      </c>
      <c r="M130" s="7" t="s">
        <v>109</v>
      </c>
      <c r="N130" s="29" t="s">
        <v>109</v>
      </c>
      <c r="O130" s="29" t="s">
        <v>61</v>
      </c>
      <c r="P130" s="7" t="s">
        <v>131</v>
      </c>
      <c r="Q130" s="7" t="s">
        <v>222</v>
      </c>
      <c r="R130" s="7" t="s">
        <v>62</v>
      </c>
      <c r="S130" s="7" t="s">
        <v>512</v>
      </c>
      <c r="T130" s="29" t="s">
        <v>289</v>
      </c>
      <c r="U130" s="108">
        <f t="shared" si="5"/>
        <v>0.77744807121661719</v>
      </c>
      <c r="V130" s="7" t="s">
        <v>1313</v>
      </c>
    </row>
    <row r="131" spans="1:22" x14ac:dyDescent="0.3">
      <c r="A131" s="7">
        <v>148</v>
      </c>
      <c r="B131" s="74" t="s">
        <v>24</v>
      </c>
      <c r="C131" s="7" t="s">
        <v>3046</v>
      </c>
      <c r="D131" s="7">
        <v>60226028</v>
      </c>
      <c r="E131" s="7">
        <v>114</v>
      </c>
      <c r="F131" s="7">
        <v>114</v>
      </c>
      <c r="G131" s="7">
        <v>66</v>
      </c>
      <c r="H131" s="7" t="s">
        <v>3049</v>
      </c>
      <c r="I131" s="7" t="s">
        <v>3050</v>
      </c>
      <c r="J131" s="7" t="s">
        <v>130</v>
      </c>
      <c r="K131" s="11">
        <v>0.19722222222222222</v>
      </c>
      <c r="L131" s="11">
        <v>0.21736111111111112</v>
      </c>
      <c r="M131" s="7" t="s">
        <v>109</v>
      </c>
      <c r="N131" s="7" t="s">
        <v>109</v>
      </c>
      <c r="O131" s="7" t="s">
        <v>145</v>
      </c>
      <c r="P131" s="7" t="s">
        <v>131</v>
      </c>
      <c r="Q131" s="7" t="s">
        <v>3050</v>
      </c>
      <c r="R131" s="74" t="s">
        <v>63</v>
      </c>
      <c r="S131" s="7" t="s">
        <v>3047</v>
      </c>
      <c r="T131" s="74" t="s">
        <v>2769</v>
      </c>
      <c r="U131" s="108">
        <f t="shared" si="5"/>
        <v>0.57894736842105265</v>
      </c>
      <c r="V131" s="7" t="s">
        <v>2629</v>
      </c>
    </row>
    <row r="132" spans="1:22" x14ac:dyDescent="0.3">
      <c r="A132" s="7">
        <v>131</v>
      </c>
      <c r="B132" s="29" t="s">
        <v>23</v>
      </c>
      <c r="C132" s="29" t="s">
        <v>758</v>
      </c>
      <c r="D132" s="29">
        <v>50126142</v>
      </c>
      <c r="E132" s="91">
        <v>100</v>
      </c>
      <c r="F132" s="7">
        <v>200</v>
      </c>
      <c r="G132" s="7">
        <v>43</v>
      </c>
      <c r="H132" s="89" t="s">
        <v>184</v>
      </c>
      <c r="I132" s="89" t="s">
        <v>90</v>
      </c>
      <c r="J132" s="7" t="s">
        <v>130</v>
      </c>
      <c r="K132" s="11">
        <v>0.69236111111111109</v>
      </c>
      <c r="L132" s="7" t="s">
        <v>109</v>
      </c>
      <c r="M132" s="7" t="s">
        <v>109</v>
      </c>
      <c r="N132" s="29" t="s">
        <v>109</v>
      </c>
      <c r="O132" s="29" t="s">
        <v>61</v>
      </c>
      <c r="P132" s="7" t="s">
        <v>131</v>
      </c>
      <c r="Q132" s="7" t="s">
        <v>184</v>
      </c>
      <c r="R132" s="7" t="s">
        <v>62</v>
      </c>
      <c r="S132" s="7" t="s">
        <v>512</v>
      </c>
      <c r="T132" s="29" t="s">
        <v>480</v>
      </c>
      <c r="U132" s="108">
        <f t="shared" si="5"/>
        <v>0.43</v>
      </c>
      <c r="V132" s="7" t="s">
        <v>2391</v>
      </c>
    </row>
    <row r="133" spans="1:22" x14ac:dyDescent="0.3">
      <c r="A133" s="7">
        <v>132</v>
      </c>
      <c r="B133" s="29" t="s">
        <v>23</v>
      </c>
      <c r="C133" s="29" t="s">
        <v>759</v>
      </c>
      <c r="D133" s="29">
        <v>50126147</v>
      </c>
      <c r="E133" s="91">
        <v>250</v>
      </c>
      <c r="F133" s="7">
        <v>478</v>
      </c>
      <c r="G133" s="7">
        <v>158</v>
      </c>
      <c r="H133" s="7" t="s">
        <v>3014</v>
      </c>
      <c r="I133" s="7" t="s">
        <v>3015</v>
      </c>
      <c r="J133" s="7" t="s">
        <v>130</v>
      </c>
      <c r="K133" s="11">
        <v>0.81805555555555554</v>
      </c>
      <c r="L133" s="11">
        <v>0.84652777777777777</v>
      </c>
      <c r="M133" s="7" t="s">
        <v>109</v>
      </c>
      <c r="N133" s="29" t="s">
        <v>109</v>
      </c>
      <c r="O133" s="29" t="s">
        <v>61</v>
      </c>
      <c r="P133" s="7" t="s">
        <v>131</v>
      </c>
      <c r="Q133" s="7" t="s">
        <v>93</v>
      </c>
      <c r="R133" s="7" t="s">
        <v>62</v>
      </c>
      <c r="S133" s="7" t="s">
        <v>512</v>
      </c>
      <c r="T133" s="29" t="s">
        <v>480</v>
      </c>
      <c r="U133" s="108">
        <f t="shared" si="5"/>
        <v>0.63200000000000001</v>
      </c>
      <c r="V133" s="7" t="s">
        <v>1313</v>
      </c>
    </row>
    <row r="134" spans="1:22" x14ac:dyDescent="0.3">
      <c r="A134" s="7">
        <v>17</v>
      </c>
      <c r="B134" s="29" t="s">
        <v>23</v>
      </c>
      <c r="C134" s="29" t="s">
        <v>528</v>
      </c>
      <c r="D134" s="29">
        <v>50126058</v>
      </c>
      <c r="E134" s="29">
        <v>35</v>
      </c>
      <c r="F134" s="7">
        <v>55</v>
      </c>
      <c r="G134" s="7">
        <v>23</v>
      </c>
      <c r="H134" s="89" t="s">
        <v>84</v>
      </c>
      <c r="I134" s="7" t="s">
        <v>109</v>
      </c>
      <c r="J134" s="7" t="s">
        <v>130</v>
      </c>
      <c r="K134" s="11">
        <v>4.791666666666667E-2</v>
      </c>
      <c r="L134" s="7" t="s">
        <v>109</v>
      </c>
      <c r="M134" s="7" t="s">
        <v>109</v>
      </c>
      <c r="N134" s="29" t="s">
        <v>109</v>
      </c>
      <c r="O134" s="29" t="s">
        <v>61</v>
      </c>
      <c r="P134" s="7" t="s">
        <v>131</v>
      </c>
      <c r="Q134" s="7" t="s">
        <v>84</v>
      </c>
      <c r="R134" s="7" t="s">
        <v>62</v>
      </c>
      <c r="S134" s="7" t="s">
        <v>512</v>
      </c>
      <c r="T134" s="29" t="s">
        <v>424</v>
      </c>
      <c r="U134" s="108">
        <f t="shared" si="5"/>
        <v>0.65714285714285714</v>
      </c>
      <c r="V134" s="7" t="s">
        <v>2391</v>
      </c>
    </row>
    <row r="135" spans="1:22" x14ac:dyDescent="0.3">
      <c r="A135" s="7">
        <v>134</v>
      </c>
      <c r="B135" s="29" t="s">
        <v>23</v>
      </c>
      <c r="C135" s="29" t="s">
        <v>1905</v>
      </c>
      <c r="D135" s="29">
        <v>50226024</v>
      </c>
      <c r="E135" s="91">
        <v>125</v>
      </c>
      <c r="F135" s="7">
        <v>226</v>
      </c>
      <c r="G135" s="7">
        <v>54</v>
      </c>
      <c r="H135" s="7" t="s">
        <v>3016</v>
      </c>
      <c r="I135" s="7" t="s">
        <v>3031</v>
      </c>
      <c r="J135" s="7" t="s">
        <v>130</v>
      </c>
      <c r="K135" s="11">
        <v>0.97222222222222221</v>
      </c>
      <c r="L135" s="11">
        <v>2.0833333333333333E-3</v>
      </c>
      <c r="M135" s="7" t="s">
        <v>109</v>
      </c>
      <c r="N135" s="29" t="s">
        <v>109</v>
      </c>
      <c r="O135" s="29" t="s">
        <v>61</v>
      </c>
      <c r="P135" s="7" t="s">
        <v>131</v>
      </c>
      <c r="Q135" s="7" t="s">
        <v>89</v>
      </c>
      <c r="R135" s="7" t="s">
        <v>62</v>
      </c>
      <c r="S135" s="7" t="s">
        <v>512</v>
      </c>
      <c r="T135" s="29" t="s">
        <v>480</v>
      </c>
      <c r="U135" s="108">
        <f t="shared" si="5"/>
        <v>0.432</v>
      </c>
      <c r="V135" s="7" t="s">
        <v>1313</v>
      </c>
    </row>
    <row r="136" spans="1:22" x14ac:dyDescent="0.3">
      <c r="A136" s="7">
        <v>135</v>
      </c>
      <c r="B136" s="29" t="s">
        <v>23</v>
      </c>
      <c r="C136" s="29" t="s">
        <v>1906</v>
      </c>
      <c r="D136" s="29">
        <v>50226027</v>
      </c>
      <c r="E136" s="91">
        <v>330</v>
      </c>
      <c r="F136" s="7">
        <v>427</v>
      </c>
      <c r="G136" s="7">
        <v>124</v>
      </c>
      <c r="H136" s="7" t="s">
        <v>3017</v>
      </c>
      <c r="I136" s="53" t="s">
        <v>3022</v>
      </c>
      <c r="J136" s="7" t="s">
        <v>130</v>
      </c>
      <c r="K136" s="11">
        <v>0.82499999999999996</v>
      </c>
      <c r="L136" s="11">
        <v>6.9444444444444447E-4</v>
      </c>
      <c r="M136" s="7" t="s">
        <v>109</v>
      </c>
      <c r="N136" s="29" t="s">
        <v>109</v>
      </c>
      <c r="O136" s="29" t="s">
        <v>61</v>
      </c>
      <c r="P136" s="7" t="s">
        <v>131</v>
      </c>
      <c r="Q136" s="7" t="s">
        <v>90</v>
      </c>
      <c r="R136" s="7" t="s">
        <v>62</v>
      </c>
      <c r="S136" s="7" t="s">
        <v>512</v>
      </c>
      <c r="T136" s="29" t="s">
        <v>480</v>
      </c>
      <c r="U136" s="108">
        <f t="shared" si="5"/>
        <v>0.37575757575757573</v>
      </c>
      <c r="V136" s="7" t="s">
        <v>2391</v>
      </c>
    </row>
    <row r="137" spans="1:22" x14ac:dyDescent="0.3">
      <c r="A137" s="7">
        <v>136</v>
      </c>
      <c r="B137" s="29" t="s">
        <v>23</v>
      </c>
      <c r="C137" s="29" t="s">
        <v>3018</v>
      </c>
      <c r="D137" s="29">
        <v>50326027</v>
      </c>
      <c r="E137" s="29">
        <v>200</v>
      </c>
      <c r="F137" s="7">
        <v>298</v>
      </c>
      <c r="G137" s="7">
        <v>69</v>
      </c>
      <c r="H137" s="7" t="s">
        <v>2791</v>
      </c>
      <c r="I137" s="7" t="s">
        <v>109</v>
      </c>
      <c r="J137" s="7" t="s">
        <v>130</v>
      </c>
      <c r="K137" s="11">
        <v>0.96875</v>
      </c>
      <c r="L137" s="7" t="s">
        <v>109</v>
      </c>
      <c r="M137" s="7" t="s">
        <v>109</v>
      </c>
      <c r="N137" s="29" t="s">
        <v>109</v>
      </c>
      <c r="O137" s="29" t="s">
        <v>61</v>
      </c>
      <c r="P137" s="7" t="s">
        <v>131</v>
      </c>
      <c r="Q137" s="7" t="s">
        <v>200</v>
      </c>
      <c r="R137" s="7" t="s">
        <v>62</v>
      </c>
      <c r="S137" s="7" t="s">
        <v>512</v>
      </c>
      <c r="T137" s="29" t="s">
        <v>1309</v>
      </c>
      <c r="U137" s="108">
        <f t="shared" si="5"/>
        <v>0.34499999999999997</v>
      </c>
      <c r="V137" s="7" t="s">
        <v>2391</v>
      </c>
    </row>
    <row r="138" spans="1:22" x14ac:dyDescent="0.3">
      <c r="A138" s="7">
        <v>137</v>
      </c>
      <c r="B138" s="29" t="s">
        <v>23</v>
      </c>
      <c r="C138" s="29" t="s">
        <v>3019</v>
      </c>
      <c r="D138" s="29">
        <v>50326026</v>
      </c>
      <c r="E138" s="29">
        <v>50</v>
      </c>
      <c r="F138" s="7">
        <v>83</v>
      </c>
      <c r="G138" s="7">
        <v>16</v>
      </c>
      <c r="H138" s="89" t="s">
        <v>68</v>
      </c>
      <c r="I138" s="7" t="s">
        <v>109</v>
      </c>
      <c r="J138" s="7" t="s">
        <v>130</v>
      </c>
      <c r="K138" s="11">
        <v>0.99930555555555556</v>
      </c>
      <c r="L138" s="7" t="s">
        <v>109</v>
      </c>
      <c r="M138" s="7" t="s">
        <v>109</v>
      </c>
      <c r="N138" s="29" t="s">
        <v>109</v>
      </c>
      <c r="O138" s="29" t="s">
        <v>61</v>
      </c>
      <c r="P138" s="7" t="s">
        <v>131</v>
      </c>
      <c r="Q138" s="7" t="s">
        <v>68</v>
      </c>
      <c r="R138" s="7" t="s">
        <v>62</v>
      </c>
      <c r="S138" s="7" t="s">
        <v>512</v>
      </c>
      <c r="T138" s="29" t="s">
        <v>1309</v>
      </c>
      <c r="U138" s="108">
        <f t="shared" si="5"/>
        <v>0.32</v>
      </c>
      <c r="V138" s="7" t="s">
        <v>152</v>
      </c>
    </row>
    <row r="139" spans="1:22" x14ac:dyDescent="0.3">
      <c r="A139" s="7">
        <v>138</v>
      </c>
      <c r="B139" s="29" t="s">
        <v>23</v>
      </c>
      <c r="C139" s="29" t="s">
        <v>3020</v>
      </c>
      <c r="D139" s="29">
        <v>50326025</v>
      </c>
      <c r="E139" s="29">
        <v>100</v>
      </c>
      <c r="F139" s="7">
        <v>82</v>
      </c>
      <c r="G139" s="7">
        <v>17</v>
      </c>
      <c r="H139" s="89" t="s">
        <v>84</v>
      </c>
      <c r="I139" s="7" t="s">
        <v>109</v>
      </c>
      <c r="J139" s="7" t="s">
        <v>130</v>
      </c>
      <c r="K139" s="11">
        <v>0.94236111111111109</v>
      </c>
      <c r="L139" s="7" t="s">
        <v>109</v>
      </c>
      <c r="M139" s="7" t="s">
        <v>109</v>
      </c>
      <c r="N139" s="29" t="s">
        <v>109</v>
      </c>
      <c r="O139" s="29" t="s">
        <v>61</v>
      </c>
      <c r="P139" s="7" t="s">
        <v>131</v>
      </c>
      <c r="Q139" s="7" t="s">
        <v>84</v>
      </c>
      <c r="R139" s="7" t="s">
        <v>62</v>
      </c>
      <c r="S139" s="7" t="s">
        <v>512</v>
      </c>
      <c r="T139" s="29" t="s">
        <v>1309</v>
      </c>
      <c r="U139" s="108">
        <f t="shared" si="5"/>
        <v>0.17</v>
      </c>
      <c r="V139" s="7" t="s">
        <v>2391</v>
      </c>
    </row>
    <row r="140" spans="1:22" x14ac:dyDescent="0.3">
      <c r="A140" s="7">
        <v>139</v>
      </c>
      <c r="B140" s="29" t="s">
        <v>23</v>
      </c>
      <c r="C140" s="29" t="s">
        <v>3021</v>
      </c>
      <c r="D140" s="29">
        <v>50326024</v>
      </c>
      <c r="E140" s="29">
        <v>75</v>
      </c>
      <c r="F140" s="7">
        <v>72</v>
      </c>
      <c r="G140" s="7">
        <v>4</v>
      </c>
      <c r="H140" s="7" t="s">
        <v>241</v>
      </c>
      <c r="I140" s="7" t="s">
        <v>109</v>
      </c>
      <c r="J140" s="7" t="s">
        <v>130</v>
      </c>
      <c r="K140" s="11">
        <v>0.96736111111111112</v>
      </c>
      <c r="L140" s="7" t="s">
        <v>109</v>
      </c>
      <c r="M140" s="7" t="s">
        <v>109</v>
      </c>
      <c r="N140" s="29" t="s">
        <v>109</v>
      </c>
      <c r="O140" s="29" t="s">
        <v>61</v>
      </c>
      <c r="P140" s="7" t="s">
        <v>131</v>
      </c>
      <c r="Q140" s="7" t="s">
        <v>241</v>
      </c>
      <c r="R140" s="7" t="s">
        <v>62</v>
      </c>
      <c r="S140" s="7" t="s">
        <v>512</v>
      </c>
      <c r="T140" s="29" t="s">
        <v>1309</v>
      </c>
      <c r="U140" s="108">
        <f t="shared" si="5"/>
        <v>5.3333333333333337E-2</v>
      </c>
      <c r="V140" s="7" t="s">
        <v>152</v>
      </c>
    </row>
    <row r="141" spans="1:22" x14ac:dyDescent="0.3">
      <c r="A141" s="7">
        <v>140</v>
      </c>
      <c r="B141" s="29" t="s">
        <v>23</v>
      </c>
      <c r="C141" s="29" t="s">
        <v>1364</v>
      </c>
      <c r="D141" s="29">
        <v>50126341</v>
      </c>
      <c r="E141" s="29">
        <v>50</v>
      </c>
      <c r="F141" s="7">
        <v>100</v>
      </c>
      <c r="G141" s="7">
        <v>32</v>
      </c>
      <c r="H141" s="89" t="s">
        <v>64</v>
      </c>
      <c r="I141" s="7" t="s">
        <v>109</v>
      </c>
      <c r="J141" s="7" t="s">
        <v>130</v>
      </c>
      <c r="K141" s="11">
        <v>1.3194444444444444E-2</v>
      </c>
      <c r="L141" s="7" t="s">
        <v>109</v>
      </c>
      <c r="M141" s="7" t="s">
        <v>109</v>
      </c>
      <c r="N141" s="29" t="s">
        <v>109</v>
      </c>
      <c r="O141" s="29" t="s">
        <v>61</v>
      </c>
      <c r="P141" s="7" t="s">
        <v>131</v>
      </c>
      <c r="Q141" s="7" t="s">
        <v>64</v>
      </c>
      <c r="R141" s="7" t="s">
        <v>62</v>
      </c>
      <c r="S141" s="7" t="s">
        <v>512</v>
      </c>
      <c r="T141" s="29" t="s">
        <v>1365</v>
      </c>
      <c r="U141" s="108">
        <f t="shared" si="5"/>
        <v>0.64</v>
      </c>
      <c r="V141" s="7" t="s">
        <v>1313</v>
      </c>
    </row>
    <row r="142" spans="1:22" x14ac:dyDescent="0.3">
      <c r="A142" s="7">
        <v>141</v>
      </c>
      <c r="B142" s="29" t="s">
        <v>1550</v>
      </c>
      <c r="C142" s="29" t="s">
        <v>1551</v>
      </c>
      <c r="D142" s="29">
        <v>40126035</v>
      </c>
      <c r="E142" s="29">
        <v>110</v>
      </c>
      <c r="F142" s="7">
        <v>265</v>
      </c>
      <c r="G142" s="7">
        <v>28</v>
      </c>
      <c r="H142" s="7" t="s">
        <v>3034</v>
      </c>
      <c r="I142" s="7" t="s">
        <v>3036</v>
      </c>
      <c r="J142" s="7" t="s">
        <v>130</v>
      </c>
      <c r="K142" s="11">
        <v>0.92500000000000004</v>
      </c>
      <c r="L142" s="11">
        <v>0.95833333333333337</v>
      </c>
      <c r="M142" s="7" t="s">
        <v>109</v>
      </c>
      <c r="N142" s="32" t="s">
        <v>3033</v>
      </c>
      <c r="O142" s="29" t="s">
        <v>61</v>
      </c>
      <c r="P142" s="7" t="s">
        <v>131</v>
      </c>
      <c r="Q142" s="7" t="s">
        <v>88</v>
      </c>
      <c r="R142" s="74" t="s">
        <v>1640</v>
      </c>
      <c r="S142" s="7" t="s">
        <v>136</v>
      </c>
      <c r="T142" s="29" t="s">
        <v>1554</v>
      </c>
      <c r="U142" s="108">
        <f t="shared" si="5"/>
        <v>0.25454545454545452</v>
      </c>
      <c r="V142" s="7" t="s">
        <v>2391</v>
      </c>
    </row>
    <row r="143" spans="1:22" x14ac:dyDescent="0.3">
      <c r="A143" s="7">
        <v>142</v>
      </c>
      <c r="B143" s="29" t="s">
        <v>1550</v>
      </c>
      <c r="C143" s="29" t="s">
        <v>1555</v>
      </c>
      <c r="D143" s="29">
        <v>40126036</v>
      </c>
      <c r="E143" s="29">
        <v>35</v>
      </c>
      <c r="F143" s="7">
        <v>14</v>
      </c>
      <c r="G143" s="7">
        <v>0</v>
      </c>
      <c r="H143" s="7" t="s">
        <v>64</v>
      </c>
      <c r="I143" s="7" t="s">
        <v>86</v>
      </c>
      <c r="J143" s="7" t="s">
        <v>130</v>
      </c>
      <c r="K143" s="11">
        <v>0.84097222222222223</v>
      </c>
      <c r="L143" s="11">
        <v>0.90763888888888888</v>
      </c>
      <c r="M143" s="7" t="s">
        <v>109</v>
      </c>
      <c r="N143" s="32" t="s">
        <v>3033</v>
      </c>
      <c r="O143" s="29" t="s">
        <v>61</v>
      </c>
      <c r="P143" s="7" t="s">
        <v>131</v>
      </c>
      <c r="Q143" s="7" t="s">
        <v>86</v>
      </c>
      <c r="R143" s="74" t="s">
        <v>1640</v>
      </c>
      <c r="S143" s="7" t="s">
        <v>136</v>
      </c>
      <c r="T143" s="29" t="s">
        <v>1554</v>
      </c>
      <c r="U143" s="108">
        <f t="shared" si="5"/>
        <v>0</v>
      </c>
      <c r="V143" s="7" t="s">
        <v>152</v>
      </c>
    </row>
    <row r="144" spans="1:22" x14ac:dyDescent="0.3">
      <c r="A144" s="7">
        <v>115</v>
      </c>
      <c r="B144" s="29" t="s">
        <v>143</v>
      </c>
      <c r="C144" s="91" t="s">
        <v>3006</v>
      </c>
      <c r="D144" s="135">
        <v>10326029</v>
      </c>
      <c r="E144" s="91">
        <v>45</v>
      </c>
      <c r="F144" s="7">
        <v>53</v>
      </c>
      <c r="G144" s="7">
        <v>8</v>
      </c>
      <c r="H144" s="89" t="s">
        <v>84</v>
      </c>
      <c r="I144" s="89" t="s">
        <v>90</v>
      </c>
      <c r="J144" s="7" t="s">
        <v>130</v>
      </c>
      <c r="K144" s="11">
        <v>2.5000000000000001E-2</v>
      </c>
      <c r="L144" s="11">
        <v>4.3749999999999997E-2</v>
      </c>
      <c r="M144" s="7" t="s">
        <v>109</v>
      </c>
      <c r="N144" s="38" t="s">
        <v>109</v>
      </c>
      <c r="O144" s="29" t="s">
        <v>61</v>
      </c>
      <c r="P144" s="7" t="s">
        <v>131</v>
      </c>
      <c r="Q144" s="7" t="s">
        <v>90</v>
      </c>
      <c r="R144" s="7" t="s">
        <v>62</v>
      </c>
      <c r="S144" s="7" t="s">
        <v>512</v>
      </c>
      <c r="T144" s="29" t="s">
        <v>121</v>
      </c>
      <c r="U144" s="108">
        <f t="shared" si="5"/>
        <v>0.17777777777777778</v>
      </c>
      <c r="V144" s="7" t="s">
        <v>2391</v>
      </c>
    </row>
    <row r="145" spans="1:22" x14ac:dyDescent="0.3">
      <c r="A145" s="7">
        <v>144</v>
      </c>
      <c r="B145" s="7" t="s">
        <v>23</v>
      </c>
      <c r="C145" s="7" t="s">
        <v>482</v>
      </c>
      <c r="D145" s="7">
        <v>50126010</v>
      </c>
      <c r="E145" s="7">
        <v>61</v>
      </c>
      <c r="F145" s="7">
        <v>47</v>
      </c>
      <c r="G145" s="7">
        <v>30</v>
      </c>
      <c r="H145" s="7" t="s">
        <v>241</v>
      </c>
      <c r="I145" s="7" t="s">
        <v>89</v>
      </c>
      <c r="J145" s="7" t="s">
        <v>130</v>
      </c>
      <c r="K145" s="11">
        <v>0.96527777777777779</v>
      </c>
      <c r="L145" s="11">
        <v>0.9868055555555556</v>
      </c>
      <c r="M145" s="7" t="s">
        <v>109</v>
      </c>
      <c r="N145" s="7" t="s">
        <v>109</v>
      </c>
      <c r="O145" s="7" t="s">
        <v>145</v>
      </c>
      <c r="P145" s="7" t="s">
        <v>131</v>
      </c>
      <c r="Q145" s="7" t="s">
        <v>89</v>
      </c>
      <c r="R145" s="7" t="s">
        <v>62</v>
      </c>
      <c r="S145" s="7" t="s">
        <v>2864</v>
      </c>
      <c r="T145" s="7" t="s">
        <v>480</v>
      </c>
      <c r="U145" s="108">
        <f t="shared" si="5"/>
        <v>0.49180327868852458</v>
      </c>
      <c r="V145" s="7" t="s">
        <v>2629</v>
      </c>
    </row>
    <row r="146" spans="1:22" x14ac:dyDescent="0.3">
      <c r="A146" s="7">
        <v>133</v>
      </c>
      <c r="B146" s="29" t="s">
        <v>23</v>
      </c>
      <c r="C146" s="29" t="s">
        <v>1053</v>
      </c>
      <c r="D146" s="29">
        <v>50126314</v>
      </c>
      <c r="E146" s="91">
        <v>100</v>
      </c>
      <c r="F146" s="7">
        <v>101</v>
      </c>
      <c r="G146" s="7">
        <v>40</v>
      </c>
      <c r="H146" s="89" t="s">
        <v>69</v>
      </c>
      <c r="I146" s="7" t="s">
        <v>90</v>
      </c>
      <c r="J146" s="7" t="s">
        <v>130</v>
      </c>
      <c r="K146" s="11">
        <v>7.1527777777777773E-2</v>
      </c>
      <c r="L146" s="11">
        <v>8.1944444444444445E-2</v>
      </c>
      <c r="M146" s="7" t="s">
        <v>109</v>
      </c>
      <c r="N146" s="29" t="s">
        <v>109</v>
      </c>
      <c r="O146" s="29" t="s">
        <v>61</v>
      </c>
      <c r="P146" s="7" t="s">
        <v>131</v>
      </c>
      <c r="Q146" s="7" t="s">
        <v>90</v>
      </c>
      <c r="R146" s="7" t="s">
        <v>62</v>
      </c>
      <c r="S146" s="7" t="s">
        <v>512</v>
      </c>
      <c r="T146" s="29" t="s">
        <v>480</v>
      </c>
      <c r="U146" s="108">
        <f t="shared" si="5"/>
        <v>0.4</v>
      </c>
      <c r="V146" s="7" t="s">
        <v>2391</v>
      </c>
    </row>
    <row r="147" spans="1:22" x14ac:dyDescent="0.3">
      <c r="A147" s="7">
        <v>146</v>
      </c>
      <c r="B147" s="7" t="s">
        <v>292</v>
      </c>
      <c r="C147" s="7" t="s">
        <v>1883</v>
      </c>
      <c r="D147" s="7">
        <v>40126037</v>
      </c>
      <c r="E147" s="7">
        <v>42</v>
      </c>
      <c r="F147" s="7">
        <v>42</v>
      </c>
      <c r="G147" s="7">
        <v>5</v>
      </c>
      <c r="H147" s="7" t="s">
        <v>615</v>
      </c>
      <c r="I147" s="7" t="s">
        <v>3042</v>
      </c>
      <c r="J147" s="7" t="s">
        <v>130</v>
      </c>
      <c r="K147" s="11">
        <v>0.97847222222222219</v>
      </c>
      <c r="L147" s="7" t="s">
        <v>109</v>
      </c>
      <c r="M147" s="7" t="s">
        <v>109</v>
      </c>
      <c r="N147" s="33" t="s">
        <v>3041</v>
      </c>
      <c r="O147" s="7" t="s">
        <v>145</v>
      </c>
      <c r="P147" s="7" t="s">
        <v>131</v>
      </c>
      <c r="Q147" s="7" t="s">
        <v>3042</v>
      </c>
      <c r="R147" s="74" t="s">
        <v>63</v>
      </c>
      <c r="S147" s="7" t="s">
        <v>123</v>
      </c>
      <c r="T147" s="7" t="s">
        <v>117</v>
      </c>
      <c r="U147" s="108">
        <f t="shared" si="5"/>
        <v>0.11904761904761904</v>
      </c>
      <c r="V147" s="7" t="s">
        <v>2629</v>
      </c>
    </row>
    <row r="148" spans="1:22" x14ac:dyDescent="0.3">
      <c r="A148" s="7">
        <v>147</v>
      </c>
      <c r="B148" s="74" t="s">
        <v>143</v>
      </c>
      <c r="C148" s="7" t="s">
        <v>2837</v>
      </c>
      <c r="D148" s="7">
        <v>10326008</v>
      </c>
      <c r="E148" s="7">
        <v>30</v>
      </c>
      <c r="F148" s="7">
        <v>30</v>
      </c>
      <c r="G148" s="7">
        <v>9</v>
      </c>
      <c r="H148" s="7" t="s">
        <v>1706</v>
      </c>
      <c r="I148" s="7" t="s">
        <v>3044</v>
      </c>
      <c r="J148" s="7" t="s">
        <v>130</v>
      </c>
      <c r="K148" s="11">
        <v>0.98055555555555551</v>
      </c>
      <c r="L148" s="11">
        <v>6.458333333333334E-2</v>
      </c>
      <c r="M148" s="7" t="s">
        <v>109</v>
      </c>
      <c r="N148" s="7" t="s">
        <v>109</v>
      </c>
      <c r="O148" s="7" t="s">
        <v>145</v>
      </c>
      <c r="P148" s="7" t="s">
        <v>131</v>
      </c>
      <c r="Q148" s="7" t="s">
        <v>3044</v>
      </c>
      <c r="R148" s="7" t="s">
        <v>62</v>
      </c>
      <c r="S148" s="7" t="s">
        <v>3043</v>
      </c>
      <c r="T148" s="74" t="s">
        <v>121</v>
      </c>
      <c r="U148" s="108">
        <f t="shared" si="5"/>
        <v>0.3</v>
      </c>
      <c r="V148" s="7" t="s">
        <v>2629</v>
      </c>
    </row>
    <row r="149" spans="1:22" x14ac:dyDescent="0.3">
      <c r="A149" s="7">
        <v>143</v>
      </c>
      <c r="B149" s="29" t="s">
        <v>1550</v>
      </c>
      <c r="C149" s="29" t="s">
        <v>1556</v>
      </c>
      <c r="D149" s="29">
        <v>40126034</v>
      </c>
      <c r="E149" s="29">
        <v>100</v>
      </c>
      <c r="F149" s="7">
        <v>175</v>
      </c>
      <c r="G149" s="7">
        <v>31</v>
      </c>
      <c r="H149" s="7" t="s">
        <v>3035</v>
      </c>
      <c r="I149" s="7" t="s">
        <v>3037</v>
      </c>
      <c r="J149" s="7" t="s">
        <v>130</v>
      </c>
      <c r="K149" s="11">
        <v>0.93541666666666667</v>
      </c>
      <c r="L149" s="11">
        <v>6.9444444444444448E-2</v>
      </c>
      <c r="M149" s="7" t="s">
        <v>109</v>
      </c>
      <c r="N149" s="32" t="s">
        <v>3033</v>
      </c>
      <c r="O149" s="29" t="s">
        <v>61</v>
      </c>
      <c r="P149" s="7" t="s">
        <v>131</v>
      </c>
      <c r="Q149" s="7" t="s">
        <v>91</v>
      </c>
      <c r="R149" s="74" t="s">
        <v>1640</v>
      </c>
      <c r="S149" s="7" t="s">
        <v>136</v>
      </c>
      <c r="T149" s="29" t="s">
        <v>1554</v>
      </c>
      <c r="U149" s="108">
        <f t="shared" si="5"/>
        <v>0.31</v>
      </c>
      <c r="V149" s="7" t="s">
        <v>2391</v>
      </c>
    </row>
    <row r="150" spans="1:22" x14ac:dyDescent="0.3">
      <c r="A150" s="7">
        <v>22</v>
      </c>
      <c r="B150" s="29" t="s">
        <v>23</v>
      </c>
      <c r="C150" s="29" t="s">
        <v>2955</v>
      </c>
      <c r="D150" s="29">
        <v>50326019</v>
      </c>
      <c r="E150" s="29">
        <v>45</v>
      </c>
      <c r="F150" s="7">
        <v>73</v>
      </c>
      <c r="G150" s="7">
        <v>17</v>
      </c>
      <c r="H150" s="89" t="s">
        <v>70</v>
      </c>
      <c r="I150" s="7" t="s">
        <v>109</v>
      </c>
      <c r="J150" s="7" t="s">
        <v>130</v>
      </c>
      <c r="K150" s="11">
        <v>4.3749999999999997E-2</v>
      </c>
      <c r="L150" s="7" t="s">
        <v>109</v>
      </c>
      <c r="M150" s="7" t="s">
        <v>109</v>
      </c>
      <c r="N150" s="29" t="s">
        <v>109</v>
      </c>
      <c r="O150" s="29" t="s">
        <v>61</v>
      </c>
      <c r="P150" s="7" t="s">
        <v>131</v>
      </c>
      <c r="Q150" s="7" t="s">
        <v>70</v>
      </c>
      <c r="R150" s="7" t="s">
        <v>62</v>
      </c>
      <c r="S150" s="7" t="s">
        <v>512</v>
      </c>
      <c r="T150" s="29" t="s">
        <v>424</v>
      </c>
      <c r="U150" s="108">
        <f t="shared" si="5"/>
        <v>0.37777777777777777</v>
      </c>
      <c r="V150" s="7" t="s">
        <v>1313</v>
      </c>
    </row>
  </sheetData>
  <conditionalFormatting sqref="D1">
    <cfRule type="duplicateValues" dxfId="49" priority="6"/>
  </conditionalFormatting>
  <conditionalFormatting sqref="D1:D1048576">
    <cfRule type="duplicateValues" dxfId="48" priority="1"/>
  </conditionalFormatting>
  <conditionalFormatting sqref="D69">
    <cfRule type="duplicateValues" dxfId="47" priority="4"/>
    <cfRule type="duplicateValues" dxfId="46" priority="5"/>
  </conditionalFormatting>
  <conditionalFormatting sqref="D70">
    <cfRule type="duplicateValues" dxfId="45" priority="2"/>
    <cfRule type="duplicateValues" dxfId="44" priority="3"/>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190B7-2288-487B-9693-28C79CBB7F3B}">
  <dimension ref="A1:X132"/>
  <sheetViews>
    <sheetView workbookViewId="0">
      <pane ySplit="1" topLeftCell="A31" activePane="bottomLeft" state="frozen"/>
      <selection pane="bottomLeft" activeCell="J44" sqref="J44"/>
    </sheetView>
  </sheetViews>
  <sheetFormatPr defaultRowHeight="14.4" x14ac:dyDescent="0.3"/>
  <cols>
    <col min="1" max="2" width="8.88671875" style="31" customWidth="1"/>
    <col min="3" max="3" width="57.77734375" style="31" customWidth="1"/>
    <col min="4" max="7" width="8.88671875" style="31"/>
    <col min="8" max="8" width="27.33203125" style="160" customWidth="1"/>
    <col min="9" max="9" width="17.44140625" style="160" customWidth="1"/>
    <col min="10" max="10" width="8.88671875" style="31"/>
    <col min="11" max="11" width="16.33203125" style="31" customWidth="1"/>
    <col min="12" max="12" width="9.77734375" style="31" customWidth="1"/>
    <col min="13" max="15" width="8.88671875" style="31" customWidth="1"/>
    <col min="16" max="16" width="14.44140625" style="31" customWidth="1"/>
    <col min="17" max="17" width="12.33203125" style="31" customWidth="1"/>
    <col min="18" max="21" width="8.88671875" style="31"/>
    <col min="22" max="22" width="17.109375" style="31" customWidth="1"/>
    <col min="23" max="23" width="8.88671875" style="31"/>
    <col min="24" max="24" width="23" style="31" customWidth="1"/>
    <col min="25" max="16384" width="8.88671875" style="31"/>
  </cols>
  <sheetData>
    <row r="1" spans="1:24" x14ac:dyDescent="0.3">
      <c r="A1" s="1" t="s">
        <v>0</v>
      </c>
      <c r="B1" s="1" t="s">
        <v>1</v>
      </c>
      <c r="C1" s="1" t="s">
        <v>2</v>
      </c>
      <c r="D1" s="1" t="s">
        <v>3</v>
      </c>
      <c r="E1" s="1" t="s">
        <v>4</v>
      </c>
      <c r="F1" s="1" t="s">
        <v>5</v>
      </c>
      <c r="G1" s="1" t="s">
        <v>6</v>
      </c>
      <c r="H1" s="1" t="s">
        <v>7</v>
      </c>
      <c r="I1" s="1" t="s">
        <v>8</v>
      </c>
      <c r="J1" s="1" t="s">
        <v>9</v>
      </c>
      <c r="K1" s="2" t="s">
        <v>2218</v>
      </c>
      <c r="L1" s="2" t="s">
        <v>2219</v>
      </c>
      <c r="M1" s="3" t="s">
        <v>2281</v>
      </c>
      <c r="N1" s="4" t="s">
        <v>13</v>
      </c>
      <c r="O1" s="1" t="s">
        <v>14</v>
      </c>
      <c r="P1" s="1" t="s">
        <v>15</v>
      </c>
      <c r="Q1" s="1" t="s">
        <v>16</v>
      </c>
      <c r="R1" s="1" t="s">
        <v>17</v>
      </c>
      <c r="S1" s="127" t="s">
        <v>2282</v>
      </c>
      <c r="T1" s="1" t="s">
        <v>19</v>
      </c>
      <c r="U1" s="1" t="s">
        <v>20</v>
      </c>
      <c r="V1" s="1" t="s">
        <v>21</v>
      </c>
      <c r="W1" s="157" t="s">
        <v>3099</v>
      </c>
      <c r="X1" s="157" t="s">
        <v>3100</v>
      </c>
    </row>
    <row r="2" spans="1:24" x14ac:dyDescent="0.3">
      <c r="A2" s="7">
        <v>1</v>
      </c>
      <c r="B2" s="29" t="s">
        <v>23</v>
      </c>
      <c r="C2" s="29" t="s">
        <v>526</v>
      </c>
      <c r="D2" s="29">
        <v>50126080</v>
      </c>
      <c r="E2" s="29">
        <v>100</v>
      </c>
      <c r="F2" s="7">
        <v>218</v>
      </c>
      <c r="G2" s="7">
        <v>91</v>
      </c>
      <c r="H2" s="156" t="s">
        <v>93</v>
      </c>
      <c r="I2" s="86" t="s">
        <v>109</v>
      </c>
      <c r="J2" s="7" t="s">
        <v>130</v>
      </c>
      <c r="K2" s="11">
        <v>0.72222222222222221</v>
      </c>
      <c r="L2" s="7" t="s">
        <v>109</v>
      </c>
      <c r="M2" s="7" t="s">
        <v>109</v>
      </c>
      <c r="N2" s="32" t="s">
        <v>110</v>
      </c>
      <c r="O2" s="29" t="s">
        <v>61</v>
      </c>
      <c r="P2" s="7" t="s">
        <v>131</v>
      </c>
      <c r="Q2" s="7" t="s">
        <v>93</v>
      </c>
      <c r="R2" s="7" t="s">
        <v>62</v>
      </c>
      <c r="S2" s="7" t="s">
        <v>136</v>
      </c>
      <c r="T2" s="29" t="s">
        <v>424</v>
      </c>
      <c r="U2" s="108">
        <f t="shared" ref="U2:U65" si="0">G2/E2</f>
        <v>0.91</v>
      </c>
      <c r="V2" s="7" t="s">
        <v>1945</v>
      </c>
      <c r="W2" s="7" t="s">
        <v>3101</v>
      </c>
      <c r="X2" s="7" t="s">
        <v>109</v>
      </c>
    </row>
    <row r="3" spans="1:24" x14ac:dyDescent="0.3">
      <c r="A3" s="7">
        <v>2</v>
      </c>
      <c r="B3" s="29" t="s">
        <v>23</v>
      </c>
      <c r="C3" s="29" t="s">
        <v>1965</v>
      </c>
      <c r="D3" s="29">
        <v>50226030</v>
      </c>
      <c r="E3" s="29">
        <v>100</v>
      </c>
      <c r="F3" s="7">
        <v>161</v>
      </c>
      <c r="G3" s="7">
        <v>102</v>
      </c>
      <c r="H3" s="156" t="s">
        <v>1082</v>
      </c>
      <c r="I3" s="86" t="s">
        <v>109</v>
      </c>
      <c r="J3" s="7" t="s">
        <v>130</v>
      </c>
      <c r="K3" s="11">
        <v>0.73611111111111116</v>
      </c>
      <c r="L3" s="7" t="s">
        <v>109</v>
      </c>
      <c r="M3" s="7" t="s">
        <v>109</v>
      </c>
      <c r="N3" s="32" t="s">
        <v>110</v>
      </c>
      <c r="O3" s="29" t="s">
        <v>61</v>
      </c>
      <c r="P3" s="7" t="s">
        <v>131</v>
      </c>
      <c r="Q3" s="7" t="s">
        <v>1082</v>
      </c>
      <c r="R3" s="7" t="s">
        <v>62</v>
      </c>
      <c r="S3" s="7" t="s">
        <v>136</v>
      </c>
      <c r="T3" s="29" t="s">
        <v>424</v>
      </c>
      <c r="U3" s="108">
        <f t="shared" si="0"/>
        <v>1.02</v>
      </c>
      <c r="V3" s="7" t="s">
        <v>1945</v>
      </c>
      <c r="W3" s="7" t="s">
        <v>3101</v>
      </c>
      <c r="X3" s="7" t="s">
        <v>109</v>
      </c>
    </row>
    <row r="4" spans="1:24" x14ac:dyDescent="0.3">
      <c r="A4" s="7">
        <v>3</v>
      </c>
      <c r="B4" s="29" t="s">
        <v>23</v>
      </c>
      <c r="C4" s="29" t="s">
        <v>2959</v>
      </c>
      <c r="D4" s="29">
        <v>50326016</v>
      </c>
      <c r="E4" s="29">
        <v>180</v>
      </c>
      <c r="F4" s="7">
        <v>239</v>
      </c>
      <c r="G4" s="7">
        <v>192</v>
      </c>
      <c r="H4" s="156" t="s">
        <v>1549</v>
      </c>
      <c r="I4" s="86" t="s">
        <v>109</v>
      </c>
      <c r="J4" s="7" t="s">
        <v>130</v>
      </c>
      <c r="K4" s="11">
        <v>0.75347222222222221</v>
      </c>
      <c r="L4" s="7" t="s">
        <v>109</v>
      </c>
      <c r="M4" s="7" t="s">
        <v>109</v>
      </c>
      <c r="N4" s="32" t="s">
        <v>110</v>
      </c>
      <c r="O4" s="29" t="s">
        <v>61</v>
      </c>
      <c r="P4" s="7" t="s">
        <v>131</v>
      </c>
      <c r="Q4" s="7" t="s">
        <v>94</v>
      </c>
      <c r="R4" s="7" t="s">
        <v>62</v>
      </c>
      <c r="S4" s="7" t="s">
        <v>136</v>
      </c>
      <c r="T4" s="29" t="s">
        <v>424</v>
      </c>
      <c r="U4" s="108">
        <f t="shared" si="0"/>
        <v>1.0666666666666667</v>
      </c>
      <c r="V4" s="7" t="s">
        <v>1945</v>
      </c>
      <c r="W4" s="7" t="s">
        <v>3101</v>
      </c>
      <c r="X4" s="7" t="s">
        <v>109</v>
      </c>
    </row>
    <row r="5" spans="1:24" x14ac:dyDescent="0.3">
      <c r="A5" s="7">
        <v>4</v>
      </c>
      <c r="B5" s="29" t="s">
        <v>23</v>
      </c>
      <c r="C5" s="29" t="s">
        <v>932</v>
      </c>
      <c r="D5" s="29">
        <v>50126263</v>
      </c>
      <c r="E5" s="29">
        <v>120</v>
      </c>
      <c r="F5" s="7">
        <v>70</v>
      </c>
      <c r="G5" s="7">
        <v>45</v>
      </c>
      <c r="H5" s="156" t="s">
        <v>154</v>
      </c>
      <c r="I5" s="86" t="s">
        <v>109</v>
      </c>
      <c r="J5" s="7" t="s">
        <v>130</v>
      </c>
      <c r="K5" s="11">
        <v>0.8125</v>
      </c>
      <c r="L5" s="7" t="s">
        <v>109</v>
      </c>
      <c r="M5" s="7" t="s">
        <v>109</v>
      </c>
      <c r="N5" s="32" t="s">
        <v>110</v>
      </c>
      <c r="O5" s="29" t="s">
        <v>61</v>
      </c>
      <c r="P5" s="7" t="s">
        <v>131</v>
      </c>
      <c r="Q5" s="7" t="s">
        <v>154</v>
      </c>
      <c r="R5" s="7" t="s">
        <v>62</v>
      </c>
      <c r="S5" s="7" t="s">
        <v>136</v>
      </c>
      <c r="T5" s="29" t="s">
        <v>424</v>
      </c>
      <c r="U5" s="108">
        <f t="shared" si="0"/>
        <v>0.375</v>
      </c>
      <c r="V5" s="7" t="s">
        <v>152</v>
      </c>
      <c r="W5" s="7" t="s">
        <v>3101</v>
      </c>
      <c r="X5" s="7" t="s">
        <v>109</v>
      </c>
    </row>
    <row r="6" spans="1:24" x14ac:dyDescent="0.3">
      <c r="A6" s="7">
        <v>5</v>
      </c>
      <c r="B6" s="29" t="s">
        <v>23</v>
      </c>
      <c r="C6" s="29" t="s">
        <v>801</v>
      </c>
      <c r="D6" s="29">
        <v>50126196</v>
      </c>
      <c r="E6" s="29">
        <v>85</v>
      </c>
      <c r="F6" s="7">
        <v>125</v>
      </c>
      <c r="G6" s="7">
        <v>90</v>
      </c>
      <c r="H6" s="156" t="s">
        <v>90</v>
      </c>
      <c r="I6" s="86" t="s">
        <v>109</v>
      </c>
      <c r="J6" s="7" t="s">
        <v>130</v>
      </c>
      <c r="K6" s="11">
        <v>0.79166666666666663</v>
      </c>
      <c r="L6" s="7" t="s">
        <v>109</v>
      </c>
      <c r="M6" s="7" t="s">
        <v>109</v>
      </c>
      <c r="N6" s="29" t="s">
        <v>109</v>
      </c>
      <c r="O6" s="29" t="s">
        <v>61</v>
      </c>
      <c r="P6" s="7" t="s">
        <v>131</v>
      </c>
      <c r="Q6" s="7" t="s">
        <v>90</v>
      </c>
      <c r="R6" s="7" t="s">
        <v>62</v>
      </c>
      <c r="S6" s="7" t="s">
        <v>136</v>
      </c>
      <c r="T6" s="29" t="s">
        <v>424</v>
      </c>
      <c r="U6" s="108">
        <f t="shared" si="0"/>
        <v>1.0588235294117647</v>
      </c>
      <c r="V6" s="7" t="s">
        <v>1945</v>
      </c>
      <c r="W6" s="7" t="s">
        <v>3101</v>
      </c>
      <c r="X6" s="7" t="s">
        <v>109</v>
      </c>
    </row>
    <row r="7" spans="1:24" x14ac:dyDescent="0.3">
      <c r="A7" s="7">
        <v>6</v>
      </c>
      <c r="B7" s="29" t="s">
        <v>23</v>
      </c>
      <c r="C7" s="29" t="s">
        <v>905</v>
      </c>
      <c r="D7" s="29">
        <v>50126244</v>
      </c>
      <c r="E7" s="29">
        <v>30</v>
      </c>
      <c r="F7" s="7">
        <v>45</v>
      </c>
      <c r="G7" s="7">
        <v>18</v>
      </c>
      <c r="H7" s="156" t="s">
        <v>86</v>
      </c>
      <c r="I7" s="86" t="s">
        <v>109</v>
      </c>
      <c r="J7" s="7" t="s">
        <v>130</v>
      </c>
      <c r="K7" s="11">
        <v>0.69861111111111107</v>
      </c>
      <c r="L7" s="7" t="s">
        <v>109</v>
      </c>
      <c r="M7" s="7" t="s">
        <v>109</v>
      </c>
      <c r="N7" s="29" t="s">
        <v>109</v>
      </c>
      <c r="O7" s="29" t="s">
        <v>61</v>
      </c>
      <c r="P7" s="7" t="s">
        <v>131</v>
      </c>
      <c r="Q7" s="7" t="s">
        <v>86</v>
      </c>
      <c r="R7" s="7" t="s">
        <v>62</v>
      </c>
      <c r="S7" s="7" t="s">
        <v>136</v>
      </c>
      <c r="T7" s="29" t="s">
        <v>424</v>
      </c>
      <c r="U7" s="108">
        <f t="shared" si="0"/>
        <v>0.6</v>
      </c>
      <c r="V7" s="7" t="s">
        <v>152</v>
      </c>
      <c r="W7" s="7" t="s">
        <v>3101</v>
      </c>
      <c r="X7" s="7" t="s">
        <v>109</v>
      </c>
    </row>
    <row r="8" spans="1:24" x14ac:dyDescent="0.3">
      <c r="A8" s="7">
        <v>7</v>
      </c>
      <c r="B8" s="29" t="s">
        <v>23</v>
      </c>
      <c r="C8" s="29" t="s">
        <v>907</v>
      </c>
      <c r="D8" s="29">
        <v>50126250</v>
      </c>
      <c r="E8" s="29">
        <v>45</v>
      </c>
      <c r="F8" s="7">
        <v>77</v>
      </c>
      <c r="G8" s="7">
        <v>58</v>
      </c>
      <c r="H8" s="156" t="s">
        <v>1082</v>
      </c>
      <c r="I8" s="86" t="s">
        <v>109</v>
      </c>
      <c r="J8" s="7" t="s">
        <v>130</v>
      </c>
      <c r="K8" s="11">
        <v>0.76736111111111116</v>
      </c>
      <c r="L8" s="7" t="s">
        <v>109</v>
      </c>
      <c r="M8" s="7" t="s">
        <v>109</v>
      </c>
      <c r="N8" s="29" t="s">
        <v>109</v>
      </c>
      <c r="O8" s="29" t="s">
        <v>61</v>
      </c>
      <c r="P8" s="7" t="s">
        <v>131</v>
      </c>
      <c r="Q8" s="7" t="s">
        <v>1082</v>
      </c>
      <c r="R8" s="7" t="s">
        <v>62</v>
      </c>
      <c r="S8" s="7" t="s">
        <v>136</v>
      </c>
      <c r="T8" s="29" t="s">
        <v>424</v>
      </c>
      <c r="U8" s="108">
        <f t="shared" si="0"/>
        <v>1.288888888888889</v>
      </c>
      <c r="V8" s="7" t="s">
        <v>1945</v>
      </c>
      <c r="W8" s="7" t="s">
        <v>3101</v>
      </c>
      <c r="X8" s="7" t="s">
        <v>109</v>
      </c>
    </row>
    <row r="9" spans="1:24" x14ac:dyDescent="0.3">
      <c r="A9" s="7">
        <v>8</v>
      </c>
      <c r="B9" s="29" t="s">
        <v>23</v>
      </c>
      <c r="C9" s="29" t="s">
        <v>814</v>
      </c>
      <c r="D9" s="29">
        <v>50126228</v>
      </c>
      <c r="E9" s="29">
        <v>85</v>
      </c>
      <c r="F9" s="7">
        <v>115</v>
      </c>
      <c r="G9" s="7">
        <v>80</v>
      </c>
      <c r="H9" s="156" t="s">
        <v>86</v>
      </c>
      <c r="I9" s="86" t="s">
        <v>109</v>
      </c>
      <c r="J9" s="7" t="s">
        <v>130</v>
      </c>
      <c r="K9" s="11">
        <v>0.84513888888888888</v>
      </c>
      <c r="L9" s="7" t="s">
        <v>109</v>
      </c>
      <c r="M9" s="7" t="s">
        <v>109</v>
      </c>
      <c r="N9" s="29" t="s">
        <v>109</v>
      </c>
      <c r="O9" s="29" t="s">
        <v>61</v>
      </c>
      <c r="P9" s="7" t="s">
        <v>131</v>
      </c>
      <c r="Q9" s="7" t="s">
        <v>86</v>
      </c>
      <c r="R9" s="7" t="s">
        <v>62</v>
      </c>
      <c r="S9" s="7" t="s">
        <v>136</v>
      </c>
      <c r="T9" s="29" t="s">
        <v>424</v>
      </c>
      <c r="U9" s="108">
        <f t="shared" si="0"/>
        <v>0.94117647058823528</v>
      </c>
      <c r="V9" s="7" t="s">
        <v>1945</v>
      </c>
      <c r="W9" s="7" t="s">
        <v>3101</v>
      </c>
      <c r="X9" s="7" t="s">
        <v>109</v>
      </c>
    </row>
    <row r="10" spans="1:24" x14ac:dyDescent="0.3">
      <c r="A10" s="7">
        <v>9</v>
      </c>
      <c r="B10" s="29" t="s">
        <v>23</v>
      </c>
      <c r="C10" s="29" t="s">
        <v>825</v>
      </c>
      <c r="D10" s="29">
        <v>50126210</v>
      </c>
      <c r="E10" s="29">
        <v>15</v>
      </c>
      <c r="F10" s="7">
        <v>26</v>
      </c>
      <c r="G10" s="7">
        <v>17</v>
      </c>
      <c r="H10" s="77" t="s">
        <v>154</v>
      </c>
      <c r="I10" s="86" t="s">
        <v>109</v>
      </c>
      <c r="J10" s="7" t="s">
        <v>130</v>
      </c>
      <c r="K10" s="11">
        <v>0.64652777777777781</v>
      </c>
      <c r="L10" s="7" t="s">
        <v>109</v>
      </c>
      <c r="M10" s="7" t="s">
        <v>109</v>
      </c>
      <c r="N10" s="29" t="s">
        <v>109</v>
      </c>
      <c r="O10" s="29" t="s">
        <v>61</v>
      </c>
      <c r="P10" s="7" t="s">
        <v>131</v>
      </c>
      <c r="Q10" s="7" t="s">
        <v>154</v>
      </c>
      <c r="R10" s="7" t="s">
        <v>62</v>
      </c>
      <c r="S10" s="7" t="s">
        <v>136</v>
      </c>
      <c r="T10" s="29" t="s">
        <v>424</v>
      </c>
      <c r="U10" s="108">
        <f t="shared" si="0"/>
        <v>1.1333333333333333</v>
      </c>
      <c r="V10" s="7" t="s">
        <v>1945</v>
      </c>
      <c r="W10" s="7" t="s">
        <v>3101</v>
      </c>
      <c r="X10" s="7" t="s">
        <v>109</v>
      </c>
    </row>
    <row r="11" spans="1:24" x14ac:dyDescent="0.3">
      <c r="A11" s="7">
        <v>10</v>
      </c>
      <c r="B11" s="29" t="s">
        <v>23</v>
      </c>
      <c r="C11" s="29" t="s">
        <v>1663</v>
      </c>
      <c r="D11" s="29">
        <v>50126389</v>
      </c>
      <c r="E11" s="29">
        <v>35</v>
      </c>
      <c r="F11" s="7">
        <v>52</v>
      </c>
      <c r="G11" s="7">
        <v>40</v>
      </c>
      <c r="H11" s="156" t="s">
        <v>94</v>
      </c>
      <c r="I11" s="86" t="s">
        <v>109</v>
      </c>
      <c r="J11" s="7" t="s">
        <v>130</v>
      </c>
      <c r="K11" s="11">
        <v>0.81944444444444442</v>
      </c>
      <c r="L11" s="7" t="s">
        <v>109</v>
      </c>
      <c r="M11" s="7" t="s">
        <v>109</v>
      </c>
      <c r="N11" s="29" t="s">
        <v>109</v>
      </c>
      <c r="O11" s="29" t="s">
        <v>61</v>
      </c>
      <c r="P11" s="7" t="s">
        <v>131</v>
      </c>
      <c r="Q11" s="7" t="s">
        <v>94</v>
      </c>
      <c r="R11" s="7" t="s">
        <v>62</v>
      </c>
      <c r="S11" s="7" t="s">
        <v>136</v>
      </c>
      <c r="T11" s="29" t="s">
        <v>424</v>
      </c>
      <c r="U11" s="108">
        <f t="shared" si="0"/>
        <v>1.1428571428571428</v>
      </c>
      <c r="V11" s="7" t="s">
        <v>1945</v>
      </c>
      <c r="W11" s="7" t="s">
        <v>3101</v>
      </c>
      <c r="X11" s="7" t="s">
        <v>109</v>
      </c>
    </row>
    <row r="12" spans="1:24" x14ac:dyDescent="0.3">
      <c r="A12" s="7">
        <v>11</v>
      </c>
      <c r="B12" s="29" t="s">
        <v>23</v>
      </c>
      <c r="C12" s="29" t="s">
        <v>1221</v>
      </c>
      <c r="D12" s="29">
        <v>50126329</v>
      </c>
      <c r="E12" s="29">
        <v>50</v>
      </c>
      <c r="F12" s="7">
        <v>52</v>
      </c>
      <c r="G12" s="7">
        <v>52</v>
      </c>
      <c r="H12" s="156" t="s">
        <v>1082</v>
      </c>
      <c r="I12" s="86" t="s">
        <v>109</v>
      </c>
      <c r="J12" s="7" t="s">
        <v>130</v>
      </c>
      <c r="K12" s="11">
        <v>0.8041666666666667</v>
      </c>
      <c r="L12" s="7" t="s">
        <v>109</v>
      </c>
      <c r="M12" s="7" t="s">
        <v>109</v>
      </c>
      <c r="N12" s="29" t="s">
        <v>109</v>
      </c>
      <c r="O12" s="29" t="s">
        <v>61</v>
      </c>
      <c r="P12" s="7" t="s">
        <v>131</v>
      </c>
      <c r="Q12" s="7" t="s">
        <v>1082</v>
      </c>
      <c r="R12" s="7" t="s">
        <v>62</v>
      </c>
      <c r="S12" s="7" t="s">
        <v>136</v>
      </c>
      <c r="T12" s="29" t="s">
        <v>424</v>
      </c>
      <c r="U12" s="108">
        <f t="shared" si="0"/>
        <v>1.04</v>
      </c>
      <c r="V12" s="7" t="s">
        <v>1945</v>
      </c>
      <c r="W12" s="7" t="s">
        <v>3101</v>
      </c>
      <c r="X12" s="7" t="s">
        <v>109</v>
      </c>
    </row>
    <row r="13" spans="1:24" x14ac:dyDescent="0.3">
      <c r="A13" s="7">
        <v>12</v>
      </c>
      <c r="B13" s="29" t="s">
        <v>23</v>
      </c>
      <c r="C13" s="29" t="s">
        <v>539</v>
      </c>
      <c r="D13" s="29">
        <v>50126083</v>
      </c>
      <c r="E13" s="29">
        <v>65</v>
      </c>
      <c r="F13" s="7">
        <v>85</v>
      </c>
      <c r="G13" s="7">
        <v>67</v>
      </c>
      <c r="H13" s="77" t="s">
        <v>91</v>
      </c>
      <c r="I13" s="86" t="s">
        <v>109</v>
      </c>
      <c r="J13" s="7" t="s">
        <v>130</v>
      </c>
      <c r="K13" s="11">
        <v>0.92986111111111114</v>
      </c>
      <c r="L13" s="7" t="s">
        <v>109</v>
      </c>
      <c r="M13" s="7" t="s">
        <v>109</v>
      </c>
      <c r="N13" s="29" t="s">
        <v>109</v>
      </c>
      <c r="O13" s="29" t="s">
        <v>61</v>
      </c>
      <c r="P13" s="7" t="s">
        <v>131</v>
      </c>
      <c r="Q13" s="7" t="s">
        <v>91</v>
      </c>
      <c r="R13" s="7" t="s">
        <v>62</v>
      </c>
      <c r="S13" s="7" t="s">
        <v>136</v>
      </c>
      <c r="T13" s="29" t="s">
        <v>424</v>
      </c>
      <c r="U13" s="108">
        <f t="shared" si="0"/>
        <v>1.0307692307692307</v>
      </c>
      <c r="V13" s="7" t="s">
        <v>1945</v>
      </c>
      <c r="W13" s="7" t="s">
        <v>3101</v>
      </c>
      <c r="X13" s="7" t="s">
        <v>109</v>
      </c>
    </row>
    <row r="14" spans="1:24" x14ac:dyDescent="0.3">
      <c r="A14" s="7">
        <v>13</v>
      </c>
      <c r="B14" s="29" t="s">
        <v>23</v>
      </c>
      <c r="C14" s="29" t="s">
        <v>833</v>
      </c>
      <c r="D14" s="29">
        <v>50126108</v>
      </c>
      <c r="E14" s="29">
        <v>50</v>
      </c>
      <c r="F14" s="7">
        <v>78</v>
      </c>
      <c r="G14" s="7">
        <v>55</v>
      </c>
      <c r="H14" s="156" t="s">
        <v>93</v>
      </c>
      <c r="I14" s="86" t="s">
        <v>109</v>
      </c>
      <c r="J14" s="7" t="s">
        <v>130</v>
      </c>
      <c r="K14" s="11">
        <v>0.78472222222222221</v>
      </c>
      <c r="L14" s="7" t="s">
        <v>109</v>
      </c>
      <c r="M14" s="7" t="s">
        <v>109</v>
      </c>
      <c r="N14" s="29" t="s">
        <v>109</v>
      </c>
      <c r="O14" s="29" t="s">
        <v>61</v>
      </c>
      <c r="P14" s="7" t="s">
        <v>131</v>
      </c>
      <c r="Q14" s="7" t="s">
        <v>93</v>
      </c>
      <c r="R14" s="7" t="s">
        <v>62</v>
      </c>
      <c r="S14" s="7" t="s">
        <v>136</v>
      </c>
      <c r="T14" s="29" t="s">
        <v>424</v>
      </c>
      <c r="U14" s="108">
        <f t="shared" si="0"/>
        <v>1.1000000000000001</v>
      </c>
      <c r="V14" s="7" t="s">
        <v>1945</v>
      </c>
      <c r="W14" s="7" t="s">
        <v>3101</v>
      </c>
      <c r="X14" s="7" t="s">
        <v>109</v>
      </c>
    </row>
    <row r="15" spans="1:24" x14ac:dyDescent="0.3">
      <c r="A15" s="7">
        <v>14</v>
      </c>
      <c r="B15" s="29" t="s">
        <v>23</v>
      </c>
      <c r="C15" s="29" t="s">
        <v>834</v>
      </c>
      <c r="D15" s="29">
        <v>50126111</v>
      </c>
      <c r="E15" s="29">
        <v>50</v>
      </c>
      <c r="F15" s="7">
        <v>100</v>
      </c>
      <c r="G15" s="7">
        <v>14</v>
      </c>
      <c r="H15" s="156" t="s">
        <v>93</v>
      </c>
      <c r="I15" s="86" t="s">
        <v>109</v>
      </c>
      <c r="J15" s="7" t="s">
        <v>130</v>
      </c>
      <c r="K15" s="11">
        <v>0.96388888888888891</v>
      </c>
      <c r="L15" s="7" t="s">
        <v>109</v>
      </c>
      <c r="M15" s="7" t="s">
        <v>109</v>
      </c>
      <c r="N15" s="29" t="s">
        <v>109</v>
      </c>
      <c r="O15" s="29" t="s">
        <v>61</v>
      </c>
      <c r="P15" s="7" t="s">
        <v>131</v>
      </c>
      <c r="Q15" s="7" t="s">
        <v>93</v>
      </c>
      <c r="R15" s="7" t="s">
        <v>62</v>
      </c>
      <c r="S15" s="7" t="s">
        <v>136</v>
      </c>
      <c r="T15" s="29" t="s">
        <v>424</v>
      </c>
      <c r="U15" s="108">
        <f t="shared" si="0"/>
        <v>0.28000000000000003</v>
      </c>
      <c r="V15" s="7" t="s">
        <v>1313</v>
      </c>
      <c r="W15" s="7" t="s">
        <v>3101</v>
      </c>
      <c r="X15" s="7" t="s">
        <v>109</v>
      </c>
    </row>
    <row r="16" spans="1:24" x14ac:dyDescent="0.3">
      <c r="A16" s="7">
        <v>15</v>
      </c>
      <c r="B16" s="29" t="s">
        <v>23</v>
      </c>
      <c r="C16" s="29" t="s">
        <v>835</v>
      </c>
      <c r="D16" s="29">
        <v>50126103</v>
      </c>
      <c r="E16" s="29">
        <v>60</v>
      </c>
      <c r="F16" s="7">
        <v>75</v>
      </c>
      <c r="G16" s="7">
        <v>66</v>
      </c>
      <c r="H16" s="86" t="s">
        <v>87</v>
      </c>
      <c r="I16" s="86" t="s">
        <v>109</v>
      </c>
      <c r="J16" s="7" t="s">
        <v>130</v>
      </c>
      <c r="K16" s="11">
        <v>0.86527777777777781</v>
      </c>
      <c r="L16" s="7" t="s">
        <v>109</v>
      </c>
      <c r="M16" s="7" t="s">
        <v>109</v>
      </c>
      <c r="N16" s="29" t="s">
        <v>109</v>
      </c>
      <c r="O16" s="29" t="s">
        <v>61</v>
      </c>
      <c r="P16" s="7" t="s">
        <v>131</v>
      </c>
      <c r="Q16" s="7" t="s">
        <v>87</v>
      </c>
      <c r="R16" s="7" t="s">
        <v>62</v>
      </c>
      <c r="S16" s="7" t="s">
        <v>136</v>
      </c>
      <c r="T16" s="29" t="s">
        <v>424</v>
      </c>
      <c r="U16" s="108">
        <f t="shared" si="0"/>
        <v>1.1000000000000001</v>
      </c>
      <c r="V16" s="7" t="s">
        <v>1945</v>
      </c>
      <c r="W16" s="7" t="s">
        <v>3101</v>
      </c>
      <c r="X16" s="7" t="s">
        <v>109</v>
      </c>
    </row>
    <row r="17" spans="1:24" x14ac:dyDescent="0.3">
      <c r="A17" s="7">
        <v>16</v>
      </c>
      <c r="B17" s="29" t="s">
        <v>23</v>
      </c>
      <c r="C17" s="29" t="s">
        <v>836</v>
      </c>
      <c r="D17" s="29">
        <v>50126104</v>
      </c>
      <c r="E17" s="29">
        <v>50</v>
      </c>
      <c r="F17" s="7">
        <v>132</v>
      </c>
      <c r="G17" s="7">
        <v>44</v>
      </c>
      <c r="H17" s="156" t="s">
        <v>154</v>
      </c>
      <c r="I17" s="86" t="s">
        <v>109</v>
      </c>
      <c r="J17" s="7" t="s">
        <v>130</v>
      </c>
      <c r="K17" s="11">
        <v>0.7</v>
      </c>
      <c r="L17" s="7" t="s">
        <v>109</v>
      </c>
      <c r="M17" s="7" t="s">
        <v>109</v>
      </c>
      <c r="N17" s="29" t="s">
        <v>109</v>
      </c>
      <c r="O17" s="29" t="s">
        <v>61</v>
      </c>
      <c r="P17" s="7" t="s">
        <v>131</v>
      </c>
      <c r="Q17" s="7" t="s">
        <v>154</v>
      </c>
      <c r="R17" s="7" t="s">
        <v>62</v>
      </c>
      <c r="S17" s="7" t="s">
        <v>136</v>
      </c>
      <c r="T17" s="29" t="s">
        <v>424</v>
      </c>
      <c r="U17" s="108">
        <f t="shared" si="0"/>
        <v>0.88</v>
      </c>
      <c r="V17" s="7" t="s">
        <v>1313</v>
      </c>
      <c r="W17" s="7" t="s">
        <v>3101</v>
      </c>
      <c r="X17" s="7" t="s">
        <v>109</v>
      </c>
    </row>
    <row r="18" spans="1:24" x14ac:dyDescent="0.3">
      <c r="A18" s="7">
        <v>17</v>
      </c>
      <c r="B18" s="29" t="s">
        <v>23</v>
      </c>
      <c r="C18" s="29" t="s">
        <v>839</v>
      </c>
      <c r="D18" s="29">
        <v>50126106</v>
      </c>
      <c r="E18" s="29">
        <v>20</v>
      </c>
      <c r="F18" s="7">
        <v>24</v>
      </c>
      <c r="G18" s="7">
        <v>11</v>
      </c>
      <c r="H18" s="77" t="s">
        <v>87</v>
      </c>
      <c r="I18" s="86" t="s">
        <v>109</v>
      </c>
      <c r="J18" s="7" t="s">
        <v>130</v>
      </c>
      <c r="K18" s="11">
        <v>0.71527777777777779</v>
      </c>
      <c r="L18" s="7" t="s">
        <v>109</v>
      </c>
      <c r="M18" s="7" t="s">
        <v>109</v>
      </c>
      <c r="N18" s="29" t="s">
        <v>109</v>
      </c>
      <c r="O18" s="29" t="s">
        <v>61</v>
      </c>
      <c r="P18" s="7" t="s">
        <v>131</v>
      </c>
      <c r="Q18" s="7" t="s">
        <v>87</v>
      </c>
      <c r="R18" s="7" t="s">
        <v>62</v>
      </c>
      <c r="S18" s="7" t="s">
        <v>136</v>
      </c>
      <c r="T18" s="29" t="s">
        <v>424</v>
      </c>
      <c r="U18" s="108">
        <f t="shared" si="0"/>
        <v>0.55000000000000004</v>
      </c>
      <c r="V18" s="7" t="s">
        <v>152</v>
      </c>
      <c r="W18" s="7" t="s">
        <v>3101</v>
      </c>
      <c r="X18" s="7" t="s">
        <v>109</v>
      </c>
    </row>
    <row r="19" spans="1:24" x14ac:dyDescent="0.3">
      <c r="A19" s="7">
        <v>18</v>
      </c>
      <c r="B19" s="29" t="s">
        <v>23</v>
      </c>
      <c r="C19" s="29" t="s">
        <v>1972</v>
      </c>
      <c r="D19" s="29">
        <v>50226033</v>
      </c>
      <c r="E19" s="29">
        <v>85</v>
      </c>
      <c r="F19" s="7">
        <v>136</v>
      </c>
      <c r="G19" s="7">
        <v>117</v>
      </c>
      <c r="H19" s="77" t="s">
        <v>95</v>
      </c>
      <c r="I19" s="86" t="s">
        <v>109</v>
      </c>
      <c r="J19" s="7" t="s">
        <v>130</v>
      </c>
      <c r="K19" s="11">
        <v>0.7270833333333333</v>
      </c>
      <c r="L19" s="7" t="s">
        <v>109</v>
      </c>
      <c r="M19" s="7" t="s">
        <v>109</v>
      </c>
      <c r="N19" s="29" t="s">
        <v>109</v>
      </c>
      <c r="O19" s="29" t="s">
        <v>61</v>
      </c>
      <c r="P19" s="7" t="s">
        <v>131</v>
      </c>
      <c r="Q19" s="7" t="s">
        <v>95</v>
      </c>
      <c r="R19" s="7" t="s">
        <v>62</v>
      </c>
      <c r="S19" s="7" t="s">
        <v>136</v>
      </c>
      <c r="T19" s="29" t="s">
        <v>424</v>
      </c>
      <c r="U19" s="108">
        <f t="shared" si="0"/>
        <v>1.3764705882352941</v>
      </c>
      <c r="V19" s="7" t="s">
        <v>1945</v>
      </c>
      <c r="W19" s="7" t="s">
        <v>3101</v>
      </c>
      <c r="X19" s="7" t="s">
        <v>109</v>
      </c>
    </row>
    <row r="20" spans="1:24" x14ac:dyDescent="0.3">
      <c r="A20" s="7">
        <v>19</v>
      </c>
      <c r="B20" s="29" t="s">
        <v>23</v>
      </c>
      <c r="C20" s="29" t="s">
        <v>842</v>
      </c>
      <c r="D20" s="29">
        <v>50126202</v>
      </c>
      <c r="E20" s="29">
        <v>50</v>
      </c>
      <c r="F20" s="7">
        <v>104</v>
      </c>
      <c r="G20" s="7">
        <v>59</v>
      </c>
      <c r="H20" s="156" t="s">
        <v>88</v>
      </c>
      <c r="I20" s="86" t="s">
        <v>109</v>
      </c>
      <c r="J20" s="7" t="s">
        <v>130</v>
      </c>
      <c r="K20" s="11">
        <v>0.71666666666666667</v>
      </c>
      <c r="L20" s="7" t="s">
        <v>109</v>
      </c>
      <c r="M20" s="7" t="s">
        <v>109</v>
      </c>
      <c r="N20" s="29" t="s">
        <v>109</v>
      </c>
      <c r="O20" s="29" t="s">
        <v>61</v>
      </c>
      <c r="P20" s="7" t="s">
        <v>131</v>
      </c>
      <c r="Q20" s="7" t="s">
        <v>88</v>
      </c>
      <c r="R20" s="7" t="s">
        <v>62</v>
      </c>
      <c r="S20" s="7" t="s">
        <v>136</v>
      </c>
      <c r="T20" s="29" t="s">
        <v>424</v>
      </c>
      <c r="U20" s="108">
        <f t="shared" si="0"/>
        <v>1.18</v>
      </c>
      <c r="V20" s="7" t="s">
        <v>1945</v>
      </c>
      <c r="W20" s="7" t="s">
        <v>3101</v>
      </c>
      <c r="X20" s="7" t="s">
        <v>109</v>
      </c>
    </row>
    <row r="21" spans="1:24" x14ac:dyDescent="0.3">
      <c r="A21" s="7">
        <v>20</v>
      </c>
      <c r="B21" s="29" t="s">
        <v>23</v>
      </c>
      <c r="C21" s="29" t="s">
        <v>2956</v>
      </c>
      <c r="D21" s="29">
        <v>50326021</v>
      </c>
      <c r="E21" s="29">
        <v>50</v>
      </c>
      <c r="F21" s="7">
        <v>71</v>
      </c>
      <c r="G21" s="7">
        <v>61</v>
      </c>
      <c r="H21" s="156" t="s">
        <v>94</v>
      </c>
      <c r="I21" s="86" t="s">
        <v>109</v>
      </c>
      <c r="J21" s="7" t="s">
        <v>130</v>
      </c>
      <c r="K21" s="11">
        <v>0.92986111111111114</v>
      </c>
      <c r="L21" s="7" t="s">
        <v>109</v>
      </c>
      <c r="M21" s="7" t="s">
        <v>109</v>
      </c>
      <c r="N21" s="29" t="s">
        <v>109</v>
      </c>
      <c r="O21" s="29" t="s">
        <v>61</v>
      </c>
      <c r="P21" s="7" t="s">
        <v>131</v>
      </c>
      <c r="Q21" s="7" t="s">
        <v>94</v>
      </c>
      <c r="R21" s="7" t="s">
        <v>62</v>
      </c>
      <c r="S21" s="7" t="s">
        <v>136</v>
      </c>
      <c r="T21" s="29" t="s">
        <v>424</v>
      </c>
      <c r="U21" s="108">
        <f t="shared" si="0"/>
        <v>1.22</v>
      </c>
      <c r="V21" s="7" t="s">
        <v>1945</v>
      </c>
      <c r="W21" s="7" t="s">
        <v>3101</v>
      </c>
      <c r="X21" s="7" t="s">
        <v>109</v>
      </c>
    </row>
    <row r="22" spans="1:24" x14ac:dyDescent="0.3">
      <c r="A22" s="7">
        <v>21</v>
      </c>
      <c r="B22" s="29" t="s">
        <v>23</v>
      </c>
      <c r="C22" s="29" t="s">
        <v>2958</v>
      </c>
      <c r="D22" s="29">
        <v>50326018</v>
      </c>
      <c r="E22" s="29">
        <v>85</v>
      </c>
      <c r="F22" s="7">
        <v>111</v>
      </c>
      <c r="G22" s="7">
        <v>84</v>
      </c>
      <c r="H22" s="77" t="s">
        <v>91</v>
      </c>
      <c r="I22" s="86" t="s">
        <v>109</v>
      </c>
      <c r="J22" s="7" t="s">
        <v>130</v>
      </c>
      <c r="K22" s="11">
        <v>0.83958333333333335</v>
      </c>
      <c r="L22" s="7" t="s">
        <v>109</v>
      </c>
      <c r="M22" s="7" t="s">
        <v>109</v>
      </c>
      <c r="N22" s="29" t="s">
        <v>109</v>
      </c>
      <c r="O22" s="29" t="s">
        <v>61</v>
      </c>
      <c r="P22" s="7" t="s">
        <v>131</v>
      </c>
      <c r="Q22" s="7" t="s">
        <v>91</v>
      </c>
      <c r="R22" s="7" t="s">
        <v>62</v>
      </c>
      <c r="S22" s="7" t="s">
        <v>136</v>
      </c>
      <c r="T22" s="29" t="s">
        <v>424</v>
      </c>
      <c r="U22" s="108">
        <f t="shared" si="0"/>
        <v>0.9882352941176471</v>
      </c>
      <c r="V22" s="7" t="s">
        <v>1945</v>
      </c>
      <c r="W22" s="7" t="s">
        <v>3101</v>
      </c>
      <c r="X22" s="7" t="s">
        <v>109</v>
      </c>
    </row>
    <row r="23" spans="1:24" x14ac:dyDescent="0.3">
      <c r="A23" s="7">
        <v>22</v>
      </c>
      <c r="B23" s="29" t="s">
        <v>23</v>
      </c>
      <c r="C23" s="29" t="s">
        <v>2957</v>
      </c>
      <c r="D23" s="29">
        <v>50326020</v>
      </c>
      <c r="E23" s="29">
        <v>50</v>
      </c>
      <c r="F23" s="7">
        <v>71</v>
      </c>
      <c r="G23" s="7">
        <v>61</v>
      </c>
      <c r="H23" s="156" t="s">
        <v>88</v>
      </c>
      <c r="I23" s="86" t="s">
        <v>109</v>
      </c>
      <c r="J23" s="7" t="s">
        <v>130</v>
      </c>
      <c r="K23" s="11">
        <v>0.76666666666666672</v>
      </c>
      <c r="L23" s="7" t="s">
        <v>109</v>
      </c>
      <c r="M23" s="7" t="s">
        <v>109</v>
      </c>
      <c r="N23" s="29" t="s">
        <v>109</v>
      </c>
      <c r="O23" s="29" t="s">
        <v>61</v>
      </c>
      <c r="P23" s="7" t="s">
        <v>131</v>
      </c>
      <c r="Q23" s="7" t="s">
        <v>88</v>
      </c>
      <c r="R23" s="7" t="s">
        <v>62</v>
      </c>
      <c r="S23" s="7" t="s">
        <v>136</v>
      </c>
      <c r="T23" s="29" t="s">
        <v>424</v>
      </c>
      <c r="U23" s="108">
        <f t="shared" si="0"/>
        <v>1.22</v>
      </c>
      <c r="V23" s="7" t="s">
        <v>1945</v>
      </c>
      <c r="W23" s="7" t="s">
        <v>3101</v>
      </c>
      <c r="X23" s="7" t="s">
        <v>109</v>
      </c>
    </row>
    <row r="24" spans="1:24" x14ac:dyDescent="0.3">
      <c r="A24" s="7">
        <v>23</v>
      </c>
      <c r="B24" s="29" t="s">
        <v>23</v>
      </c>
      <c r="C24" s="29" t="s">
        <v>425</v>
      </c>
      <c r="D24" s="29">
        <v>50126025</v>
      </c>
      <c r="E24" s="29">
        <v>85</v>
      </c>
      <c r="F24" s="7">
        <v>118</v>
      </c>
      <c r="G24" s="7">
        <v>90</v>
      </c>
      <c r="H24" s="77" t="s">
        <v>87</v>
      </c>
      <c r="I24" s="86" t="s">
        <v>109</v>
      </c>
      <c r="J24" s="7" t="s">
        <v>130</v>
      </c>
      <c r="K24" s="11">
        <v>0.79791666666666672</v>
      </c>
      <c r="L24" s="7" t="s">
        <v>109</v>
      </c>
      <c r="M24" s="7" t="s">
        <v>109</v>
      </c>
      <c r="N24" s="29" t="s">
        <v>109</v>
      </c>
      <c r="O24" s="29" t="s">
        <v>61</v>
      </c>
      <c r="P24" s="7" t="s">
        <v>131</v>
      </c>
      <c r="Q24" s="7" t="s">
        <v>87</v>
      </c>
      <c r="R24" s="7" t="s">
        <v>62</v>
      </c>
      <c r="S24" s="7" t="s">
        <v>136</v>
      </c>
      <c r="T24" s="29" t="s">
        <v>424</v>
      </c>
      <c r="U24" s="108">
        <f t="shared" si="0"/>
        <v>1.0588235294117647</v>
      </c>
      <c r="V24" s="7" t="s">
        <v>1945</v>
      </c>
      <c r="W24" s="7" t="s">
        <v>3101</v>
      </c>
      <c r="X24" s="7" t="s">
        <v>109</v>
      </c>
    </row>
    <row r="25" spans="1:24" x14ac:dyDescent="0.3">
      <c r="A25" s="7">
        <v>24</v>
      </c>
      <c r="B25" s="29" t="s">
        <v>23</v>
      </c>
      <c r="C25" s="29" t="s">
        <v>726</v>
      </c>
      <c r="D25" s="29">
        <v>50126114</v>
      </c>
      <c r="E25" s="29">
        <v>50</v>
      </c>
      <c r="F25" s="7">
        <v>96</v>
      </c>
      <c r="G25" s="7">
        <v>49</v>
      </c>
      <c r="H25" s="156" t="s">
        <v>86</v>
      </c>
      <c r="I25" s="86" t="s">
        <v>109</v>
      </c>
      <c r="J25" s="7" t="s">
        <v>130</v>
      </c>
      <c r="K25" s="7" t="s">
        <v>509</v>
      </c>
      <c r="L25" s="7" t="s">
        <v>109</v>
      </c>
      <c r="M25" s="7" t="s">
        <v>109</v>
      </c>
      <c r="N25" s="29" t="s">
        <v>109</v>
      </c>
      <c r="O25" s="29" t="s">
        <v>61</v>
      </c>
      <c r="P25" s="7" t="s">
        <v>131</v>
      </c>
      <c r="Q25" s="7" t="s">
        <v>86</v>
      </c>
      <c r="R25" s="7" t="s">
        <v>62</v>
      </c>
      <c r="S25" s="7" t="s">
        <v>136</v>
      </c>
      <c r="T25" s="29" t="s">
        <v>424</v>
      </c>
      <c r="U25" s="108">
        <f t="shared" si="0"/>
        <v>0.98</v>
      </c>
      <c r="V25" s="7" t="s">
        <v>1945</v>
      </c>
      <c r="W25" s="7" t="s">
        <v>3101</v>
      </c>
      <c r="X25" s="7" t="s">
        <v>109</v>
      </c>
    </row>
    <row r="26" spans="1:24" x14ac:dyDescent="0.3">
      <c r="A26" s="7">
        <v>25</v>
      </c>
      <c r="B26" s="29" t="s">
        <v>23</v>
      </c>
      <c r="C26" s="29" t="s">
        <v>727</v>
      </c>
      <c r="D26" s="29">
        <v>50126100</v>
      </c>
      <c r="E26" s="29">
        <v>30</v>
      </c>
      <c r="F26" s="7">
        <v>54</v>
      </c>
      <c r="G26" s="7">
        <v>15</v>
      </c>
      <c r="H26" s="77" t="s">
        <v>91</v>
      </c>
      <c r="I26" s="86" t="s">
        <v>109</v>
      </c>
      <c r="J26" s="7" t="s">
        <v>130</v>
      </c>
      <c r="K26" s="11">
        <v>0.73124999999999996</v>
      </c>
      <c r="L26" s="7" t="s">
        <v>109</v>
      </c>
      <c r="M26" s="7" t="s">
        <v>109</v>
      </c>
      <c r="N26" s="29" t="s">
        <v>109</v>
      </c>
      <c r="O26" s="29" t="s">
        <v>61</v>
      </c>
      <c r="P26" s="7" t="s">
        <v>131</v>
      </c>
      <c r="Q26" s="7" t="s">
        <v>91</v>
      </c>
      <c r="R26" s="7" t="s">
        <v>62</v>
      </c>
      <c r="S26" s="7" t="s">
        <v>136</v>
      </c>
      <c r="T26" s="29" t="s">
        <v>424</v>
      </c>
      <c r="U26" s="108">
        <f t="shared" si="0"/>
        <v>0.5</v>
      </c>
      <c r="V26" s="7" t="s">
        <v>152</v>
      </c>
      <c r="W26" s="7" t="s">
        <v>3101</v>
      </c>
      <c r="X26" s="7" t="s">
        <v>109</v>
      </c>
    </row>
    <row r="27" spans="1:24" x14ac:dyDescent="0.3">
      <c r="A27" s="7">
        <v>26</v>
      </c>
      <c r="B27" s="29" t="s">
        <v>23</v>
      </c>
      <c r="C27" s="29" t="s">
        <v>2489</v>
      </c>
      <c r="D27" s="29">
        <v>50226110</v>
      </c>
      <c r="E27" s="29">
        <v>35</v>
      </c>
      <c r="F27" s="7">
        <v>78</v>
      </c>
      <c r="G27" s="7">
        <v>49</v>
      </c>
      <c r="H27" s="156" t="s">
        <v>95</v>
      </c>
      <c r="I27" s="86" t="s">
        <v>109</v>
      </c>
      <c r="J27" s="7" t="s">
        <v>130</v>
      </c>
      <c r="K27" s="11">
        <v>0.72777777777777775</v>
      </c>
      <c r="L27" s="7" t="s">
        <v>109</v>
      </c>
      <c r="M27" s="7" t="s">
        <v>109</v>
      </c>
      <c r="N27" s="29" t="s">
        <v>109</v>
      </c>
      <c r="O27" s="29" t="s">
        <v>61</v>
      </c>
      <c r="P27" s="7" t="s">
        <v>131</v>
      </c>
      <c r="Q27" s="7" t="s">
        <v>95</v>
      </c>
      <c r="R27" s="7" t="s">
        <v>62</v>
      </c>
      <c r="S27" s="7" t="s">
        <v>136</v>
      </c>
      <c r="T27" s="29" t="s">
        <v>424</v>
      </c>
      <c r="U27" s="108">
        <f t="shared" si="0"/>
        <v>1.4</v>
      </c>
      <c r="V27" s="7" t="s">
        <v>1945</v>
      </c>
      <c r="W27" s="7" t="s">
        <v>3101</v>
      </c>
      <c r="X27" s="7" t="s">
        <v>109</v>
      </c>
    </row>
    <row r="28" spans="1:24" x14ac:dyDescent="0.3">
      <c r="A28" s="7">
        <v>27</v>
      </c>
      <c r="B28" s="29" t="s">
        <v>23</v>
      </c>
      <c r="C28" s="29" t="s">
        <v>1641</v>
      </c>
      <c r="D28" s="29">
        <v>50126366</v>
      </c>
      <c r="E28" s="29">
        <v>50</v>
      </c>
      <c r="F28" s="7">
        <v>75</v>
      </c>
      <c r="G28" s="7">
        <v>55</v>
      </c>
      <c r="H28" s="77" t="s">
        <v>95</v>
      </c>
      <c r="I28" s="86" t="s">
        <v>109</v>
      </c>
      <c r="J28" s="7" t="s">
        <v>130</v>
      </c>
      <c r="K28" s="11">
        <v>0.72638888888888886</v>
      </c>
      <c r="L28" s="7" t="s">
        <v>109</v>
      </c>
      <c r="M28" s="7" t="s">
        <v>109</v>
      </c>
      <c r="N28" s="29" t="s">
        <v>109</v>
      </c>
      <c r="O28" s="29" t="s">
        <v>61</v>
      </c>
      <c r="P28" s="7" t="s">
        <v>131</v>
      </c>
      <c r="Q28" s="7" t="s">
        <v>95</v>
      </c>
      <c r="R28" s="7" t="s">
        <v>62</v>
      </c>
      <c r="S28" s="7" t="s">
        <v>136</v>
      </c>
      <c r="T28" s="29" t="s">
        <v>424</v>
      </c>
      <c r="U28" s="108">
        <f t="shared" si="0"/>
        <v>1.1000000000000001</v>
      </c>
      <c r="V28" s="7" t="s">
        <v>1945</v>
      </c>
      <c r="W28" s="7" t="s">
        <v>3101</v>
      </c>
      <c r="X28" s="7" t="s">
        <v>109</v>
      </c>
    </row>
    <row r="29" spans="1:24" x14ac:dyDescent="0.3">
      <c r="A29" s="7">
        <v>28</v>
      </c>
      <c r="B29" s="29" t="s">
        <v>23</v>
      </c>
      <c r="C29" s="29" t="s">
        <v>1649</v>
      </c>
      <c r="D29" s="29">
        <v>50126384</v>
      </c>
      <c r="E29" s="29">
        <v>30</v>
      </c>
      <c r="F29" s="7">
        <v>54</v>
      </c>
      <c r="G29" s="7">
        <v>36</v>
      </c>
      <c r="H29" s="156" t="s">
        <v>90</v>
      </c>
      <c r="I29" s="86" t="s">
        <v>109</v>
      </c>
      <c r="J29" s="7" t="s">
        <v>130</v>
      </c>
      <c r="K29" s="11">
        <v>0.73958333333333337</v>
      </c>
      <c r="L29" s="7" t="s">
        <v>109</v>
      </c>
      <c r="M29" s="7" t="s">
        <v>109</v>
      </c>
      <c r="N29" s="29" t="s">
        <v>109</v>
      </c>
      <c r="O29" s="29" t="s">
        <v>61</v>
      </c>
      <c r="P29" s="7" t="s">
        <v>131</v>
      </c>
      <c r="Q29" s="7" t="s">
        <v>90</v>
      </c>
      <c r="R29" s="7" t="s">
        <v>62</v>
      </c>
      <c r="S29" s="7" t="s">
        <v>136</v>
      </c>
      <c r="T29" s="29" t="s">
        <v>424</v>
      </c>
      <c r="U29" s="108">
        <f t="shared" si="0"/>
        <v>1.2</v>
      </c>
      <c r="V29" s="7" t="s">
        <v>1945</v>
      </c>
      <c r="W29" s="7" t="s">
        <v>3101</v>
      </c>
      <c r="X29" s="7" t="s">
        <v>109</v>
      </c>
    </row>
    <row r="30" spans="1:24" x14ac:dyDescent="0.3">
      <c r="A30" s="7">
        <v>29</v>
      </c>
      <c r="B30" s="29" t="s">
        <v>23</v>
      </c>
      <c r="C30" s="29" t="s">
        <v>1062</v>
      </c>
      <c r="D30" s="29">
        <v>50126304</v>
      </c>
      <c r="E30" s="29">
        <v>100</v>
      </c>
      <c r="F30" s="7">
        <v>177</v>
      </c>
      <c r="G30" s="7">
        <v>77</v>
      </c>
      <c r="H30" s="86" t="s">
        <v>209</v>
      </c>
      <c r="I30" s="86" t="s">
        <v>109</v>
      </c>
      <c r="J30" s="7" t="s">
        <v>130</v>
      </c>
      <c r="K30" s="11">
        <v>3.8194444444444448E-2</v>
      </c>
      <c r="L30" s="7" t="s">
        <v>109</v>
      </c>
      <c r="M30" s="7" t="s">
        <v>109</v>
      </c>
      <c r="N30" s="38" t="s">
        <v>109</v>
      </c>
      <c r="O30" s="38" t="s">
        <v>61</v>
      </c>
      <c r="P30" s="7" t="s">
        <v>131</v>
      </c>
      <c r="Q30" s="7" t="s">
        <v>209</v>
      </c>
      <c r="R30" s="7" t="s">
        <v>62</v>
      </c>
      <c r="S30" s="7" t="s">
        <v>136</v>
      </c>
      <c r="T30" s="29" t="s">
        <v>1063</v>
      </c>
      <c r="U30" s="108">
        <f t="shared" si="0"/>
        <v>0.77</v>
      </c>
      <c r="V30" s="7" t="s">
        <v>109</v>
      </c>
      <c r="W30" s="7" t="s">
        <v>3101</v>
      </c>
      <c r="X30" s="7" t="s">
        <v>109</v>
      </c>
    </row>
    <row r="31" spans="1:24" x14ac:dyDescent="0.3">
      <c r="A31" s="7">
        <v>30</v>
      </c>
      <c r="B31" s="29" t="s">
        <v>23</v>
      </c>
      <c r="C31" s="29" t="s">
        <v>1064</v>
      </c>
      <c r="D31" s="29">
        <v>50126306</v>
      </c>
      <c r="E31" s="29">
        <v>100</v>
      </c>
      <c r="F31" s="7">
        <v>171</v>
      </c>
      <c r="G31" s="7">
        <v>100</v>
      </c>
      <c r="H31" s="86" t="s">
        <v>71</v>
      </c>
      <c r="I31" s="86" t="s">
        <v>109</v>
      </c>
      <c r="J31" s="7" t="s">
        <v>130</v>
      </c>
      <c r="K31" s="11">
        <v>0.91874999999999996</v>
      </c>
      <c r="L31" s="7" t="s">
        <v>109</v>
      </c>
      <c r="M31" s="7" t="s">
        <v>109</v>
      </c>
      <c r="N31" s="38" t="s">
        <v>109</v>
      </c>
      <c r="O31" s="38" t="s">
        <v>61</v>
      </c>
      <c r="P31" s="7" t="s">
        <v>131</v>
      </c>
      <c r="Q31" s="7" t="s">
        <v>71</v>
      </c>
      <c r="R31" s="7" t="s">
        <v>62</v>
      </c>
      <c r="S31" s="7" t="s">
        <v>136</v>
      </c>
      <c r="T31" s="29" t="s">
        <v>1063</v>
      </c>
      <c r="U31" s="108">
        <f t="shared" si="0"/>
        <v>1</v>
      </c>
      <c r="V31" s="7" t="s">
        <v>1945</v>
      </c>
      <c r="W31" s="7" t="s">
        <v>3101</v>
      </c>
      <c r="X31" s="7" t="s">
        <v>109</v>
      </c>
    </row>
    <row r="32" spans="1:24" x14ac:dyDescent="0.3">
      <c r="A32" s="7">
        <v>31</v>
      </c>
      <c r="B32" s="29" t="s">
        <v>23</v>
      </c>
      <c r="C32" s="29" t="s">
        <v>280</v>
      </c>
      <c r="D32" s="29">
        <v>51125192</v>
      </c>
      <c r="E32" s="29">
        <v>100</v>
      </c>
      <c r="F32" s="7">
        <v>162</v>
      </c>
      <c r="G32" s="7">
        <v>81</v>
      </c>
      <c r="H32" s="156" t="s">
        <v>70</v>
      </c>
      <c r="I32" s="86" t="s">
        <v>109</v>
      </c>
      <c r="J32" s="7" t="s">
        <v>130</v>
      </c>
      <c r="K32" s="11">
        <v>0.99097222222222225</v>
      </c>
      <c r="L32" s="7" t="s">
        <v>109</v>
      </c>
      <c r="M32" s="7" t="s">
        <v>109</v>
      </c>
      <c r="N32" s="38" t="s">
        <v>109</v>
      </c>
      <c r="O32" s="38" t="s">
        <v>61</v>
      </c>
      <c r="P32" s="7" t="s">
        <v>131</v>
      </c>
      <c r="Q32" s="7" t="s">
        <v>70</v>
      </c>
      <c r="R32" s="7" t="s">
        <v>62</v>
      </c>
      <c r="S32" s="7" t="s">
        <v>136</v>
      </c>
      <c r="T32" s="29" t="s">
        <v>278</v>
      </c>
      <c r="U32" s="108">
        <f t="shared" si="0"/>
        <v>0.81</v>
      </c>
      <c r="V32" s="7" t="s">
        <v>1313</v>
      </c>
      <c r="W32" s="7" t="s">
        <v>3102</v>
      </c>
      <c r="X32" s="7" t="s">
        <v>3103</v>
      </c>
    </row>
    <row r="33" spans="1:24" x14ac:dyDescent="0.3">
      <c r="A33" s="7">
        <v>32</v>
      </c>
      <c r="B33" s="29" t="s">
        <v>23</v>
      </c>
      <c r="C33" s="29" t="s">
        <v>2981</v>
      </c>
      <c r="D33" s="29">
        <v>50326028</v>
      </c>
      <c r="E33" s="29">
        <v>100</v>
      </c>
      <c r="F33" s="7">
        <v>52</v>
      </c>
      <c r="G33" s="7">
        <v>2</v>
      </c>
      <c r="H33" s="156" t="s">
        <v>66</v>
      </c>
      <c r="I33" s="86" t="s">
        <v>109</v>
      </c>
      <c r="J33" s="7" t="s">
        <v>130</v>
      </c>
      <c r="K33" s="11">
        <v>6.2500000000000003E-3</v>
      </c>
      <c r="L33" s="7" t="s">
        <v>109</v>
      </c>
      <c r="M33" s="7" t="s">
        <v>109</v>
      </c>
      <c r="N33" s="89" t="s">
        <v>109</v>
      </c>
      <c r="O33" s="29" t="s">
        <v>61</v>
      </c>
      <c r="P33" s="7" t="s">
        <v>131</v>
      </c>
      <c r="Q33" s="7" t="s">
        <v>66</v>
      </c>
      <c r="R33" s="7" t="s">
        <v>62</v>
      </c>
      <c r="S33" s="7" t="s">
        <v>136</v>
      </c>
      <c r="T33" s="29" t="s">
        <v>379</v>
      </c>
      <c r="U33" s="108">
        <f t="shared" si="0"/>
        <v>0.02</v>
      </c>
      <c r="V33" s="7" t="s">
        <v>152</v>
      </c>
      <c r="W33" s="7" t="s">
        <v>3102</v>
      </c>
      <c r="X33" s="7" t="s">
        <v>3104</v>
      </c>
    </row>
    <row r="34" spans="1:24" x14ac:dyDescent="0.3">
      <c r="A34" s="7">
        <v>33</v>
      </c>
      <c r="B34" s="29" t="s">
        <v>23</v>
      </c>
      <c r="C34" s="29" t="s">
        <v>1794</v>
      </c>
      <c r="D34" s="29">
        <v>50226004</v>
      </c>
      <c r="E34" s="29">
        <v>100</v>
      </c>
      <c r="F34" s="7">
        <v>161</v>
      </c>
      <c r="G34" s="7">
        <v>40</v>
      </c>
      <c r="H34" s="156" t="s">
        <v>184</v>
      </c>
      <c r="I34" s="86" t="s">
        <v>109</v>
      </c>
      <c r="J34" s="7" t="s">
        <v>130</v>
      </c>
      <c r="K34" s="11">
        <v>2.0833333333333332E-2</v>
      </c>
      <c r="L34" s="7" t="s">
        <v>109</v>
      </c>
      <c r="M34" s="7" t="s">
        <v>109</v>
      </c>
      <c r="N34" s="89" t="s">
        <v>109</v>
      </c>
      <c r="O34" s="29" t="s">
        <v>61</v>
      </c>
      <c r="P34" s="7" t="s">
        <v>131</v>
      </c>
      <c r="Q34" s="7" t="s">
        <v>184</v>
      </c>
      <c r="R34" s="7" t="s">
        <v>62</v>
      </c>
      <c r="S34" s="7" t="s">
        <v>136</v>
      </c>
      <c r="T34" s="29" t="s">
        <v>117</v>
      </c>
      <c r="U34" s="108">
        <f t="shared" si="0"/>
        <v>0.4</v>
      </c>
      <c r="V34" s="7" t="s">
        <v>1313</v>
      </c>
      <c r="W34" s="7" t="s">
        <v>3101</v>
      </c>
      <c r="X34" s="7" t="s">
        <v>109</v>
      </c>
    </row>
    <row r="35" spans="1:24" x14ac:dyDescent="0.3">
      <c r="A35" s="7">
        <v>34</v>
      </c>
      <c r="B35" s="29" t="s">
        <v>23</v>
      </c>
      <c r="C35" s="29" t="s">
        <v>1796</v>
      </c>
      <c r="D35" s="29">
        <v>50226005</v>
      </c>
      <c r="E35" s="29">
        <v>60</v>
      </c>
      <c r="F35" s="7">
        <v>75</v>
      </c>
      <c r="G35" s="7">
        <v>60</v>
      </c>
      <c r="H35" s="156" t="s">
        <v>71</v>
      </c>
      <c r="I35" s="86" t="s">
        <v>109</v>
      </c>
      <c r="J35" s="7" t="s">
        <v>130</v>
      </c>
      <c r="K35" s="11">
        <v>0.96805555555555556</v>
      </c>
      <c r="L35" s="7" t="s">
        <v>109</v>
      </c>
      <c r="M35" s="7" t="s">
        <v>109</v>
      </c>
      <c r="N35" s="89" t="s">
        <v>109</v>
      </c>
      <c r="O35" s="29" t="s">
        <v>61</v>
      </c>
      <c r="P35" s="7" t="s">
        <v>131</v>
      </c>
      <c r="Q35" s="7" t="s">
        <v>71</v>
      </c>
      <c r="R35" s="7" t="s">
        <v>62</v>
      </c>
      <c r="S35" s="7" t="s">
        <v>136</v>
      </c>
      <c r="T35" s="29" t="s">
        <v>117</v>
      </c>
      <c r="U35" s="108">
        <f t="shared" si="0"/>
        <v>1</v>
      </c>
      <c r="V35" s="7" t="s">
        <v>1945</v>
      </c>
      <c r="W35" s="7" t="s">
        <v>3101</v>
      </c>
      <c r="X35" s="7" t="s">
        <v>109</v>
      </c>
    </row>
    <row r="36" spans="1:24" x14ac:dyDescent="0.3">
      <c r="A36" s="7">
        <v>35</v>
      </c>
      <c r="B36" s="29" t="s">
        <v>23</v>
      </c>
      <c r="C36" s="29" t="s">
        <v>2137</v>
      </c>
      <c r="D36" s="29">
        <v>50226061</v>
      </c>
      <c r="E36" s="29">
        <v>80</v>
      </c>
      <c r="F36" s="7">
        <v>103</v>
      </c>
      <c r="G36" s="7">
        <v>26</v>
      </c>
      <c r="H36" s="156" t="s">
        <v>274</v>
      </c>
      <c r="I36" s="86" t="s">
        <v>109</v>
      </c>
      <c r="J36" s="7" t="s">
        <v>130</v>
      </c>
      <c r="K36" s="11">
        <v>0.97847222222222219</v>
      </c>
      <c r="L36" s="7" t="s">
        <v>109</v>
      </c>
      <c r="M36" s="7" t="s">
        <v>109</v>
      </c>
      <c r="N36" s="89" t="s">
        <v>109</v>
      </c>
      <c r="O36" s="29" t="s">
        <v>61</v>
      </c>
      <c r="P36" s="7" t="s">
        <v>131</v>
      </c>
      <c r="Q36" s="7" t="s">
        <v>274</v>
      </c>
      <c r="R36" s="7" t="s">
        <v>62</v>
      </c>
      <c r="S36" s="7" t="s">
        <v>136</v>
      </c>
      <c r="T36" s="29" t="s">
        <v>121</v>
      </c>
      <c r="U36" s="108">
        <f t="shared" si="0"/>
        <v>0.32500000000000001</v>
      </c>
      <c r="V36" s="7" t="s">
        <v>152</v>
      </c>
      <c r="W36" s="7" t="s">
        <v>3102</v>
      </c>
      <c r="X36" s="7" t="s">
        <v>3105</v>
      </c>
    </row>
    <row r="37" spans="1:24" x14ac:dyDescent="0.3">
      <c r="A37" s="7">
        <v>36</v>
      </c>
      <c r="B37" s="29" t="s">
        <v>23</v>
      </c>
      <c r="C37" s="29" t="s">
        <v>2519</v>
      </c>
      <c r="D37" s="29">
        <v>50226107</v>
      </c>
      <c r="E37" s="29">
        <v>160</v>
      </c>
      <c r="F37" s="7">
        <v>325</v>
      </c>
      <c r="G37" s="7">
        <v>77</v>
      </c>
      <c r="H37" s="86" t="s">
        <v>3052</v>
      </c>
      <c r="I37" s="86" t="s">
        <v>109</v>
      </c>
      <c r="J37" s="7" t="s">
        <v>130</v>
      </c>
      <c r="K37" s="11">
        <v>0.80625000000000002</v>
      </c>
      <c r="L37" s="7" t="s">
        <v>109</v>
      </c>
      <c r="M37" s="7" t="s">
        <v>109</v>
      </c>
      <c r="N37" s="89" t="s">
        <v>109</v>
      </c>
      <c r="O37" s="29" t="s">
        <v>61</v>
      </c>
      <c r="P37" s="7" t="s">
        <v>131</v>
      </c>
      <c r="Q37" s="7" t="s">
        <v>153</v>
      </c>
      <c r="R37" s="7" t="s">
        <v>62</v>
      </c>
      <c r="S37" s="7" t="s">
        <v>136</v>
      </c>
      <c r="T37" s="29" t="s">
        <v>122</v>
      </c>
      <c r="U37" s="108">
        <f t="shared" si="0"/>
        <v>0.48125000000000001</v>
      </c>
      <c r="V37" s="7" t="s">
        <v>2391</v>
      </c>
      <c r="W37" s="7" t="s">
        <v>3101</v>
      </c>
      <c r="X37" s="7" t="s">
        <v>109</v>
      </c>
    </row>
    <row r="38" spans="1:24" x14ac:dyDescent="0.3">
      <c r="A38" s="7">
        <v>37</v>
      </c>
      <c r="B38" s="29" t="s">
        <v>23</v>
      </c>
      <c r="C38" s="29" t="s">
        <v>2983</v>
      </c>
      <c r="D38" s="29">
        <v>50326023</v>
      </c>
      <c r="E38" s="29">
        <v>140</v>
      </c>
      <c r="F38" s="7">
        <v>232</v>
      </c>
      <c r="G38" s="7">
        <v>26</v>
      </c>
      <c r="H38" s="86" t="s">
        <v>3053</v>
      </c>
      <c r="I38" s="86" t="s">
        <v>109</v>
      </c>
      <c r="J38" s="7" t="s">
        <v>130</v>
      </c>
      <c r="K38" s="11">
        <v>0.75555555555555554</v>
      </c>
      <c r="L38" s="7" t="s">
        <v>109</v>
      </c>
      <c r="M38" s="7" t="s">
        <v>109</v>
      </c>
      <c r="N38" s="89" t="s">
        <v>109</v>
      </c>
      <c r="O38" s="29" t="s">
        <v>61</v>
      </c>
      <c r="P38" s="7" t="s">
        <v>131</v>
      </c>
      <c r="Q38" s="7" t="s">
        <v>65</v>
      </c>
      <c r="R38" s="7" t="s">
        <v>62</v>
      </c>
      <c r="S38" s="7" t="s">
        <v>136</v>
      </c>
      <c r="T38" s="29" t="s">
        <v>121</v>
      </c>
      <c r="U38" s="108">
        <f t="shared" si="0"/>
        <v>0.18571428571428572</v>
      </c>
      <c r="V38" s="7" t="s">
        <v>2391</v>
      </c>
      <c r="W38" s="7" t="s">
        <v>3101</v>
      </c>
      <c r="X38" s="7" t="s">
        <v>109</v>
      </c>
    </row>
    <row r="39" spans="1:24" x14ac:dyDescent="0.3">
      <c r="A39" s="7">
        <v>38</v>
      </c>
      <c r="B39" s="29" t="s">
        <v>143</v>
      </c>
      <c r="C39" s="29" t="s">
        <v>2331</v>
      </c>
      <c r="D39" s="29">
        <v>10226031</v>
      </c>
      <c r="E39" s="91">
        <v>95</v>
      </c>
      <c r="F39" s="7">
        <v>203</v>
      </c>
      <c r="G39" s="7">
        <v>53</v>
      </c>
      <c r="H39" s="86" t="s">
        <v>214</v>
      </c>
      <c r="I39" s="77" t="s">
        <v>209</v>
      </c>
      <c r="J39" s="7" t="s">
        <v>130</v>
      </c>
      <c r="K39" s="11">
        <v>0.87361111111111112</v>
      </c>
      <c r="L39" s="11">
        <v>0.89722222222222225</v>
      </c>
      <c r="M39" s="7" t="s">
        <v>109</v>
      </c>
      <c r="N39" s="89" t="s">
        <v>109</v>
      </c>
      <c r="O39" s="29" t="s">
        <v>61</v>
      </c>
      <c r="P39" s="7" t="s">
        <v>131</v>
      </c>
      <c r="Q39" s="7" t="s">
        <v>209</v>
      </c>
      <c r="R39" s="7" t="s">
        <v>62</v>
      </c>
      <c r="S39" s="7" t="s">
        <v>136</v>
      </c>
      <c r="T39" s="29" t="s">
        <v>121</v>
      </c>
      <c r="U39" s="108">
        <f t="shared" si="0"/>
        <v>0.55789473684210522</v>
      </c>
      <c r="V39" s="7" t="s">
        <v>1313</v>
      </c>
      <c r="W39" s="7" t="s">
        <v>3101</v>
      </c>
      <c r="X39" s="7" t="s">
        <v>109</v>
      </c>
    </row>
    <row r="40" spans="1:24" x14ac:dyDescent="0.3">
      <c r="A40" s="7">
        <v>39</v>
      </c>
      <c r="B40" s="29" t="s">
        <v>143</v>
      </c>
      <c r="C40" s="29" t="s">
        <v>2332</v>
      </c>
      <c r="D40" s="29">
        <v>10226030</v>
      </c>
      <c r="E40" s="91">
        <v>32</v>
      </c>
      <c r="F40" s="7">
        <v>77</v>
      </c>
      <c r="G40" s="7">
        <v>8</v>
      </c>
      <c r="H40" s="156" t="s">
        <v>184</v>
      </c>
      <c r="I40" s="86" t="s">
        <v>94</v>
      </c>
      <c r="J40" s="7" t="s">
        <v>130</v>
      </c>
      <c r="K40" s="11">
        <v>0.98541666666666672</v>
      </c>
      <c r="L40" s="11">
        <v>1.0416666666666666E-2</v>
      </c>
      <c r="M40" s="7" t="s">
        <v>109</v>
      </c>
      <c r="N40" s="89" t="s">
        <v>109</v>
      </c>
      <c r="O40" s="29" t="s">
        <v>61</v>
      </c>
      <c r="P40" s="7" t="s">
        <v>131</v>
      </c>
      <c r="Q40" s="7" t="s">
        <v>94</v>
      </c>
      <c r="R40" s="7" t="s">
        <v>62</v>
      </c>
      <c r="S40" s="7" t="s">
        <v>136</v>
      </c>
      <c r="T40" s="29" t="s">
        <v>121</v>
      </c>
      <c r="U40" s="108">
        <f t="shared" si="0"/>
        <v>0.25</v>
      </c>
      <c r="V40" s="7" t="s">
        <v>1313</v>
      </c>
      <c r="W40" s="7" t="s">
        <v>3101</v>
      </c>
      <c r="X40" s="7" t="s">
        <v>109</v>
      </c>
    </row>
    <row r="41" spans="1:24" x14ac:dyDescent="0.3">
      <c r="A41" s="7">
        <v>40</v>
      </c>
      <c r="B41" s="29" t="s">
        <v>143</v>
      </c>
      <c r="C41" s="29" t="s">
        <v>2360</v>
      </c>
      <c r="D41" s="29">
        <v>10226037</v>
      </c>
      <c r="E41" s="91" t="s">
        <v>287</v>
      </c>
      <c r="F41" s="7">
        <v>83</v>
      </c>
      <c r="G41" s="7">
        <v>14</v>
      </c>
      <c r="H41" s="86" t="s">
        <v>214</v>
      </c>
      <c r="I41" s="86" t="s">
        <v>87</v>
      </c>
      <c r="J41" s="7" t="s">
        <v>130</v>
      </c>
      <c r="K41" s="11">
        <v>0.77986111111111112</v>
      </c>
      <c r="L41" s="11">
        <v>0.81319444444444444</v>
      </c>
      <c r="M41" s="7" t="s">
        <v>109</v>
      </c>
      <c r="N41" s="89" t="s">
        <v>109</v>
      </c>
      <c r="O41" s="29" t="s">
        <v>61</v>
      </c>
      <c r="P41" s="7" t="s">
        <v>131</v>
      </c>
      <c r="Q41" s="7" t="s">
        <v>87</v>
      </c>
      <c r="R41" s="7" t="s">
        <v>62</v>
      </c>
      <c r="S41" s="7" t="s">
        <v>136</v>
      </c>
      <c r="T41" s="29" t="s">
        <v>121</v>
      </c>
      <c r="U41" s="108" t="s">
        <v>109</v>
      </c>
      <c r="V41" s="7" t="s">
        <v>152</v>
      </c>
      <c r="W41" s="7" t="s">
        <v>3101</v>
      </c>
      <c r="X41" s="7" t="s">
        <v>109</v>
      </c>
    </row>
    <row r="42" spans="1:24" x14ac:dyDescent="0.3">
      <c r="A42" s="7">
        <v>41</v>
      </c>
      <c r="B42" s="29" t="s">
        <v>143</v>
      </c>
      <c r="C42" s="29" t="s">
        <v>3005</v>
      </c>
      <c r="D42" s="29">
        <v>10326028</v>
      </c>
      <c r="E42" s="91">
        <v>50</v>
      </c>
      <c r="F42" s="7">
        <v>103</v>
      </c>
      <c r="G42" s="7">
        <v>60</v>
      </c>
      <c r="H42" s="86" t="s">
        <v>88</v>
      </c>
      <c r="I42" s="86" t="s">
        <v>109</v>
      </c>
      <c r="J42" s="7" t="s">
        <v>130</v>
      </c>
      <c r="K42" s="11">
        <v>0.84444444444444444</v>
      </c>
      <c r="L42" s="7" t="s">
        <v>109</v>
      </c>
      <c r="M42" s="7" t="s">
        <v>109</v>
      </c>
      <c r="N42" s="89" t="s">
        <v>109</v>
      </c>
      <c r="O42" s="29" t="s">
        <v>61</v>
      </c>
      <c r="P42" s="7" t="s">
        <v>131</v>
      </c>
      <c r="Q42" s="7" t="s">
        <v>88</v>
      </c>
      <c r="R42" s="7" t="s">
        <v>62</v>
      </c>
      <c r="S42" s="7" t="s">
        <v>136</v>
      </c>
      <c r="T42" s="29" t="s">
        <v>121</v>
      </c>
      <c r="U42" s="108">
        <f t="shared" si="0"/>
        <v>1.2</v>
      </c>
      <c r="V42" s="7" t="s">
        <v>1945</v>
      </c>
      <c r="W42" s="7" t="s">
        <v>3101</v>
      </c>
      <c r="X42" s="7" t="s">
        <v>109</v>
      </c>
    </row>
    <row r="43" spans="1:24" x14ac:dyDescent="0.3">
      <c r="A43" s="7">
        <v>42</v>
      </c>
      <c r="B43" s="29" t="s">
        <v>143</v>
      </c>
      <c r="C43" s="29" t="s">
        <v>3006</v>
      </c>
      <c r="D43" s="29">
        <v>10326029</v>
      </c>
      <c r="E43" s="91" t="s">
        <v>287</v>
      </c>
      <c r="F43" s="7" t="s">
        <v>109</v>
      </c>
      <c r="G43" s="7" t="s">
        <v>109</v>
      </c>
      <c r="H43" s="86" t="s">
        <v>109</v>
      </c>
      <c r="I43" s="86" t="s">
        <v>109</v>
      </c>
      <c r="J43" s="18" t="s">
        <v>85</v>
      </c>
      <c r="K43" s="7" t="s">
        <v>109</v>
      </c>
      <c r="L43" s="7" t="s">
        <v>109</v>
      </c>
      <c r="M43" s="7" t="s">
        <v>109</v>
      </c>
      <c r="N43" s="89" t="s">
        <v>109</v>
      </c>
      <c r="O43" s="29" t="s">
        <v>61</v>
      </c>
      <c r="P43" s="7" t="s">
        <v>109</v>
      </c>
      <c r="Q43" s="7" t="s">
        <v>109</v>
      </c>
      <c r="R43" s="7" t="s">
        <v>62</v>
      </c>
      <c r="S43" s="7" t="s">
        <v>136</v>
      </c>
      <c r="T43" s="29" t="s">
        <v>121</v>
      </c>
      <c r="U43" s="108" t="s">
        <v>109</v>
      </c>
      <c r="V43" s="7" t="s">
        <v>109</v>
      </c>
      <c r="W43" s="7" t="s">
        <v>3101</v>
      </c>
      <c r="X43" s="7" t="s">
        <v>109</v>
      </c>
    </row>
    <row r="44" spans="1:24" x14ac:dyDescent="0.3">
      <c r="A44" s="7">
        <v>43</v>
      </c>
      <c r="B44" s="29" t="s">
        <v>143</v>
      </c>
      <c r="C44" s="29" t="s">
        <v>2368</v>
      </c>
      <c r="D44" s="29">
        <v>10226036</v>
      </c>
      <c r="E44" s="91">
        <v>70</v>
      </c>
      <c r="F44" s="7">
        <v>113</v>
      </c>
      <c r="G44" s="7">
        <v>69</v>
      </c>
      <c r="H44" s="156" t="s">
        <v>184</v>
      </c>
      <c r="I44" s="156" t="s">
        <v>94</v>
      </c>
      <c r="J44" s="7" t="s">
        <v>130</v>
      </c>
      <c r="K44" s="11">
        <v>0.96944444444444444</v>
      </c>
      <c r="L44" s="11">
        <v>0.98819444444444449</v>
      </c>
      <c r="M44" s="7" t="s">
        <v>109</v>
      </c>
      <c r="N44" s="89" t="s">
        <v>109</v>
      </c>
      <c r="O44" s="29" t="s">
        <v>61</v>
      </c>
      <c r="P44" s="7" t="s">
        <v>131</v>
      </c>
      <c r="Q44" s="7" t="s">
        <v>94</v>
      </c>
      <c r="R44" s="7" t="s">
        <v>62</v>
      </c>
      <c r="S44" s="7" t="s">
        <v>136</v>
      </c>
      <c r="T44" s="29" t="s">
        <v>121</v>
      </c>
      <c r="U44" s="108">
        <f t="shared" si="0"/>
        <v>0.98571428571428577</v>
      </c>
      <c r="V44" s="7" t="s">
        <v>1945</v>
      </c>
      <c r="W44" s="7" t="s">
        <v>3101</v>
      </c>
      <c r="X44" s="7" t="s">
        <v>109</v>
      </c>
    </row>
    <row r="45" spans="1:24" x14ac:dyDescent="0.3">
      <c r="A45" s="7">
        <v>44</v>
      </c>
      <c r="B45" s="29" t="s">
        <v>143</v>
      </c>
      <c r="C45" s="29" t="s">
        <v>3054</v>
      </c>
      <c r="D45" s="29">
        <v>10326032</v>
      </c>
      <c r="E45" s="91">
        <v>50</v>
      </c>
      <c r="F45" s="7">
        <v>118</v>
      </c>
      <c r="G45" s="7">
        <v>32</v>
      </c>
      <c r="H45" s="156" t="s">
        <v>222</v>
      </c>
      <c r="I45" s="156" t="s">
        <v>93</v>
      </c>
      <c r="J45" s="7" t="s">
        <v>130</v>
      </c>
      <c r="K45" s="11">
        <v>0.8354166666666667</v>
      </c>
      <c r="L45" s="11">
        <v>0.89097222222222228</v>
      </c>
      <c r="M45" s="7" t="s">
        <v>109</v>
      </c>
      <c r="N45" s="89" t="s">
        <v>109</v>
      </c>
      <c r="O45" s="29" t="s">
        <v>61</v>
      </c>
      <c r="P45" s="7" t="s">
        <v>131</v>
      </c>
      <c r="Q45" s="7" t="s">
        <v>93</v>
      </c>
      <c r="R45" s="7" t="s">
        <v>62</v>
      </c>
      <c r="S45" s="7" t="s">
        <v>136</v>
      </c>
      <c r="T45" s="29" t="s">
        <v>121</v>
      </c>
      <c r="U45" s="108">
        <f t="shared" si="0"/>
        <v>0.64</v>
      </c>
      <c r="V45" s="7" t="s">
        <v>1313</v>
      </c>
      <c r="W45" s="7" t="s">
        <v>3101</v>
      </c>
      <c r="X45" s="7" t="s">
        <v>109</v>
      </c>
    </row>
    <row r="46" spans="1:24" x14ac:dyDescent="0.3">
      <c r="A46" s="7">
        <v>45</v>
      </c>
      <c r="B46" s="29" t="s">
        <v>143</v>
      </c>
      <c r="C46" s="29" t="s">
        <v>3003</v>
      </c>
      <c r="D46" s="29">
        <v>10326030</v>
      </c>
      <c r="E46" s="91">
        <v>50</v>
      </c>
      <c r="F46" s="7">
        <v>104</v>
      </c>
      <c r="G46" s="7">
        <v>36</v>
      </c>
      <c r="H46" s="156" t="s">
        <v>196</v>
      </c>
      <c r="I46" s="77" t="s">
        <v>91</v>
      </c>
      <c r="J46" s="7" t="s">
        <v>130</v>
      </c>
      <c r="K46" s="11">
        <v>0.8305555555555556</v>
      </c>
      <c r="L46" s="11">
        <v>0.89722222222222225</v>
      </c>
      <c r="M46" s="7" t="s">
        <v>109</v>
      </c>
      <c r="N46" s="89" t="s">
        <v>109</v>
      </c>
      <c r="O46" s="29" t="s">
        <v>61</v>
      </c>
      <c r="P46" s="7" t="s">
        <v>131</v>
      </c>
      <c r="Q46" s="7" t="s">
        <v>91</v>
      </c>
      <c r="R46" s="7" t="s">
        <v>62</v>
      </c>
      <c r="S46" s="7" t="s">
        <v>136</v>
      </c>
      <c r="T46" s="29" t="s">
        <v>121</v>
      </c>
      <c r="U46" s="108">
        <f t="shared" si="0"/>
        <v>0.72</v>
      </c>
      <c r="V46" s="7" t="s">
        <v>1313</v>
      </c>
      <c r="W46" s="7" t="s">
        <v>3101</v>
      </c>
      <c r="X46" s="7" t="s">
        <v>109</v>
      </c>
    </row>
    <row r="47" spans="1:24" x14ac:dyDescent="0.3">
      <c r="A47" s="7">
        <v>46</v>
      </c>
      <c r="B47" s="29" t="s">
        <v>143</v>
      </c>
      <c r="C47" s="29" t="s">
        <v>2833</v>
      </c>
      <c r="D47" s="29">
        <v>10326016</v>
      </c>
      <c r="E47" s="91">
        <v>66</v>
      </c>
      <c r="F47" s="7">
        <v>123</v>
      </c>
      <c r="G47" s="7">
        <v>8</v>
      </c>
      <c r="H47" s="156" t="s">
        <v>69</v>
      </c>
      <c r="I47" s="156" t="s">
        <v>86</v>
      </c>
      <c r="J47" s="7" t="s">
        <v>130</v>
      </c>
      <c r="K47" s="11">
        <v>0.68402777777777779</v>
      </c>
      <c r="L47" s="7" t="s">
        <v>109</v>
      </c>
      <c r="M47" s="7" t="s">
        <v>109</v>
      </c>
      <c r="N47" s="89" t="s">
        <v>109</v>
      </c>
      <c r="O47" s="29" t="s">
        <v>61</v>
      </c>
      <c r="P47" s="7" t="s">
        <v>131</v>
      </c>
      <c r="Q47" s="7" t="s">
        <v>86</v>
      </c>
      <c r="R47" s="7" t="s">
        <v>62</v>
      </c>
      <c r="S47" s="7" t="s">
        <v>136</v>
      </c>
      <c r="T47" s="29" t="s">
        <v>121</v>
      </c>
      <c r="U47" s="108">
        <f t="shared" si="0"/>
        <v>0.12121212121212122</v>
      </c>
      <c r="V47" s="7" t="s">
        <v>2391</v>
      </c>
      <c r="W47" s="7" t="s">
        <v>3101</v>
      </c>
      <c r="X47" s="7" t="s">
        <v>109</v>
      </c>
    </row>
    <row r="48" spans="1:24" x14ac:dyDescent="0.3">
      <c r="A48" s="7">
        <v>47</v>
      </c>
      <c r="B48" s="29" t="s">
        <v>143</v>
      </c>
      <c r="C48" s="29" t="s">
        <v>3055</v>
      </c>
      <c r="D48" s="29">
        <v>10326041</v>
      </c>
      <c r="E48" s="91" t="s">
        <v>287</v>
      </c>
      <c r="F48" s="7">
        <v>33</v>
      </c>
      <c r="G48" s="7">
        <v>3</v>
      </c>
      <c r="H48" s="156" t="s">
        <v>71</v>
      </c>
      <c r="I48" s="156" t="s">
        <v>1082</v>
      </c>
      <c r="J48" s="7" t="s">
        <v>130</v>
      </c>
      <c r="K48" s="11">
        <v>0.86250000000000004</v>
      </c>
      <c r="L48" s="11">
        <v>0.86250000000000004</v>
      </c>
      <c r="M48" s="7" t="s">
        <v>109</v>
      </c>
      <c r="N48" s="89" t="s">
        <v>109</v>
      </c>
      <c r="O48" s="29" t="s">
        <v>61</v>
      </c>
      <c r="P48" s="7" t="s">
        <v>131</v>
      </c>
      <c r="Q48" s="7" t="s">
        <v>1082</v>
      </c>
      <c r="R48" s="7" t="s">
        <v>62</v>
      </c>
      <c r="S48" s="7" t="s">
        <v>136</v>
      </c>
      <c r="T48" s="29" t="s">
        <v>121</v>
      </c>
      <c r="U48" s="108" t="s">
        <v>109</v>
      </c>
      <c r="V48" s="7" t="s">
        <v>152</v>
      </c>
      <c r="W48" s="7" t="s">
        <v>3101</v>
      </c>
      <c r="X48" s="7" t="s">
        <v>109</v>
      </c>
    </row>
    <row r="49" spans="1:24" x14ac:dyDescent="0.3">
      <c r="A49" s="7">
        <v>48</v>
      </c>
      <c r="B49" s="29" t="s">
        <v>143</v>
      </c>
      <c r="C49" s="29" t="s">
        <v>3056</v>
      </c>
      <c r="D49" s="29">
        <v>10326033</v>
      </c>
      <c r="E49" s="91" t="s">
        <v>287</v>
      </c>
      <c r="F49" s="7">
        <v>42</v>
      </c>
      <c r="G49" s="7">
        <v>15</v>
      </c>
      <c r="H49" s="156" t="s">
        <v>65</v>
      </c>
      <c r="I49" s="77" t="s">
        <v>88</v>
      </c>
      <c r="J49" s="7" t="s">
        <v>130</v>
      </c>
      <c r="K49" s="11">
        <v>0.84652777777777777</v>
      </c>
      <c r="L49" s="11">
        <v>0.87708333333333333</v>
      </c>
      <c r="M49" s="7" t="s">
        <v>109</v>
      </c>
      <c r="N49" s="89" t="s">
        <v>109</v>
      </c>
      <c r="O49" s="29" t="s">
        <v>61</v>
      </c>
      <c r="P49" s="7" t="s">
        <v>131</v>
      </c>
      <c r="Q49" s="7" t="s">
        <v>88</v>
      </c>
      <c r="R49" s="7" t="s">
        <v>62</v>
      </c>
      <c r="S49" s="7" t="s">
        <v>136</v>
      </c>
      <c r="T49" s="29" t="s">
        <v>121</v>
      </c>
      <c r="U49" s="108" t="s">
        <v>109</v>
      </c>
      <c r="V49" s="7" t="s">
        <v>152</v>
      </c>
      <c r="W49" s="7" t="s">
        <v>3101</v>
      </c>
      <c r="X49" s="7" t="s">
        <v>109</v>
      </c>
    </row>
    <row r="50" spans="1:24" x14ac:dyDescent="0.3">
      <c r="A50" s="7">
        <v>49</v>
      </c>
      <c r="B50" s="29" t="s">
        <v>143</v>
      </c>
      <c r="C50" s="29" t="s">
        <v>1950</v>
      </c>
      <c r="D50" s="29">
        <v>10226007</v>
      </c>
      <c r="E50" s="91">
        <v>50</v>
      </c>
      <c r="F50" s="7">
        <v>75</v>
      </c>
      <c r="G50" s="7">
        <v>50</v>
      </c>
      <c r="H50" s="156" t="s">
        <v>200</v>
      </c>
      <c r="I50" s="77" t="s">
        <v>91</v>
      </c>
      <c r="J50" s="7" t="s">
        <v>130</v>
      </c>
      <c r="K50" s="11">
        <v>0.93680555555555556</v>
      </c>
      <c r="L50" s="11">
        <v>4.2361111111111113E-2</v>
      </c>
      <c r="M50" s="7" t="s">
        <v>109</v>
      </c>
      <c r="N50" s="89" t="s">
        <v>109</v>
      </c>
      <c r="O50" s="29" t="s">
        <v>61</v>
      </c>
      <c r="P50" s="7" t="s">
        <v>131</v>
      </c>
      <c r="Q50" s="7" t="s">
        <v>91</v>
      </c>
      <c r="R50" s="7" t="s">
        <v>62</v>
      </c>
      <c r="S50" s="7" t="s">
        <v>136</v>
      </c>
      <c r="T50" s="29" t="s">
        <v>2064</v>
      </c>
      <c r="U50" s="108">
        <f t="shared" si="0"/>
        <v>1</v>
      </c>
      <c r="V50" s="7" t="s">
        <v>1945</v>
      </c>
      <c r="W50" s="7" t="s">
        <v>3101</v>
      </c>
      <c r="X50" s="7" t="s">
        <v>109</v>
      </c>
    </row>
    <row r="51" spans="1:24" x14ac:dyDescent="0.3">
      <c r="A51" s="7">
        <v>50</v>
      </c>
      <c r="B51" s="29" t="s">
        <v>143</v>
      </c>
      <c r="C51" s="29" t="s">
        <v>3057</v>
      </c>
      <c r="D51" s="135">
        <v>10326040</v>
      </c>
      <c r="E51" s="91">
        <v>40</v>
      </c>
      <c r="F51" s="7" t="s">
        <v>109</v>
      </c>
      <c r="G51" s="7" t="s">
        <v>109</v>
      </c>
      <c r="H51" s="156" t="s">
        <v>196</v>
      </c>
      <c r="I51" s="77" t="s">
        <v>87</v>
      </c>
      <c r="J51" s="18" t="s">
        <v>85</v>
      </c>
      <c r="K51" s="7" t="s">
        <v>109</v>
      </c>
      <c r="L51" s="7" t="s">
        <v>109</v>
      </c>
      <c r="M51" s="7" t="s">
        <v>109</v>
      </c>
      <c r="N51" s="89" t="s">
        <v>109</v>
      </c>
      <c r="O51" s="29" t="s">
        <v>61</v>
      </c>
      <c r="P51" s="7" t="s">
        <v>109</v>
      </c>
      <c r="Q51" s="7" t="s">
        <v>109</v>
      </c>
      <c r="R51" s="7" t="s">
        <v>62</v>
      </c>
      <c r="S51" s="7" t="s">
        <v>136</v>
      </c>
      <c r="T51" s="29" t="s">
        <v>121</v>
      </c>
      <c r="U51" s="108" t="e">
        <f t="shared" si="0"/>
        <v>#VALUE!</v>
      </c>
      <c r="V51" s="7" t="s">
        <v>109</v>
      </c>
      <c r="W51" s="7" t="s">
        <v>3101</v>
      </c>
      <c r="X51" s="7" t="s">
        <v>109</v>
      </c>
    </row>
    <row r="52" spans="1:24" x14ac:dyDescent="0.3">
      <c r="A52" s="7">
        <v>51</v>
      </c>
      <c r="B52" s="29" t="s">
        <v>143</v>
      </c>
      <c r="C52" s="29" t="s">
        <v>3058</v>
      </c>
      <c r="D52" s="135">
        <v>10326039</v>
      </c>
      <c r="E52" s="91">
        <v>79</v>
      </c>
      <c r="F52" s="7">
        <v>126</v>
      </c>
      <c r="G52" s="7">
        <v>53</v>
      </c>
      <c r="H52" s="156" t="s">
        <v>84</v>
      </c>
      <c r="I52" s="156" t="s">
        <v>1082</v>
      </c>
      <c r="J52" s="7" t="s">
        <v>130</v>
      </c>
      <c r="K52" s="11">
        <v>1.3888888888888888E-2</v>
      </c>
      <c r="L52" s="7" t="s">
        <v>109</v>
      </c>
      <c r="M52" s="7" t="s">
        <v>109</v>
      </c>
      <c r="N52" s="89" t="s">
        <v>109</v>
      </c>
      <c r="O52" s="29" t="s">
        <v>61</v>
      </c>
      <c r="P52" s="7" t="s">
        <v>131</v>
      </c>
      <c r="Q52" s="7" t="s">
        <v>1082</v>
      </c>
      <c r="R52" s="7" t="s">
        <v>62</v>
      </c>
      <c r="S52" s="7" t="s">
        <v>136</v>
      </c>
      <c r="T52" s="29" t="s">
        <v>121</v>
      </c>
      <c r="U52" s="108">
        <f t="shared" si="0"/>
        <v>0.67088607594936711</v>
      </c>
      <c r="V52" s="7" t="s">
        <v>1313</v>
      </c>
      <c r="W52" s="7" t="s">
        <v>3101</v>
      </c>
      <c r="X52" s="7" t="s">
        <v>109</v>
      </c>
    </row>
    <row r="53" spans="1:24" x14ac:dyDescent="0.3">
      <c r="A53" s="7">
        <v>52</v>
      </c>
      <c r="B53" s="29" t="s">
        <v>143</v>
      </c>
      <c r="C53" s="29" t="s">
        <v>3059</v>
      </c>
      <c r="D53" s="135">
        <v>10326038</v>
      </c>
      <c r="E53" s="91">
        <v>60</v>
      </c>
      <c r="F53" s="7">
        <v>100</v>
      </c>
      <c r="G53" s="7">
        <v>30</v>
      </c>
      <c r="H53" s="156" t="s">
        <v>241</v>
      </c>
      <c r="I53" s="77" t="s">
        <v>91</v>
      </c>
      <c r="J53" s="7" t="s">
        <v>130</v>
      </c>
      <c r="K53" s="11">
        <v>0.9604166666666667</v>
      </c>
      <c r="L53" s="11">
        <v>2.7083333333333334E-2</v>
      </c>
      <c r="M53" s="7" t="s">
        <v>109</v>
      </c>
      <c r="N53" s="89" t="s">
        <v>109</v>
      </c>
      <c r="O53" s="29" t="s">
        <v>61</v>
      </c>
      <c r="P53" s="7" t="s">
        <v>131</v>
      </c>
      <c r="Q53" s="7" t="s">
        <v>109</v>
      </c>
      <c r="R53" s="7" t="s">
        <v>62</v>
      </c>
      <c r="S53" s="7" t="s">
        <v>136</v>
      </c>
      <c r="T53" s="29" t="s">
        <v>121</v>
      </c>
      <c r="U53" s="108">
        <f t="shared" si="0"/>
        <v>0.5</v>
      </c>
      <c r="V53" s="7" t="s">
        <v>1313</v>
      </c>
      <c r="W53" s="7" t="s">
        <v>3101</v>
      </c>
      <c r="X53" s="7" t="s">
        <v>109</v>
      </c>
    </row>
    <row r="54" spans="1:24" x14ac:dyDescent="0.3">
      <c r="A54" s="7">
        <v>53</v>
      </c>
      <c r="B54" s="29" t="s">
        <v>143</v>
      </c>
      <c r="C54" s="29" t="s">
        <v>3060</v>
      </c>
      <c r="D54" s="29">
        <v>10326036</v>
      </c>
      <c r="E54" s="91">
        <v>50</v>
      </c>
      <c r="F54" s="7">
        <v>72</v>
      </c>
      <c r="G54" s="7">
        <v>57</v>
      </c>
      <c r="H54" s="156" t="s">
        <v>82</v>
      </c>
      <c r="I54" s="77" t="s">
        <v>95</v>
      </c>
      <c r="J54" s="7" t="s">
        <v>130</v>
      </c>
      <c r="K54" s="11">
        <v>0.65069444444444446</v>
      </c>
      <c r="L54" s="11">
        <v>0.73402777777777772</v>
      </c>
      <c r="M54" s="7" t="s">
        <v>109</v>
      </c>
      <c r="N54" s="89" t="s">
        <v>109</v>
      </c>
      <c r="O54" s="29" t="s">
        <v>61</v>
      </c>
      <c r="P54" s="7" t="s">
        <v>131</v>
      </c>
      <c r="Q54" s="7" t="s">
        <v>95</v>
      </c>
      <c r="R54" s="7" t="s">
        <v>62</v>
      </c>
      <c r="S54" s="7" t="s">
        <v>136</v>
      </c>
      <c r="T54" s="29" t="s">
        <v>121</v>
      </c>
      <c r="U54" s="108">
        <f t="shared" si="0"/>
        <v>1.1399999999999999</v>
      </c>
      <c r="V54" s="7" t="s">
        <v>1945</v>
      </c>
      <c r="W54" s="7" t="s">
        <v>3101</v>
      </c>
      <c r="X54" s="7" t="s">
        <v>109</v>
      </c>
    </row>
    <row r="55" spans="1:24" x14ac:dyDescent="0.3">
      <c r="A55" s="7">
        <v>54</v>
      </c>
      <c r="B55" s="29" t="s">
        <v>143</v>
      </c>
      <c r="C55" s="29" t="s">
        <v>3061</v>
      </c>
      <c r="D55" s="29">
        <v>10326037</v>
      </c>
      <c r="E55" s="91">
        <v>60</v>
      </c>
      <c r="F55" s="7">
        <v>163</v>
      </c>
      <c r="G55" s="7">
        <v>14</v>
      </c>
      <c r="H55" s="156" t="s">
        <v>214</v>
      </c>
      <c r="I55" s="156" t="s">
        <v>154</v>
      </c>
      <c r="J55" s="7" t="s">
        <v>130</v>
      </c>
      <c r="K55" s="11">
        <v>0.65416666666666667</v>
      </c>
      <c r="L55" s="11">
        <v>0.72152777777777777</v>
      </c>
      <c r="M55" s="7" t="s">
        <v>109</v>
      </c>
      <c r="N55" s="89" t="s">
        <v>109</v>
      </c>
      <c r="O55" s="29" t="s">
        <v>61</v>
      </c>
      <c r="P55" s="7" t="s">
        <v>131</v>
      </c>
      <c r="Q55" s="7" t="s">
        <v>154</v>
      </c>
      <c r="R55" s="7" t="s">
        <v>62</v>
      </c>
      <c r="S55" s="7" t="s">
        <v>136</v>
      </c>
      <c r="T55" s="29" t="s">
        <v>121</v>
      </c>
      <c r="U55" s="108">
        <f t="shared" si="0"/>
        <v>0.23333333333333334</v>
      </c>
      <c r="V55" s="7" t="s">
        <v>1313</v>
      </c>
      <c r="W55" s="7" t="s">
        <v>3101</v>
      </c>
      <c r="X55" s="7" t="s">
        <v>109</v>
      </c>
    </row>
    <row r="56" spans="1:24" x14ac:dyDescent="0.3">
      <c r="A56" s="7">
        <v>55</v>
      </c>
      <c r="B56" s="29" t="s">
        <v>143</v>
      </c>
      <c r="C56" s="29" t="s">
        <v>2834</v>
      </c>
      <c r="D56" s="29">
        <v>10326014</v>
      </c>
      <c r="E56" s="91">
        <v>25</v>
      </c>
      <c r="F56" s="7">
        <v>70</v>
      </c>
      <c r="G56" s="7">
        <v>15</v>
      </c>
      <c r="H56" s="156" t="s">
        <v>82</v>
      </c>
      <c r="I56" s="156" t="s">
        <v>86</v>
      </c>
      <c r="J56" s="7" t="s">
        <v>130</v>
      </c>
      <c r="K56" s="11">
        <v>0.91527777777777775</v>
      </c>
      <c r="L56" s="11">
        <v>0.94444444444444442</v>
      </c>
      <c r="M56" s="7" t="s">
        <v>109</v>
      </c>
      <c r="N56" s="89" t="s">
        <v>109</v>
      </c>
      <c r="O56" s="29" t="s">
        <v>61</v>
      </c>
      <c r="P56" s="7" t="s">
        <v>131</v>
      </c>
      <c r="Q56" s="7" t="s">
        <v>86</v>
      </c>
      <c r="R56" s="7" t="s">
        <v>62</v>
      </c>
      <c r="S56" s="7" t="s">
        <v>136</v>
      </c>
      <c r="T56" s="29" t="s">
        <v>121</v>
      </c>
      <c r="U56" s="108">
        <f t="shared" si="0"/>
        <v>0.6</v>
      </c>
      <c r="V56" s="7" t="s">
        <v>1313</v>
      </c>
      <c r="W56" s="7" t="s">
        <v>3101</v>
      </c>
      <c r="X56" s="7" t="s">
        <v>109</v>
      </c>
    </row>
    <row r="57" spans="1:24" x14ac:dyDescent="0.3">
      <c r="A57" s="7">
        <v>56</v>
      </c>
      <c r="B57" s="29" t="s">
        <v>143</v>
      </c>
      <c r="C57" s="29" t="s">
        <v>2839</v>
      </c>
      <c r="D57" s="29">
        <v>10326010</v>
      </c>
      <c r="E57" s="91" t="s">
        <v>3002</v>
      </c>
      <c r="F57" s="7">
        <v>28</v>
      </c>
      <c r="G57" s="7">
        <v>5</v>
      </c>
      <c r="H57" s="86" t="s">
        <v>68</v>
      </c>
      <c r="I57" s="86" t="s">
        <v>95</v>
      </c>
      <c r="J57" s="7" t="s">
        <v>130</v>
      </c>
      <c r="K57" s="11">
        <v>0.97847222222222219</v>
      </c>
      <c r="L57" s="11">
        <v>0.9916666666666667</v>
      </c>
      <c r="M57" s="7" t="s">
        <v>109</v>
      </c>
      <c r="N57" s="89" t="s">
        <v>109</v>
      </c>
      <c r="O57" s="29" t="s">
        <v>61</v>
      </c>
      <c r="P57" s="7" t="s">
        <v>131</v>
      </c>
      <c r="Q57" s="7" t="s">
        <v>95</v>
      </c>
      <c r="R57" s="7" t="s">
        <v>62</v>
      </c>
      <c r="S57" s="7" t="s">
        <v>136</v>
      </c>
      <c r="T57" s="29" t="s">
        <v>121</v>
      </c>
      <c r="U57" s="108" t="s">
        <v>109</v>
      </c>
      <c r="V57" s="7" t="s">
        <v>152</v>
      </c>
      <c r="W57" s="7" t="s">
        <v>3101</v>
      </c>
      <c r="X57" s="7" t="s">
        <v>109</v>
      </c>
    </row>
    <row r="58" spans="1:24" x14ac:dyDescent="0.3">
      <c r="A58" s="7">
        <v>57</v>
      </c>
      <c r="B58" s="29" t="s">
        <v>143</v>
      </c>
      <c r="C58" s="29" t="s">
        <v>2359</v>
      </c>
      <c r="D58" s="29">
        <v>10226038</v>
      </c>
      <c r="E58" s="91">
        <v>150</v>
      </c>
      <c r="F58" s="7">
        <v>256</v>
      </c>
      <c r="G58" s="7">
        <v>100</v>
      </c>
      <c r="H58" s="86" t="s">
        <v>962</v>
      </c>
      <c r="I58" s="156" t="s">
        <v>3097</v>
      </c>
      <c r="J58" s="7" t="s">
        <v>130</v>
      </c>
      <c r="K58" s="11">
        <v>0.9506944444444444</v>
      </c>
      <c r="L58" s="11">
        <v>0.97916666666666663</v>
      </c>
      <c r="M58" s="7" t="s">
        <v>109</v>
      </c>
      <c r="N58" s="89" t="s">
        <v>109</v>
      </c>
      <c r="O58" s="29" t="s">
        <v>61</v>
      </c>
      <c r="P58" s="7" t="s">
        <v>131</v>
      </c>
      <c r="Q58" s="7" t="s">
        <v>209</v>
      </c>
      <c r="R58" s="7" t="s">
        <v>62</v>
      </c>
      <c r="S58" s="7" t="s">
        <v>136</v>
      </c>
      <c r="T58" s="29" t="s">
        <v>402</v>
      </c>
      <c r="U58" s="108">
        <f t="shared" si="0"/>
        <v>0.66666666666666663</v>
      </c>
      <c r="V58" s="7" t="s">
        <v>1313</v>
      </c>
      <c r="W58" s="7" t="s">
        <v>3102</v>
      </c>
      <c r="X58" s="7" t="s">
        <v>3106</v>
      </c>
    </row>
    <row r="59" spans="1:24" x14ac:dyDescent="0.3">
      <c r="A59" s="7">
        <v>58</v>
      </c>
      <c r="B59" s="29" t="s">
        <v>143</v>
      </c>
      <c r="C59" s="29" t="s">
        <v>1430</v>
      </c>
      <c r="D59" s="29">
        <v>10126033</v>
      </c>
      <c r="E59" s="91">
        <v>50</v>
      </c>
      <c r="F59" s="7">
        <v>62</v>
      </c>
      <c r="G59" s="7">
        <v>27</v>
      </c>
      <c r="H59" s="156" t="s">
        <v>71</v>
      </c>
      <c r="I59" s="77" t="s">
        <v>87</v>
      </c>
      <c r="J59" s="7" t="s">
        <v>130</v>
      </c>
      <c r="K59" s="11">
        <v>0.71875</v>
      </c>
      <c r="L59" s="11">
        <v>0.73472222222222228</v>
      </c>
      <c r="M59" s="7" t="s">
        <v>109</v>
      </c>
      <c r="N59" s="89" t="s">
        <v>109</v>
      </c>
      <c r="O59" s="29" t="s">
        <v>61</v>
      </c>
      <c r="P59" s="7" t="s">
        <v>131</v>
      </c>
      <c r="Q59" s="7" t="s">
        <v>87</v>
      </c>
      <c r="R59" s="7" t="s">
        <v>62</v>
      </c>
      <c r="S59" s="7" t="s">
        <v>136</v>
      </c>
      <c r="T59" s="29" t="s">
        <v>1433</v>
      </c>
      <c r="U59" s="108">
        <f t="shared" si="0"/>
        <v>0.54</v>
      </c>
      <c r="V59" s="7" t="s">
        <v>3123</v>
      </c>
      <c r="W59" s="7" t="s">
        <v>3101</v>
      </c>
      <c r="X59" s="7" t="s">
        <v>109</v>
      </c>
    </row>
    <row r="60" spans="1:24" x14ac:dyDescent="0.3">
      <c r="A60" s="7">
        <v>59</v>
      </c>
      <c r="B60" s="29" t="s">
        <v>143</v>
      </c>
      <c r="C60" s="29" t="s">
        <v>1667</v>
      </c>
      <c r="D60" s="29">
        <v>10126048</v>
      </c>
      <c r="E60" s="91">
        <v>50</v>
      </c>
      <c r="F60" s="7">
        <v>100</v>
      </c>
      <c r="G60" s="7">
        <v>7</v>
      </c>
      <c r="H60" s="156" t="s">
        <v>241</v>
      </c>
      <c r="I60" s="156" t="s">
        <v>93</v>
      </c>
      <c r="J60" s="7" t="s">
        <v>130</v>
      </c>
      <c r="K60" s="11">
        <v>0.82638888888888884</v>
      </c>
      <c r="L60" s="11">
        <v>0.88055555555555554</v>
      </c>
      <c r="M60" s="7" t="s">
        <v>109</v>
      </c>
      <c r="N60" s="32" t="s">
        <v>3062</v>
      </c>
      <c r="O60" s="29" t="s">
        <v>61</v>
      </c>
      <c r="P60" s="7" t="s">
        <v>131</v>
      </c>
      <c r="Q60" s="7" t="s">
        <v>93</v>
      </c>
      <c r="R60" s="7" t="s">
        <v>62</v>
      </c>
      <c r="S60" s="7" t="s">
        <v>136</v>
      </c>
      <c r="T60" s="29" t="s">
        <v>402</v>
      </c>
      <c r="U60" s="108">
        <f t="shared" si="0"/>
        <v>0.14000000000000001</v>
      </c>
      <c r="V60" s="7" t="s">
        <v>1313</v>
      </c>
      <c r="W60" s="7" t="s">
        <v>3102</v>
      </c>
      <c r="X60" s="7" t="s">
        <v>3107</v>
      </c>
    </row>
    <row r="61" spans="1:24" x14ac:dyDescent="0.3">
      <c r="A61" s="7">
        <v>60</v>
      </c>
      <c r="B61" s="29" t="s">
        <v>143</v>
      </c>
      <c r="C61" s="29" t="s">
        <v>1598</v>
      </c>
      <c r="D61" s="29">
        <v>10126044</v>
      </c>
      <c r="E61" s="91">
        <v>100</v>
      </c>
      <c r="F61" s="7">
        <v>158</v>
      </c>
      <c r="G61" s="7">
        <v>83</v>
      </c>
      <c r="H61" s="156" t="s">
        <v>67</v>
      </c>
      <c r="I61" s="86" t="s">
        <v>93</v>
      </c>
      <c r="J61" s="7" t="s">
        <v>130</v>
      </c>
      <c r="K61" s="11">
        <v>0.98333333333333328</v>
      </c>
      <c r="L61" s="11">
        <v>0.99305555555555558</v>
      </c>
      <c r="M61" s="7" t="s">
        <v>109</v>
      </c>
      <c r="N61" s="89" t="s">
        <v>109</v>
      </c>
      <c r="O61" s="29" t="s">
        <v>61</v>
      </c>
      <c r="P61" s="7" t="s">
        <v>131</v>
      </c>
      <c r="Q61" s="7" t="s">
        <v>93</v>
      </c>
      <c r="R61" s="7" t="s">
        <v>62</v>
      </c>
      <c r="S61" s="7" t="s">
        <v>136</v>
      </c>
      <c r="T61" s="29" t="s">
        <v>480</v>
      </c>
      <c r="U61" s="108">
        <f t="shared" si="0"/>
        <v>0.83</v>
      </c>
      <c r="V61" s="7" t="s">
        <v>1313</v>
      </c>
      <c r="W61" s="7" t="s">
        <v>3102</v>
      </c>
      <c r="X61" s="7" t="s">
        <v>3108</v>
      </c>
    </row>
    <row r="62" spans="1:24" x14ac:dyDescent="0.3">
      <c r="A62" s="7">
        <v>61</v>
      </c>
      <c r="B62" s="29" t="s">
        <v>143</v>
      </c>
      <c r="C62" s="29" t="s">
        <v>2366</v>
      </c>
      <c r="D62" s="29">
        <v>10226040</v>
      </c>
      <c r="E62" s="91">
        <v>120</v>
      </c>
      <c r="F62" s="7">
        <v>186</v>
      </c>
      <c r="G62" s="7">
        <v>96</v>
      </c>
      <c r="H62" s="86" t="s">
        <v>3063</v>
      </c>
      <c r="I62" s="86" t="s">
        <v>2970</v>
      </c>
      <c r="J62" s="7" t="s">
        <v>130</v>
      </c>
      <c r="K62" s="11">
        <v>0.84097222222222223</v>
      </c>
      <c r="L62" s="11">
        <v>0.92291666666666672</v>
      </c>
      <c r="M62" s="7" t="s">
        <v>109</v>
      </c>
      <c r="N62" s="89" t="s">
        <v>109</v>
      </c>
      <c r="O62" s="29" t="s">
        <v>61</v>
      </c>
      <c r="P62" s="7" t="s">
        <v>131</v>
      </c>
      <c r="Q62" s="7" t="s">
        <v>88</v>
      </c>
      <c r="R62" s="7" t="s">
        <v>62</v>
      </c>
      <c r="S62" s="7" t="s">
        <v>136</v>
      </c>
      <c r="T62" s="29" t="s">
        <v>334</v>
      </c>
      <c r="U62" s="108">
        <f t="shared" si="0"/>
        <v>0.8</v>
      </c>
      <c r="V62" s="7" t="s">
        <v>1313</v>
      </c>
      <c r="W62" s="7" t="s">
        <v>3101</v>
      </c>
      <c r="X62" s="7" t="s">
        <v>109</v>
      </c>
    </row>
    <row r="63" spans="1:24" x14ac:dyDescent="0.3">
      <c r="A63" s="7">
        <v>62</v>
      </c>
      <c r="B63" s="29" t="s">
        <v>143</v>
      </c>
      <c r="C63" s="29" t="s">
        <v>3064</v>
      </c>
      <c r="D63" s="29">
        <v>10326035</v>
      </c>
      <c r="E63" s="91">
        <v>100</v>
      </c>
      <c r="F63" s="7">
        <v>168</v>
      </c>
      <c r="G63" s="7">
        <v>107</v>
      </c>
      <c r="H63" s="86" t="s">
        <v>3065</v>
      </c>
      <c r="I63" s="86" t="s">
        <v>1828</v>
      </c>
      <c r="J63" s="7" t="s">
        <v>130</v>
      </c>
      <c r="K63" s="11">
        <v>0.78333333333333333</v>
      </c>
      <c r="L63" s="11">
        <v>0.80902777777777779</v>
      </c>
      <c r="M63" s="7" t="s">
        <v>109</v>
      </c>
      <c r="N63" s="89" t="s">
        <v>109</v>
      </c>
      <c r="O63" s="29" t="s">
        <v>61</v>
      </c>
      <c r="P63" s="7" t="s">
        <v>131</v>
      </c>
      <c r="Q63" s="7" t="s">
        <v>91</v>
      </c>
      <c r="R63" s="7" t="s">
        <v>62</v>
      </c>
      <c r="S63" s="7" t="s">
        <v>136</v>
      </c>
      <c r="T63" s="29" t="s">
        <v>182</v>
      </c>
      <c r="U63" s="108">
        <f t="shared" si="0"/>
        <v>1.07</v>
      </c>
      <c r="V63" s="7" t="s">
        <v>1945</v>
      </c>
      <c r="W63" s="7" t="s">
        <v>3101</v>
      </c>
      <c r="X63" s="7" t="s">
        <v>109</v>
      </c>
    </row>
    <row r="64" spans="1:24" x14ac:dyDescent="0.3">
      <c r="A64" s="7">
        <v>63</v>
      </c>
      <c r="B64" s="29" t="s">
        <v>143</v>
      </c>
      <c r="C64" s="29" t="s">
        <v>3066</v>
      </c>
      <c r="D64" s="29">
        <v>10326034</v>
      </c>
      <c r="E64" s="91">
        <v>100</v>
      </c>
      <c r="F64" s="7">
        <v>201</v>
      </c>
      <c r="G64" s="7">
        <v>14</v>
      </c>
      <c r="H64" s="86" t="s">
        <v>2779</v>
      </c>
      <c r="I64" s="86" t="s">
        <v>3067</v>
      </c>
      <c r="J64" s="7" t="s">
        <v>130</v>
      </c>
      <c r="K64" s="11">
        <v>2.9166666666666667E-2</v>
      </c>
      <c r="L64" s="11">
        <v>7.3611111111111113E-2</v>
      </c>
      <c r="M64" s="7" t="s">
        <v>109</v>
      </c>
      <c r="N64" s="89" t="s">
        <v>109</v>
      </c>
      <c r="O64" s="29" t="s">
        <v>61</v>
      </c>
      <c r="P64" s="7" t="s">
        <v>131</v>
      </c>
      <c r="Q64" s="7" t="s">
        <v>744</v>
      </c>
      <c r="R64" s="7" t="s">
        <v>62</v>
      </c>
      <c r="S64" s="7" t="s">
        <v>136</v>
      </c>
      <c r="T64" s="29" t="s">
        <v>182</v>
      </c>
      <c r="U64" s="108">
        <f t="shared" si="0"/>
        <v>0.14000000000000001</v>
      </c>
      <c r="V64" s="7" t="s">
        <v>2391</v>
      </c>
      <c r="W64" s="7" t="s">
        <v>3102</v>
      </c>
      <c r="X64" s="7" t="s">
        <v>3109</v>
      </c>
    </row>
    <row r="65" spans="1:24" x14ac:dyDescent="0.3">
      <c r="A65" s="7">
        <v>64</v>
      </c>
      <c r="B65" s="29" t="s">
        <v>143</v>
      </c>
      <c r="C65" s="29" t="s">
        <v>3068</v>
      </c>
      <c r="D65" s="29">
        <v>10326031</v>
      </c>
      <c r="E65" s="91">
        <v>125</v>
      </c>
      <c r="F65" s="7">
        <v>134</v>
      </c>
      <c r="G65" s="7">
        <v>14</v>
      </c>
      <c r="H65" s="156" t="s">
        <v>3069</v>
      </c>
      <c r="I65" s="86" t="s">
        <v>3070</v>
      </c>
      <c r="J65" s="7" t="s">
        <v>130</v>
      </c>
      <c r="K65" s="11">
        <v>0.81180555555555556</v>
      </c>
      <c r="L65" s="11">
        <v>2.2222222222222223E-2</v>
      </c>
      <c r="M65" s="7" t="s">
        <v>109</v>
      </c>
      <c r="N65" s="89" t="s">
        <v>109</v>
      </c>
      <c r="O65" s="29" t="s">
        <v>61</v>
      </c>
      <c r="P65" s="7" t="s">
        <v>131</v>
      </c>
      <c r="Q65" s="7" t="s">
        <v>154</v>
      </c>
      <c r="R65" s="7" t="s">
        <v>62</v>
      </c>
      <c r="S65" s="7" t="s">
        <v>136</v>
      </c>
      <c r="T65" s="29" t="s">
        <v>398</v>
      </c>
      <c r="U65" s="108">
        <f t="shared" si="0"/>
        <v>0.112</v>
      </c>
      <c r="V65" s="7" t="s">
        <v>152</v>
      </c>
      <c r="W65" s="7" t="s">
        <v>3101</v>
      </c>
      <c r="X65" s="7" t="s">
        <v>109</v>
      </c>
    </row>
    <row r="66" spans="1:24" x14ac:dyDescent="0.3">
      <c r="A66" s="7">
        <v>65</v>
      </c>
      <c r="B66" s="29" t="s">
        <v>143</v>
      </c>
      <c r="C66" s="29" t="s">
        <v>2827</v>
      </c>
      <c r="D66" s="29">
        <v>10326017</v>
      </c>
      <c r="E66" s="91">
        <v>50</v>
      </c>
      <c r="F66" s="7">
        <v>130</v>
      </c>
      <c r="G66" s="7">
        <v>49</v>
      </c>
      <c r="H66" s="86" t="s">
        <v>69</v>
      </c>
      <c r="I66" s="156" t="s">
        <v>90</v>
      </c>
      <c r="J66" s="7" t="s">
        <v>130</v>
      </c>
      <c r="K66" s="11">
        <v>0.85347222222222219</v>
      </c>
      <c r="L66" s="11">
        <v>0.90763888888888888</v>
      </c>
      <c r="M66" s="7" t="s">
        <v>109</v>
      </c>
      <c r="N66" s="89" t="s">
        <v>109</v>
      </c>
      <c r="O66" s="29" t="s">
        <v>61</v>
      </c>
      <c r="P66" s="7" t="s">
        <v>131</v>
      </c>
      <c r="Q66" s="7" t="s">
        <v>90</v>
      </c>
      <c r="R66" s="7" t="s">
        <v>62</v>
      </c>
      <c r="S66" s="7" t="s">
        <v>136</v>
      </c>
      <c r="T66" s="29" t="s">
        <v>398</v>
      </c>
      <c r="U66" s="108">
        <f t="shared" ref="U66:U129" si="1">G66/E66</f>
        <v>0.98</v>
      </c>
      <c r="V66" s="7" t="s">
        <v>1945</v>
      </c>
      <c r="W66" s="7" t="s">
        <v>3101</v>
      </c>
      <c r="X66" s="7" t="s">
        <v>109</v>
      </c>
    </row>
    <row r="67" spans="1:24" x14ac:dyDescent="0.3">
      <c r="A67" s="7">
        <v>66</v>
      </c>
      <c r="B67" s="29" t="s">
        <v>23</v>
      </c>
      <c r="C67" s="29" t="s">
        <v>2479</v>
      </c>
      <c r="D67" s="29">
        <v>50226098</v>
      </c>
      <c r="E67" s="38">
        <v>30</v>
      </c>
      <c r="F67" s="7">
        <v>32</v>
      </c>
      <c r="G67" s="7">
        <v>9</v>
      </c>
      <c r="H67" s="156" t="s">
        <v>84</v>
      </c>
      <c r="I67" s="86" t="s">
        <v>109</v>
      </c>
      <c r="J67" s="7" t="s">
        <v>130</v>
      </c>
      <c r="K67" s="11">
        <v>6.3194444444444442E-2</v>
      </c>
      <c r="L67" s="7" t="s">
        <v>109</v>
      </c>
      <c r="M67" s="7" t="s">
        <v>109</v>
      </c>
      <c r="N67" s="38" t="s">
        <v>109</v>
      </c>
      <c r="O67" s="29" t="s">
        <v>61</v>
      </c>
      <c r="P67" s="7" t="s">
        <v>131</v>
      </c>
      <c r="Q67" s="7" t="s">
        <v>84</v>
      </c>
      <c r="R67" s="7" t="s">
        <v>62</v>
      </c>
      <c r="S67" s="7" t="s">
        <v>136</v>
      </c>
      <c r="T67" s="29" t="s">
        <v>2473</v>
      </c>
      <c r="U67" s="108">
        <f t="shared" si="1"/>
        <v>0.3</v>
      </c>
      <c r="V67" s="7" t="s">
        <v>109</v>
      </c>
      <c r="W67" s="7" t="s">
        <v>3101</v>
      </c>
      <c r="X67" s="7" t="s">
        <v>109</v>
      </c>
    </row>
    <row r="68" spans="1:24" x14ac:dyDescent="0.3">
      <c r="A68" s="7">
        <v>67</v>
      </c>
      <c r="B68" s="29" t="s">
        <v>23</v>
      </c>
      <c r="C68" s="29" t="s">
        <v>2480</v>
      </c>
      <c r="D68" s="29">
        <v>50226097</v>
      </c>
      <c r="E68" s="38">
        <v>300</v>
      </c>
      <c r="F68" s="7">
        <v>465</v>
      </c>
      <c r="G68" s="7">
        <v>136</v>
      </c>
      <c r="H68" s="86" t="s">
        <v>3071</v>
      </c>
      <c r="I68" s="86" t="s">
        <v>109</v>
      </c>
      <c r="J68" s="7" t="s">
        <v>130</v>
      </c>
      <c r="K68" s="11">
        <v>4.4444444444444446E-2</v>
      </c>
      <c r="L68" s="7" t="s">
        <v>109</v>
      </c>
      <c r="M68" s="7" t="s">
        <v>109</v>
      </c>
      <c r="N68" s="43" t="s">
        <v>3072</v>
      </c>
      <c r="O68" s="29" t="s">
        <v>61</v>
      </c>
      <c r="P68" s="7" t="s">
        <v>131</v>
      </c>
      <c r="Q68" s="7" t="s">
        <v>67</v>
      </c>
      <c r="R68" s="7" t="s">
        <v>62</v>
      </c>
      <c r="S68" s="7" t="s">
        <v>136</v>
      </c>
      <c r="T68" s="29" t="s">
        <v>2473</v>
      </c>
      <c r="U68" s="108">
        <f t="shared" si="1"/>
        <v>0.45333333333333331</v>
      </c>
      <c r="V68" s="7" t="s">
        <v>2391</v>
      </c>
      <c r="W68" s="7" t="s">
        <v>3101</v>
      </c>
      <c r="X68" s="7" t="s">
        <v>109</v>
      </c>
    </row>
    <row r="69" spans="1:24" x14ac:dyDescent="0.3">
      <c r="A69" s="7">
        <v>68</v>
      </c>
      <c r="B69" s="29" t="s">
        <v>23</v>
      </c>
      <c r="C69" s="29" t="s">
        <v>2472</v>
      </c>
      <c r="D69" s="29">
        <v>50226104</v>
      </c>
      <c r="E69" s="38">
        <v>50</v>
      </c>
      <c r="F69" s="7">
        <v>78</v>
      </c>
      <c r="G69" s="7">
        <v>17</v>
      </c>
      <c r="H69" s="156" t="s">
        <v>153</v>
      </c>
      <c r="I69" s="86" t="s">
        <v>109</v>
      </c>
      <c r="J69" s="7" t="s">
        <v>130</v>
      </c>
      <c r="K69" s="11">
        <v>0.71458333333333335</v>
      </c>
      <c r="L69" s="7" t="s">
        <v>109</v>
      </c>
      <c r="M69" s="7" t="s">
        <v>109</v>
      </c>
      <c r="N69" s="43" t="s">
        <v>3072</v>
      </c>
      <c r="O69" s="29" t="s">
        <v>61</v>
      </c>
      <c r="P69" s="7" t="s">
        <v>131</v>
      </c>
      <c r="Q69" s="7" t="s">
        <v>153</v>
      </c>
      <c r="R69" s="7" t="s">
        <v>62</v>
      </c>
      <c r="S69" s="7" t="s">
        <v>136</v>
      </c>
      <c r="T69" s="29" t="s">
        <v>2473</v>
      </c>
      <c r="U69" s="108">
        <f t="shared" si="1"/>
        <v>0.34</v>
      </c>
      <c r="V69" s="7" t="s">
        <v>152</v>
      </c>
      <c r="W69" s="7" t="s">
        <v>3101</v>
      </c>
      <c r="X69" s="7" t="s">
        <v>109</v>
      </c>
    </row>
    <row r="70" spans="1:24" x14ac:dyDescent="0.3">
      <c r="A70" s="7">
        <v>69</v>
      </c>
      <c r="B70" s="29" t="s">
        <v>23</v>
      </c>
      <c r="C70" s="29" t="s">
        <v>2474</v>
      </c>
      <c r="D70" s="29">
        <v>50226106</v>
      </c>
      <c r="E70" s="38">
        <v>100</v>
      </c>
      <c r="F70" s="7">
        <v>161</v>
      </c>
      <c r="G70" s="7">
        <v>47</v>
      </c>
      <c r="H70" s="86" t="s">
        <v>153</v>
      </c>
      <c r="I70" s="86" t="s">
        <v>109</v>
      </c>
      <c r="J70" s="7" t="s">
        <v>130</v>
      </c>
      <c r="K70" s="11">
        <v>0.75972222222222219</v>
      </c>
      <c r="L70" s="7" t="s">
        <v>109</v>
      </c>
      <c r="M70" s="7" t="s">
        <v>109</v>
      </c>
      <c r="N70" s="43" t="s">
        <v>3072</v>
      </c>
      <c r="O70" s="29" t="s">
        <v>61</v>
      </c>
      <c r="P70" s="7" t="s">
        <v>131</v>
      </c>
      <c r="Q70" s="7" t="s">
        <v>153</v>
      </c>
      <c r="R70" s="7" t="s">
        <v>62</v>
      </c>
      <c r="S70" s="7" t="s">
        <v>136</v>
      </c>
      <c r="T70" s="29" t="s">
        <v>2473</v>
      </c>
      <c r="U70" s="108">
        <f t="shared" si="1"/>
        <v>0.47</v>
      </c>
      <c r="V70" s="7" t="s">
        <v>2391</v>
      </c>
      <c r="W70" s="7" t="s">
        <v>3101</v>
      </c>
      <c r="X70" s="7" t="s">
        <v>109</v>
      </c>
    </row>
    <row r="71" spans="1:24" x14ac:dyDescent="0.3">
      <c r="A71" s="7">
        <v>70</v>
      </c>
      <c r="B71" s="29" t="s">
        <v>23</v>
      </c>
      <c r="C71" s="29" t="s">
        <v>2475</v>
      </c>
      <c r="D71" s="29">
        <v>50226103</v>
      </c>
      <c r="E71" s="38">
        <v>150</v>
      </c>
      <c r="F71" s="7">
        <v>101</v>
      </c>
      <c r="G71" s="7">
        <v>19</v>
      </c>
      <c r="H71" s="86" t="s">
        <v>3094</v>
      </c>
      <c r="I71" s="86" t="s">
        <v>109</v>
      </c>
      <c r="J71" s="7" t="s">
        <v>130</v>
      </c>
      <c r="K71" s="11">
        <v>1.1111111111111112E-2</v>
      </c>
      <c r="L71" s="7" t="s">
        <v>109</v>
      </c>
      <c r="M71" s="7" t="s">
        <v>109</v>
      </c>
      <c r="N71" s="38" t="s">
        <v>109</v>
      </c>
      <c r="O71" s="29" t="s">
        <v>61</v>
      </c>
      <c r="P71" s="7" t="s">
        <v>131</v>
      </c>
      <c r="Q71" s="7" t="s">
        <v>68</v>
      </c>
      <c r="R71" s="7" t="s">
        <v>62</v>
      </c>
      <c r="S71" s="7" t="s">
        <v>136</v>
      </c>
      <c r="T71" s="29" t="s">
        <v>2473</v>
      </c>
      <c r="U71" s="108">
        <f t="shared" si="1"/>
        <v>0.12666666666666668</v>
      </c>
      <c r="V71" s="7" t="s">
        <v>152</v>
      </c>
      <c r="W71" s="7" t="s">
        <v>3101</v>
      </c>
      <c r="X71" s="7" t="s">
        <v>109</v>
      </c>
    </row>
    <row r="72" spans="1:24" x14ac:dyDescent="0.3">
      <c r="A72" s="7">
        <v>71</v>
      </c>
      <c r="B72" s="29" t="s">
        <v>23</v>
      </c>
      <c r="C72" s="29" t="s">
        <v>2477</v>
      </c>
      <c r="D72" s="29">
        <v>50226105</v>
      </c>
      <c r="E72" s="38">
        <v>200</v>
      </c>
      <c r="F72" s="7">
        <v>377</v>
      </c>
      <c r="G72" s="7">
        <v>50</v>
      </c>
      <c r="H72" s="86" t="s">
        <v>3073</v>
      </c>
      <c r="I72" s="86" t="s">
        <v>109</v>
      </c>
      <c r="J72" s="7" t="s">
        <v>130</v>
      </c>
      <c r="K72" s="11">
        <v>0.93333333333333335</v>
      </c>
      <c r="L72" s="7" t="s">
        <v>109</v>
      </c>
      <c r="M72" s="7" t="s">
        <v>109</v>
      </c>
      <c r="N72" s="43" t="s">
        <v>3072</v>
      </c>
      <c r="O72" s="29" t="s">
        <v>61</v>
      </c>
      <c r="P72" s="7" t="s">
        <v>131</v>
      </c>
      <c r="Q72" s="7" t="s">
        <v>68</v>
      </c>
      <c r="R72" s="7" t="s">
        <v>62</v>
      </c>
      <c r="S72" s="7" t="s">
        <v>136</v>
      </c>
      <c r="T72" s="29" t="s">
        <v>2473</v>
      </c>
      <c r="U72" s="108">
        <f t="shared" si="1"/>
        <v>0.25</v>
      </c>
      <c r="V72" s="7" t="s">
        <v>2391</v>
      </c>
      <c r="W72" s="7" t="s">
        <v>3101</v>
      </c>
      <c r="X72" s="7" t="s">
        <v>109</v>
      </c>
    </row>
    <row r="73" spans="1:24" x14ac:dyDescent="0.3">
      <c r="A73" s="7">
        <v>72</v>
      </c>
      <c r="B73" s="29" t="s">
        <v>23</v>
      </c>
      <c r="C73" s="29" t="s">
        <v>2478</v>
      </c>
      <c r="D73" s="29">
        <v>50226101</v>
      </c>
      <c r="E73" s="38">
        <v>350</v>
      </c>
      <c r="F73" s="7">
        <v>511</v>
      </c>
      <c r="G73" s="7">
        <v>202</v>
      </c>
      <c r="H73" s="86" t="s">
        <v>3093</v>
      </c>
      <c r="I73" s="86" t="s">
        <v>109</v>
      </c>
      <c r="J73" s="7" t="s">
        <v>130</v>
      </c>
      <c r="K73" s="11">
        <v>0.98611111111111116</v>
      </c>
      <c r="L73" s="7" t="s">
        <v>109</v>
      </c>
      <c r="M73" s="7" t="s">
        <v>109</v>
      </c>
      <c r="N73" s="38" t="s">
        <v>109</v>
      </c>
      <c r="O73" s="29" t="s">
        <v>61</v>
      </c>
      <c r="P73" s="7" t="s">
        <v>131</v>
      </c>
      <c r="Q73" s="7" t="s">
        <v>222</v>
      </c>
      <c r="R73" s="7" t="s">
        <v>62</v>
      </c>
      <c r="S73" s="7" t="s">
        <v>136</v>
      </c>
      <c r="T73" s="29" t="s">
        <v>2473</v>
      </c>
      <c r="U73" s="108">
        <f t="shared" si="1"/>
        <v>0.57714285714285718</v>
      </c>
      <c r="V73" s="7" t="s">
        <v>2391</v>
      </c>
      <c r="W73" s="7" t="s">
        <v>3101</v>
      </c>
      <c r="X73" s="7" t="s">
        <v>109</v>
      </c>
    </row>
    <row r="74" spans="1:24" x14ac:dyDescent="0.3">
      <c r="A74" s="7">
        <v>73</v>
      </c>
      <c r="B74" s="29" t="s">
        <v>23</v>
      </c>
      <c r="C74" s="29" t="s">
        <v>1746</v>
      </c>
      <c r="D74" s="29">
        <v>50126397</v>
      </c>
      <c r="E74" s="38">
        <v>50</v>
      </c>
      <c r="F74" s="7">
        <v>56</v>
      </c>
      <c r="G74" s="7">
        <v>47</v>
      </c>
      <c r="H74" s="156" t="s">
        <v>66</v>
      </c>
      <c r="I74" s="86" t="s">
        <v>109</v>
      </c>
      <c r="J74" s="7" t="s">
        <v>130</v>
      </c>
      <c r="K74" s="11">
        <v>0.87638888888888888</v>
      </c>
      <c r="L74" s="7" t="s">
        <v>109</v>
      </c>
      <c r="M74" s="7" t="s">
        <v>109</v>
      </c>
      <c r="N74" s="43" t="s">
        <v>3072</v>
      </c>
      <c r="O74" s="29" t="s">
        <v>61</v>
      </c>
      <c r="P74" s="7" t="s">
        <v>131</v>
      </c>
      <c r="Q74" s="7" t="s">
        <v>66</v>
      </c>
      <c r="R74" s="7" t="s">
        <v>62</v>
      </c>
      <c r="S74" s="7" t="s">
        <v>136</v>
      </c>
      <c r="T74" s="29" t="s">
        <v>310</v>
      </c>
      <c r="U74" s="108">
        <f t="shared" si="1"/>
        <v>0.94</v>
      </c>
      <c r="V74" s="7" t="s">
        <v>1945</v>
      </c>
      <c r="W74" s="7" t="s">
        <v>3102</v>
      </c>
      <c r="X74" s="7" t="s">
        <v>3110</v>
      </c>
    </row>
    <row r="75" spans="1:24" x14ac:dyDescent="0.3">
      <c r="A75" s="7">
        <v>74</v>
      </c>
      <c r="B75" s="29" t="s">
        <v>23</v>
      </c>
      <c r="C75" s="29" t="s">
        <v>1748</v>
      </c>
      <c r="D75" s="29">
        <v>50126396</v>
      </c>
      <c r="E75" s="38">
        <v>150</v>
      </c>
      <c r="F75" s="7">
        <v>232</v>
      </c>
      <c r="G75" s="7">
        <v>156</v>
      </c>
      <c r="H75" s="86" t="s">
        <v>2943</v>
      </c>
      <c r="I75" s="86" t="s">
        <v>109</v>
      </c>
      <c r="J75" s="7" t="s">
        <v>130</v>
      </c>
      <c r="K75" s="11">
        <v>1.1111111111111112E-2</v>
      </c>
      <c r="L75" s="7" t="s">
        <v>109</v>
      </c>
      <c r="M75" s="7" t="s">
        <v>109</v>
      </c>
      <c r="N75" s="43" t="s">
        <v>3072</v>
      </c>
      <c r="O75" s="29" t="s">
        <v>61</v>
      </c>
      <c r="P75" s="7" t="s">
        <v>131</v>
      </c>
      <c r="Q75" s="7" t="s">
        <v>200</v>
      </c>
      <c r="R75" s="7" t="s">
        <v>62</v>
      </c>
      <c r="S75" s="7" t="s">
        <v>136</v>
      </c>
      <c r="T75" s="29" t="s">
        <v>310</v>
      </c>
      <c r="U75" s="108">
        <f t="shared" si="1"/>
        <v>1.04</v>
      </c>
      <c r="V75" s="7" t="s">
        <v>1945</v>
      </c>
      <c r="W75" s="7" t="s">
        <v>3102</v>
      </c>
      <c r="X75" s="7" t="s">
        <v>3110</v>
      </c>
    </row>
    <row r="76" spans="1:24" x14ac:dyDescent="0.3">
      <c r="A76" s="7">
        <v>75</v>
      </c>
      <c r="B76" s="29" t="s">
        <v>23</v>
      </c>
      <c r="C76" s="29" t="s">
        <v>1749</v>
      </c>
      <c r="D76" s="29">
        <v>50126392</v>
      </c>
      <c r="E76" s="38">
        <v>125</v>
      </c>
      <c r="F76" s="7">
        <v>206</v>
      </c>
      <c r="G76" s="7">
        <v>125</v>
      </c>
      <c r="H76" s="156" t="s">
        <v>2979</v>
      </c>
      <c r="I76" s="86" t="s">
        <v>109</v>
      </c>
      <c r="J76" s="7" t="s">
        <v>130</v>
      </c>
      <c r="K76" s="11">
        <v>0.85902777777777772</v>
      </c>
      <c r="L76" s="7" t="s">
        <v>109</v>
      </c>
      <c r="M76" s="7" t="s">
        <v>109</v>
      </c>
      <c r="N76" s="43" t="s">
        <v>3072</v>
      </c>
      <c r="O76" s="29" t="s">
        <v>61</v>
      </c>
      <c r="P76" s="7" t="s">
        <v>131</v>
      </c>
      <c r="Q76" s="7" t="s">
        <v>71</v>
      </c>
      <c r="R76" s="7" t="s">
        <v>62</v>
      </c>
      <c r="S76" s="7" t="s">
        <v>136</v>
      </c>
      <c r="T76" s="29" t="s">
        <v>310</v>
      </c>
      <c r="U76" s="108">
        <f t="shared" si="1"/>
        <v>1</v>
      </c>
      <c r="V76" s="7" t="s">
        <v>1945</v>
      </c>
      <c r="W76" s="7" t="s">
        <v>3102</v>
      </c>
      <c r="X76" s="7" t="s">
        <v>3110</v>
      </c>
    </row>
    <row r="77" spans="1:24" x14ac:dyDescent="0.3">
      <c r="A77" s="7">
        <v>76</v>
      </c>
      <c r="B77" s="29" t="s">
        <v>23</v>
      </c>
      <c r="C77" s="29" t="s">
        <v>1750</v>
      </c>
      <c r="D77" s="29">
        <v>50126393</v>
      </c>
      <c r="E77" s="38">
        <v>120</v>
      </c>
      <c r="F77" s="7">
        <v>227</v>
      </c>
      <c r="G77" s="7">
        <v>133</v>
      </c>
      <c r="H77" s="86" t="s">
        <v>2980</v>
      </c>
      <c r="I77" s="86" t="s">
        <v>109</v>
      </c>
      <c r="J77" s="7" t="s">
        <v>130</v>
      </c>
      <c r="K77" s="11">
        <v>0.7368055555555556</v>
      </c>
      <c r="L77" s="7" t="s">
        <v>109</v>
      </c>
      <c r="M77" s="7" t="s">
        <v>109</v>
      </c>
      <c r="N77" s="43" t="s">
        <v>3072</v>
      </c>
      <c r="O77" s="29" t="s">
        <v>61</v>
      </c>
      <c r="P77" s="7" t="s">
        <v>131</v>
      </c>
      <c r="Q77" s="7" t="s">
        <v>67</v>
      </c>
      <c r="R77" s="7" t="s">
        <v>62</v>
      </c>
      <c r="S77" s="7" t="s">
        <v>136</v>
      </c>
      <c r="T77" s="29" t="s">
        <v>310</v>
      </c>
      <c r="U77" s="108">
        <f t="shared" si="1"/>
        <v>1.1083333333333334</v>
      </c>
      <c r="V77" s="7" t="s">
        <v>1945</v>
      </c>
      <c r="W77" s="7" t="s">
        <v>3102</v>
      </c>
      <c r="X77" s="7" t="s">
        <v>3110</v>
      </c>
    </row>
    <row r="78" spans="1:24" x14ac:dyDescent="0.3">
      <c r="A78" s="7">
        <v>77</v>
      </c>
      <c r="B78" s="29" t="s">
        <v>23</v>
      </c>
      <c r="C78" s="29" t="s">
        <v>1751</v>
      </c>
      <c r="D78" s="29">
        <v>50126399</v>
      </c>
      <c r="E78" s="38">
        <v>160</v>
      </c>
      <c r="F78" s="7">
        <v>50</v>
      </c>
      <c r="G78" s="7">
        <v>11</v>
      </c>
      <c r="H78" s="156" t="s">
        <v>214</v>
      </c>
      <c r="I78" s="86" t="s">
        <v>109</v>
      </c>
      <c r="J78" s="7" t="s">
        <v>130</v>
      </c>
      <c r="K78" s="11">
        <v>0.83194444444444449</v>
      </c>
      <c r="L78" s="7" t="s">
        <v>109</v>
      </c>
      <c r="M78" s="7" t="s">
        <v>109</v>
      </c>
      <c r="N78" s="43" t="s">
        <v>3072</v>
      </c>
      <c r="O78" s="29" t="s">
        <v>61</v>
      </c>
      <c r="P78" s="7" t="s">
        <v>131</v>
      </c>
      <c r="Q78" s="7" t="s">
        <v>214</v>
      </c>
      <c r="R78" s="7" t="s">
        <v>62</v>
      </c>
      <c r="S78" s="7" t="s">
        <v>136</v>
      </c>
      <c r="T78" s="29" t="s">
        <v>310</v>
      </c>
      <c r="U78" s="108">
        <f t="shared" si="1"/>
        <v>6.8750000000000006E-2</v>
      </c>
      <c r="V78" s="7" t="s">
        <v>152</v>
      </c>
      <c r="W78" s="7" t="s">
        <v>3102</v>
      </c>
      <c r="X78" s="7" t="s">
        <v>3110</v>
      </c>
    </row>
    <row r="79" spans="1:24" x14ac:dyDescent="0.3">
      <c r="A79" s="7">
        <v>78</v>
      </c>
      <c r="B79" s="29" t="s">
        <v>23</v>
      </c>
      <c r="C79" s="29" t="s">
        <v>1753</v>
      </c>
      <c r="D79" s="29">
        <v>50126398</v>
      </c>
      <c r="E79" s="38">
        <v>70</v>
      </c>
      <c r="F79" s="7">
        <v>141</v>
      </c>
      <c r="G79" s="7">
        <v>44</v>
      </c>
      <c r="H79" s="156" t="s">
        <v>70</v>
      </c>
      <c r="I79" s="86" t="s">
        <v>109</v>
      </c>
      <c r="J79" s="7" t="s">
        <v>130</v>
      </c>
      <c r="K79" s="11">
        <v>0.7729166666666667</v>
      </c>
      <c r="L79" s="7" t="s">
        <v>109</v>
      </c>
      <c r="M79" s="7" t="s">
        <v>109</v>
      </c>
      <c r="N79" s="43" t="s">
        <v>3072</v>
      </c>
      <c r="O79" s="29" t="s">
        <v>61</v>
      </c>
      <c r="P79" s="7" t="s">
        <v>131</v>
      </c>
      <c r="Q79" s="7" t="s">
        <v>70</v>
      </c>
      <c r="R79" s="7" t="s">
        <v>62</v>
      </c>
      <c r="S79" s="7" t="s">
        <v>136</v>
      </c>
      <c r="T79" s="29" t="s">
        <v>310</v>
      </c>
      <c r="U79" s="108">
        <f t="shared" si="1"/>
        <v>0.62857142857142856</v>
      </c>
      <c r="V79" s="7" t="s">
        <v>1313</v>
      </c>
      <c r="W79" s="7" t="s">
        <v>3102</v>
      </c>
      <c r="X79" s="7" t="s">
        <v>3110</v>
      </c>
    </row>
    <row r="80" spans="1:24" x14ac:dyDescent="0.3">
      <c r="A80" s="7">
        <v>79</v>
      </c>
      <c r="B80" s="29" t="s">
        <v>23</v>
      </c>
      <c r="C80" s="29" t="s">
        <v>1754</v>
      </c>
      <c r="D80" s="29">
        <v>50126395</v>
      </c>
      <c r="E80" s="38">
        <v>200</v>
      </c>
      <c r="F80" s="7">
        <v>227</v>
      </c>
      <c r="G80" s="7">
        <v>60</v>
      </c>
      <c r="H80" s="86" t="s">
        <v>3074</v>
      </c>
      <c r="I80" s="86" t="s">
        <v>109</v>
      </c>
      <c r="J80" s="7" t="s">
        <v>130</v>
      </c>
      <c r="K80" s="11">
        <v>0.97499999999999998</v>
      </c>
      <c r="L80" s="7" t="s">
        <v>109</v>
      </c>
      <c r="M80" s="7" t="s">
        <v>109</v>
      </c>
      <c r="N80" s="43" t="s">
        <v>3072</v>
      </c>
      <c r="O80" s="29" t="s">
        <v>61</v>
      </c>
      <c r="P80" s="7" t="s">
        <v>131</v>
      </c>
      <c r="Q80" s="7" t="s">
        <v>200</v>
      </c>
      <c r="R80" s="7" t="s">
        <v>62</v>
      </c>
      <c r="S80" s="7" t="s">
        <v>136</v>
      </c>
      <c r="T80" s="29" t="s">
        <v>310</v>
      </c>
      <c r="U80" s="108">
        <f t="shared" si="1"/>
        <v>0.3</v>
      </c>
      <c r="V80" s="7" t="s">
        <v>2391</v>
      </c>
      <c r="W80" s="7" t="s">
        <v>3102</v>
      </c>
      <c r="X80" s="7" t="s">
        <v>3110</v>
      </c>
    </row>
    <row r="81" spans="1:24" x14ac:dyDescent="0.3">
      <c r="A81" s="7">
        <v>80</v>
      </c>
      <c r="B81" s="29" t="s">
        <v>23</v>
      </c>
      <c r="C81" s="29" t="s">
        <v>1755</v>
      </c>
      <c r="D81" s="29">
        <v>50126394</v>
      </c>
      <c r="E81" s="38">
        <v>250</v>
      </c>
      <c r="F81" s="7">
        <v>472</v>
      </c>
      <c r="G81" s="7">
        <v>164</v>
      </c>
      <c r="H81" s="86" t="s">
        <v>3075</v>
      </c>
      <c r="I81" s="86" t="s">
        <v>109</v>
      </c>
      <c r="J81" s="7" t="s">
        <v>130</v>
      </c>
      <c r="K81" s="11">
        <v>0.95694444444444449</v>
      </c>
      <c r="L81" s="7" t="s">
        <v>109</v>
      </c>
      <c r="M81" s="7" t="s">
        <v>109</v>
      </c>
      <c r="N81" s="43" t="s">
        <v>3072</v>
      </c>
      <c r="O81" s="29" t="s">
        <v>61</v>
      </c>
      <c r="P81" s="7" t="s">
        <v>131</v>
      </c>
      <c r="Q81" s="7" t="s">
        <v>69</v>
      </c>
      <c r="R81" s="7" t="s">
        <v>62</v>
      </c>
      <c r="S81" s="7" t="s">
        <v>136</v>
      </c>
      <c r="T81" s="29" t="s">
        <v>310</v>
      </c>
      <c r="U81" s="108">
        <f t="shared" si="1"/>
        <v>0.65600000000000003</v>
      </c>
      <c r="V81" s="7" t="s">
        <v>2391</v>
      </c>
      <c r="W81" s="7" t="s">
        <v>3102</v>
      </c>
      <c r="X81" s="7" t="s">
        <v>3110</v>
      </c>
    </row>
    <row r="82" spans="1:24" x14ac:dyDescent="0.3">
      <c r="A82" s="7">
        <v>81</v>
      </c>
      <c r="B82" s="29" t="s">
        <v>23</v>
      </c>
      <c r="C82" s="29" t="s">
        <v>1366</v>
      </c>
      <c r="D82" s="29">
        <v>50126343</v>
      </c>
      <c r="E82" s="29">
        <v>150</v>
      </c>
      <c r="F82" s="7">
        <v>202</v>
      </c>
      <c r="G82" s="7">
        <v>49</v>
      </c>
      <c r="H82" s="86" t="s">
        <v>3076</v>
      </c>
      <c r="I82" s="86" t="s">
        <v>109</v>
      </c>
      <c r="J82" s="7" t="s">
        <v>130</v>
      </c>
      <c r="K82" s="11">
        <v>3.4027777777777775E-2</v>
      </c>
      <c r="L82" s="7" t="s">
        <v>109</v>
      </c>
      <c r="M82" s="7" t="s">
        <v>109</v>
      </c>
      <c r="N82" s="29" t="s">
        <v>109</v>
      </c>
      <c r="O82" s="29" t="s">
        <v>61</v>
      </c>
      <c r="P82" s="7" t="s">
        <v>131</v>
      </c>
      <c r="Q82" s="7" t="s">
        <v>241</v>
      </c>
      <c r="R82" s="7" t="s">
        <v>62</v>
      </c>
      <c r="S82" s="7" t="s">
        <v>136</v>
      </c>
      <c r="T82" s="29" t="s">
        <v>1365</v>
      </c>
      <c r="U82" s="108">
        <f t="shared" si="1"/>
        <v>0.32666666666666666</v>
      </c>
      <c r="V82" s="7" t="s">
        <v>2391</v>
      </c>
      <c r="W82" s="7" t="s">
        <v>3102</v>
      </c>
      <c r="X82" s="7" t="s">
        <v>3111</v>
      </c>
    </row>
    <row r="83" spans="1:24" x14ac:dyDescent="0.3">
      <c r="A83" s="7">
        <v>82</v>
      </c>
      <c r="B83" s="29" t="s">
        <v>23</v>
      </c>
      <c r="C83" s="29" t="s">
        <v>2115</v>
      </c>
      <c r="D83" s="29">
        <v>50226055</v>
      </c>
      <c r="E83" s="29">
        <v>100</v>
      </c>
      <c r="F83" s="7">
        <v>201</v>
      </c>
      <c r="G83" s="7">
        <v>16</v>
      </c>
      <c r="H83" s="86" t="s">
        <v>214</v>
      </c>
      <c r="I83" s="86" t="s">
        <v>109</v>
      </c>
      <c r="J83" s="7" t="s">
        <v>130</v>
      </c>
      <c r="K83" s="11">
        <v>0.92083333333333328</v>
      </c>
      <c r="L83" s="7" t="s">
        <v>109</v>
      </c>
      <c r="M83" s="7" t="s">
        <v>109</v>
      </c>
      <c r="N83" s="32" t="s">
        <v>1621</v>
      </c>
      <c r="O83" s="29" t="s">
        <v>61</v>
      </c>
      <c r="P83" s="7" t="s">
        <v>131</v>
      </c>
      <c r="Q83" s="7" t="s">
        <v>214</v>
      </c>
      <c r="R83" s="7" t="s">
        <v>62</v>
      </c>
      <c r="S83" s="7" t="s">
        <v>136</v>
      </c>
      <c r="T83" s="29" t="s">
        <v>289</v>
      </c>
      <c r="U83" s="108">
        <f t="shared" si="1"/>
        <v>0.16</v>
      </c>
      <c r="V83" s="7" t="s">
        <v>1313</v>
      </c>
      <c r="W83" s="7" t="s">
        <v>3102</v>
      </c>
      <c r="X83" s="7" t="s">
        <v>3112</v>
      </c>
    </row>
    <row r="84" spans="1:24" x14ac:dyDescent="0.3">
      <c r="A84" s="7">
        <v>83</v>
      </c>
      <c r="B84" s="29" t="s">
        <v>23</v>
      </c>
      <c r="C84" s="29" t="s">
        <v>2117</v>
      </c>
      <c r="D84" s="29">
        <v>50226054</v>
      </c>
      <c r="E84" s="29">
        <v>400</v>
      </c>
      <c r="F84" s="7">
        <v>929</v>
      </c>
      <c r="G84" s="7">
        <v>260</v>
      </c>
      <c r="H84" s="86" t="s">
        <v>3077</v>
      </c>
      <c r="I84" s="86" t="s">
        <v>109</v>
      </c>
      <c r="J84" s="7" t="s">
        <v>130</v>
      </c>
      <c r="K84" s="11">
        <v>2.9861111111111113E-2</v>
      </c>
      <c r="L84" s="7" t="s">
        <v>109</v>
      </c>
      <c r="M84" s="7" t="s">
        <v>109</v>
      </c>
      <c r="N84" s="32" t="s">
        <v>1621</v>
      </c>
      <c r="O84" s="29" t="s">
        <v>61</v>
      </c>
      <c r="P84" s="7" t="s">
        <v>131</v>
      </c>
      <c r="Q84" s="7" t="s">
        <v>222</v>
      </c>
      <c r="R84" s="7" t="s">
        <v>62</v>
      </c>
      <c r="S84" s="7" t="s">
        <v>136</v>
      </c>
      <c r="T84" s="29" t="s">
        <v>289</v>
      </c>
      <c r="U84" s="108">
        <f t="shared" si="1"/>
        <v>0.65</v>
      </c>
      <c r="V84" s="7" t="s">
        <v>1313</v>
      </c>
      <c r="W84" s="7" t="s">
        <v>3101</v>
      </c>
      <c r="X84" s="7" t="s">
        <v>109</v>
      </c>
    </row>
    <row r="85" spans="1:24" x14ac:dyDescent="0.3">
      <c r="A85" s="7">
        <v>84</v>
      </c>
      <c r="B85" s="29" t="s">
        <v>23</v>
      </c>
      <c r="C85" s="29" t="s">
        <v>2199</v>
      </c>
      <c r="D85" s="29">
        <v>50226057</v>
      </c>
      <c r="E85" s="29">
        <v>350</v>
      </c>
      <c r="F85" s="7">
        <v>584</v>
      </c>
      <c r="G85" s="7">
        <v>349</v>
      </c>
      <c r="H85" s="86" t="s">
        <v>3078</v>
      </c>
      <c r="I85" s="86" t="s">
        <v>109</v>
      </c>
      <c r="J85" s="7" t="s">
        <v>130</v>
      </c>
      <c r="K85" s="11">
        <v>0.72361111111111109</v>
      </c>
      <c r="L85" s="7" t="s">
        <v>109</v>
      </c>
      <c r="M85" s="7" t="s">
        <v>109</v>
      </c>
      <c r="N85" s="32" t="s">
        <v>1621</v>
      </c>
      <c r="O85" s="29" t="s">
        <v>61</v>
      </c>
      <c r="P85" s="7" t="s">
        <v>131</v>
      </c>
      <c r="Q85" s="7" t="s">
        <v>65</v>
      </c>
      <c r="R85" s="7" t="s">
        <v>62</v>
      </c>
      <c r="S85" s="7" t="s">
        <v>136</v>
      </c>
      <c r="T85" s="29" t="s">
        <v>289</v>
      </c>
      <c r="U85" s="108">
        <f t="shared" si="1"/>
        <v>0.99714285714285711</v>
      </c>
      <c r="V85" s="7" t="s">
        <v>1945</v>
      </c>
      <c r="W85" s="7" t="s">
        <v>3102</v>
      </c>
      <c r="X85" s="7" t="s">
        <v>3113</v>
      </c>
    </row>
    <row r="86" spans="1:24" x14ac:dyDescent="0.3">
      <c r="A86" s="7">
        <v>85</v>
      </c>
      <c r="B86" s="29" t="s">
        <v>23</v>
      </c>
      <c r="C86" s="29" t="s">
        <v>3020</v>
      </c>
      <c r="D86" s="29">
        <v>50326025</v>
      </c>
      <c r="E86" s="29">
        <v>125</v>
      </c>
      <c r="F86" s="7">
        <v>28</v>
      </c>
      <c r="G86" s="7">
        <v>15</v>
      </c>
      <c r="H86" s="86" t="s">
        <v>70</v>
      </c>
      <c r="I86" s="86" t="s">
        <v>109</v>
      </c>
      <c r="J86" s="7" t="s">
        <v>130</v>
      </c>
      <c r="K86" s="11">
        <v>1.5277777777777777E-2</v>
      </c>
      <c r="L86" s="7" t="s">
        <v>109</v>
      </c>
      <c r="M86" s="7" t="s">
        <v>109</v>
      </c>
      <c r="N86" s="29" t="s">
        <v>109</v>
      </c>
      <c r="O86" s="29" t="s">
        <v>61</v>
      </c>
      <c r="P86" s="7" t="s">
        <v>131</v>
      </c>
      <c r="Q86" s="7" t="s">
        <v>70</v>
      </c>
      <c r="R86" s="7" t="s">
        <v>62</v>
      </c>
      <c r="S86" s="7" t="s">
        <v>136</v>
      </c>
      <c r="T86" s="29" t="s">
        <v>1309</v>
      </c>
      <c r="U86" s="108">
        <f t="shared" si="1"/>
        <v>0.12</v>
      </c>
      <c r="V86" s="7" t="s">
        <v>1315</v>
      </c>
      <c r="W86" s="7" t="s">
        <v>3101</v>
      </c>
      <c r="X86" s="7" t="s">
        <v>109</v>
      </c>
    </row>
    <row r="87" spans="1:24" x14ac:dyDescent="0.3">
      <c r="A87" s="7">
        <v>86</v>
      </c>
      <c r="B87" s="29" t="s">
        <v>23</v>
      </c>
      <c r="C87" s="29" t="s">
        <v>1369</v>
      </c>
      <c r="D87" s="29">
        <v>50126339</v>
      </c>
      <c r="E87" s="29">
        <v>100</v>
      </c>
      <c r="F87" s="7">
        <v>180</v>
      </c>
      <c r="G87" s="7">
        <v>54</v>
      </c>
      <c r="H87" s="86" t="s">
        <v>84</v>
      </c>
      <c r="I87" s="86" t="s">
        <v>109</v>
      </c>
      <c r="J87" s="7" t="s">
        <v>130</v>
      </c>
      <c r="K87" s="11">
        <v>5.9722222222222225E-2</v>
      </c>
      <c r="L87" s="7" t="s">
        <v>109</v>
      </c>
      <c r="M87" s="7" t="s">
        <v>109</v>
      </c>
      <c r="N87" s="32" t="s">
        <v>3079</v>
      </c>
      <c r="O87" s="29" t="s">
        <v>3121</v>
      </c>
      <c r="P87" s="7" t="s">
        <v>131</v>
      </c>
      <c r="Q87" s="7" t="s">
        <v>84</v>
      </c>
      <c r="R87" s="7" t="s">
        <v>62</v>
      </c>
      <c r="S87" s="7" t="s">
        <v>136</v>
      </c>
      <c r="T87" s="29" t="s">
        <v>1365</v>
      </c>
      <c r="U87" s="108">
        <f t="shared" si="1"/>
        <v>0.54</v>
      </c>
      <c r="V87" s="7" t="s">
        <v>2629</v>
      </c>
      <c r="W87" s="7" t="s">
        <v>3102</v>
      </c>
      <c r="X87" s="7" t="s">
        <v>3111</v>
      </c>
    </row>
    <row r="88" spans="1:24" x14ac:dyDescent="0.3">
      <c r="A88" s="7">
        <v>87</v>
      </c>
      <c r="B88" s="29" t="s">
        <v>23</v>
      </c>
      <c r="C88" s="29" t="s">
        <v>2159</v>
      </c>
      <c r="D88" s="29">
        <v>50226068</v>
      </c>
      <c r="E88" s="29">
        <v>30</v>
      </c>
      <c r="F88" s="7">
        <v>59</v>
      </c>
      <c r="G88" s="7">
        <v>12</v>
      </c>
      <c r="H88" s="156" t="s">
        <v>214</v>
      </c>
      <c r="I88" s="86" t="s">
        <v>109</v>
      </c>
      <c r="J88" s="7" t="s">
        <v>130</v>
      </c>
      <c r="K88" s="11">
        <v>0.93819444444444444</v>
      </c>
      <c r="L88" s="7" t="s">
        <v>109</v>
      </c>
      <c r="M88" s="7" t="s">
        <v>109</v>
      </c>
      <c r="N88" s="29" t="s">
        <v>109</v>
      </c>
      <c r="O88" s="29" t="s">
        <v>61</v>
      </c>
      <c r="P88" s="7" t="s">
        <v>131</v>
      </c>
      <c r="Q88" s="7" t="s">
        <v>214</v>
      </c>
      <c r="R88" s="7" t="s">
        <v>62</v>
      </c>
      <c r="S88" s="7" t="s">
        <v>136</v>
      </c>
      <c r="T88" s="29" t="s">
        <v>2160</v>
      </c>
      <c r="U88" s="108">
        <f t="shared" si="1"/>
        <v>0.4</v>
      </c>
      <c r="V88" s="7" t="s">
        <v>152</v>
      </c>
      <c r="W88" s="7" t="s">
        <v>3102</v>
      </c>
      <c r="X88" s="7" t="s">
        <v>3114</v>
      </c>
    </row>
    <row r="89" spans="1:24" x14ac:dyDescent="0.3">
      <c r="A89" s="7">
        <v>88</v>
      </c>
      <c r="B89" s="29" t="s">
        <v>23</v>
      </c>
      <c r="C89" s="29" t="s">
        <v>977</v>
      </c>
      <c r="D89" s="29">
        <v>50126274</v>
      </c>
      <c r="E89" s="29">
        <v>100</v>
      </c>
      <c r="F89" s="7">
        <v>86</v>
      </c>
      <c r="G89" s="7">
        <v>63</v>
      </c>
      <c r="H89" s="156" t="s">
        <v>274</v>
      </c>
      <c r="I89" s="86" t="s">
        <v>109</v>
      </c>
      <c r="J89" s="7" t="s">
        <v>130</v>
      </c>
      <c r="K89" s="11">
        <v>5.0694444444444445E-2</v>
      </c>
      <c r="L89" s="7" t="s">
        <v>109</v>
      </c>
      <c r="M89" s="7" t="s">
        <v>109</v>
      </c>
      <c r="N89" s="29" t="s">
        <v>109</v>
      </c>
      <c r="O89" s="29" t="s">
        <v>61</v>
      </c>
      <c r="P89" s="7" t="s">
        <v>131</v>
      </c>
      <c r="Q89" s="7" t="s">
        <v>274</v>
      </c>
      <c r="R89" s="7" t="s">
        <v>62</v>
      </c>
      <c r="S89" s="7" t="s">
        <v>136</v>
      </c>
      <c r="T89" s="29" t="s">
        <v>334</v>
      </c>
      <c r="U89" s="108">
        <f t="shared" si="1"/>
        <v>0.63</v>
      </c>
      <c r="V89" s="7" t="s">
        <v>109</v>
      </c>
      <c r="W89" s="7" t="s">
        <v>3101</v>
      </c>
      <c r="X89" s="7" t="s">
        <v>109</v>
      </c>
    </row>
    <row r="90" spans="1:24" x14ac:dyDescent="0.3">
      <c r="A90" s="7">
        <v>89</v>
      </c>
      <c r="B90" s="29" t="s">
        <v>23</v>
      </c>
      <c r="C90" s="29" t="s">
        <v>980</v>
      </c>
      <c r="D90" s="29">
        <v>50126278</v>
      </c>
      <c r="E90" s="29">
        <v>300</v>
      </c>
      <c r="F90" s="7">
        <v>579</v>
      </c>
      <c r="G90" s="7">
        <v>288</v>
      </c>
      <c r="H90" s="86" t="s">
        <v>3080</v>
      </c>
      <c r="I90" s="86" t="s">
        <v>109</v>
      </c>
      <c r="J90" s="7" t="s">
        <v>130</v>
      </c>
      <c r="K90" s="11">
        <v>2.1527777777777778E-2</v>
      </c>
      <c r="L90" s="7" t="s">
        <v>109</v>
      </c>
      <c r="M90" s="7" t="s">
        <v>109</v>
      </c>
      <c r="N90" s="32" t="s">
        <v>1621</v>
      </c>
      <c r="O90" s="29" t="s">
        <v>61</v>
      </c>
      <c r="P90" s="7" t="s">
        <v>131</v>
      </c>
      <c r="Q90" s="7" t="s">
        <v>67</v>
      </c>
      <c r="R90" s="7" t="s">
        <v>62</v>
      </c>
      <c r="S90" s="7" t="s">
        <v>136</v>
      </c>
      <c r="T90" s="29" t="s">
        <v>334</v>
      </c>
      <c r="U90" s="108">
        <f t="shared" si="1"/>
        <v>0.96</v>
      </c>
      <c r="V90" s="7" t="s">
        <v>1945</v>
      </c>
      <c r="W90" s="7" t="s">
        <v>3101</v>
      </c>
      <c r="X90" s="7" t="s">
        <v>109</v>
      </c>
    </row>
    <row r="91" spans="1:24" x14ac:dyDescent="0.3">
      <c r="A91" s="7">
        <v>90</v>
      </c>
      <c r="B91" s="29" t="s">
        <v>23</v>
      </c>
      <c r="C91" s="29" t="s">
        <v>982</v>
      </c>
      <c r="D91" s="29">
        <v>50126277</v>
      </c>
      <c r="E91" s="29">
        <v>250</v>
      </c>
      <c r="F91" s="7">
        <v>419</v>
      </c>
      <c r="G91" s="7">
        <v>255</v>
      </c>
      <c r="H91" s="86" t="s">
        <v>3095</v>
      </c>
      <c r="I91" s="86" t="s">
        <v>109</v>
      </c>
      <c r="J91" s="7" t="s">
        <v>130</v>
      </c>
      <c r="K91" s="11">
        <v>0.77708333333333335</v>
      </c>
      <c r="L91" s="7" t="s">
        <v>109</v>
      </c>
      <c r="M91" s="7" t="s">
        <v>109</v>
      </c>
      <c r="N91" s="32" t="s">
        <v>1621</v>
      </c>
      <c r="O91" s="29" t="s">
        <v>61</v>
      </c>
      <c r="P91" s="7" t="s">
        <v>131</v>
      </c>
      <c r="Q91" s="7" t="s">
        <v>82</v>
      </c>
      <c r="R91" s="7" t="s">
        <v>62</v>
      </c>
      <c r="S91" s="7" t="s">
        <v>136</v>
      </c>
      <c r="T91" s="29" t="s">
        <v>334</v>
      </c>
      <c r="U91" s="108">
        <f t="shared" si="1"/>
        <v>1.02</v>
      </c>
      <c r="V91" s="7" t="s">
        <v>1945</v>
      </c>
      <c r="W91" s="7" t="s">
        <v>3101</v>
      </c>
      <c r="X91" s="7" t="s">
        <v>109</v>
      </c>
    </row>
    <row r="92" spans="1:24" x14ac:dyDescent="0.3">
      <c r="A92" s="7">
        <v>91</v>
      </c>
      <c r="B92" s="29" t="s">
        <v>23</v>
      </c>
      <c r="C92" s="29" t="s">
        <v>985</v>
      </c>
      <c r="D92" s="29">
        <v>50126273</v>
      </c>
      <c r="E92" s="29">
        <v>150</v>
      </c>
      <c r="F92" s="7">
        <v>194</v>
      </c>
      <c r="G92" s="7">
        <v>149</v>
      </c>
      <c r="H92" s="86" t="s">
        <v>3065</v>
      </c>
      <c r="I92" s="86" t="s">
        <v>109</v>
      </c>
      <c r="J92" s="7" t="s">
        <v>130</v>
      </c>
      <c r="K92" s="11">
        <v>2.1527777777777778E-2</v>
      </c>
      <c r="L92" s="7" t="s">
        <v>109</v>
      </c>
      <c r="M92" s="7" t="s">
        <v>109</v>
      </c>
      <c r="N92" s="32" t="s">
        <v>1621</v>
      </c>
      <c r="O92" s="29" t="s">
        <v>61</v>
      </c>
      <c r="P92" s="7" t="s">
        <v>131</v>
      </c>
      <c r="Q92" s="7" t="s">
        <v>241</v>
      </c>
      <c r="R92" s="7" t="s">
        <v>62</v>
      </c>
      <c r="S92" s="7" t="s">
        <v>136</v>
      </c>
      <c r="T92" s="29" t="s">
        <v>334</v>
      </c>
      <c r="U92" s="108">
        <f t="shared" si="1"/>
        <v>0.99333333333333329</v>
      </c>
      <c r="V92" s="7" t="s">
        <v>1945</v>
      </c>
      <c r="W92" s="7" t="s">
        <v>3101</v>
      </c>
      <c r="X92" s="7" t="s">
        <v>109</v>
      </c>
    </row>
    <row r="93" spans="1:24" x14ac:dyDescent="0.3">
      <c r="A93" s="7">
        <v>92</v>
      </c>
      <c r="B93" s="29" t="s">
        <v>23</v>
      </c>
      <c r="C93" s="29" t="s">
        <v>2753</v>
      </c>
      <c r="D93" s="29">
        <v>50226123</v>
      </c>
      <c r="E93" s="29">
        <v>100</v>
      </c>
      <c r="F93" s="7">
        <v>180</v>
      </c>
      <c r="G93" s="7">
        <v>38</v>
      </c>
      <c r="H93" s="156" t="s">
        <v>69</v>
      </c>
      <c r="I93" s="86" t="s">
        <v>109</v>
      </c>
      <c r="J93" s="7" t="s">
        <v>130</v>
      </c>
      <c r="K93" s="11">
        <v>0.91388888888888886</v>
      </c>
      <c r="L93" s="7" t="s">
        <v>109</v>
      </c>
      <c r="M93" s="7" t="s">
        <v>109</v>
      </c>
      <c r="N93" s="29" t="s">
        <v>109</v>
      </c>
      <c r="O93" s="29" t="s">
        <v>61</v>
      </c>
      <c r="P93" s="7" t="s">
        <v>131</v>
      </c>
      <c r="Q93" s="7" t="s">
        <v>69</v>
      </c>
      <c r="R93" s="7" t="s">
        <v>62</v>
      </c>
      <c r="S93" s="7" t="s">
        <v>136</v>
      </c>
      <c r="T93" s="29" t="s">
        <v>362</v>
      </c>
      <c r="U93" s="108">
        <f t="shared" si="1"/>
        <v>0.38</v>
      </c>
      <c r="V93" s="7" t="s">
        <v>2391</v>
      </c>
      <c r="W93" s="7" t="s">
        <v>3102</v>
      </c>
      <c r="X93" s="7" t="s">
        <v>3115</v>
      </c>
    </row>
    <row r="94" spans="1:24" x14ac:dyDescent="0.3">
      <c r="A94" s="7">
        <v>93</v>
      </c>
      <c r="B94" s="29" t="s">
        <v>23</v>
      </c>
      <c r="C94" s="29" t="s">
        <v>588</v>
      </c>
      <c r="D94" s="29">
        <v>50126064</v>
      </c>
      <c r="E94" s="29">
        <v>60</v>
      </c>
      <c r="F94" s="7">
        <v>117</v>
      </c>
      <c r="G94" s="7">
        <v>46</v>
      </c>
      <c r="H94" s="77" t="s">
        <v>209</v>
      </c>
      <c r="I94" s="86" t="s">
        <v>109</v>
      </c>
      <c r="J94" s="7" t="s">
        <v>130</v>
      </c>
      <c r="K94" s="11">
        <v>0.85138888888888886</v>
      </c>
      <c r="L94" s="7" t="s">
        <v>109</v>
      </c>
      <c r="M94" s="7" t="s">
        <v>109</v>
      </c>
      <c r="N94" s="29" t="s">
        <v>109</v>
      </c>
      <c r="O94" s="29" t="s">
        <v>61</v>
      </c>
      <c r="P94" s="7" t="s">
        <v>131</v>
      </c>
      <c r="Q94" s="7" t="s">
        <v>209</v>
      </c>
      <c r="R94" s="7" t="s">
        <v>62</v>
      </c>
      <c r="S94" s="7" t="s">
        <v>136</v>
      </c>
      <c r="T94" s="29" t="s">
        <v>610</v>
      </c>
      <c r="U94" s="108">
        <f t="shared" si="1"/>
        <v>0.76666666666666672</v>
      </c>
      <c r="V94" s="7" t="s">
        <v>152</v>
      </c>
      <c r="W94" s="7" t="s">
        <v>3102</v>
      </c>
      <c r="X94" s="7" t="s">
        <v>3116</v>
      </c>
    </row>
    <row r="95" spans="1:24" x14ac:dyDescent="0.3">
      <c r="A95" s="7">
        <v>94</v>
      </c>
      <c r="B95" s="29" t="s">
        <v>23</v>
      </c>
      <c r="C95" s="29" t="s">
        <v>2080</v>
      </c>
      <c r="D95" s="29">
        <v>50226046</v>
      </c>
      <c r="E95" s="29">
        <v>50</v>
      </c>
      <c r="F95" s="7">
        <v>21</v>
      </c>
      <c r="G95" s="7">
        <v>6</v>
      </c>
      <c r="H95" s="156" t="s">
        <v>82</v>
      </c>
      <c r="I95" s="86" t="s">
        <v>109</v>
      </c>
      <c r="J95" s="7" t="s">
        <v>130</v>
      </c>
      <c r="K95" s="11">
        <v>2.7777777777777776E-2</v>
      </c>
      <c r="L95" s="7" t="s">
        <v>109</v>
      </c>
      <c r="M95" s="7" t="s">
        <v>109</v>
      </c>
      <c r="N95" s="29" t="s">
        <v>109</v>
      </c>
      <c r="O95" s="29" t="s">
        <v>61</v>
      </c>
      <c r="P95" s="7" t="s">
        <v>131</v>
      </c>
      <c r="Q95" s="7" t="s">
        <v>109</v>
      </c>
      <c r="R95" s="7" t="s">
        <v>62</v>
      </c>
      <c r="S95" s="7" t="s">
        <v>136</v>
      </c>
      <c r="T95" s="29" t="s">
        <v>610</v>
      </c>
      <c r="U95" s="108">
        <f t="shared" si="1"/>
        <v>0.12</v>
      </c>
      <c r="V95" s="7" t="s">
        <v>152</v>
      </c>
      <c r="W95" s="7" t="s">
        <v>3101</v>
      </c>
      <c r="X95" s="7" t="s">
        <v>109</v>
      </c>
    </row>
    <row r="96" spans="1:24" x14ac:dyDescent="0.3">
      <c r="A96" s="7">
        <v>95</v>
      </c>
      <c r="B96" s="29" t="s">
        <v>23</v>
      </c>
      <c r="C96" s="29" t="s">
        <v>590</v>
      </c>
      <c r="D96" s="29">
        <v>50126065</v>
      </c>
      <c r="E96" s="29">
        <v>100</v>
      </c>
      <c r="F96" s="7">
        <v>81</v>
      </c>
      <c r="G96" s="7">
        <v>47</v>
      </c>
      <c r="H96" s="156" t="s">
        <v>82</v>
      </c>
      <c r="I96" s="86" t="s">
        <v>109</v>
      </c>
      <c r="J96" s="7" t="s">
        <v>130</v>
      </c>
      <c r="K96" s="11">
        <v>0.87569444444444444</v>
      </c>
      <c r="L96" s="7" t="s">
        <v>109</v>
      </c>
      <c r="M96" s="7" t="s">
        <v>109</v>
      </c>
      <c r="N96" s="29" t="s">
        <v>109</v>
      </c>
      <c r="O96" s="29" t="s">
        <v>61</v>
      </c>
      <c r="P96" s="7" t="s">
        <v>131</v>
      </c>
      <c r="Q96" s="7" t="s">
        <v>82</v>
      </c>
      <c r="R96" s="7" t="s">
        <v>62</v>
      </c>
      <c r="S96" s="7" t="s">
        <v>136</v>
      </c>
      <c r="T96" s="29" t="s">
        <v>610</v>
      </c>
      <c r="U96" s="108">
        <f t="shared" si="1"/>
        <v>0.47</v>
      </c>
      <c r="V96" s="7" t="s">
        <v>152</v>
      </c>
      <c r="W96" s="7" t="s">
        <v>3102</v>
      </c>
      <c r="X96" s="7" t="s">
        <v>3116</v>
      </c>
    </row>
    <row r="97" spans="1:24" x14ac:dyDescent="0.3">
      <c r="A97" s="7">
        <v>96</v>
      </c>
      <c r="B97" s="29" t="s">
        <v>23</v>
      </c>
      <c r="C97" s="29" t="s">
        <v>591</v>
      </c>
      <c r="D97" s="29">
        <v>50126066</v>
      </c>
      <c r="E97" s="29">
        <v>10</v>
      </c>
      <c r="F97" s="7">
        <v>73</v>
      </c>
      <c r="G97" s="7">
        <v>8</v>
      </c>
      <c r="H97" s="156" t="s">
        <v>153</v>
      </c>
      <c r="I97" s="86" t="s">
        <v>109</v>
      </c>
      <c r="J97" s="7" t="s">
        <v>130</v>
      </c>
      <c r="K97" s="11">
        <v>0.94444444444444442</v>
      </c>
      <c r="L97" s="7" t="s">
        <v>109</v>
      </c>
      <c r="M97" s="7" t="s">
        <v>109</v>
      </c>
      <c r="N97" s="29" t="s">
        <v>109</v>
      </c>
      <c r="O97" s="29" t="s">
        <v>61</v>
      </c>
      <c r="P97" s="7" t="s">
        <v>131</v>
      </c>
      <c r="Q97" s="7" t="s">
        <v>153</v>
      </c>
      <c r="R97" s="7" t="s">
        <v>62</v>
      </c>
      <c r="S97" s="7" t="s">
        <v>136</v>
      </c>
      <c r="T97" s="29" t="s">
        <v>610</v>
      </c>
      <c r="U97" s="108">
        <f t="shared" si="1"/>
        <v>0.8</v>
      </c>
      <c r="V97" s="7" t="s">
        <v>1945</v>
      </c>
      <c r="W97" s="7" t="s">
        <v>3102</v>
      </c>
      <c r="X97" s="7" t="s">
        <v>3116</v>
      </c>
    </row>
    <row r="98" spans="1:24" x14ac:dyDescent="0.3">
      <c r="A98" s="7">
        <v>97</v>
      </c>
      <c r="B98" s="29" t="s">
        <v>23</v>
      </c>
      <c r="C98" s="29" t="s">
        <v>592</v>
      </c>
      <c r="D98" s="29">
        <v>50126073</v>
      </c>
      <c r="E98" s="29">
        <v>10</v>
      </c>
      <c r="F98" s="7">
        <v>11</v>
      </c>
      <c r="G98" s="7">
        <v>6</v>
      </c>
      <c r="H98" s="156" t="s">
        <v>67</v>
      </c>
      <c r="I98" s="86" t="s">
        <v>109</v>
      </c>
      <c r="J98" s="7" t="s">
        <v>130</v>
      </c>
      <c r="K98" s="11">
        <v>0.73402777777777772</v>
      </c>
      <c r="L98" s="7" t="s">
        <v>109</v>
      </c>
      <c r="M98" s="7" t="s">
        <v>109</v>
      </c>
      <c r="N98" s="29" t="s">
        <v>109</v>
      </c>
      <c r="O98" s="29" t="s">
        <v>61</v>
      </c>
      <c r="P98" s="7" t="s">
        <v>131</v>
      </c>
      <c r="Q98" s="7" t="s">
        <v>67</v>
      </c>
      <c r="R98" s="7" t="s">
        <v>62</v>
      </c>
      <c r="S98" s="7" t="s">
        <v>136</v>
      </c>
      <c r="T98" s="29" t="s">
        <v>610</v>
      </c>
      <c r="U98" s="108">
        <f t="shared" si="1"/>
        <v>0.6</v>
      </c>
      <c r="V98" s="7" t="s">
        <v>152</v>
      </c>
      <c r="W98" s="7" t="s">
        <v>3102</v>
      </c>
      <c r="X98" s="7" t="s">
        <v>3116</v>
      </c>
    </row>
    <row r="99" spans="1:24" x14ac:dyDescent="0.3">
      <c r="A99" s="7">
        <v>98</v>
      </c>
      <c r="B99" s="29" t="s">
        <v>23</v>
      </c>
      <c r="C99" s="29" t="s">
        <v>593</v>
      </c>
      <c r="D99" s="29">
        <v>50126067</v>
      </c>
      <c r="E99" s="29">
        <v>14</v>
      </c>
      <c r="F99" s="7">
        <v>20</v>
      </c>
      <c r="G99" s="7">
        <v>11</v>
      </c>
      <c r="H99" s="156" t="s">
        <v>274</v>
      </c>
      <c r="I99" s="86" t="s">
        <v>109</v>
      </c>
      <c r="J99" s="7" t="s">
        <v>130</v>
      </c>
      <c r="K99" s="11">
        <v>0.66527777777777775</v>
      </c>
      <c r="L99" s="7" t="s">
        <v>109</v>
      </c>
      <c r="M99" s="7" t="s">
        <v>109</v>
      </c>
      <c r="N99" s="29" t="s">
        <v>109</v>
      </c>
      <c r="O99" s="29" t="s">
        <v>61</v>
      </c>
      <c r="P99" s="7" t="s">
        <v>131</v>
      </c>
      <c r="Q99" s="7" t="s">
        <v>274</v>
      </c>
      <c r="R99" s="7" t="s">
        <v>62</v>
      </c>
      <c r="S99" s="7" t="s">
        <v>136</v>
      </c>
      <c r="T99" s="29" t="s">
        <v>610</v>
      </c>
      <c r="U99" s="108">
        <f t="shared" si="1"/>
        <v>0.7857142857142857</v>
      </c>
      <c r="V99" s="7" t="s">
        <v>152</v>
      </c>
      <c r="W99" s="7" t="s">
        <v>3102</v>
      </c>
      <c r="X99" s="7" t="s">
        <v>3116</v>
      </c>
    </row>
    <row r="100" spans="1:24" x14ac:dyDescent="0.3">
      <c r="A100" s="7">
        <v>99</v>
      </c>
      <c r="B100" s="29" t="s">
        <v>23</v>
      </c>
      <c r="C100" s="29" t="s">
        <v>2126</v>
      </c>
      <c r="D100" s="29">
        <v>50226064</v>
      </c>
      <c r="E100" s="29">
        <v>35</v>
      </c>
      <c r="F100" s="7">
        <v>35</v>
      </c>
      <c r="G100" s="7">
        <v>17</v>
      </c>
      <c r="H100" s="156" t="s">
        <v>66</v>
      </c>
      <c r="I100" s="86" t="s">
        <v>109</v>
      </c>
      <c r="J100" s="7" t="s">
        <v>130</v>
      </c>
      <c r="K100" s="11">
        <v>0.65694444444444444</v>
      </c>
      <c r="L100" s="7" t="s">
        <v>109</v>
      </c>
      <c r="M100" s="7" t="s">
        <v>109</v>
      </c>
      <c r="N100" s="29" t="s">
        <v>109</v>
      </c>
      <c r="O100" s="29" t="s">
        <v>61</v>
      </c>
      <c r="P100" s="7" t="s">
        <v>131</v>
      </c>
      <c r="Q100" s="7" t="s">
        <v>66</v>
      </c>
      <c r="R100" s="7" t="s">
        <v>62</v>
      </c>
      <c r="S100" s="7" t="s">
        <v>136</v>
      </c>
      <c r="T100" s="29" t="s">
        <v>610</v>
      </c>
      <c r="U100" s="108">
        <f t="shared" si="1"/>
        <v>0.48571428571428571</v>
      </c>
      <c r="V100" s="7" t="s">
        <v>152</v>
      </c>
      <c r="W100" s="7" t="s">
        <v>3101</v>
      </c>
      <c r="X100" s="7" t="s">
        <v>109</v>
      </c>
    </row>
    <row r="101" spans="1:24" x14ac:dyDescent="0.3">
      <c r="A101" s="7">
        <v>100</v>
      </c>
      <c r="B101" s="29" t="s">
        <v>23</v>
      </c>
      <c r="C101" s="29" t="s">
        <v>596</v>
      </c>
      <c r="D101" s="29">
        <v>50126071</v>
      </c>
      <c r="E101" s="29">
        <v>30</v>
      </c>
      <c r="F101" s="7">
        <v>49</v>
      </c>
      <c r="G101" s="7">
        <v>22</v>
      </c>
      <c r="H101" s="156" t="s">
        <v>69</v>
      </c>
      <c r="I101" s="86" t="s">
        <v>109</v>
      </c>
      <c r="J101" s="7" t="s">
        <v>130</v>
      </c>
      <c r="K101" s="11">
        <v>0.76736111111111116</v>
      </c>
      <c r="L101" s="7" t="s">
        <v>109</v>
      </c>
      <c r="M101" s="7" t="s">
        <v>109</v>
      </c>
      <c r="N101" s="29" t="s">
        <v>109</v>
      </c>
      <c r="O101" s="29" t="s">
        <v>61</v>
      </c>
      <c r="P101" s="7" t="s">
        <v>131</v>
      </c>
      <c r="Q101" s="7" t="s">
        <v>69</v>
      </c>
      <c r="R101" s="7" t="s">
        <v>62</v>
      </c>
      <c r="S101" s="7" t="s">
        <v>136</v>
      </c>
      <c r="T101" s="29" t="s">
        <v>610</v>
      </c>
      <c r="U101" s="108">
        <f t="shared" si="1"/>
        <v>0.73333333333333328</v>
      </c>
      <c r="V101" s="7" t="s">
        <v>152</v>
      </c>
      <c r="W101" s="7" t="s">
        <v>3102</v>
      </c>
      <c r="X101" s="7" t="s">
        <v>3116</v>
      </c>
    </row>
    <row r="102" spans="1:24" x14ac:dyDescent="0.3">
      <c r="A102" s="7">
        <v>101</v>
      </c>
      <c r="B102" s="29" t="s">
        <v>23</v>
      </c>
      <c r="C102" s="29" t="s">
        <v>614</v>
      </c>
      <c r="D102" s="29">
        <v>50126069</v>
      </c>
      <c r="E102" s="29">
        <v>50</v>
      </c>
      <c r="F102" s="7">
        <v>139</v>
      </c>
      <c r="G102" s="7">
        <v>34</v>
      </c>
      <c r="H102" s="156" t="s">
        <v>68</v>
      </c>
      <c r="I102" s="86" t="s">
        <v>109</v>
      </c>
      <c r="J102" s="7" t="s">
        <v>130</v>
      </c>
      <c r="K102" s="11">
        <v>9.7222222222222224E-3</v>
      </c>
      <c r="L102" s="7" t="s">
        <v>109</v>
      </c>
      <c r="M102" s="7" t="s">
        <v>109</v>
      </c>
      <c r="N102" s="29" t="s">
        <v>109</v>
      </c>
      <c r="O102" s="29" t="s">
        <v>61</v>
      </c>
      <c r="P102" s="7" t="s">
        <v>131</v>
      </c>
      <c r="Q102" s="7" t="s">
        <v>68</v>
      </c>
      <c r="R102" s="7" t="s">
        <v>62</v>
      </c>
      <c r="S102" s="7" t="s">
        <v>136</v>
      </c>
      <c r="T102" s="29" t="s">
        <v>610</v>
      </c>
      <c r="U102" s="108">
        <f t="shared" si="1"/>
        <v>0.68</v>
      </c>
      <c r="V102" s="7" t="s">
        <v>1313</v>
      </c>
      <c r="W102" s="7" t="s">
        <v>3102</v>
      </c>
      <c r="X102" s="7" t="s">
        <v>3116</v>
      </c>
    </row>
    <row r="103" spans="1:24" x14ac:dyDescent="0.3">
      <c r="A103" s="7">
        <v>102</v>
      </c>
      <c r="B103" s="29" t="s">
        <v>23</v>
      </c>
      <c r="C103" s="29" t="s">
        <v>2941</v>
      </c>
      <c r="D103" s="29">
        <v>50226071</v>
      </c>
      <c r="E103" s="38">
        <v>200</v>
      </c>
      <c r="F103" s="7">
        <v>300</v>
      </c>
      <c r="G103" s="7">
        <v>82</v>
      </c>
      <c r="H103" s="86" t="s">
        <v>1560</v>
      </c>
      <c r="I103" s="86" t="s">
        <v>109</v>
      </c>
      <c r="J103" s="7" t="s">
        <v>130</v>
      </c>
      <c r="K103" s="11">
        <v>0.97777777777777775</v>
      </c>
      <c r="L103" s="7" t="s">
        <v>109</v>
      </c>
      <c r="M103" s="7" t="s">
        <v>109</v>
      </c>
      <c r="N103" s="38" t="s">
        <v>109</v>
      </c>
      <c r="O103" s="29" t="s">
        <v>61</v>
      </c>
      <c r="P103" s="7" t="s">
        <v>131</v>
      </c>
      <c r="Q103" s="7" t="s">
        <v>66</v>
      </c>
      <c r="R103" s="7" t="s">
        <v>62</v>
      </c>
      <c r="S103" s="7" t="s">
        <v>136</v>
      </c>
      <c r="T103" s="29" t="s">
        <v>2264</v>
      </c>
      <c r="U103" s="108">
        <f t="shared" si="1"/>
        <v>0.41</v>
      </c>
      <c r="V103" s="7" t="s">
        <v>2391</v>
      </c>
      <c r="W103" s="7" t="s">
        <v>3102</v>
      </c>
      <c r="X103" s="7" t="s">
        <v>3117</v>
      </c>
    </row>
    <row r="104" spans="1:24" x14ac:dyDescent="0.3">
      <c r="A104" s="7">
        <v>103</v>
      </c>
      <c r="B104" s="29" t="s">
        <v>23</v>
      </c>
      <c r="C104" s="29" t="s">
        <v>1371</v>
      </c>
      <c r="D104" s="29">
        <v>50126338</v>
      </c>
      <c r="E104" s="38">
        <v>150</v>
      </c>
      <c r="F104" s="7">
        <v>368</v>
      </c>
      <c r="G104" s="7">
        <v>132</v>
      </c>
      <c r="H104" s="156" t="s">
        <v>3024</v>
      </c>
      <c r="I104" s="86" t="s">
        <v>109</v>
      </c>
      <c r="J104" s="7" t="s">
        <v>130</v>
      </c>
      <c r="K104" s="11">
        <v>1.6666666666666666E-2</v>
      </c>
      <c r="L104" s="7" t="s">
        <v>109</v>
      </c>
      <c r="M104" s="7" t="s">
        <v>109</v>
      </c>
      <c r="N104" s="43" t="s">
        <v>3081</v>
      </c>
      <c r="O104" s="29" t="s">
        <v>3121</v>
      </c>
      <c r="P104" s="7" t="s">
        <v>131</v>
      </c>
      <c r="Q104" s="7" t="s">
        <v>65</v>
      </c>
      <c r="R104" s="7" t="s">
        <v>62</v>
      </c>
      <c r="S104" s="7" t="s">
        <v>136</v>
      </c>
      <c r="T104" s="29" t="s">
        <v>1365</v>
      </c>
      <c r="U104" s="108">
        <f t="shared" si="1"/>
        <v>0.88</v>
      </c>
      <c r="V104" s="7" t="s">
        <v>2629</v>
      </c>
      <c r="W104" s="7" t="s">
        <v>3102</v>
      </c>
      <c r="X104" s="7" t="s">
        <v>3111</v>
      </c>
    </row>
    <row r="105" spans="1:24" x14ac:dyDescent="0.3">
      <c r="A105" s="7">
        <v>104</v>
      </c>
      <c r="B105" s="29" t="s">
        <v>1550</v>
      </c>
      <c r="C105" s="29" t="s">
        <v>1551</v>
      </c>
      <c r="D105" s="29">
        <v>40126035</v>
      </c>
      <c r="E105" s="154">
        <v>100</v>
      </c>
      <c r="F105" s="7">
        <v>109</v>
      </c>
      <c r="G105" s="7">
        <v>71</v>
      </c>
      <c r="H105" s="156" t="s">
        <v>196</v>
      </c>
      <c r="I105" s="156" t="s">
        <v>90</v>
      </c>
      <c r="J105" s="7" t="s">
        <v>130</v>
      </c>
      <c r="K105" s="11">
        <v>0.89722222222222225</v>
      </c>
      <c r="L105" s="11">
        <v>0.94652777777777775</v>
      </c>
      <c r="M105" s="7" t="s">
        <v>109</v>
      </c>
      <c r="N105" s="43" t="s">
        <v>575</v>
      </c>
      <c r="O105" s="29" t="s">
        <v>3121</v>
      </c>
      <c r="P105" s="7" t="s">
        <v>131</v>
      </c>
      <c r="Q105" s="7" t="s">
        <v>90</v>
      </c>
      <c r="R105" s="7" t="s">
        <v>1640</v>
      </c>
      <c r="S105" s="7" t="s">
        <v>136</v>
      </c>
      <c r="T105" s="29" t="s">
        <v>1554</v>
      </c>
      <c r="U105" s="108">
        <f t="shared" si="1"/>
        <v>0.71</v>
      </c>
      <c r="V105" s="7" t="s">
        <v>2629</v>
      </c>
      <c r="W105" s="7" t="s">
        <v>3101</v>
      </c>
      <c r="X105" s="7" t="s">
        <v>109</v>
      </c>
    </row>
    <row r="106" spans="1:24" x14ac:dyDescent="0.3">
      <c r="A106" s="7">
        <v>105</v>
      </c>
      <c r="B106" s="29" t="s">
        <v>1550</v>
      </c>
      <c r="C106" s="29" t="s">
        <v>1555</v>
      </c>
      <c r="D106" s="29">
        <v>40126036</v>
      </c>
      <c r="E106" s="154">
        <v>57</v>
      </c>
      <c r="F106" s="7">
        <v>24</v>
      </c>
      <c r="G106" s="7">
        <v>8</v>
      </c>
      <c r="H106" s="156" t="s">
        <v>67</v>
      </c>
      <c r="I106" s="156" t="s">
        <v>154</v>
      </c>
      <c r="J106" s="7" t="s">
        <v>130</v>
      </c>
      <c r="K106" s="11">
        <v>0.8833333333333333</v>
      </c>
      <c r="L106" s="11">
        <v>0.9916666666666667</v>
      </c>
      <c r="M106" s="7" t="s">
        <v>109</v>
      </c>
      <c r="N106" s="43" t="s">
        <v>575</v>
      </c>
      <c r="O106" s="29" t="s">
        <v>3121</v>
      </c>
      <c r="P106" s="7" t="s">
        <v>131</v>
      </c>
      <c r="Q106" s="7" t="s">
        <v>154</v>
      </c>
      <c r="R106" s="7" t="s">
        <v>1640</v>
      </c>
      <c r="S106" s="7" t="s">
        <v>136</v>
      </c>
      <c r="T106" s="29" t="s">
        <v>1554</v>
      </c>
      <c r="U106" s="108">
        <f t="shared" si="1"/>
        <v>0.14035087719298245</v>
      </c>
      <c r="V106" s="7" t="s">
        <v>2629</v>
      </c>
      <c r="W106" s="7" t="s">
        <v>3101</v>
      </c>
      <c r="X106" s="7" t="s">
        <v>109</v>
      </c>
    </row>
    <row r="107" spans="1:24" x14ac:dyDescent="0.3">
      <c r="A107" s="7">
        <v>106</v>
      </c>
      <c r="B107" s="29" t="s">
        <v>1550</v>
      </c>
      <c r="C107" s="29" t="s">
        <v>1556</v>
      </c>
      <c r="D107" s="29">
        <v>40126034</v>
      </c>
      <c r="E107" s="154">
        <v>110</v>
      </c>
      <c r="F107" s="7">
        <v>33</v>
      </c>
      <c r="G107" s="7">
        <v>26</v>
      </c>
      <c r="H107" s="86" t="s">
        <v>67</v>
      </c>
      <c r="I107" s="86" t="s">
        <v>154</v>
      </c>
      <c r="J107" s="7" t="s">
        <v>130</v>
      </c>
      <c r="K107" s="11">
        <v>0.90208333333333335</v>
      </c>
      <c r="L107" s="11">
        <v>0.92013888888888884</v>
      </c>
      <c r="M107" s="7" t="s">
        <v>109</v>
      </c>
      <c r="N107" s="43" t="s">
        <v>575</v>
      </c>
      <c r="O107" s="29" t="s">
        <v>3121</v>
      </c>
      <c r="P107" s="7" t="s">
        <v>131</v>
      </c>
      <c r="Q107" s="7" t="s">
        <v>154</v>
      </c>
      <c r="R107" s="7" t="s">
        <v>1640</v>
      </c>
      <c r="S107" s="7" t="s">
        <v>136</v>
      </c>
      <c r="T107" s="29" t="s">
        <v>1554</v>
      </c>
      <c r="U107" s="108">
        <f t="shared" si="1"/>
        <v>0.23636363636363636</v>
      </c>
      <c r="V107" s="7" t="s">
        <v>2629</v>
      </c>
      <c r="W107" s="7" t="s">
        <v>3101</v>
      </c>
      <c r="X107" s="7" t="s">
        <v>109</v>
      </c>
    </row>
    <row r="108" spans="1:24" x14ac:dyDescent="0.3">
      <c r="A108" s="7">
        <v>107</v>
      </c>
      <c r="B108" s="29" t="s">
        <v>170</v>
      </c>
      <c r="C108" s="29" t="s">
        <v>1355</v>
      </c>
      <c r="D108" s="29">
        <v>40126027</v>
      </c>
      <c r="E108" s="154">
        <v>225</v>
      </c>
      <c r="F108" s="7">
        <v>412</v>
      </c>
      <c r="G108" s="7">
        <v>161</v>
      </c>
      <c r="H108" s="86" t="s">
        <v>3082</v>
      </c>
      <c r="I108" s="86" t="s">
        <v>3098</v>
      </c>
      <c r="J108" s="7" t="s">
        <v>130</v>
      </c>
      <c r="K108" s="11">
        <v>0.93055555555555558</v>
      </c>
      <c r="L108" s="11">
        <v>0.96666666666666667</v>
      </c>
      <c r="M108" s="7" t="s">
        <v>109</v>
      </c>
      <c r="N108" s="43" t="s">
        <v>3083</v>
      </c>
      <c r="O108" s="29" t="s">
        <v>61</v>
      </c>
      <c r="P108" s="7" t="s">
        <v>131</v>
      </c>
      <c r="Q108" s="7" t="s">
        <v>209</v>
      </c>
      <c r="R108" s="7" t="s">
        <v>62</v>
      </c>
      <c r="S108" s="7" t="s">
        <v>136</v>
      </c>
      <c r="T108" s="29" t="s">
        <v>1356</v>
      </c>
      <c r="U108" s="108">
        <f t="shared" si="1"/>
        <v>0.7155555555555555</v>
      </c>
      <c r="V108" s="7" t="s">
        <v>1313</v>
      </c>
      <c r="W108" s="7" t="s">
        <v>3101</v>
      </c>
      <c r="X108" s="7" t="s">
        <v>109</v>
      </c>
    </row>
    <row r="109" spans="1:24" x14ac:dyDescent="0.3">
      <c r="A109" s="7">
        <v>108</v>
      </c>
      <c r="B109" s="29" t="s">
        <v>411</v>
      </c>
      <c r="C109" s="29" t="s">
        <v>2246</v>
      </c>
      <c r="D109" s="29">
        <v>30226011</v>
      </c>
      <c r="E109" s="154">
        <v>250</v>
      </c>
      <c r="F109" s="7">
        <v>55</v>
      </c>
      <c r="G109" s="7">
        <v>6</v>
      </c>
      <c r="H109" s="86" t="s">
        <v>153</v>
      </c>
      <c r="I109" s="86" t="s">
        <v>88</v>
      </c>
      <c r="J109" s="7" t="s">
        <v>130</v>
      </c>
      <c r="K109" s="11">
        <v>0.86458333333333337</v>
      </c>
      <c r="L109" s="11">
        <v>0.90486111111111112</v>
      </c>
      <c r="M109" s="7" t="s">
        <v>109</v>
      </c>
      <c r="N109" s="38" t="s">
        <v>109</v>
      </c>
      <c r="O109" s="29" t="s">
        <v>61</v>
      </c>
      <c r="P109" s="7" t="s">
        <v>131</v>
      </c>
      <c r="Q109" s="7" t="s">
        <v>88</v>
      </c>
      <c r="R109" s="7" t="s">
        <v>63</v>
      </c>
      <c r="S109" s="7" t="s">
        <v>136</v>
      </c>
      <c r="T109" s="29" t="s">
        <v>2247</v>
      </c>
      <c r="U109" s="108">
        <f t="shared" si="1"/>
        <v>2.4E-2</v>
      </c>
      <c r="V109" s="7" t="s">
        <v>152</v>
      </c>
      <c r="W109" s="7" t="s">
        <v>3101</v>
      </c>
      <c r="X109" s="7" t="s">
        <v>109</v>
      </c>
    </row>
    <row r="110" spans="1:24" x14ac:dyDescent="0.3">
      <c r="A110" s="7">
        <v>109</v>
      </c>
      <c r="B110" s="29" t="s">
        <v>292</v>
      </c>
      <c r="C110" s="29" t="s">
        <v>1883</v>
      </c>
      <c r="D110" s="29">
        <v>40126037</v>
      </c>
      <c r="E110" s="154">
        <v>147</v>
      </c>
      <c r="F110" s="7">
        <v>229</v>
      </c>
      <c r="G110" s="7">
        <v>33</v>
      </c>
      <c r="H110" s="156" t="s">
        <v>3084</v>
      </c>
      <c r="I110" s="86" t="s">
        <v>3085</v>
      </c>
      <c r="J110" s="7" t="s">
        <v>130</v>
      </c>
      <c r="K110" s="11">
        <v>0.7104166666666667</v>
      </c>
      <c r="L110" s="11">
        <v>0.75277777777777777</v>
      </c>
      <c r="M110" s="7" t="s">
        <v>109</v>
      </c>
      <c r="N110" s="43" t="s">
        <v>1006</v>
      </c>
      <c r="O110" s="29" t="s">
        <v>61</v>
      </c>
      <c r="P110" s="7" t="s">
        <v>131</v>
      </c>
      <c r="Q110" s="7" t="s">
        <v>154</v>
      </c>
      <c r="R110" s="7" t="s">
        <v>63</v>
      </c>
      <c r="S110" s="7" t="s">
        <v>136</v>
      </c>
      <c r="T110" s="29" t="s">
        <v>117</v>
      </c>
      <c r="U110" s="108">
        <f t="shared" si="1"/>
        <v>0.22448979591836735</v>
      </c>
      <c r="V110" s="7" t="s">
        <v>1313</v>
      </c>
      <c r="W110" s="7" t="s">
        <v>3101</v>
      </c>
      <c r="X110" s="7" t="s">
        <v>109</v>
      </c>
    </row>
    <row r="111" spans="1:24" x14ac:dyDescent="0.3">
      <c r="A111" s="7">
        <v>110</v>
      </c>
      <c r="B111" s="29" t="s">
        <v>24</v>
      </c>
      <c r="C111" s="29" t="s">
        <v>2287</v>
      </c>
      <c r="D111" s="29">
        <v>60226019</v>
      </c>
      <c r="E111" s="154">
        <v>89</v>
      </c>
      <c r="F111" s="7">
        <v>197</v>
      </c>
      <c r="G111" s="7">
        <v>87</v>
      </c>
      <c r="H111" s="156" t="s">
        <v>200</v>
      </c>
      <c r="I111" s="156" t="s">
        <v>94</v>
      </c>
      <c r="J111" s="7" t="s">
        <v>130</v>
      </c>
      <c r="K111" s="11">
        <v>0.71597222222222223</v>
      </c>
      <c r="L111" s="11">
        <v>0.77569444444444446</v>
      </c>
      <c r="M111" s="7" t="s">
        <v>109</v>
      </c>
      <c r="N111" s="43" t="s">
        <v>110</v>
      </c>
      <c r="O111" s="29" t="s">
        <v>61</v>
      </c>
      <c r="P111" s="7" t="s">
        <v>131</v>
      </c>
      <c r="Q111" s="7" t="s">
        <v>94</v>
      </c>
      <c r="R111" s="7" t="s">
        <v>63</v>
      </c>
      <c r="S111" s="7" t="s">
        <v>136</v>
      </c>
      <c r="T111" s="29" t="s">
        <v>2288</v>
      </c>
      <c r="U111" s="108">
        <f t="shared" si="1"/>
        <v>0.97752808988764039</v>
      </c>
      <c r="V111" s="7" t="s">
        <v>1945</v>
      </c>
      <c r="W111" s="7" t="s">
        <v>3101</v>
      </c>
      <c r="X111" s="7" t="s">
        <v>109</v>
      </c>
    </row>
    <row r="112" spans="1:24" x14ac:dyDescent="0.3">
      <c r="A112" s="7">
        <v>111</v>
      </c>
      <c r="B112" s="29" t="s">
        <v>24</v>
      </c>
      <c r="C112" s="29" t="s">
        <v>2289</v>
      </c>
      <c r="D112" s="29">
        <v>60226020</v>
      </c>
      <c r="E112" s="154">
        <v>82</v>
      </c>
      <c r="F112" s="7">
        <v>27</v>
      </c>
      <c r="G112" s="7">
        <v>2</v>
      </c>
      <c r="H112" s="86" t="s">
        <v>196</v>
      </c>
      <c r="I112" s="77" t="s">
        <v>87</v>
      </c>
      <c r="J112" s="7" t="s">
        <v>130</v>
      </c>
      <c r="K112" s="11">
        <v>0.84722222222222221</v>
      </c>
      <c r="L112" s="11">
        <v>0.87986111111111109</v>
      </c>
      <c r="M112" s="7" t="s">
        <v>109</v>
      </c>
      <c r="N112" s="43" t="s">
        <v>110</v>
      </c>
      <c r="O112" s="29" t="s">
        <v>61</v>
      </c>
      <c r="P112" s="7" t="s">
        <v>131</v>
      </c>
      <c r="Q112" s="7" t="s">
        <v>87</v>
      </c>
      <c r="R112" s="7" t="s">
        <v>63</v>
      </c>
      <c r="S112" s="7" t="s">
        <v>136</v>
      </c>
      <c r="T112" s="29" t="s">
        <v>2288</v>
      </c>
      <c r="U112" s="108">
        <f t="shared" si="1"/>
        <v>2.4390243902439025E-2</v>
      </c>
      <c r="V112" s="7" t="s">
        <v>152</v>
      </c>
      <c r="W112" s="7" t="s">
        <v>3101</v>
      </c>
      <c r="X112" s="7" t="s">
        <v>109</v>
      </c>
    </row>
    <row r="113" spans="1:24" x14ac:dyDescent="0.3">
      <c r="A113" s="7">
        <v>112</v>
      </c>
      <c r="B113" s="29" t="s">
        <v>24</v>
      </c>
      <c r="C113" s="29" t="s">
        <v>1535</v>
      </c>
      <c r="D113" s="29">
        <v>60126011</v>
      </c>
      <c r="E113" s="154">
        <v>32</v>
      </c>
      <c r="F113" s="7">
        <v>32</v>
      </c>
      <c r="G113" s="7">
        <v>9</v>
      </c>
      <c r="H113" s="156" t="s">
        <v>65</v>
      </c>
      <c r="I113" s="156" t="s">
        <v>90</v>
      </c>
      <c r="J113" s="7" t="s">
        <v>130</v>
      </c>
      <c r="K113" s="11">
        <v>0.66805555555555551</v>
      </c>
      <c r="L113" s="11">
        <v>0.82777777777777772</v>
      </c>
      <c r="M113" s="7" t="s">
        <v>109</v>
      </c>
      <c r="N113" s="43" t="s">
        <v>110</v>
      </c>
      <c r="O113" s="29" t="s">
        <v>61</v>
      </c>
      <c r="P113" s="7" t="s">
        <v>131</v>
      </c>
      <c r="Q113" s="7" t="s">
        <v>90</v>
      </c>
      <c r="R113" s="7" t="s">
        <v>63</v>
      </c>
      <c r="S113" s="7" t="s">
        <v>136</v>
      </c>
      <c r="T113" s="29" t="s">
        <v>1536</v>
      </c>
      <c r="U113" s="108">
        <f t="shared" si="1"/>
        <v>0.28125</v>
      </c>
      <c r="V113" s="7" t="s">
        <v>152</v>
      </c>
      <c r="W113" s="7" t="s">
        <v>3102</v>
      </c>
      <c r="X113" s="7" t="s">
        <v>3118</v>
      </c>
    </row>
    <row r="114" spans="1:24" x14ac:dyDescent="0.3">
      <c r="A114" s="7">
        <v>113</v>
      </c>
      <c r="B114" s="29" t="s">
        <v>24</v>
      </c>
      <c r="C114" s="29" t="s">
        <v>890</v>
      </c>
      <c r="D114" s="29">
        <v>60126003</v>
      </c>
      <c r="E114" s="154">
        <v>43</v>
      </c>
      <c r="F114" s="7">
        <v>44</v>
      </c>
      <c r="G114" s="7">
        <v>9</v>
      </c>
      <c r="H114" s="156" t="s">
        <v>68</v>
      </c>
      <c r="I114" s="156" t="s">
        <v>88</v>
      </c>
      <c r="J114" s="7" t="s">
        <v>130</v>
      </c>
      <c r="K114" s="11">
        <v>0.91805555555555551</v>
      </c>
      <c r="L114" s="11">
        <v>0.95763888888888893</v>
      </c>
      <c r="M114" s="7" t="s">
        <v>109</v>
      </c>
      <c r="N114" s="38" t="s">
        <v>109</v>
      </c>
      <c r="O114" s="29" t="s">
        <v>61</v>
      </c>
      <c r="P114" s="7" t="s">
        <v>131</v>
      </c>
      <c r="Q114" s="7" t="s">
        <v>88</v>
      </c>
      <c r="R114" s="7" t="s">
        <v>63</v>
      </c>
      <c r="S114" s="7" t="s">
        <v>136</v>
      </c>
      <c r="T114" s="29" t="s">
        <v>891</v>
      </c>
      <c r="U114" s="108">
        <f t="shared" si="1"/>
        <v>0.20930232558139536</v>
      </c>
      <c r="V114" s="7" t="s">
        <v>152</v>
      </c>
      <c r="W114" s="7" t="s">
        <v>3101</v>
      </c>
      <c r="X114" s="7" t="s">
        <v>109</v>
      </c>
    </row>
    <row r="115" spans="1:24" x14ac:dyDescent="0.3">
      <c r="A115" s="7">
        <v>114</v>
      </c>
      <c r="B115" s="29" t="s">
        <v>24</v>
      </c>
      <c r="C115" s="29" t="s">
        <v>892</v>
      </c>
      <c r="D115" s="29">
        <v>60126002</v>
      </c>
      <c r="E115" s="154">
        <v>15</v>
      </c>
      <c r="F115" s="7">
        <v>15</v>
      </c>
      <c r="G115" s="7">
        <v>9</v>
      </c>
      <c r="H115" s="156" t="s">
        <v>70</v>
      </c>
      <c r="I115" s="156" t="s">
        <v>1082</v>
      </c>
      <c r="J115" s="7" t="s">
        <v>130</v>
      </c>
      <c r="K115" s="11">
        <v>0.69652777777777775</v>
      </c>
      <c r="L115" s="7" t="s">
        <v>109</v>
      </c>
      <c r="M115" s="7" t="s">
        <v>109</v>
      </c>
      <c r="N115" s="38" t="s">
        <v>109</v>
      </c>
      <c r="O115" s="29" t="s">
        <v>61</v>
      </c>
      <c r="P115" s="7" t="s">
        <v>131</v>
      </c>
      <c r="Q115" s="7" t="s">
        <v>70</v>
      </c>
      <c r="R115" s="7" t="s">
        <v>63</v>
      </c>
      <c r="S115" s="7" t="s">
        <v>136</v>
      </c>
      <c r="T115" s="29" t="s">
        <v>891</v>
      </c>
      <c r="U115" s="108">
        <f t="shared" si="1"/>
        <v>0.6</v>
      </c>
      <c r="V115" s="7" t="s">
        <v>152</v>
      </c>
      <c r="W115" s="7" t="s">
        <v>3101</v>
      </c>
      <c r="X115" s="7" t="s">
        <v>109</v>
      </c>
    </row>
    <row r="116" spans="1:24" x14ac:dyDescent="0.3">
      <c r="A116" s="7">
        <v>115</v>
      </c>
      <c r="B116" s="29" t="s">
        <v>24</v>
      </c>
      <c r="C116" s="29" t="s">
        <v>893</v>
      </c>
      <c r="D116" s="29">
        <v>60126004</v>
      </c>
      <c r="E116" s="154">
        <v>150</v>
      </c>
      <c r="F116" s="7">
        <v>93</v>
      </c>
      <c r="G116" s="7">
        <v>33</v>
      </c>
      <c r="H116" s="156" t="s">
        <v>1292</v>
      </c>
      <c r="I116" s="86" t="s">
        <v>3086</v>
      </c>
      <c r="J116" s="7" t="s">
        <v>130</v>
      </c>
      <c r="K116" s="11">
        <v>0.95902777777777781</v>
      </c>
      <c r="L116" s="7" t="s">
        <v>109</v>
      </c>
      <c r="M116" s="7" t="s">
        <v>109</v>
      </c>
      <c r="N116" s="38" t="s">
        <v>109</v>
      </c>
      <c r="O116" s="29" t="s">
        <v>61</v>
      </c>
      <c r="P116" s="7" t="s">
        <v>131</v>
      </c>
      <c r="Q116" s="7" t="s">
        <v>109</v>
      </c>
      <c r="R116" s="7" t="s">
        <v>63</v>
      </c>
      <c r="S116" s="7" t="s">
        <v>136</v>
      </c>
      <c r="T116" s="29" t="s">
        <v>891</v>
      </c>
      <c r="U116" s="108">
        <f t="shared" si="1"/>
        <v>0.22</v>
      </c>
      <c r="V116" s="7" t="s">
        <v>152</v>
      </c>
      <c r="W116" s="7" t="s">
        <v>3101</v>
      </c>
      <c r="X116" s="7" t="s">
        <v>109</v>
      </c>
    </row>
    <row r="117" spans="1:24" x14ac:dyDescent="0.3">
      <c r="A117" s="7">
        <v>116</v>
      </c>
      <c r="B117" s="29" t="s">
        <v>24</v>
      </c>
      <c r="C117" s="29" t="s">
        <v>894</v>
      </c>
      <c r="D117" s="29">
        <v>60126005</v>
      </c>
      <c r="E117" s="154">
        <v>94</v>
      </c>
      <c r="F117" s="7">
        <v>87</v>
      </c>
      <c r="G117" s="7">
        <v>57</v>
      </c>
      <c r="H117" s="156" t="s">
        <v>196</v>
      </c>
      <c r="I117" s="77" t="s">
        <v>95</v>
      </c>
      <c r="J117" s="7" t="s">
        <v>130</v>
      </c>
      <c r="K117" s="11">
        <v>0.95416666666666672</v>
      </c>
      <c r="L117" s="11">
        <v>0.98402777777777772</v>
      </c>
      <c r="M117" s="7" t="s">
        <v>109</v>
      </c>
      <c r="N117" s="38" t="s">
        <v>109</v>
      </c>
      <c r="O117" s="29" t="s">
        <v>61</v>
      </c>
      <c r="P117" s="7" t="s">
        <v>131</v>
      </c>
      <c r="Q117" s="7" t="s">
        <v>95</v>
      </c>
      <c r="R117" s="7" t="s">
        <v>63</v>
      </c>
      <c r="S117" s="7" t="s">
        <v>136</v>
      </c>
      <c r="T117" s="29" t="s">
        <v>891</v>
      </c>
      <c r="U117" s="108">
        <f t="shared" si="1"/>
        <v>0.6063829787234043</v>
      </c>
      <c r="V117" s="7" t="s">
        <v>152</v>
      </c>
      <c r="W117" s="7" t="s">
        <v>3101</v>
      </c>
      <c r="X117" s="7" t="s">
        <v>109</v>
      </c>
    </row>
    <row r="118" spans="1:24" x14ac:dyDescent="0.3">
      <c r="A118" s="7">
        <v>117</v>
      </c>
      <c r="B118" s="29" t="s">
        <v>24</v>
      </c>
      <c r="C118" s="29" t="s">
        <v>895</v>
      </c>
      <c r="D118" s="29">
        <v>60126006</v>
      </c>
      <c r="E118" s="154">
        <v>89</v>
      </c>
      <c r="F118" s="7">
        <v>44</v>
      </c>
      <c r="G118" s="7">
        <v>11</v>
      </c>
      <c r="H118" s="156" t="s">
        <v>222</v>
      </c>
      <c r="I118" s="156" t="s">
        <v>86</v>
      </c>
      <c r="J118" s="7" t="s">
        <v>130</v>
      </c>
      <c r="K118" s="11">
        <v>0.78472222222222221</v>
      </c>
      <c r="L118" s="11">
        <v>0.83263888888888893</v>
      </c>
      <c r="M118" s="7" t="s">
        <v>109</v>
      </c>
      <c r="N118" s="38" t="s">
        <v>109</v>
      </c>
      <c r="O118" s="29" t="s">
        <v>61</v>
      </c>
      <c r="P118" s="7" t="s">
        <v>131</v>
      </c>
      <c r="Q118" s="7" t="s">
        <v>86</v>
      </c>
      <c r="R118" s="7" t="s">
        <v>63</v>
      </c>
      <c r="S118" s="7" t="s">
        <v>136</v>
      </c>
      <c r="T118" s="29" t="s">
        <v>891</v>
      </c>
      <c r="U118" s="108">
        <f t="shared" si="1"/>
        <v>0.12359550561797752</v>
      </c>
      <c r="V118" s="7" t="s">
        <v>152</v>
      </c>
      <c r="W118" s="7" t="s">
        <v>3101</v>
      </c>
      <c r="X118" s="7" t="s">
        <v>109</v>
      </c>
    </row>
    <row r="119" spans="1:24" x14ac:dyDescent="0.3">
      <c r="A119" s="7">
        <v>118</v>
      </c>
      <c r="B119" s="29" t="s">
        <v>24</v>
      </c>
      <c r="C119" s="29" t="s">
        <v>896</v>
      </c>
      <c r="D119" s="29">
        <v>60126008</v>
      </c>
      <c r="E119" s="154">
        <v>71</v>
      </c>
      <c r="F119" s="7">
        <v>188</v>
      </c>
      <c r="G119" s="7">
        <v>63</v>
      </c>
      <c r="H119" s="156" t="s">
        <v>200</v>
      </c>
      <c r="I119" s="156" t="s">
        <v>88</v>
      </c>
      <c r="J119" s="7" t="s">
        <v>130</v>
      </c>
      <c r="K119" s="11">
        <v>0.89652777777777781</v>
      </c>
      <c r="L119" s="11">
        <v>0.97361111111111109</v>
      </c>
      <c r="M119" s="7" t="s">
        <v>109</v>
      </c>
      <c r="N119" s="38" t="s">
        <v>109</v>
      </c>
      <c r="O119" s="29" t="s">
        <v>61</v>
      </c>
      <c r="P119" s="7" t="s">
        <v>131</v>
      </c>
      <c r="Q119" s="7" t="s">
        <v>88</v>
      </c>
      <c r="R119" s="7" t="s">
        <v>63</v>
      </c>
      <c r="S119" s="7" t="s">
        <v>136</v>
      </c>
      <c r="T119" s="29" t="s">
        <v>891</v>
      </c>
      <c r="U119" s="108">
        <f t="shared" si="1"/>
        <v>0.88732394366197187</v>
      </c>
      <c r="V119" s="7" t="s">
        <v>1313</v>
      </c>
      <c r="W119" s="7" t="s">
        <v>3101</v>
      </c>
      <c r="X119" s="7" t="s">
        <v>109</v>
      </c>
    </row>
    <row r="120" spans="1:24" x14ac:dyDescent="0.3">
      <c r="A120" s="7">
        <v>119</v>
      </c>
      <c r="B120" s="29" t="s">
        <v>24</v>
      </c>
      <c r="C120" s="29" t="s">
        <v>897</v>
      </c>
      <c r="D120" s="29">
        <v>60126007</v>
      </c>
      <c r="E120" s="154">
        <v>337</v>
      </c>
      <c r="F120" s="7">
        <v>626</v>
      </c>
      <c r="G120" s="7">
        <v>276</v>
      </c>
      <c r="H120" s="86" t="s">
        <v>3087</v>
      </c>
      <c r="I120" s="86" t="s">
        <v>3096</v>
      </c>
      <c r="J120" s="7" t="s">
        <v>130</v>
      </c>
      <c r="K120" s="11">
        <v>0.82777777777777772</v>
      </c>
      <c r="L120" s="11">
        <v>0.87916666666666665</v>
      </c>
      <c r="M120" s="7" t="s">
        <v>109</v>
      </c>
      <c r="N120" s="38" t="s">
        <v>109</v>
      </c>
      <c r="O120" s="29" t="s">
        <v>61</v>
      </c>
      <c r="P120" s="7" t="s">
        <v>131</v>
      </c>
      <c r="Q120" s="7" t="s">
        <v>94</v>
      </c>
      <c r="R120" s="7" t="s">
        <v>63</v>
      </c>
      <c r="S120" s="7" t="s">
        <v>136</v>
      </c>
      <c r="T120" s="29" t="s">
        <v>891</v>
      </c>
      <c r="U120" s="108">
        <f t="shared" si="1"/>
        <v>0.81899109792284863</v>
      </c>
      <c r="V120" s="7" t="s">
        <v>1313</v>
      </c>
      <c r="W120" s="7" t="s">
        <v>3101</v>
      </c>
      <c r="X120" s="7" t="s">
        <v>109</v>
      </c>
    </row>
    <row r="121" spans="1:24" x14ac:dyDescent="0.3">
      <c r="A121" s="7">
        <v>120</v>
      </c>
      <c r="B121" s="29" t="s">
        <v>26</v>
      </c>
      <c r="C121" s="29" t="s">
        <v>1388</v>
      </c>
      <c r="D121" s="29">
        <v>40126024</v>
      </c>
      <c r="E121" s="154">
        <v>410</v>
      </c>
      <c r="F121" s="7">
        <v>396</v>
      </c>
      <c r="G121" s="7">
        <v>118</v>
      </c>
      <c r="H121" s="86" t="s">
        <v>3088</v>
      </c>
      <c r="I121" s="86" t="s">
        <v>3089</v>
      </c>
      <c r="J121" s="7" t="s">
        <v>130</v>
      </c>
      <c r="K121" s="11">
        <v>0.73958333333333337</v>
      </c>
      <c r="L121" s="11">
        <v>0</v>
      </c>
      <c r="M121" s="7" t="s">
        <v>109</v>
      </c>
      <c r="N121" s="38" t="s">
        <v>109</v>
      </c>
      <c r="O121" s="29" t="s">
        <v>61</v>
      </c>
      <c r="P121" s="7" t="s">
        <v>131</v>
      </c>
      <c r="Q121" s="7" t="s">
        <v>94</v>
      </c>
      <c r="R121" s="7" t="s">
        <v>62</v>
      </c>
      <c r="S121" s="7" t="s">
        <v>136</v>
      </c>
      <c r="T121" s="29" t="s">
        <v>121</v>
      </c>
      <c r="U121" s="108">
        <f t="shared" si="1"/>
        <v>0.28780487804878047</v>
      </c>
      <c r="V121" s="7" t="s">
        <v>152</v>
      </c>
      <c r="W121" s="7" t="s">
        <v>3101</v>
      </c>
      <c r="X121" s="7" t="s">
        <v>109</v>
      </c>
    </row>
    <row r="122" spans="1:24" x14ac:dyDescent="0.3">
      <c r="A122" s="7">
        <v>121</v>
      </c>
      <c r="B122" s="29" t="s">
        <v>26</v>
      </c>
      <c r="C122" s="29" t="s">
        <v>766</v>
      </c>
      <c r="D122" s="29">
        <v>40126004</v>
      </c>
      <c r="E122" s="154">
        <v>114</v>
      </c>
      <c r="F122" s="7">
        <v>235</v>
      </c>
      <c r="G122" s="7">
        <v>55</v>
      </c>
      <c r="H122" s="86" t="s">
        <v>3090</v>
      </c>
      <c r="I122" s="86" t="s">
        <v>1549</v>
      </c>
      <c r="J122" s="7" t="s">
        <v>130</v>
      </c>
      <c r="K122" s="11">
        <v>0.90972222222222221</v>
      </c>
      <c r="L122" s="11">
        <v>0.94791666666666663</v>
      </c>
      <c r="M122" s="7" t="s">
        <v>109</v>
      </c>
      <c r="N122" s="38" t="s">
        <v>109</v>
      </c>
      <c r="O122" s="29" t="s">
        <v>61</v>
      </c>
      <c r="P122" s="7" t="s">
        <v>131</v>
      </c>
      <c r="Q122" s="7" t="s">
        <v>94</v>
      </c>
      <c r="R122" s="7" t="s">
        <v>63</v>
      </c>
      <c r="S122" s="7" t="s">
        <v>136</v>
      </c>
      <c r="T122" s="29" t="s">
        <v>767</v>
      </c>
      <c r="U122" s="108">
        <f t="shared" si="1"/>
        <v>0.48245614035087719</v>
      </c>
      <c r="V122" s="7" t="s">
        <v>2391</v>
      </c>
      <c r="W122" s="7" t="s">
        <v>3102</v>
      </c>
      <c r="X122" s="7" t="s">
        <v>3119</v>
      </c>
    </row>
    <row r="123" spans="1:24" x14ac:dyDescent="0.3">
      <c r="A123" s="7">
        <v>122</v>
      </c>
      <c r="B123" s="29" t="s">
        <v>26</v>
      </c>
      <c r="C123" s="29" t="s">
        <v>768</v>
      </c>
      <c r="D123" s="29">
        <v>40126005</v>
      </c>
      <c r="E123" s="154">
        <v>95</v>
      </c>
      <c r="F123" s="7">
        <v>197</v>
      </c>
      <c r="G123" s="7">
        <v>56</v>
      </c>
      <c r="H123" s="156" t="s">
        <v>200</v>
      </c>
      <c r="I123" s="156" t="s">
        <v>88</v>
      </c>
      <c r="J123" s="7" t="s">
        <v>130</v>
      </c>
      <c r="K123" s="11">
        <v>0.86111111111111116</v>
      </c>
      <c r="L123" s="11">
        <v>0.89375000000000004</v>
      </c>
      <c r="M123" s="7" t="s">
        <v>109</v>
      </c>
      <c r="N123" s="38" t="s">
        <v>109</v>
      </c>
      <c r="O123" s="29" t="s">
        <v>61</v>
      </c>
      <c r="P123" s="7" t="s">
        <v>131</v>
      </c>
      <c r="Q123" s="7" t="s">
        <v>109</v>
      </c>
      <c r="R123" s="7" t="s">
        <v>63</v>
      </c>
      <c r="S123" s="7" t="s">
        <v>136</v>
      </c>
      <c r="T123" s="29" t="s">
        <v>767</v>
      </c>
      <c r="U123" s="108">
        <f t="shared" si="1"/>
        <v>0.58947368421052626</v>
      </c>
      <c r="V123" s="7" t="s">
        <v>1313</v>
      </c>
      <c r="W123" s="7" t="s">
        <v>3102</v>
      </c>
      <c r="X123" s="7" t="s">
        <v>3119</v>
      </c>
    </row>
    <row r="124" spans="1:24" x14ac:dyDescent="0.3">
      <c r="A124" s="7">
        <v>123</v>
      </c>
      <c r="B124" s="29" t="s">
        <v>26</v>
      </c>
      <c r="C124" s="29" t="s">
        <v>769</v>
      </c>
      <c r="D124" s="29">
        <v>40126006</v>
      </c>
      <c r="E124" s="154">
        <v>70</v>
      </c>
      <c r="F124" s="7">
        <v>23</v>
      </c>
      <c r="G124" s="7">
        <v>7</v>
      </c>
      <c r="H124" s="156" t="s">
        <v>222</v>
      </c>
      <c r="I124" s="77" t="s">
        <v>209</v>
      </c>
      <c r="J124" s="7" t="s">
        <v>130</v>
      </c>
      <c r="K124" s="11">
        <v>0.82222222222222219</v>
      </c>
      <c r="L124" s="11">
        <v>0.88680555555555551</v>
      </c>
      <c r="M124" s="7" t="s">
        <v>109</v>
      </c>
      <c r="N124" s="38" t="s">
        <v>109</v>
      </c>
      <c r="O124" s="29" t="s">
        <v>61</v>
      </c>
      <c r="P124" s="7" t="s">
        <v>131</v>
      </c>
      <c r="Q124" s="7" t="s">
        <v>209</v>
      </c>
      <c r="R124" s="7" t="s">
        <v>63</v>
      </c>
      <c r="S124" s="7" t="s">
        <v>136</v>
      </c>
      <c r="T124" s="29" t="s">
        <v>767</v>
      </c>
      <c r="U124" s="108">
        <f t="shared" si="1"/>
        <v>0.1</v>
      </c>
      <c r="V124" s="7" t="s">
        <v>152</v>
      </c>
      <c r="W124" s="7" t="s">
        <v>3102</v>
      </c>
      <c r="X124" s="7" t="s">
        <v>3120</v>
      </c>
    </row>
    <row r="125" spans="1:24" x14ac:dyDescent="0.3">
      <c r="A125" s="7">
        <v>124</v>
      </c>
      <c r="B125" s="29" t="s">
        <v>26</v>
      </c>
      <c r="C125" s="29" t="s">
        <v>770</v>
      </c>
      <c r="D125" s="29">
        <v>40126003</v>
      </c>
      <c r="E125" s="154">
        <v>264</v>
      </c>
      <c r="F125" s="7">
        <v>493</v>
      </c>
      <c r="G125" s="7">
        <v>87</v>
      </c>
      <c r="H125" s="86" t="s">
        <v>3091</v>
      </c>
      <c r="I125" s="86" t="s">
        <v>3092</v>
      </c>
      <c r="J125" s="7" t="s">
        <v>130</v>
      </c>
      <c r="K125" s="11">
        <v>0.73819444444444449</v>
      </c>
      <c r="L125" s="11">
        <v>0.76597222222222228</v>
      </c>
      <c r="M125" s="7" t="s">
        <v>109</v>
      </c>
      <c r="N125" s="38" t="s">
        <v>109</v>
      </c>
      <c r="O125" s="29" t="s">
        <v>61</v>
      </c>
      <c r="P125" s="7" t="s">
        <v>131</v>
      </c>
      <c r="Q125" s="7" t="s">
        <v>86</v>
      </c>
      <c r="R125" s="7" t="s">
        <v>63</v>
      </c>
      <c r="S125" s="7" t="s">
        <v>136</v>
      </c>
      <c r="T125" s="29" t="s">
        <v>767</v>
      </c>
      <c r="U125" s="108">
        <f t="shared" si="1"/>
        <v>0.32954545454545453</v>
      </c>
      <c r="V125" s="7" t="s">
        <v>2391</v>
      </c>
      <c r="W125" s="7" t="s">
        <v>3102</v>
      </c>
      <c r="X125" s="7" t="s">
        <v>3120</v>
      </c>
    </row>
    <row r="126" spans="1:24" x14ac:dyDescent="0.3">
      <c r="A126" s="7">
        <v>125</v>
      </c>
      <c r="B126" s="29" t="s">
        <v>26</v>
      </c>
      <c r="C126" s="29" t="s">
        <v>773</v>
      </c>
      <c r="D126" s="29">
        <v>40126002</v>
      </c>
      <c r="E126" s="154">
        <v>189</v>
      </c>
      <c r="F126" s="7">
        <v>338</v>
      </c>
      <c r="G126" s="7">
        <v>191</v>
      </c>
      <c r="H126" s="86" t="s">
        <v>2131</v>
      </c>
      <c r="I126" s="86" t="s">
        <v>2975</v>
      </c>
      <c r="J126" s="7" t="s">
        <v>130</v>
      </c>
      <c r="K126" s="11">
        <v>0.82222222222222219</v>
      </c>
      <c r="L126" s="11">
        <v>0.86875000000000002</v>
      </c>
      <c r="M126" s="7" t="s">
        <v>109</v>
      </c>
      <c r="N126" s="38" t="s">
        <v>109</v>
      </c>
      <c r="O126" s="29" t="s">
        <v>61</v>
      </c>
      <c r="P126" s="7" t="s">
        <v>131</v>
      </c>
      <c r="Q126" s="7" t="s">
        <v>93</v>
      </c>
      <c r="R126" s="7" t="s">
        <v>63</v>
      </c>
      <c r="S126" s="7" t="s">
        <v>136</v>
      </c>
      <c r="T126" s="29" t="s">
        <v>767</v>
      </c>
      <c r="U126" s="108">
        <f t="shared" si="1"/>
        <v>1.0105820105820107</v>
      </c>
      <c r="V126" s="7" t="s">
        <v>1945</v>
      </c>
      <c r="W126" s="7" t="s">
        <v>3102</v>
      </c>
      <c r="X126" s="7" t="s">
        <v>3120</v>
      </c>
    </row>
    <row r="127" spans="1:24" x14ac:dyDescent="0.3">
      <c r="A127" s="7">
        <v>126</v>
      </c>
      <c r="B127" s="29" t="s">
        <v>26</v>
      </c>
      <c r="C127" s="29" t="s">
        <v>774</v>
      </c>
      <c r="D127" s="29">
        <v>40126001</v>
      </c>
      <c r="E127" s="154">
        <v>165</v>
      </c>
      <c r="F127" s="7">
        <v>242</v>
      </c>
      <c r="G127" s="7">
        <v>52</v>
      </c>
      <c r="H127" s="86" t="s">
        <v>1774</v>
      </c>
      <c r="I127" s="86" t="s">
        <v>970</v>
      </c>
      <c r="J127" s="7" t="s">
        <v>130</v>
      </c>
      <c r="K127" s="11">
        <v>0.81180555555555556</v>
      </c>
      <c r="L127" s="11">
        <v>0.87847222222222221</v>
      </c>
      <c r="M127" s="7" t="s">
        <v>109</v>
      </c>
      <c r="N127" s="38" t="s">
        <v>109</v>
      </c>
      <c r="O127" s="29" t="s">
        <v>61</v>
      </c>
      <c r="P127" s="7" t="s">
        <v>131</v>
      </c>
      <c r="Q127" s="7" t="s">
        <v>87</v>
      </c>
      <c r="R127" s="7" t="s">
        <v>63</v>
      </c>
      <c r="S127" s="7" t="s">
        <v>136</v>
      </c>
      <c r="T127" s="29" t="s">
        <v>767</v>
      </c>
      <c r="U127" s="108">
        <f t="shared" si="1"/>
        <v>0.31515151515151513</v>
      </c>
      <c r="V127" s="7" t="s">
        <v>1313</v>
      </c>
      <c r="W127" s="7" t="s">
        <v>3102</v>
      </c>
      <c r="X127" s="7" t="s">
        <v>3120</v>
      </c>
    </row>
    <row r="128" spans="1:24" x14ac:dyDescent="0.3">
      <c r="A128" s="7">
        <v>127</v>
      </c>
      <c r="B128" s="29" t="s">
        <v>24</v>
      </c>
      <c r="C128" s="29" t="s">
        <v>1834</v>
      </c>
      <c r="D128" s="29">
        <v>60226012</v>
      </c>
      <c r="E128" s="154">
        <v>150</v>
      </c>
      <c r="F128" s="7">
        <v>88</v>
      </c>
      <c r="G128" s="7">
        <v>34</v>
      </c>
      <c r="H128" s="86" t="s">
        <v>209</v>
      </c>
      <c r="I128" s="86" t="s">
        <v>109</v>
      </c>
      <c r="J128" s="7" t="s">
        <v>130</v>
      </c>
      <c r="K128" s="11">
        <v>0.84027777777777779</v>
      </c>
      <c r="L128" s="7" t="s">
        <v>109</v>
      </c>
      <c r="M128" s="7" t="s">
        <v>109</v>
      </c>
      <c r="N128" s="38" t="s">
        <v>445</v>
      </c>
      <c r="O128" s="29" t="s">
        <v>3121</v>
      </c>
      <c r="P128" s="7" t="s">
        <v>131</v>
      </c>
      <c r="Q128" s="7" t="s">
        <v>209</v>
      </c>
      <c r="R128" s="74" t="s">
        <v>63</v>
      </c>
      <c r="S128" s="7" t="s">
        <v>123</v>
      </c>
      <c r="T128" s="74" t="s">
        <v>117</v>
      </c>
      <c r="U128" s="108">
        <f t="shared" si="1"/>
        <v>0.22666666666666666</v>
      </c>
      <c r="V128" s="7" t="s">
        <v>2629</v>
      </c>
      <c r="W128" s="74" t="s">
        <v>3102</v>
      </c>
      <c r="X128" s="74" t="s">
        <v>3122</v>
      </c>
    </row>
    <row r="129" spans="1:24" x14ac:dyDescent="0.3">
      <c r="A129" s="7">
        <v>128</v>
      </c>
      <c r="B129" s="158" t="s">
        <v>143</v>
      </c>
      <c r="C129" s="29" t="s">
        <v>2361</v>
      </c>
      <c r="D129" s="159">
        <v>10226039</v>
      </c>
      <c r="E129" s="154">
        <v>23</v>
      </c>
      <c r="F129" s="7">
        <v>23</v>
      </c>
      <c r="G129" s="7">
        <v>0</v>
      </c>
      <c r="H129" s="86" t="s">
        <v>241</v>
      </c>
      <c r="I129" s="155" t="s">
        <v>87</v>
      </c>
      <c r="J129" s="7" t="s">
        <v>130</v>
      </c>
      <c r="K129" s="11">
        <v>0.93333333333333335</v>
      </c>
      <c r="L129" s="11">
        <v>0.94097222222222221</v>
      </c>
      <c r="M129" s="7" t="s">
        <v>109</v>
      </c>
      <c r="N129" s="7" t="s">
        <v>109</v>
      </c>
      <c r="O129" s="29" t="s">
        <v>3121</v>
      </c>
      <c r="P129" s="7" t="s">
        <v>131</v>
      </c>
      <c r="Q129" s="7" t="s">
        <v>109</v>
      </c>
      <c r="R129" s="74" t="s">
        <v>62</v>
      </c>
      <c r="S129" s="7" t="s">
        <v>2447</v>
      </c>
      <c r="T129" s="74" t="s">
        <v>121</v>
      </c>
      <c r="U129" s="108">
        <f t="shared" si="1"/>
        <v>0</v>
      </c>
      <c r="V129" s="7" t="s">
        <v>2629</v>
      </c>
      <c r="W129" s="74" t="s">
        <v>3101</v>
      </c>
      <c r="X129" s="7" t="s">
        <v>109</v>
      </c>
    </row>
    <row r="130" spans="1:24" x14ac:dyDescent="0.3">
      <c r="A130" s="7">
        <v>129</v>
      </c>
      <c r="B130" s="29" t="s">
        <v>23</v>
      </c>
      <c r="C130" s="29" t="s">
        <v>2484</v>
      </c>
      <c r="D130" s="29">
        <v>50226100</v>
      </c>
      <c r="E130" s="154">
        <v>35</v>
      </c>
      <c r="F130" s="7" t="s">
        <v>109</v>
      </c>
      <c r="G130" s="7" t="s">
        <v>109</v>
      </c>
      <c r="H130" s="86" t="s">
        <v>94</v>
      </c>
      <c r="I130" s="86" t="s">
        <v>109</v>
      </c>
      <c r="J130" s="18" t="s">
        <v>85</v>
      </c>
      <c r="K130" s="7" t="s">
        <v>109</v>
      </c>
      <c r="L130" s="7" t="s">
        <v>109</v>
      </c>
      <c r="M130" s="7" t="s">
        <v>109</v>
      </c>
      <c r="N130" s="38" t="s">
        <v>3124</v>
      </c>
      <c r="O130" s="29" t="s">
        <v>61</v>
      </c>
      <c r="P130" s="7" t="s">
        <v>131</v>
      </c>
      <c r="Q130" s="7" t="s">
        <v>109</v>
      </c>
      <c r="R130" s="74" t="s">
        <v>62</v>
      </c>
      <c r="S130" s="7" t="s">
        <v>876</v>
      </c>
      <c r="T130" s="74" t="s">
        <v>1240</v>
      </c>
      <c r="U130" s="7" t="s">
        <v>109</v>
      </c>
      <c r="V130" s="7" t="s">
        <v>109</v>
      </c>
      <c r="W130" s="74" t="s">
        <v>3101</v>
      </c>
      <c r="X130" s="7" t="s">
        <v>109</v>
      </c>
    </row>
    <row r="131" spans="1:24" x14ac:dyDescent="0.3">
      <c r="A131" s="7">
        <v>130</v>
      </c>
      <c r="B131" s="29" t="s">
        <v>23</v>
      </c>
      <c r="C131" s="29" t="s">
        <v>2966</v>
      </c>
      <c r="D131" s="29">
        <v>50326012</v>
      </c>
      <c r="E131" s="154">
        <v>35</v>
      </c>
      <c r="F131" s="7">
        <v>50</v>
      </c>
      <c r="G131" s="7">
        <v>39</v>
      </c>
      <c r="H131" s="86" t="s">
        <v>87</v>
      </c>
      <c r="I131" s="86" t="s">
        <v>109</v>
      </c>
      <c r="J131" s="7" t="s">
        <v>130</v>
      </c>
      <c r="K131" s="11">
        <v>0.96458333333333335</v>
      </c>
      <c r="L131" s="7" t="s">
        <v>109</v>
      </c>
      <c r="M131" s="7" t="s">
        <v>109</v>
      </c>
      <c r="N131" s="38" t="s">
        <v>2352</v>
      </c>
      <c r="O131" s="29" t="s">
        <v>61</v>
      </c>
      <c r="P131" s="7" t="s">
        <v>131</v>
      </c>
      <c r="Q131" s="7" t="s">
        <v>87</v>
      </c>
      <c r="R131" s="74" t="s">
        <v>62</v>
      </c>
      <c r="S131" s="7" t="s">
        <v>512</v>
      </c>
      <c r="T131" s="74" t="s">
        <v>424</v>
      </c>
      <c r="U131" s="108">
        <f t="shared" ref="U131:U132" si="2">G131/E131</f>
        <v>1.1142857142857143</v>
      </c>
      <c r="V131" s="7" t="s">
        <v>1945</v>
      </c>
      <c r="W131" s="7" t="s">
        <v>3101</v>
      </c>
      <c r="X131" s="7" t="s">
        <v>109</v>
      </c>
    </row>
    <row r="132" spans="1:24" x14ac:dyDescent="0.3">
      <c r="A132" s="7">
        <v>131</v>
      </c>
      <c r="B132" s="158" t="s">
        <v>143</v>
      </c>
      <c r="C132" s="29" t="s">
        <v>2786</v>
      </c>
      <c r="D132" s="29">
        <v>10326002</v>
      </c>
      <c r="E132" s="7">
        <v>64</v>
      </c>
      <c r="F132" s="7">
        <v>64</v>
      </c>
      <c r="G132" s="7">
        <v>28</v>
      </c>
      <c r="H132" s="86" t="s">
        <v>93</v>
      </c>
      <c r="I132" s="86" t="s">
        <v>109</v>
      </c>
      <c r="J132" s="7" t="s">
        <v>130</v>
      </c>
      <c r="K132" s="11">
        <v>4.0972222222222222E-2</v>
      </c>
      <c r="L132" s="7" t="s">
        <v>109</v>
      </c>
      <c r="M132" s="7" t="s">
        <v>109</v>
      </c>
      <c r="N132" s="7" t="s">
        <v>109</v>
      </c>
      <c r="O132" s="29" t="s">
        <v>3121</v>
      </c>
      <c r="P132" s="7" t="s">
        <v>131</v>
      </c>
      <c r="Q132" s="7" t="s">
        <v>93</v>
      </c>
      <c r="R132" s="74" t="s">
        <v>62</v>
      </c>
      <c r="S132" s="7" t="s">
        <v>2863</v>
      </c>
      <c r="T132" s="74" t="s">
        <v>121</v>
      </c>
      <c r="U132" s="108">
        <f t="shared" si="2"/>
        <v>0.4375</v>
      </c>
      <c r="V132" s="7" t="s">
        <v>2629</v>
      </c>
      <c r="W132" s="87" t="s">
        <v>3101</v>
      </c>
      <c r="X132" s="7" t="s">
        <v>109</v>
      </c>
    </row>
  </sheetData>
  <conditionalFormatting sqref="D1">
    <cfRule type="duplicateValues" dxfId="43" priority="28"/>
    <cfRule type="duplicateValues" dxfId="42" priority="29"/>
  </conditionalFormatting>
  <conditionalFormatting sqref="D1:D128 D130:D132">
    <cfRule type="duplicateValues" dxfId="41" priority="1"/>
    <cfRule type="duplicateValues" dxfId="40" priority="2"/>
  </conditionalFormatting>
  <conditionalFormatting sqref="D20">
    <cfRule type="duplicateValues" dxfId="39" priority="19"/>
    <cfRule type="duplicateValues" dxfId="38" priority="20"/>
    <cfRule type="duplicateValues" dxfId="37" priority="21"/>
    <cfRule type="duplicateValues" dxfId="36" priority="22"/>
    <cfRule type="duplicateValues" dxfId="35" priority="23"/>
    <cfRule type="duplicateValues" dxfId="34" priority="24"/>
    <cfRule type="duplicateValues" dxfId="33" priority="25"/>
    <cfRule type="duplicateValues" dxfId="32" priority="26"/>
    <cfRule type="duplicateValues" dxfId="31" priority="27"/>
  </conditionalFormatting>
  <conditionalFormatting sqref="D47">
    <cfRule type="duplicateValues" dxfId="30" priority="11"/>
    <cfRule type="duplicateValues" dxfId="29" priority="12"/>
    <cfRule type="duplicateValues" dxfId="28" priority="13"/>
    <cfRule type="duplicateValues" dxfId="27" priority="14"/>
    <cfRule type="duplicateValues" dxfId="26" priority="15"/>
    <cfRule type="duplicateValues" dxfId="25" priority="16"/>
    <cfRule type="duplicateValues" dxfId="24" priority="17"/>
    <cfRule type="duplicateValues" dxfId="23" priority="18"/>
  </conditionalFormatting>
  <conditionalFormatting sqref="D56">
    <cfRule type="duplicateValues" dxfId="22" priority="3"/>
    <cfRule type="duplicateValues" dxfId="21" priority="4"/>
    <cfRule type="duplicateValues" dxfId="20" priority="5"/>
    <cfRule type="duplicateValues" dxfId="19" priority="6"/>
    <cfRule type="duplicateValues" dxfId="18" priority="7"/>
    <cfRule type="duplicateValues" dxfId="17" priority="8"/>
    <cfRule type="duplicateValues" dxfId="16" priority="9"/>
    <cfRule type="duplicateValues" dxfId="15" priority="10"/>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11C4A-6D8B-46C6-A67D-1D829027163E}">
  <dimension ref="A1:Y102"/>
  <sheetViews>
    <sheetView topLeftCell="J1" workbookViewId="0">
      <pane ySplit="1" topLeftCell="A2" activePane="bottomLeft" state="frozen"/>
      <selection pane="bottomLeft" activeCell="U2" sqref="U2"/>
    </sheetView>
  </sheetViews>
  <sheetFormatPr defaultRowHeight="14.4" x14ac:dyDescent="0.3"/>
  <cols>
    <col min="1" max="2" width="8.88671875" style="31"/>
    <col min="3" max="3" width="63.44140625" style="31" customWidth="1"/>
    <col min="4" max="7" width="8.88671875" style="31"/>
    <col min="8" max="8" width="42.6640625" style="31" customWidth="1"/>
    <col min="9" max="9" width="36" style="31" customWidth="1"/>
    <col min="10" max="10" width="8.88671875" style="31"/>
    <col min="11" max="11" width="12.21875" style="31" customWidth="1"/>
    <col min="12" max="12" width="15.6640625" style="31" customWidth="1"/>
    <col min="13" max="15" width="8.88671875" style="31"/>
    <col min="16" max="16" width="14.6640625" style="31" customWidth="1"/>
    <col min="17" max="17" width="14.77734375" style="31" customWidth="1"/>
    <col min="18" max="21" width="8.88671875" style="31"/>
    <col min="22" max="22" width="17.5546875" style="31" customWidth="1"/>
    <col min="23" max="23" width="8.88671875" style="31"/>
    <col min="24" max="24" width="19.33203125" style="31" customWidth="1"/>
    <col min="25" max="16384" width="8.88671875" style="31"/>
  </cols>
  <sheetData>
    <row r="1" spans="1:25" x14ac:dyDescent="0.3">
      <c r="A1" s="1" t="s">
        <v>0</v>
      </c>
      <c r="B1" s="1" t="s">
        <v>1</v>
      </c>
      <c r="C1" s="1" t="s">
        <v>2</v>
      </c>
      <c r="D1" s="1" t="s">
        <v>3</v>
      </c>
      <c r="E1" s="1" t="s">
        <v>4</v>
      </c>
      <c r="F1" s="1" t="s">
        <v>5</v>
      </c>
      <c r="G1" s="1" t="s">
        <v>6</v>
      </c>
      <c r="H1" s="1" t="s">
        <v>7</v>
      </c>
      <c r="I1" s="1" t="s">
        <v>8</v>
      </c>
      <c r="J1" s="1" t="s">
        <v>9</v>
      </c>
      <c r="K1" s="2" t="s">
        <v>2218</v>
      </c>
      <c r="L1" s="2" t="s">
        <v>2219</v>
      </c>
      <c r="M1" s="3" t="s">
        <v>2281</v>
      </c>
      <c r="N1" s="4" t="s">
        <v>13</v>
      </c>
      <c r="O1" s="1" t="s">
        <v>14</v>
      </c>
      <c r="P1" s="1" t="s">
        <v>15</v>
      </c>
      <c r="Q1" s="1" t="s">
        <v>16</v>
      </c>
      <c r="R1" s="1" t="s">
        <v>17</v>
      </c>
      <c r="S1" s="172" t="s">
        <v>2282</v>
      </c>
      <c r="T1" s="1" t="s">
        <v>19</v>
      </c>
      <c r="U1" s="1" t="s">
        <v>20</v>
      </c>
      <c r="V1" s="161" t="s">
        <v>21</v>
      </c>
      <c r="W1" s="161" t="s">
        <v>3125</v>
      </c>
      <c r="X1" s="161" t="s">
        <v>3126</v>
      </c>
      <c r="Y1" s="161" t="s">
        <v>3127</v>
      </c>
    </row>
    <row r="2" spans="1:25" x14ac:dyDescent="0.3">
      <c r="A2" s="86">
        <v>1</v>
      </c>
      <c r="B2" s="64" t="s">
        <v>23</v>
      </c>
      <c r="C2" s="64" t="s">
        <v>1065</v>
      </c>
      <c r="D2" s="64">
        <v>50126305</v>
      </c>
      <c r="E2" s="64">
        <v>100</v>
      </c>
      <c r="F2" s="86">
        <v>140</v>
      </c>
      <c r="G2" s="86">
        <v>72</v>
      </c>
      <c r="H2" s="156" t="s">
        <v>67</v>
      </c>
      <c r="I2" s="86" t="s">
        <v>109</v>
      </c>
      <c r="J2" s="86" t="s">
        <v>130</v>
      </c>
      <c r="K2" s="162">
        <v>0.90138888888888891</v>
      </c>
      <c r="L2" s="86" t="s">
        <v>109</v>
      </c>
      <c r="M2" s="86" t="s">
        <v>109</v>
      </c>
      <c r="N2" s="64" t="s">
        <v>109</v>
      </c>
      <c r="O2" s="64" t="s">
        <v>61</v>
      </c>
      <c r="P2" s="86" t="s">
        <v>131</v>
      </c>
      <c r="Q2" s="86" t="s">
        <v>67</v>
      </c>
      <c r="R2" s="86" t="s">
        <v>62</v>
      </c>
      <c r="S2" s="86" t="s">
        <v>2922</v>
      </c>
      <c r="T2" s="64" t="s">
        <v>1063</v>
      </c>
      <c r="U2" s="163">
        <v>0.72</v>
      </c>
      <c r="V2" s="86" t="s">
        <v>2146</v>
      </c>
      <c r="W2" s="164" t="s">
        <v>3128</v>
      </c>
      <c r="X2" s="86" t="s">
        <v>109</v>
      </c>
      <c r="Y2" s="86" t="s">
        <v>3101</v>
      </c>
    </row>
    <row r="3" spans="1:25" x14ac:dyDescent="0.3">
      <c r="A3" s="86">
        <v>101</v>
      </c>
      <c r="B3" s="139" t="s">
        <v>143</v>
      </c>
      <c r="C3" s="64" t="s">
        <v>2664</v>
      </c>
      <c r="D3" s="170">
        <v>10226063</v>
      </c>
      <c r="E3" s="64">
        <v>15</v>
      </c>
      <c r="F3" s="86">
        <v>55</v>
      </c>
      <c r="G3" s="86">
        <v>8</v>
      </c>
      <c r="H3" s="86" t="s">
        <v>209</v>
      </c>
      <c r="I3" s="86" t="s">
        <v>109</v>
      </c>
      <c r="J3" s="86" t="s">
        <v>130</v>
      </c>
      <c r="K3" s="162">
        <v>5.5555555555555552E-2</v>
      </c>
      <c r="L3" s="162" t="s">
        <v>109</v>
      </c>
      <c r="M3" s="86" t="s">
        <v>109</v>
      </c>
      <c r="N3" s="86" t="s">
        <v>109</v>
      </c>
      <c r="O3" s="64" t="s">
        <v>61</v>
      </c>
      <c r="P3" s="86" t="s">
        <v>131</v>
      </c>
      <c r="Q3" s="86" t="s">
        <v>744</v>
      </c>
      <c r="R3" s="139" t="s">
        <v>62</v>
      </c>
      <c r="S3" s="86" t="s">
        <v>878</v>
      </c>
      <c r="T3" s="139" t="s">
        <v>398</v>
      </c>
      <c r="U3" s="163">
        <v>0.53333333333333333</v>
      </c>
      <c r="V3" s="86" t="s">
        <v>2391</v>
      </c>
      <c r="W3" s="171" t="s">
        <v>3302</v>
      </c>
      <c r="X3" s="86" t="s">
        <v>3281</v>
      </c>
      <c r="Y3" s="86" t="s">
        <v>3102</v>
      </c>
    </row>
    <row r="4" spans="1:25" x14ac:dyDescent="0.3">
      <c r="A4" s="86">
        <v>3</v>
      </c>
      <c r="B4" s="64" t="s">
        <v>23</v>
      </c>
      <c r="C4" s="64" t="s">
        <v>377</v>
      </c>
      <c r="D4" s="64">
        <v>50425243</v>
      </c>
      <c r="E4" s="64">
        <v>250</v>
      </c>
      <c r="F4" s="86">
        <v>330</v>
      </c>
      <c r="G4" s="86">
        <v>7</v>
      </c>
      <c r="H4" s="86" t="s">
        <v>3131</v>
      </c>
      <c r="I4" s="86" t="s">
        <v>109</v>
      </c>
      <c r="J4" s="86" t="s">
        <v>130</v>
      </c>
      <c r="K4" s="162">
        <v>0.99305555555555558</v>
      </c>
      <c r="L4" s="86" t="s">
        <v>109</v>
      </c>
      <c r="M4" s="86" t="s">
        <v>109</v>
      </c>
      <c r="N4" s="64" t="s">
        <v>109</v>
      </c>
      <c r="O4" s="64" t="s">
        <v>61</v>
      </c>
      <c r="P4" s="86" t="s">
        <v>131</v>
      </c>
      <c r="Q4" s="86" t="s">
        <v>65</v>
      </c>
      <c r="R4" s="86" t="s">
        <v>62</v>
      </c>
      <c r="S4" s="86" t="s">
        <v>2922</v>
      </c>
      <c r="T4" s="64" t="s">
        <v>379</v>
      </c>
      <c r="U4" s="163">
        <v>2.8000000000000001E-2</v>
      </c>
      <c r="V4" s="86" t="s">
        <v>2391</v>
      </c>
      <c r="W4" s="164" t="s">
        <v>3132</v>
      </c>
      <c r="X4" s="165" t="s">
        <v>3282</v>
      </c>
      <c r="Y4" s="86" t="s">
        <v>3102</v>
      </c>
    </row>
    <row r="5" spans="1:25" x14ac:dyDescent="0.3">
      <c r="A5" s="86">
        <v>88</v>
      </c>
      <c r="B5" s="64" t="s">
        <v>23</v>
      </c>
      <c r="C5" s="64" t="s">
        <v>1055</v>
      </c>
      <c r="D5" s="59">
        <v>50126317</v>
      </c>
      <c r="E5" s="64">
        <v>30</v>
      </c>
      <c r="F5" s="86">
        <v>42</v>
      </c>
      <c r="G5" s="86">
        <v>25</v>
      </c>
      <c r="H5" s="156" t="s">
        <v>200</v>
      </c>
      <c r="I5" s="77" t="s">
        <v>87</v>
      </c>
      <c r="J5" s="86" t="s">
        <v>130</v>
      </c>
      <c r="K5" s="162">
        <v>1.3888888888888888E-2</v>
      </c>
      <c r="L5" s="162">
        <v>4.5138888888888888E-2</v>
      </c>
      <c r="M5" s="86" t="s">
        <v>109</v>
      </c>
      <c r="N5" s="64" t="s">
        <v>109</v>
      </c>
      <c r="O5" s="64" t="s">
        <v>61</v>
      </c>
      <c r="P5" s="86" t="s">
        <v>131</v>
      </c>
      <c r="Q5" s="86" t="s">
        <v>87</v>
      </c>
      <c r="R5" s="86" t="s">
        <v>62</v>
      </c>
      <c r="S5" s="86" t="s">
        <v>2922</v>
      </c>
      <c r="T5" s="64" t="s">
        <v>480</v>
      </c>
      <c r="U5" s="163">
        <v>0.83333333333333337</v>
      </c>
      <c r="V5" s="86" t="s">
        <v>1945</v>
      </c>
      <c r="W5" s="164" t="s">
        <v>3274</v>
      </c>
      <c r="X5" s="165" t="s">
        <v>3282</v>
      </c>
      <c r="Y5" s="86" t="s">
        <v>3102</v>
      </c>
    </row>
    <row r="6" spans="1:25" x14ac:dyDescent="0.3">
      <c r="A6" s="86">
        <v>5</v>
      </c>
      <c r="B6" s="64" t="s">
        <v>23</v>
      </c>
      <c r="C6" s="64" t="s">
        <v>1842</v>
      </c>
      <c r="D6" s="64">
        <v>50226012</v>
      </c>
      <c r="E6" s="64">
        <v>15</v>
      </c>
      <c r="F6" s="86">
        <v>42</v>
      </c>
      <c r="G6" s="86">
        <v>15</v>
      </c>
      <c r="H6" s="156" t="s">
        <v>69</v>
      </c>
      <c r="I6" s="86" t="s">
        <v>109</v>
      </c>
      <c r="J6" s="86" t="s">
        <v>130</v>
      </c>
      <c r="K6" s="162">
        <v>0.95694444444444449</v>
      </c>
      <c r="L6" s="86" t="s">
        <v>109</v>
      </c>
      <c r="M6" s="86" t="s">
        <v>109</v>
      </c>
      <c r="N6" s="64" t="s">
        <v>109</v>
      </c>
      <c r="O6" s="64" t="s">
        <v>61</v>
      </c>
      <c r="P6" s="86" t="s">
        <v>131</v>
      </c>
      <c r="Q6" s="86" t="s">
        <v>69</v>
      </c>
      <c r="R6" s="86" t="s">
        <v>62</v>
      </c>
      <c r="S6" s="86" t="s">
        <v>2922</v>
      </c>
      <c r="T6" s="64" t="s">
        <v>1433</v>
      </c>
      <c r="U6" s="163">
        <v>1</v>
      </c>
      <c r="V6" s="86" t="s">
        <v>1945</v>
      </c>
      <c r="W6" s="164" t="s">
        <v>3134</v>
      </c>
      <c r="X6" s="86" t="s">
        <v>109</v>
      </c>
      <c r="Y6" s="86" t="s">
        <v>3101</v>
      </c>
    </row>
    <row r="7" spans="1:25" x14ac:dyDescent="0.3">
      <c r="A7" s="86">
        <v>6</v>
      </c>
      <c r="B7" s="64" t="s">
        <v>23</v>
      </c>
      <c r="C7" s="64" t="s">
        <v>1843</v>
      </c>
      <c r="D7" s="64">
        <v>50226013</v>
      </c>
      <c r="E7" s="64">
        <v>30</v>
      </c>
      <c r="F7" s="86">
        <v>36</v>
      </c>
      <c r="G7" s="86">
        <v>12</v>
      </c>
      <c r="H7" s="156" t="s">
        <v>71</v>
      </c>
      <c r="I7" s="86" t="s">
        <v>109</v>
      </c>
      <c r="J7" s="86" t="s">
        <v>130</v>
      </c>
      <c r="K7" s="162">
        <v>0.74444444444444446</v>
      </c>
      <c r="L7" s="86" t="s">
        <v>109</v>
      </c>
      <c r="M7" s="86" t="s">
        <v>109</v>
      </c>
      <c r="N7" s="64" t="s">
        <v>109</v>
      </c>
      <c r="O7" s="64" t="s">
        <v>61</v>
      </c>
      <c r="P7" s="86" t="s">
        <v>131</v>
      </c>
      <c r="Q7" s="86" t="s">
        <v>71</v>
      </c>
      <c r="R7" s="86" t="s">
        <v>62</v>
      </c>
      <c r="S7" s="86" t="s">
        <v>2922</v>
      </c>
      <c r="T7" s="64" t="s">
        <v>1433</v>
      </c>
      <c r="U7" s="163">
        <v>0.4</v>
      </c>
      <c r="V7" s="86" t="s">
        <v>152</v>
      </c>
      <c r="W7" s="164" t="s">
        <v>3135</v>
      </c>
      <c r="X7" s="86" t="s">
        <v>109</v>
      </c>
      <c r="Y7" s="86" t="s">
        <v>3101</v>
      </c>
    </row>
    <row r="8" spans="1:25" x14ac:dyDescent="0.3">
      <c r="A8" s="86">
        <v>7</v>
      </c>
      <c r="B8" s="64" t="s">
        <v>23</v>
      </c>
      <c r="C8" s="64" t="s">
        <v>2137</v>
      </c>
      <c r="D8" s="64">
        <v>50226061</v>
      </c>
      <c r="E8" s="64">
        <v>70</v>
      </c>
      <c r="F8" s="86">
        <v>153</v>
      </c>
      <c r="G8" s="86">
        <v>11</v>
      </c>
      <c r="H8" s="156" t="s">
        <v>214</v>
      </c>
      <c r="I8" s="86" t="s">
        <v>109</v>
      </c>
      <c r="J8" s="86" t="s">
        <v>130</v>
      </c>
      <c r="K8" s="162">
        <v>0.94374999999999998</v>
      </c>
      <c r="L8" s="86" t="s">
        <v>109</v>
      </c>
      <c r="M8" s="86" t="s">
        <v>109</v>
      </c>
      <c r="N8" s="166" t="s">
        <v>2223</v>
      </c>
      <c r="O8" s="64" t="s">
        <v>61</v>
      </c>
      <c r="P8" s="86" t="s">
        <v>131</v>
      </c>
      <c r="Q8" s="86" t="s">
        <v>214</v>
      </c>
      <c r="R8" s="86" t="s">
        <v>62</v>
      </c>
      <c r="S8" s="86" t="s">
        <v>2922</v>
      </c>
      <c r="T8" s="64" t="s">
        <v>121</v>
      </c>
      <c r="U8" s="163">
        <v>0.15714285714285714</v>
      </c>
      <c r="V8" s="86" t="s">
        <v>152</v>
      </c>
      <c r="W8" s="164" t="s">
        <v>3136</v>
      </c>
      <c r="X8" s="165" t="s">
        <v>3282</v>
      </c>
      <c r="Y8" s="86" t="s">
        <v>3102</v>
      </c>
    </row>
    <row r="9" spans="1:25" x14ac:dyDescent="0.3">
      <c r="A9" s="86">
        <v>48</v>
      </c>
      <c r="B9" s="64" t="s">
        <v>23</v>
      </c>
      <c r="C9" s="64" t="s">
        <v>534</v>
      </c>
      <c r="D9" s="64">
        <v>50126079</v>
      </c>
      <c r="E9" s="64">
        <v>85</v>
      </c>
      <c r="F9" s="86">
        <v>79</v>
      </c>
      <c r="G9" s="86">
        <v>71</v>
      </c>
      <c r="H9" s="156" t="s">
        <v>84</v>
      </c>
      <c r="I9" s="86" t="s">
        <v>109</v>
      </c>
      <c r="J9" s="86" t="s">
        <v>130</v>
      </c>
      <c r="K9" s="162">
        <v>4.9305555555555554E-2</v>
      </c>
      <c r="L9" s="86" t="s">
        <v>109</v>
      </c>
      <c r="M9" s="86" t="s">
        <v>109</v>
      </c>
      <c r="N9" s="166" t="s">
        <v>3201</v>
      </c>
      <c r="O9" s="64" t="s">
        <v>61</v>
      </c>
      <c r="P9" s="86" t="s">
        <v>131</v>
      </c>
      <c r="Q9" s="86" t="s">
        <v>84</v>
      </c>
      <c r="R9" s="86" t="s">
        <v>62</v>
      </c>
      <c r="S9" s="86" t="s">
        <v>2922</v>
      </c>
      <c r="T9" s="64" t="s">
        <v>424</v>
      </c>
      <c r="U9" s="163">
        <v>0.83529411764705885</v>
      </c>
      <c r="V9" s="86" t="s">
        <v>1945</v>
      </c>
      <c r="W9" s="164" t="s">
        <v>3202</v>
      </c>
      <c r="X9" s="86" t="s">
        <v>109</v>
      </c>
      <c r="Y9" s="86" t="s">
        <v>3173</v>
      </c>
    </row>
    <row r="10" spans="1:25" x14ac:dyDescent="0.3">
      <c r="A10" s="86">
        <v>9</v>
      </c>
      <c r="B10" s="64" t="s">
        <v>23</v>
      </c>
      <c r="C10" s="64" t="s">
        <v>2842</v>
      </c>
      <c r="D10" s="64">
        <v>50326002</v>
      </c>
      <c r="E10" s="64">
        <v>80</v>
      </c>
      <c r="F10" s="86">
        <v>108</v>
      </c>
      <c r="G10" s="86">
        <v>79</v>
      </c>
      <c r="H10" s="156" t="s">
        <v>66</v>
      </c>
      <c r="I10" s="86" t="s">
        <v>109</v>
      </c>
      <c r="J10" s="86" t="s">
        <v>130</v>
      </c>
      <c r="K10" s="162">
        <v>0.68125000000000002</v>
      </c>
      <c r="L10" s="86" t="s">
        <v>109</v>
      </c>
      <c r="M10" s="86" t="s">
        <v>109</v>
      </c>
      <c r="N10" s="64" t="s">
        <v>109</v>
      </c>
      <c r="O10" s="64" t="s">
        <v>61</v>
      </c>
      <c r="P10" s="86" t="s">
        <v>131</v>
      </c>
      <c r="Q10" s="86" t="s">
        <v>66</v>
      </c>
      <c r="R10" s="86" t="s">
        <v>62</v>
      </c>
      <c r="S10" s="86" t="s">
        <v>2922</v>
      </c>
      <c r="T10" s="64" t="s">
        <v>2841</v>
      </c>
      <c r="U10" s="163">
        <v>0.98750000000000004</v>
      </c>
      <c r="V10" s="86" t="s">
        <v>1945</v>
      </c>
      <c r="W10" s="164" t="s">
        <v>3138</v>
      </c>
      <c r="X10" s="86" t="s">
        <v>109</v>
      </c>
      <c r="Y10" s="86" t="s">
        <v>3101</v>
      </c>
    </row>
    <row r="11" spans="1:25" x14ac:dyDescent="0.3">
      <c r="A11" s="86">
        <v>10</v>
      </c>
      <c r="B11" s="64" t="s">
        <v>23</v>
      </c>
      <c r="C11" s="64" t="s">
        <v>2844</v>
      </c>
      <c r="D11" s="64">
        <v>50326004</v>
      </c>
      <c r="E11" s="64">
        <v>100</v>
      </c>
      <c r="F11" s="86">
        <v>109</v>
      </c>
      <c r="G11" s="86">
        <v>22</v>
      </c>
      <c r="H11" s="156" t="s">
        <v>71</v>
      </c>
      <c r="I11" s="86" t="s">
        <v>109</v>
      </c>
      <c r="J11" s="86" t="s">
        <v>130</v>
      </c>
      <c r="K11" s="162">
        <v>0.92986111111111114</v>
      </c>
      <c r="L11" s="86" t="s">
        <v>109</v>
      </c>
      <c r="M11" s="86" t="s">
        <v>109</v>
      </c>
      <c r="N11" s="64" t="s">
        <v>109</v>
      </c>
      <c r="O11" s="64" t="s">
        <v>61</v>
      </c>
      <c r="P11" s="86" t="s">
        <v>131</v>
      </c>
      <c r="Q11" s="86" t="s">
        <v>71</v>
      </c>
      <c r="R11" s="86" t="s">
        <v>62</v>
      </c>
      <c r="S11" s="86" t="s">
        <v>2922</v>
      </c>
      <c r="T11" s="64" t="s">
        <v>2841</v>
      </c>
      <c r="U11" s="163">
        <v>0.22</v>
      </c>
      <c r="V11" s="86" t="s">
        <v>2391</v>
      </c>
      <c r="W11" s="164" t="s">
        <v>3139</v>
      </c>
      <c r="X11" s="86" t="s">
        <v>3301</v>
      </c>
      <c r="Y11" s="86" t="s">
        <v>3101</v>
      </c>
    </row>
    <row r="12" spans="1:25" x14ac:dyDescent="0.3">
      <c r="A12" s="86">
        <v>11</v>
      </c>
      <c r="B12" s="64" t="s">
        <v>23</v>
      </c>
      <c r="C12" s="64" t="s">
        <v>2519</v>
      </c>
      <c r="D12" s="64">
        <v>50226107</v>
      </c>
      <c r="E12" s="64">
        <v>100</v>
      </c>
      <c r="F12" s="86">
        <v>86</v>
      </c>
      <c r="G12" s="86">
        <v>11</v>
      </c>
      <c r="H12" s="156" t="s">
        <v>241</v>
      </c>
      <c r="I12" s="86" t="s">
        <v>109</v>
      </c>
      <c r="J12" s="86" t="s">
        <v>130</v>
      </c>
      <c r="K12" s="162">
        <v>0.94722222222222219</v>
      </c>
      <c r="L12" s="86" t="s">
        <v>109</v>
      </c>
      <c r="M12" s="86" t="s">
        <v>109</v>
      </c>
      <c r="N12" s="64" t="s">
        <v>109</v>
      </c>
      <c r="O12" s="64" t="s">
        <v>61</v>
      </c>
      <c r="P12" s="86" t="s">
        <v>131</v>
      </c>
      <c r="Q12" s="86" t="s">
        <v>241</v>
      </c>
      <c r="R12" s="86" t="s">
        <v>62</v>
      </c>
      <c r="S12" s="86" t="s">
        <v>2922</v>
      </c>
      <c r="T12" s="64" t="s">
        <v>122</v>
      </c>
      <c r="U12" s="163">
        <v>0.11</v>
      </c>
      <c r="V12" s="86" t="s">
        <v>2391</v>
      </c>
      <c r="W12" s="164" t="s">
        <v>3140</v>
      </c>
      <c r="X12" s="86" t="s">
        <v>109</v>
      </c>
      <c r="Y12" s="86" t="s">
        <v>3101</v>
      </c>
    </row>
    <row r="13" spans="1:25" x14ac:dyDescent="0.3">
      <c r="A13" s="86">
        <v>12</v>
      </c>
      <c r="B13" s="64" t="s">
        <v>23</v>
      </c>
      <c r="C13" s="64" t="s">
        <v>2518</v>
      </c>
      <c r="D13" s="64">
        <v>50226108</v>
      </c>
      <c r="E13" s="64">
        <v>40</v>
      </c>
      <c r="F13" s="86">
        <v>80</v>
      </c>
      <c r="G13" s="86">
        <v>17</v>
      </c>
      <c r="H13" s="156" t="s">
        <v>153</v>
      </c>
      <c r="I13" s="86" t="s">
        <v>109</v>
      </c>
      <c r="J13" s="86" t="s">
        <v>130</v>
      </c>
      <c r="K13" s="162">
        <v>0.64236111111111116</v>
      </c>
      <c r="L13" s="86" t="s">
        <v>109</v>
      </c>
      <c r="M13" s="86" t="s">
        <v>109</v>
      </c>
      <c r="N13" s="64" t="s">
        <v>109</v>
      </c>
      <c r="O13" s="64" t="s">
        <v>61</v>
      </c>
      <c r="P13" s="86" t="s">
        <v>131</v>
      </c>
      <c r="Q13" s="86" t="s">
        <v>153</v>
      </c>
      <c r="R13" s="86" t="s">
        <v>62</v>
      </c>
      <c r="S13" s="86" t="s">
        <v>2922</v>
      </c>
      <c r="T13" s="64" t="s">
        <v>122</v>
      </c>
      <c r="U13" s="163">
        <v>0.42499999999999999</v>
      </c>
      <c r="V13" s="86" t="s">
        <v>1313</v>
      </c>
      <c r="W13" s="164" t="s">
        <v>3141</v>
      </c>
      <c r="X13" s="86" t="s">
        <v>109</v>
      </c>
      <c r="Y13" s="86" t="s">
        <v>3101</v>
      </c>
    </row>
    <row r="14" spans="1:25" x14ac:dyDescent="0.3">
      <c r="A14" s="86">
        <v>13</v>
      </c>
      <c r="B14" s="64" t="s">
        <v>23</v>
      </c>
      <c r="C14" s="64" t="s">
        <v>2983</v>
      </c>
      <c r="D14" s="64">
        <v>50326023</v>
      </c>
      <c r="E14" s="64">
        <v>100</v>
      </c>
      <c r="F14" s="86">
        <v>101</v>
      </c>
      <c r="G14" s="86">
        <v>13</v>
      </c>
      <c r="H14" s="156" t="s">
        <v>196</v>
      </c>
      <c r="I14" s="86" t="s">
        <v>109</v>
      </c>
      <c r="J14" s="86" t="s">
        <v>130</v>
      </c>
      <c r="K14" s="162">
        <v>9.7222222222222224E-3</v>
      </c>
      <c r="L14" s="86" t="s">
        <v>109</v>
      </c>
      <c r="M14" s="86" t="s">
        <v>109</v>
      </c>
      <c r="N14" s="64" t="s">
        <v>109</v>
      </c>
      <c r="O14" s="64" t="s">
        <v>61</v>
      </c>
      <c r="P14" s="86" t="s">
        <v>131</v>
      </c>
      <c r="Q14" s="86" t="s">
        <v>196</v>
      </c>
      <c r="R14" s="86" t="s">
        <v>62</v>
      </c>
      <c r="S14" s="86" t="s">
        <v>2922</v>
      </c>
      <c r="T14" s="64" t="s">
        <v>121</v>
      </c>
      <c r="U14" s="163">
        <v>0.13</v>
      </c>
      <c r="V14" s="86" t="s">
        <v>2391</v>
      </c>
      <c r="W14" s="164" t="s">
        <v>3142</v>
      </c>
      <c r="X14" s="86" t="s">
        <v>109</v>
      </c>
      <c r="Y14" s="86" t="s">
        <v>3101</v>
      </c>
    </row>
    <row r="15" spans="1:25" x14ac:dyDescent="0.3">
      <c r="A15" s="86">
        <v>14</v>
      </c>
      <c r="B15" s="64" t="s">
        <v>143</v>
      </c>
      <c r="C15" s="64" t="s">
        <v>1667</v>
      </c>
      <c r="D15" s="59">
        <v>10126048</v>
      </c>
      <c r="E15" s="64" t="s">
        <v>287</v>
      </c>
      <c r="F15" s="86">
        <v>71</v>
      </c>
      <c r="G15" s="86">
        <v>19</v>
      </c>
      <c r="H15" s="86" t="s">
        <v>3143</v>
      </c>
      <c r="I15" s="86" t="s">
        <v>3144</v>
      </c>
      <c r="J15" s="86" t="s">
        <v>130</v>
      </c>
      <c r="K15" s="162">
        <v>0.95347222222222228</v>
      </c>
      <c r="L15" s="162">
        <v>2.9861111111111113E-2</v>
      </c>
      <c r="M15" s="86" t="s">
        <v>109</v>
      </c>
      <c r="N15" s="64" t="s">
        <v>109</v>
      </c>
      <c r="O15" s="64" t="s">
        <v>61</v>
      </c>
      <c r="P15" s="86" t="s">
        <v>131</v>
      </c>
      <c r="Q15" s="86" t="s">
        <v>91</v>
      </c>
      <c r="R15" s="86" t="s">
        <v>62</v>
      </c>
      <c r="S15" s="86" t="s">
        <v>2922</v>
      </c>
      <c r="T15" s="64" t="s">
        <v>402</v>
      </c>
      <c r="U15" s="163" t="s">
        <v>109</v>
      </c>
      <c r="V15" s="86" t="s">
        <v>152</v>
      </c>
      <c r="W15" s="164" t="s">
        <v>3145</v>
      </c>
      <c r="X15" s="165" t="s">
        <v>3282</v>
      </c>
      <c r="Y15" s="86" t="s">
        <v>3102</v>
      </c>
    </row>
    <row r="16" spans="1:25" x14ac:dyDescent="0.3">
      <c r="A16" s="86">
        <v>15</v>
      </c>
      <c r="B16" s="64" t="s">
        <v>143</v>
      </c>
      <c r="C16" s="64" t="s">
        <v>1430</v>
      </c>
      <c r="D16" s="59">
        <v>10126033</v>
      </c>
      <c r="E16" s="64" t="s">
        <v>60</v>
      </c>
      <c r="F16" s="86">
        <v>40</v>
      </c>
      <c r="G16" s="86">
        <v>10</v>
      </c>
      <c r="H16" s="86" t="s">
        <v>3146</v>
      </c>
      <c r="I16" s="86" t="s">
        <v>3147</v>
      </c>
      <c r="J16" s="86" t="s">
        <v>130</v>
      </c>
      <c r="K16" s="162">
        <v>0.99236111111111114</v>
      </c>
      <c r="L16" s="162">
        <v>2.0833333333333333E-3</v>
      </c>
      <c r="M16" s="86" t="s">
        <v>109</v>
      </c>
      <c r="N16" s="64" t="s">
        <v>109</v>
      </c>
      <c r="O16" s="64" t="s">
        <v>61</v>
      </c>
      <c r="P16" s="86" t="s">
        <v>131</v>
      </c>
      <c r="Q16" s="86" t="s">
        <v>3287</v>
      </c>
      <c r="R16" s="86" t="s">
        <v>62</v>
      </c>
      <c r="S16" s="86" t="s">
        <v>2922</v>
      </c>
      <c r="T16" s="64" t="s">
        <v>1433</v>
      </c>
      <c r="U16" s="163" t="s">
        <v>109</v>
      </c>
      <c r="V16" s="86" t="s">
        <v>152</v>
      </c>
      <c r="W16" s="164" t="s">
        <v>3148</v>
      </c>
      <c r="X16" s="86" t="s">
        <v>109</v>
      </c>
      <c r="Y16" s="86" t="s">
        <v>3101</v>
      </c>
    </row>
    <row r="17" spans="1:25" x14ac:dyDescent="0.3">
      <c r="A17" s="86">
        <v>16</v>
      </c>
      <c r="B17" s="64" t="s">
        <v>143</v>
      </c>
      <c r="C17" s="64" t="s">
        <v>3006</v>
      </c>
      <c r="D17" s="59">
        <v>10326029</v>
      </c>
      <c r="E17" s="64">
        <v>40</v>
      </c>
      <c r="F17" s="86">
        <v>9</v>
      </c>
      <c r="G17" s="86">
        <v>4</v>
      </c>
      <c r="H17" s="156" t="s">
        <v>222</v>
      </c>
      <c r="I17" s="156" t="s">
        <v>94</v>
      </c>
      <c r="J17" s="86" t="s">
        <v>130</v>
      </c>
      <c r="K17" s="162">
        <v>0.96180555555555558</v>
      </c>
      <c r="L17" s="162">
        <v>0.97013888888888888</v>
      </c>
      <c r="M17" s="86" t="s">
        <v>109</v>
      </c>
      <c r="N17" s="64" t="s">
        <v>109</v>
      </c>
      <c r="O17" s="64" t="s">
        <v>61</v>
      </c>
      <c r="P17" s="86" t="s">
        <v>131</v>
      </c>
      <c r="Q17" s="86" t="s">
        <v>94</v>
      </c>
      <c r="R17" s="86" t="s">
        <v>62</v>
      </c>
      <c r="S17" s="86" t="s">
        <v>2922</v>
      </c>
      <c r="T17" s="64" t="s">
        <v>121</v>
      </c>
      <c r="U17" s="163">
        <v>0.1</v>
      </c>
      <c r="V17" s="86" t="s">
        <v>152</v>
      </c>
      <c r="W17" s="164" t="s">
        <v>3149</v>
      </c>
      <c r="X17" s="86" t="s">
        <v>109</v>
      </c>
      <c r="Y17" s="86" t="s">
        <v>3101</v>
      </c>
    </row>
    <row r="18" spans="1:25" x14ac:dyDescent="0.3">
      <c r="A18" s="86">
        <v>17</v>
      </c>
      <c r="B18" s="64" t="s">
        <v>143</v>
      </c>
      <c r="C18" s="64" t="s">
        <v>1598</v>
      </c>
      <c r="D18" s="59">
        <v>10126044</v>
      </c>
      <c r="E18" s="64">
        <v>144</v>
      </c>
      <c r="F18" s="86">
        <v>340</v>
      </c>
      <c r="G18" s="86">
        <v>79</v>
      </c>
      <c r="H18" s="86" t="s">
        <v>3073</v>
      </c>
      <c r="I18" s="86" t="s">
        <v>1549</v>
      </c>
      <c r="J18" s="86" t="s">
        <v>130</v>
      </c>
      <c r="K18" s="162">
        <v>0.9375</v>
      </c>
      <c r="L18" s="162">
        <v>0.95833333333333337</v>
      </c>
      <c r="M18" s="86" t="s">
        <v>109</v>
      </c>
      <c r="N18" s="166" t="s">
        <v>3150</v>
      </c>
      <c r="O18" s="64" t="s">
        <v>61</v>
      </c>
      <c r="P18" s="86" t="s">
        <v>131</v>
      </c>
      <c r="Q18" s="86" t="s">
        <v>90</v>
      </c>
      <c r="R18" s="86" t="s">
        <v>62</v>
      </c>
      <c r="S18" s="86" t="s">
        <v>2922</v>
      </c>
      <c r="T18" s="64" t="s">
        <v>480</v>
      </c>
      <c r="U18" s="163">
        <v>0.54861111111111116</v>
      </c>
      <c r="V18" s="86" t="s">
        <v>1313</v>
      </c>
      <c r="W18" s="164" t="s">
        <v>3151</v>
      </c>
      <c r="X18" s="86" t="s">
        <v>109</v>
      </c>
      <c r="Y18" s="86" t="s">
        <v>3101</v>
      </c>
    </row>
    <row r="19" spans="1:25" x14ac:dyDescent="0.3">
      <c r="A19" s="86">
        <v>18</v>
      </c>
      <c r="B19" s="64" t="s">
        <v>143</v>
      </c>
      <c r="C19" s="64" t="s">
        <v>1599</v>
      </c>
      <c r="D19" s="59">
        <v>10126043</v>
      </c>
      <c r="E19" s="64">
        <v>145</v>
      </c>
      <c r="F19" s="86">
        <v>174</v>
      </c>
      <c r="G19" s="86">
        <v>67</v>
      </c>
      <c r="H19" s="156" t="s">
        <v>3305</v>
      </c>
      <c r="I19" s="156" t="s">
        <v>3306</v>
      </c>
      <c r="J19" s="86" t="s">
        <v>130</v>
      </c>
      <c r="K19" s="162">
        <v>0.6743055555555556</v>
      </c>
      <c r="L19" s="162">
        <v>0.74097222222222225</v>
      </c>
      <c r="M19" s="86" t="s">
        <v>109</v>
      </c>
      <c r="N19" s="166" t="s">
        <v>3150</v>
      </c>
      <c r="O19" s="64" t="s">
        <v>629</v>
      </c>
      <c r="P19" s="86" t="s">
        <v>131</v>
      </c>
      <c r="Q19" s="86" t="s">
        <v>3307</v>
      </c>
      <c r="R19" s="86" t="s">
        <v>62</v>
      </c>
      <c r="S19" s="86" t="s">
        <v>2922</v>
      </c>
      <c r="T19" s="64" t="s">
        <v>480</v>
      </c>
      <c r="U19" s="163">
        <v>0.46206896551724136</v>
      </c>
      <c r="V19" s="86" t="s">
        <v>1313</v>
      </c>
      <c r="W19" s="164" t="s">
        <v>3152</v>
      </c>
      <c r="X19" s="86" t="s">
        <v>109</v>
      </c>
      <c r="Y19" s="86" t="s">
        <v>3101</v>
      </c>
    </row>
    <row r="20" spans="1:25" x14ac:dyDescent="0.3">
      <c r="A20" s="86">
        <v>19</v>
      </c>
      <c r="B20" s="64" t="s">
        <v>143</v>
      </c>
      <c r="C20" s="64" t="s">
        <v>2368</v>
      </c>
      <c r="D20" s="59">
        <v>10226036</v>
      </c>
      <c r="E20" s="64" t="s">
        <v>287</v>
      </c>
      <c r="F20" s="86">
        <v>342</v>
      </c>
      <c r="G20" s="86">
        <v>72</v>
      </c>
      <c r="H20" s="156" t="s">
        <v>3153</v>
      </c>
      <c r="I20" s="86" t="s">
        <v>3154</v>
      </c>
      <c r="J20" s="86" t="s">
        <v>130</v>
      </c>
      <c r="K20" s="162">
        <v>0.78333333333333333</v>
      </c>
      <c r="L20" s="162">
        <v>0.84097222222222223</v>
      </c>
      <c r="M20" s="86" t="s">
        <v>109</v>
      </c>
      <c r="N20" s="64" t="s">
        <v>109</v>
      </c>
      <c r="O20" s="64" t="s">
        <v>61</v>
      </c>
      <c r="P20" s="86" t="s">
        <v>131</v>
      </c>
      <c r="Q20" s="86" t="s">
        <v>91</v>
      </c>
      <c r="R20" s="86" t="s">
        <v>62</v>
      </c>
      <c r="S20" s="86" t="s">
        <v>2922</v>
      </c>
      <c r="T20" s="64" t="s">
        <v>121</v>
      </c>
      <c r="U20" s="163" t="s">
        <v>109</v>
      </c>
      <c r="V20" s="86" t="s">
        <v>152</v>
      </c>
      <c r="W20" s="164" t="s">
        <v>3155</v>
      </c>
      <c r="X20" s="86" t="s">
        <v>109</v>
      </c>
      <c r="Y20" s="86" t="s">
        <v>3101</v>
      </c>
    </row>
    <row r="21" spans="1:25" x14ac:dyDescent="0.3">
      <c r="A21" s="86">
        <v>20</v>
      </c>
      <c r="B21" s="64" t="s">
        <v>143</v>
      </c>
      <c r="C21" s="64" t="s">
        <v>3156</v>
      </c>
      <c r="D21" s="59">
        <v>10326042</v>
      </c>
      <c r="E21" s="64" t="s">
        <v>60</v>
      </c>
      <c r="F21" s="86">
        <v>37</v>
      </c>
      <c r="G21" s="86">
        <v>5</v>
      </c>
      <c r="H21" s="86" t="s">
        <v>68</v>
      </c>
      <c r="I21" s="86" t="s">
        <v>87</v>
      </c>
      <c r="J21" s="86" t="s">
        <v>130</v>
      </c>
      <c r="K21" s="162">
        <v>0.84027777777777779</v>
      </c>
      <c r="L21" s="162">
        <v>0.86319444444444449</v>
      </c>
      <c r="M21" s="86" t="s">
        <v>109</v>
      </c>
      <c r="N21" s="64" t="s">
        <v>109</v>
      </c>
      <c r="O21" s="64" t="s">
        <v>61</v>
      </c>
      <c r="P21" s="86" t="s">
        <v>131</v>
      </c>
      <c r="Q21" s="86" t="s">
        <v>87</v>
      </c>
      <c r="R21" s="86" t="s">
        <v>62</v>
      </c>
      <c r="S21" s="86" t="s">
        <v>2922</v>
      </c>
      <c r="T21" s="64" t="s">
        <v>121</v>
      </c>
      <c r="U21" s="163" t="s">
        <v>109</v>
      </c>
      <c r="V21" s="86" t="s">
        <v>152</v>
      </c>
      <c r="W21" s="164" t="s">
        <v>3157</v>
      </c>
      <c r="X21" s="86" t="s">
        <v>109</v>
      </c>
      <c r="Y21" s="86" t="s">
        <v>3101</v>
      </c>
    </row>
    <row r="22" spans="1:25" x14ac:dyDescent="0.3">
      <c r="A22" s="86">
        <v>21</v>
      </c>
      <c r="B22" s="64" t="s">
        <v>143</v>
      </c>
      <c r="C22" s="64" t="s">
        <v>2936</v>
      </c>
      <c r="D22" s="59">
        <v>10326024</v>
      </c>
      <c r="E22" s="64">
        <v>85</v>
      </c>
      <c r="F22" s="86">
        <v>26</v>
      </c>
      <c r="G22" s="86">
        <v>7</v>
      </c>
      <c r="H22" s="86" t="s">
        <v>70</v>
      </c>
      <c r="I22" s="86" t="s">
        <v>94</v>
      </c>
      <c r="J22" s="86" t="s">
        <v>130</v>
      </c>
      <c r="K22" s="162">
        <v>0.69930555555555551</v>
      </c>
      <c r="L22" s="162">
        <v>0.8305555555555556</v>
      </c>
      <c r="M22" s="86" t="s">
        <v>109</v>
      </c>
      <c r="N22" s="64" t="s">
        <v>109</v>
      </c>
      <c r="O22" s="64" t="s">
        <v>61</v>
      </c>
      <c r="P22" s="86" t="s">
        <v>131</v>
      </c>
      <c r="Q22" s="86" t="s">
        <v>94</v>
      </c>
      <c r="R22" s="86" t="s">
        <v>62</v>
      </c>
      <c r="S22" s="86" t="s">
        <v>2922</v>
      </c>
      <c r="T22" s="64" t="s">
        <v>182</v>
      </c>
      <c r="U22" s="163">
        <v>8.2352941176470587E-2</v>
      </c>
      <c r="V22" s="86" t="s">
        <v>152</v>
      </c>
      <c r="W22" s="164" t="s">
        <v>3158</v>
      </c>
      <c r="X22" s="86" t="s">
        <v>3281</v>
      </c>
      <c r="Y22" s="86" t="s">
        <v>3102</v>
      </c>
    </row>
    <row r="23" spans="1:25" x14ac:dyDescent="0.3">
      <c r="A23" s="86">
        <v>22</v>
      </c>
      <c r="B23" s="64" t="s">
        <v>143</v>
      </c>
      <c r="C23" s="64" t="s">
        <v>2745</v>
      </c>
      <c r="D23" s="59">
        <v>10226071</v>
      </c>
      <c r="E23" s="64">
        <v>75</v>
      </c>
      <c r="F23" s="86">
        <v>64</v>
      </c>
      <c r="G23" s="86">
        <v>12</v>
      </c>
      <c r="H23" s="156" t="s">
        <v>66</v>
      </c>
      <c r="I23" s="156" t="s">
        <v>88</v>
      </c>
      <c r="J23" s="86" t="s">
        <v>130</v>
      </c>
      <c r="K23" s="162">
        <v>0.97152777777777777</v>
      </c>
      <c r="L23" s="162">
        <v>0.99861111111111112</v>
      </c>
      <c r="M23" s="86" t="s">
        <v>109</v>
      </c>
      <c r="N23" s="64" t="s">
        <v>109</v>
      </c>
      <c r="O23" s="64" t="s">
        <v>61</v>
      </c>
      <c r="P23" s="86" t="s">
        <v>131</v>
      </c>
      <c r="Q23" s="86" t="s">
        <v>88</v>
      </c>
      <c r="R23" s="86" t="s">
        <v>62</v>
      </c>
      <c r="S23" s="86" t="s">
        <v>2922</v>
      </c>
      <c r="T23" s="64" t="s">
        <v>182</v>
      </c>
      <c r="U23" s="163">
        <v>0.16</v>
      </c>
      <c r="V23" s="86" t="s">
        <v>152</v>
      </c>
      <c r="W23" s="164" t="s">
        <v>3159</v>
      </c>
      <c r="X23" s="86" t="s">
        <v>3281</v>
      </c>
      <c r="Y23" s="86" t="s">
        <v>3102</v>
      </c>
    </row>
    <row r="24" spans="1:25" x14ac:dyDescent="0.3">
      <c r="A24" s="86">
        <v>23</v>
      </c>
      <c r="B24" s="64" t="s">
        <v>143</v>
      </c>
      <c r="C24" s="64" t="s">
        <v>2611</v>
      </c>
      <c r="D24" s="59">
        <v>10226052</v>
      </c>
      <c r="E24" s="64">
        <v>90</v>
      </c>
      <c r="F24" s="86">
        <v>141</v>
      </c>
      <c r="G24" s="86">
        <v>77</v>
      </c>
      <c r="H24" s="156" t="s">
        <v>153</v>
      </c>
      <c r="I24" s="86" t="s">
        <v>93</v>
      </c>
      <c r="J24" s="86" t="s">
        <v>130</v>
      </c>
      <c r="K24" s="162">
        <v>0.81388888888888888</v>
      </c>
      <c r="L24" s="162">
        <v>0.87569444444444444</v>
      </c>
      <c r="M24" s="86" t="s">
        <v>109</v>
      </c>
      <c r="N24" s="64" t="s">
        <v>109</v>
      </c>
      <c r="O24" s="64" t="s">
        <v>61</v>
      </c>
      <c r="P24" s="86" t="s">
        <v>131</v>
      </c>
      <c r="Q24" s="86" t="s">
        <v>93</v>
      </c>
      <c r="R24" s="86" t="s">
        <v>62</v>
      </c>
      <c r="S24" s="86" t="s">
        <v>2922</v>
      </c>
      <c r="T24" s="64" t="s">
        <v>2612</v>
      </c>
      <c r="U24" s="163">
        <v>0.85555555555555551</v>
      </c>
      <c r="V24" s="86" t="s">
        <v>2146</v>
      </c>
      <c r="W24" s="164" t="s">
        <v>3160</v>
      </c>
      <c r="X24" s="86" t="s">
        <v>109</v>
      </c>
      <c r="Y24" s="86" t="s">
        <v>3101</v>
      </c>
    </row>
    <row r="25" spans="1:25" x14ac:dyDescent="0.3">
      <c r="A25" s="86">
        <v>24</v>
      </c>
      <c r="B25" s="64" t="s">
        <v>143</v>
      </c>
      <c r="C25" s="64" t="s">
        <v>1869</v>
      </c>
      <c r="D25" s="59">
        <v>10226004</v>
      </c>
      <c r="E25" s="64">
        <v>15</v>
      </c>
      <c r="F25" s="86">
        <v>42</v>
      </c>
      <c r="G25" s="86">
        <v>6</v>
      </c>
      <c r="H25" s="156" t="s">
        <v>274</v>
      </c>
      <c r="I25" s="86" t="s">
        <v>93</v>
      </c>
      <c r="J25" s="86" t="s">
        <v>130</v>
      </c>
      <c r="K25" s="162">
        <v>0.91597222222222219</v>
      </c>
      <c r="L25" s="162">
        <v>0.96388888888888891</v>
      </c>
      <c r="M25" s="86" t="s">
        <v>109</v>
      </c>
      <c r="N25" s="64" t="s">
        <v>109</v>
      </c>
      <c r="O25" s="64" t="s">
        <v>61</v>
      </c>
      <c r="P25" s="86" t="s">
        <v>131</v>
      </c>
      <c r="Q25" s="86" t="s">
        <v>93</v>
      </c>
      <c r="R25" s="86" t="s">
        <v>62</v>
      </c>
      <c r="S25" s="86" t="s">
        <v>2922</v>
      </c>
      <c r="T25" s="64" t="s">
        <v>398</v>
      </c>
      <c r="U25" s="163">
        <v>0.4</v>
      </c>
      <c r="V25" s="86" t="s">
        <v>1313</v>
      </c>
      <c r="W25" s="164" t="s">
        <v>3161</v>
      </c>
      <c r="X25" s="86" t="s">
        <v>3281</v>
      </c>
      <c r="Y25" s="86" t="s">
        <v>3102</v>
      </c>
    </row>
    <row r="26" spans="1:25" x14ac:dyDescent="0.3">
      <c r="A26" s="86">
        <v>25</v>
      </c>
      <c r="B26" s="64" t="s">
        <v>143</v>
      </c>
      <c r="C26" s="64" t="s">
        <v>3068</v>
      </c>
      <c r="D26" s="59">
        <v>10326031</v>
      </c>
      <c r="E26" s="64">
        <v>125</v>
      </c>
      <c r="F26" s="86">
        <v>236</v>
      </c>
      <c r="G26" s="86">
        <v>53</v>
      </c>
      <c r="H26" s="86" t="s">
        <v>2971</v>
      </c>
      <c r="I26" s="86" t="s">
        <v>3162</v>
      </c>
      <c r="J26" s="86" t="s">
        <v>130</v>
      </c>
      <c r="K26" s="162">
        <v>0.99027777777777781</v>
      </c>
      <c r="L26" s="162">
        <v>2.1527777777777778E-2</v>
      </c>
      <c r="M26" s="86" t="s">
        <v>109</v>
      </c>
      <c r="N26" s="64" t="s">
        <v>109</v>
      </c>
      <c r="O26" s="64" t="s">
        <v>61</v>
      </c>
      <c r="P26" s="86" t="s">
        <v>131</v>
      </c>
      <c r="Q26" s="86" t="s">
        <v>603</v>
      </c>
      <c r="R26" s="86" t="s">
        <v>62</v>
      </c>
      <c r="S26" s="86" t="s">
        <v>2922</v>
      </c>
      <c r="T26" s="64" t="s">
        <v>398</v>
      </c>
      <c r="U26" s="163">
        <v>0.42399999999999999</v>
      </c>
      <c r="V26" s="86" t="s">
        <v>1313</v>
      </c>
      <c r="W26" s="164" t="s">
        <v>3163</v>
      </c>
      <c r="X26" s="86" t="s">
        <v>3281</v>
      </c>
      <c r="Y26" s="86" t="s">
        <v>3102</v>
      </c>
    </row>
    <row r="27" spans="1:25" x14ac:dyDescent="0.3">
      <c r="A27" s="86">
        <v>26</v>
      </c>
      <c r="B27" s="64" t="s">
        <v>143</v>
      </c>
      <c r="C27" s="64" t="s">
        <v>2937</v>
      </c>
      <c r="D27" s="59">
        <v>10326026</v>
      </c>
      <c r="E27" s="64">
        <v>30</v>
      </c>
      <c r="F27" s="86">
        <v>71</v>
      </c>
      <c r="G27" s="86">
        <v>24</v>
      </c>
      <c r="H27" s="156" t="s">
        <v>64</v>
      </c>
      <c r="I27" s="86" t="s">
        <v>209</v>
      </c>
      <c r="J27" s="86" t="s">
        <v>130</v>
      </c>
      <c r="K27" s="162">
        <v>0.86388888888888893</v>
      </c>
      <c r="L27" s="162">
        <v>0.95972222222222225</v>
      </c>
      <c r="M27" s="86" t="s">
        <v>109</v>
      </c>
      <c r="N27" s="64" t="s">
        <v>109</v>
      </c>
      <c r="O27" s="64" t="s">
        <v>61</v>
      </c>
      <c r="P27" s="86" t="s">
        <v>131</v>
      </c>
      <c r="Q27" s="86" t="s">
        <v>209</v>
      </c>
      <c r="R27" s="86" t="s">
        <v>62</v>
      </c>
      <c r="S27" s="86" t="s">
        <v>2922</v>
      </c>
      <c r="T27" s="64" t="s">
        <v>398</v>
      </c>
      <c r="U27" s="163">
        <v>0.8</v>
      </c>
      <c r="V27" s="86" t="s">
        <v>1313</v>
      </c>
      <c r="W27" s="164" t="s">
        <v>3164</v>
      </c>
      <c r="X27" s="86" t="s">
        <v>3281</v>
      </c>
      <c r="Y27" s="86" t="s">
        <v>3102</v>
      </c>
    </row>
    <row r="28" spans="1:25" x14ac:dyDescent="0.3">
      <c r="A28" s="86">
        <v>27</v>
      </c>
      <c r="B28" s="64" t="s">
        <v>143</v>
      </c>
      <c r="C28" s="64" t="s">
        <v>3165</v>
      </c>
      <c r="D28" s="59">
        <v>10326043</v>
      </c>
      <c r="E28" s="64">
        <v>50</v>
      </c>
      <c r="F28" s="86">
        <v>77</v>
      </c>
      <c r="G28" s="86">
        <v>50</v>
      </c>
      <c r="H28" s="156" t="s">
        <v>196</v>
      </c>
      <c r="I28" s="77" t="s">
        <v>87</v>
      </c>
      <c r="J28" s="86" t="s">
        <v>130</v>
      </c>
      <c r="K28" s="162">
        <v>0.84722222222222221</v>
      </c>
      <c r="L28" s="162">
        <v>0.8881944444444444</v>
      </c>
      <c r="M28" s="86" t="s">
        <v>109</v>
      </c>
      <c r="N28" s="64" t="s">
        <v>109</v>
      </c>
      <c r="O28" s="64" t="s">
        <v>61</v>
      </c>
      <c r="P28" s="86" t="s">
        <v>131</v>
      </c>
      <c r="Q28" s="86" t="s">
        <v>87</v>
      </c>
      <c r="R28" s="86" t="s">
        <v>62</v>
      </c>
      <c r="S28" s="86" t="s">
        <v>2922</v>
      </c>
      <c r="T28" s="64" t="s">
        <v>182</v>
      </c>
      <c r="U28" s="163">
        <v>1</v>
      </c>
      <c r="V28" s="86" t="s">
        <v>1945</v>
      </c>
      <c r="W28" s="164" t="s">
        <v>3166</v>
      </c>
      <c r="X28" s="86" t="s">
        <v>3281</v>
      </c>
      <c r="Y28" s="86" t="s">
        <v>3102</v>
      </c>
    </row>
    <row r="29" spans="1:25" x14ac:dyDescent="0.3">
      <c r="A29" s="86">
        <v>4</v>
      </c>
      <c r="B29" s="64" t="s">
        <v>23</v>
      </c>
      <c r="C29" s="64" t="s">
        <v>1841</v>
      </c>
      <c r="D29" s="64">
        <v>50226011</v>
      </c>
      <c r="E29" s="64">
        <v>100</v>
      </c>
      <c r="F29" s="86">
        <v>123</v>
      </c>
      <c r="G29" s="86">
        <v>65</v>
      </c>
      <c r="H29" s="156" t="s">
        <v>274</v>
      </c>
      <c r="I29" s="86" t="s">
        <v>109</v>
      </c>
      <c r="J29" s="86" t="s">
        <v>130</v>
      </c>
      <c r="K29" s="162">
        <v>4.3749999999999997E-2</v>
      </c>
      <c r="L29" s="86" t="s">
        <v>109</v>
      </c>
      <c r="M29" s="86" t="s">
        <v>109</v>
      </c>
      <c r="N29" s="64" t="s">
        <v>109</v>
      </c>
      <c r="O29" s="64" t="s">
        <v>61</v>
      </c>
      <c r="P29" s="86" t="s">
        <v>131</v>
      </c>
      <c r="Q29" s="86" t="s">
        <v>274</v>
      </c>
      <c r="R29" s="86" t="s">
        <v>62</v>
      </c>
      <c r="S29" s="86" t="s">
        <v>2922</v>
      </c>
      <c r="T29" s="64" t="s">
        <v>1433</v>
      </c>
      <c r="U29" s="163">
        <v>0.65</v>
      </c>
      <c r="V29" s="86" t="s">
        <v>1313</v>
      </c>
      <c r="W29" s="164" t="s">
        <v>3133</v>
      </c>
      <c r="X29" s="86" t="s">
        <v>109</v>
      </c>
      <c r="Y29" s="86" t="s">
        <v>3101</v>
      </c>
    </row>
    <row r="30" spans="1:25" x14ac:dyDescent="0.3">
      <c r="A30" s="86">
        <v>29</v>
      </c>
      <c r="B30" s="64" t="s">
        <v>23</v>
      </c>
      <c r="C30" s="64" t="s">
        <v>2480</v>
      </c>
      <c r="D30" s="64">
        <v>50226097</v>
      </c>
      <c r="E30" s="64">
        <v>200</v>
      </c>
      <c r="F30" s="86">
        <v>208</v>
      </c>
      <c r="G30" s="86">
        <v>19</v>
      </c>
      <c r="H30" s="86" t="s">
        <v>3065</v>
      </c>
      <c r="I30" s="86" t="s">
        <v>109</v>
      </c>
      <c r="J30" s="86" t="s">
        <v>130</v>
      </c>
      <c r="K30" s="162">
        <v>0.97499999999999998</v>
      </c>
      <c r="L30" s="86" t="s">
        <v>109</v>
      </c>
      <c r="M30" s="86" t="s">
        <v>109</v>
      </c>
      <c r="N30" s="166" t="s">
        <v>3167</v>
      </c>
      <c r="O30" s="64" t="s">
        <v>61</v>
      </c>
      <c r="P30" s="86" t="s">
        <v>131</v>
      </c>
      <c r="Q30" s="86" t="s">
        <v>241</v>
      </c>
      <c r="R30" s="86" t="s">
        <v>62</v>
      </c>
      <c r="S30" s="86" t="s">
        <v>2922</v>
      </c>
      <c r="T30" s="64" t="s">
        <v>2473</v>
      </c>
      <c r="U30" s="163">
        <v>9.5000000000000001E-2</v>
      </c>
      <c r="V30" s="86" t="s">
        <v>2391</v>
      </c>
      <c r="W30" s="164" t="s">
        <v>3169</v>
      </c>
      <c r="X30" s="86" t="s">
        <v>109</v>
      </c>
      <c r="Y30" s="86" t="s">
        <v>3101</v>
      </c>
    </row>
    <row r="31" spans="1:25" x14ac:dyDescent="0.3">
      <c r="A31" s="86">
        <v>30</v>
      </c>
      <c r="B31" s="64" t="s">
        <v>23</v>
      </c>
      <c r="C31" s="64" t="s">
        <v>2736</v>
      </c>
      <c r="D31" s="64">
        <v>50226124</v>
      </c>
      <c r="E31" s="64">
        <v>300</v>
      </c>
      <c r="F31" s="86">
        <v>507</v>
      </c>
      <c r="G31" s="86">
        <v>28</v>
      </c>
      <c r="H31" s="156" t="s">
        <v>3153</v>
      </c>
      <c r="I31" s="86" t="s">
        <v>109</v>
      </c>
      <c r="J31" s="86" t="s">
        <v>130</v>
      </c>
      <c r="K31" s="162">
        <v>0.88055555555555554</v>
      </c>
      <c r="L31" s="86" t="s">
        <v>109</v>
      </c>
      <c r="M31" s="86" t="s">
        <v>109</v>
      </c>
      <c r="N31" s="64" t="s">
        <v>109</v>
      </c>
      <c r="O31" s="64" t="s">
        <v>61</v>
      </c>
      <c r="P31" s="86" t="s">
        <v>131</v>
      </c>
      <c r="Q31" s="86" t="s">
        <v>71</v>
      </c>
      <c r="R31" s="86" t="s">
        <v>62</v>
      </c>
      <c r="S31" s="86" t="s">
        <v>2922</v>
      </c>
      <c r="T31" s="64" t="s">
        <v>1341</v>
      </c>
      <c r="U31" s="163">
        <v>9.3333333333333338E-2</v>
      </c>
      <c r="V31" s="86" t="s">
        <v>2391</v>
      </c>
      <c r="W31" s="164" t="s">
        <v>3170</v>
      </c>
      <c r="X31" s="86" t="s">
        <v>109</v>
      </c>
      <c r="Y31" s="86" t="s">
        <v>3101</v>
      </c>
    </row>
    <row r="32" spans="1:25" x14ac:dyDescent="0.3">
      <c r="A32" s="86">
        <v>31</v>
      </c>
      <c r="B32" s="64" t="s">
        <v>23</v>
      </c>
      <c r="C32" s="64" t="s">
        <v>2178</v>
      </c>
      <c r="D32" s="64">
        <v>50226073</v>
      </c>
      <c r="E32" s="64">
        <v>200</v>
      </c>
      <c r="F32" s="86">
        <v>276</v>
      </c>
      <c r="G32" s="86">
        <v>217</v>
      </c>
      <c r="H32" s="86" t="s">
        <v>2970</v>
      </c>
      <c r="I32" s="86" t="s">
        <v>109</v>
      </c>
      <c r="J32" s="86" t="s">
        <v>130</v>
      </c>
      <c r="K32" s="162">
        <v>0.7993055555555556</v>
      </c>
      <c r="L32" s="162">
        <v>0.7993055555555556</v>
      </c>
      <c r="M32" s="86" t="s">
        <v>109</v>
      </c>
      <c r="N32" s="166" t="s">
        <v>3171</v>
      </c>
      <c r="O32" s="64" t="s">
        <v>61</v>
      </c>
      <c r="P32" s="86" t="s">
        <v>131</v>
      </c>
      <c r="Q32" s="86" t="s">
        <v>88</v>
      </c>
      <c r="R32" s="86" t="s">
        <v>62</v>
      </c>
      <c r="S32" s="86" t="s">
        <v>2922</v>
      </c>
      <c r="T32" s="64" t="s">
        <v>424</v>
      </c>
      <c r="U32" s="163">
        <v>1.085</v>
      </c>
      <c r="V32" s="86" t="s">
        <v>1945</v>
      </c>
      <c r="W32" s="164" t="s">
        <v>3172</v>
      </c>
      <c r="X32" s="86" t="s">
        <v>109</v>
      </c>
      <c r="Y32" s="86" t="s">
        <v>3173</v>
      </c>
    </row>
    <row r="33" spans="1:25" x14ac:dyDescent="0.3">
      <c r="A33" s="86">
        <v>32</v>
      </c>
      <c r="B33" s="64" t="s">
        <v>23</v>
      </c>
      <c r="C33" s="64" t="s">
        <v>928</v>
      </c>
      <c r="D33" s="64">
        <v>50126264</v>
      </c>
      <c r="E33" s="64">
        <v>250</v>
      </c>
      <c r="F33" s="86">
        <v>273</v>
      </c>
      <c r="G33" s="86">
        <v>155</v>
      </c>
      <c r="H33" s="86" t="s">
        <v>3174</v>
      </c>
      <c r="I33" s="86" t="s">
        <v>109</v>
      </c>
      <c r="J33" s="86" t="s">
        <v>130</v>
      </c>
      <c r="K33" s="162">
        <v>0.74652777777777779</v>
      </c>
      <c r="L33" s="86" t="s">
        <v>109</v>
      </c>
      <c r="M33" s="86" t="s">
        <v>109</v>
      </c>
      <c r="N33" s="166" t="s">
        <v>2352</v>
      </c>
      <c r="O33" s="64" t="s">
        <v>61</v>
      </c>
      <c r="P33" s="86" t="s">
        <v>131</v>
      </c>
      <c r="Q33" s="86" t="s">
        <v>93</v>
      </c>
      <c r="R33" s="86" t="s">
        <v>62</v>
      </c>
      <c r="S33" s="86" t="s">
        <v>2922</v>
      </c>
      <c r="T33" s="64" t="s">
        <v>424</v>
      </c>
      <c r="U33" s="163">
        <v>0.62</v>
      </c>
      <c r="V33" s="86" t="s">
        <v>1315</v>
      </c>
      <c r="W33" s="164" t="s">
        <v>3175</v>
      </c>
      <c r="X33" s="86" t="s">
        <v>109</v>
      </c>
      <c r="Y33" s="86" t="s">
        <v>3173</v>
      </c>
    </row>
    <row r="34" spans="1:25" x14ac:dyDescent="0.3">
      <c r="A34" s="86">
        <v>33</v>
      </c>
      <c r="B34" s="64" t="s">
        <v>23</v>
      </c>
      <c r="C34" s="64" t="s">
        <v>3176</v>
      </c>
      <c r="D34" s="64">
        <v>50326030</v>
      </c>
      <c r="E34" s="64">
        <v>85</v>
      </c>
      <c r="F34" s="86">
        <v>101</v>
      </c>
      <c r="G34" s="86">
        <v>89</v>
      </c>
      <c r="H34" s="156" t="s">
        <v>71</v>
      </c>
      <c r="I34" s="86" t="s">
        <v>109</v>
      </c>
      <c r="J34" s="86" t="s">
        <v>130</v>
      </c>
      <c r="K34" s="162">
        <v>0.85763888888888884</v>
      </c>
      <c r="L34" s="86" t="s">
        <v>109</v>
      </c>
      <c r="M34" s="86" t="s">
        <v>109</v>
      </c>
      <c r="N34" s="166" t="s">
        <v>2352</v>
      </c>
      <c r="O34" s="64" t="s">
        <v>61</v>
      </c>
      <c r="P34" s="86" t="s">
        <v>131</v>
      </c>
      <c r="Q34" s="86" t="s">
        <v>71</v>
      </c>
      <c r="R34" s="86" t="s">
        <v>62</v>
      </c>
      <c r="S34" s="86" t="s">
        <v>2922</v>
      </c>
      <c r="T34" s="64" t="s">
        <v>424</v>
      </c>
      <c r="U34" s="163">
        <v>1.0470588235294118</v>
      </c>
      <c r="V34" s="86" t="s">
        <v>1945</v>
      </c>
      <c r="W34" s="164" t="s">
        <v>3177</v>
      </c>
      <c r="X34" s="86" t="s">
        <v>109</v>
      </c>
      <c r="Y34" s="86" t="s">
        <v>3173</v>
      </c>
    </row>
    <row r="35" spans="1:25" x14ac:dyDescent="0.3">
      <c r="A35" s="86">
        <v>8</v>
      </c>
      <c r="B35" s="64" t="s">
        <v>23</v>
      </c>
      <c r="C35" s="64" t="s">
        <v>2840</v>
      </c>
      <c r="D35" s="64">
        <v>50326001</v>
      </c>
      <c r="E35" s="64">
        <v>100</v>
      </c>
      <c r="F35" s="86">
        <v>146</v>
      </c>
      <c r="G35" s="86">
        <v>103</v>
      </c>
      <c r="H35" s="156" t="s">
        <v>84</v>
      </c>
      <c r="I35" s="86" t="s">
        <v>109</v>
      </c>
      <c r="J35" s="86" t="s">
        <v>130</v>
      </c>
      <c r="K35" s="162">
        <v>0.05</v>
      </c>
      <c r="L35" s="86" t="s">
        <v>109</v>
      </c>
      <c r="M35" s="86" t="s">
        <v>109</v>
      </c>
      <c r="N35" s="64" t="s">
        <v>109</v>
      </c>
      <c r="O35" s="64" t="s">
        <v>61</v>
      </c>
      <c r="P35" s="86" t="s">
        <v>131</v>
      </c>
      <c r="Q35" s="86" t="s">
        <v>84</v>
      </c>
      <c r="R35" s="86" t="s">
        <v>62</v>
      </c>
      <c r="S35" s="86" t="s">
        <v>2922</v>
      </c>
      <c r="T35" s="64" t="s">
        <v>2841</v>
      </c>
      <c r="U35" s="163">
        <v>1.03</v>
      </c>
      <c r="V35" s="86" t="s">
        <v>1945</v>
      </c>
      <c r="W35" s="164" t="s">
        <v>3137</v>
      </c>
      <c r="X35" s="86" t="s">
        <v>109</v>
      </c>
      <c r="Y35" s="86" t="s">
        <v>3101</v>
      </c>
    </row>
    <row r="36" spans="1:25" x14ac:dyDescent="0.3">
      <c r="A36" s="86">
        <v>35</v>
      </c>
      <c r="B36" s="64" t="s">
        <v>23</v>
      </c>
      <c r="C36" s="64" t="s">
        <v>1664</v>
      </c>
      <c r="D36" s="64">
        <v>50126367</v>
      </c>
      <c r="E36" s="64">
        <v>180</v>
      </c>
      <c r="F36" s="86">
        <v>224</v>
      </c>
      <c r="G36" s="86">
        <v>179</v>
      </c>
      <c r="H36" s="86" t="s">
        <v>2131</v>
      </c>
      <c r="I36" s="86" t="s">
        <v>109</v>
      </c>
      <c r="J36" s="86" t="s">
        <v>130</v>
      </c>
      <c r="K36" s="162">
        <v>0.9243055555555556</v>
      </c>
      <c r="L36" s="86" t="s">
        <v>109</v>
      </c>
      <c r="M36" s="86" t="s">
        <v>109</v>
      </c>
      <c r="N36" s="166" t="s">
        <v>2352</v>
      </c>
      <c r="O36" s="64" t="s">
        <v>61</v>
      </c>
      <c r="P36" s="86" t="s">
        <v>131</v>
      </c>
      <c r="Q36" s="86" t="s">
        <v>70</v>
      </c>
      <c r="R36" s="86" t="s">
        <v>62</v>
      </c>
      <c r="S36" s="86" t="s">
        <v>2922</v>
      </c>
      <c r="T36" s="64" t="s">
        <v>424</v>
      </c>
      <c r="U36" s="163">
        <v>0.99444444444444446</v>
      </c>
      <c r="V36" s="86" t="s">
        <v>1945</v>
      </c>
      <c r="W36" s="164" t="s">
        <v>3179</v>
      </c>
      <c r="X36" s="86" t="s">
        <v>109</v>
      </c>
      <c r="Y36" s="86" t="s">
        <v>3173</v>
      </c>
    </row>
    <row r="37" spans="1:25" x14ac:dyDescent="0.3">
      <c r="A37" s="86">
        <v>36</v>
      </c>
      <c r="B37" s="64" t="s">
        <v>23</v>
      </c>
      <c r="C37" s="64" t="s">
        <v>849</v>
      </c>
      <c r="D37" s="64">
        <v>50126213</v>
      </c>
      <c r="E37" s="64">
        <v>550</v>
      </c>
      <c r="F37" s="86">
        <v>749</v>
      </c>
      <c r="G37" s="86">
        <v>487</v>
      </c>
      <c r="H37" s="86" t="s">
        <v>3180</v>
      </c>
      <c r="I37" s="86" t="s">
        <v>109</v>
      </c>
      <c r="J37" s="86" t="s">
        <v>130</v>
      </c>
      <c r="K37" s="162">
        <v>0.80625000000000002</v>
      </c>
      <c r="L37" s="86" t="s">
        <v>109</v>
      </c>
      <c r="M37" s="86" t="s">
        <v>109</v>
      </c>
      <c r="N37" s="166" t="s">
        <v>2352</v>
      </c>
      <c r="O37" s="64" t="s">
        <v>61</v>
      </c>
      <c r="P37" s="86" t="s">
        <v>131</v>
      </c>
      <c r="Q37" s="86" t="s">
        <v>209</v>
      </c>
      <c r="R37" s="86" t="s">
        <v>62</v>
      </c>
      <c r="S37" s="86" t="s">
        <v>2922</v>
      </c>
      <c r="T37" s="64" t="s">
        <v>424</v>
      </c>
      <c r="U37" s="163">
        <v>0.88545454545454549</v>
      </c>
      <c r="V37" s="86" t="s">
        <v>152</v>
      </c>
      <c r="W37" s="164" t="s">
        <v>3181</v>
      </c>
      <c r="X37" s="86" t="s">
        <v>109</v>
      </c>
      <c r="Y37" s="86" t="s">
        <v>3173</v>
      </c>
    </row>
    <row r="38" spans="1:25" x14ac:dyDescent="0.3">
      <c r="A38" s="86">
        <v>37</v>
      </c>
      <c r="B38" s="64" t="s">
        <v>23</v>
      </c>
      <c r="C38" s="64" t="s">
        <v>940</v>
      </c>
      <c r="D38" s="64">
        <v>50126249</v>
      </c>
      <c r="E38" s="64">
        <v>650</v>
      </c>
      <c r="F38" s="86">
        <v>689</v>
      </c>
      <c r="G38" s="86">
        <v>644</v>
      </c>
      <c r="H38" s="86" t="s">
        <v>3182</v>
      </c>
      <c r="I38" s="86" t="s">
        <v>109</v>
      </c>
      <c r="J38" s="86" t="s">
        <v>130</v>
      </c>
      <c r="K38" s="162">
        <v>0.9375</v>
      </c>
      <c r="L38" s="86" t="s">
        <v>109</v>
      </c>
      <c r="M38" s="86" t="s">
        <v>109</v>
      </c>
      <c r="N38" s="166" t="s">
        <v>2352</v>
      </c>
      <c r="O38" s="64" t="s">
        <v>61</v>
      </c>
      <c r="P38" s="86" t="s">
        <v>131</v>
      </c>
      <c r="Q38" s="86" t="s">
        <v>91</v>
      </c>
      <c r="R38" s="86" t="s">
        <v>62</v>
      </c>
      <c r="S38" s="86" t="s">
        <v>2922</v>
      </c>
      <c r="T38" s="64" t="s">
        <v>424</v>
      </c>
      <c r="U38" s="163">
        <v>0.99076923076923074</v>
      </c>
      <c r="V38" s="86" t="s">
        <v>1945</v>
      </c>
      <c r="W38" s="164" t="s">
        <v>3183</v>
      </c>
      <c r="X38" s="86" t="s">
        <v>109</v>
      </c>
      <c r="Y38" s="86" t="s">
        <v>3173</v>
      </c>
    </row>
    <row r="39" spans="1:25" x14ac:dyDescent="0.3">
      <c r="A39" s="86">
        <v>38</v>
      </c>
      <c r="B39" s="64" t="s">
        <v>23</v>
      </c>
      <c r="C39" s="64" t="s">
        <v>3184</v>
      </c>
      <c r="D39" s="64">
        <v>50326033</v>
      </c>
      <c r="E39" s="64">
        <v>55</v>
      </c>
      <c r="F39" s="86">
        <v>74</v>
      </c>
      <c r="G39" s="86">
        <v>51</v>
      </c>
      <c r="H39" s="156" t="s">
        <v>222</v>
      </c>
      <c r="I39" s="86" t="s">
        <v>109</v>
      </c>
      <c r="J39" s="86" t="s">
        <v>130</v>
      </c>
      <c r="K39" s="162">
        <v>0.76875000000000004</v>
      </c>
      <c r="L39" s="86" t="s">
        <v>109</v>
      </c>
      <c r="M39" s="86" t="s">
        <v>109</v>
      </c>
      <c r="N39" s="166" t="s">
        <v>2352</v>
      </c>
      <c r="O39" s="64" t="s">
        <v>61</v>
      </c>
      <c r="P39" s="86" t="s">
        <v>131</v>
      </c>
      <c r="Q39" s="86" t="s">
        <v>222</v>
      </c>
      <c r="R39" s="86" t="s">
        <v>62</v>
      </c>
      <c r="S39" s="86" t="s">
        <v>2922</v>
      </c>
      <c r="T39" s="64" t="s">
        <v>424</v>
      </c>
      <c r="U39" s="163">
        <v>0.92727272727272725</v>
      </c>
      <c r="V39" s="86" t="s">
        <v>1945</v>
      </c>
      <c r="W39" s="164" t="s">
        <v>3185</v>
      </c>
      <c r="X39" s="86" t="s">
        <v>109</v>
      </c>
      <c r="Y39" s="86" t="s">
        <v>3173</v>
      </c>
    </row>
    <row r="40" spans="1:25" x14ac:dyDescent="0.3">
      <c r="A40" s="86">
        <v>39</v>
      </c>
      <c r="B40" s="64" t="s">
        <v>23</v>
      </c>
      <c r="C40" s="64" t="s">
        <v>3186</v>
      </c>
      <c r="D40" s="64">
        <v>50326039</v>
      </c>
      <c r="E40" s="64">
        <v>55</v>
      </c>
      <c r="F40" s="86">
        <v>69</v>
      </c>
      <c r="G40" s="86">
        <v>58</v>
      </c>
      <c r="H40" s="77" t="s">
        <v>64</v>
      </c>
      <c r="I40" s="86" t="s">
        <v>109</v>
      </c>
      <c r="J40" s="86" t="s">
        <v>130</v>
      </c>
      <c r="K40" s="162">
        <v>0.65</v>
      </c>
      <c r="L40" s="86" t="s">
        <v>109</v>
      </c>
      <c r="M40" s="86" t="s">
        <v>109</v>
      </c>
      <c r="N40" s="166" t="s">
        <v>2352</v>
      </c>
      <c r="O40" s="64" t="s">
        <v>61</v>
      </c>
      <c r="P40" s="86" t="s">
        <v>131</v>
      </c>
      <c r="Q40" s="86" t="s">
        <v>64</v>
      </c>
      <c r="R40" s="86" t="s">
        <v>62</v>
      </c>
      <c r="S40" s="86" t="s">
        <v>2922</v>
      </c>
      <c r="T40" s="64" t="s">
        <v>424</v>
      </c>
      <c r="U40" s="163">
        <v>1.0545454545454545</v>
      </c>
      <c r="V40" s="86" t="s">
        <v>1945</v>
      </c>
      <c r="W40" s="164" t="s">
        <v>3187</v>
      </c>
      <c r="X40" s="86" t="s">
        <v>109</v>
      </c>
      <c r="Y40" s="86" t="s">
        <v>3173</v>
      </c>
    </row>
    <row r="41" spans="1:25" x14ac:dyDescent="0.3">
      <c r="A41" s="86">
        <v>40</v>
      </c>
      <c r="B41" s="64" t="s">
        <v>23</v>
      </c>
      <c r="C41" s="64" t="s">
        <v>3188</v>
      </c>
      <c r="D41" s="64">
        <v>50326038</v>
      </c>
      <c r="E41" s="64">
        <v>85</v>
      </c>
      <c r="F41" s="86">
        <v>139</v>
      </c>
      <c r="G41" s="86">
        <v>36</v>
      </c>
      <c r="H41" s="156" t="s">
        <v>241</v>
      </c>
      <c r="I41" s="86" t="s">
        <v>109</v>
      </c>
      <c r="J41" s="86" t="s">
        <v>130</v>
      </c>
      <c r="K41" s="162">
        <v>0.9243055555555556</v>
      </c>
      <c r="L41" s="86" t="s">
        <v>109</v>
      </c>
      <c r="M41" s="86" t="s">
        <v>109</v>
      </c>
      <c r="N41" s="166" t="s">
        <v>2352</v>
      </c>
      <c r="O41" s="64" t="s">
        <v>61</v>
      </c>
      <c r="P41" s="86" t="s">
        <v>131</v>
      </c>
      <c r="Q41" s="86" t="s">
        <v>241</v>
      </c>
      <c r="R41" s="86" t="s">
        <v>62</v>
      </c>
      <c r="S41" s="86" t="s">
        <v>2922</v>
      </c>
      <c r="T41" s="64" t="s">
        <v>424</v>
      </c>
      <c r="U41" s="163">
        <v>0.42352941176470588</v>
      </c>
      <c r="V41" s="86" t="s">
        <v>152</v>
      </c>
      <c r="W41" s="164" t="s">
        <v>3189</v>
      </c>
      <c r="X41" s="86" t="s">
        <v>109</v>
      </c>
      <c r="Y41" s="86" t="s">
        <v>3173</v>
      </c>
    </row>
    <row r="42" spans="1:25" x14ac:dyDescent="0.3">
      <c r="A42" s="86">
        <v>41</v>
      </c>
      <c r="B42" s="64" t="s">
        <v>23</v>
      </c>
      <c r="C42" s="64" t="s">
        <v>3190</v>
      </c>
      <c r="D42" s="64">
        <v>50326037</v>
      </c>
      <c r="E42" s="64">
        <v>85</v>
      </c>
      <c r="F42" s="86">
        <v>108</v>
      </c>
      <c r="G42" s="86">
        <v>86</v>
      </c>
      <c r="H42" s="156" t="s">
        <v>196</v>
      </c>
      <c r="I42" s="86" t="s">
        <v>109</v>
      </c>
      <c r="J42" s="86" t="s">
        <v>130</v>
      </c>
      <c r="K42" s="162">
        <v>0.70486111111111116</v>
      </c>
      <c r="L42" s="86" t="s">
        <v>109</v>
      </c>
      <c r="M42" s="86" t="s">
        <v>109</v>
      </c>
      <c r="N42" s="166" t="s">
        <v>2352</v>
      </c>
      <c r="O42" s="64" t="s">
        <v>61</v>
      </c>
      <c r="P42" s="86" t="s">
        <v>131</v>
      </c>
      <c r="Q42" s="86" t="s">
        <v>196</v>
      </c>
      <c r="R42" s="86" t="s">
        <v>62</v>
      </c>
      <c r="S42" s="86" t="s">
        <v>2922</v>
      </c>
      <c r="T42" s="64" t="s">
        <v>424</v>
      </c>
      <c r="U42" s="163">
        <v>1.0117647058823529</v>
      </c>
      <c r="V42" s="86" t="s">
        <v>1945</v>
      </c>
      <c r="W42" s="164" t="s">
        <v>3191</v>
      </c>
      <c r="X42" s="86" t="s">
        <v>109</v>
      </c>
      <c r="Y42" s="86" t="s">
        <v>3173</v>
      </c>
    </row>
    <row r="43" spans="1:25" x14ac:dyDescent="0.3">
      <c r="A43" s="86">
        <v>42</v>
      </c>
      <c r="B43" s="64" t="s">
        <v>23</v>
      </c>
      <c r="C43" s="64" t="s">
        <v>3192</v>
      </c>
      <c r="D43" s="64">
        <v>50326036</v>
      </c>
      <c r="E43" s="64">
        <v>85</v>
      </c>
      <c r="F43" s="86">
        <v>98</v>
      </c>
      <c r="G43" s="86">
        <v>89</v>
      </c>
      <c r="H43" s="156" t="s">
        <v>200</v>
      </c>
      <c r="I43" s="86" t="s">
        <v>109</v>
      </c>
      <c r="J43" s="86" t="s">
        <v>130</v>
      </c>
      <c r="K43" s="162">
        <v>0.71388888888888891</v>
      </c>
      <c r="L43" s="86" t="s">
        <v>109</v>
      </c>
      <c r="M43" s="86" t="s">
        <v>109</v>
      </c>
      <c r="N43" s="166" t="s">
        <v>2352</v>
      </c>
      <c r="O43" s="64" t="s">
        <v>61</v>
      </c>
      <c r="P43" s="86" t="s">
        <v>131</v>
      </c>
      <c r="Q43" s="86" t="s">
        <v>200</v>
      </c>
      <c r="R43" s="86" t="s">
        <v>62</v>
      </c>
      <c r="S43" s="86" t="s">
        <v>2922</v>
      </c>
      <c r="T43" s="64" t="s">
        <v>424</v>
      </c>
      <c r="U43" s="163">
        <v>1.0470588235294118</v>
      </c>
      <c r="V43" s="86" t="s">
        <v>1945</v>
      </c>
      <c r="W43" s="164" t="s">
        <v>3193</v>
      </c>
      <c r="X43" s="86" t="s">
        <v>109</v>
      </c>
      <c r="Y43" s="86" t="s">
        <v>3173</v>
      </c>
    </row>
    <row r="44" spans="1:25" x14ac:dyDescent="0.3">
      <c r="A44" s="86">
        <v>43</v>
      </c>
      <c r="B44" s="64" t="s">
        <v>23</v>
      </c>
      <c r="C44" s="64" t="s">
        <v>3194</v>
      </c>
      <c r="D44" s="64">
        <v>50326035</v>
      </c>
      <c r="E44" s="64">
        <v>55</v>
      </c>
      <c r="F44" s="86">
        <v>75</v>
      </c>
      <c r="G44" s="86">
        <v>60</v>
      </c>
      <c r="H44" s="156" t="s">
        <v>68</v>
      </c>
      <c r="I44" s="86" t="s">
        <v>109</v>
      </c>
      <c r="J44" s="86" t="s">
        <v>130</v>
      </c>
      <c r="K44" s="162">
        <v>0.76944444444444449</v>
      </c>
      <c r="L44" s="86" t="s">
        <v>109</v>
      </c>
      <c r="M44" s="86" t="s">
        <v>109</v>
      </c>
      <c r="N44" s="166" t="s">
        <v>2352</v>
      </c>
      <c r="O44" s="64" t="s">
        <v>61</v>
      </c>
      <c r="P44" s="86" t="s">
        <v>131</v>
      </c>
      <c r="Q44" s="86" t="s">
        <v>68</v>
      </c>
      <c r="R44" s="86" t="s">
        <v>62</v>
      </c>
      <c r="S44" s="86" t="s">
        <v>2922</v>
      </c>
      <c r="T44" s="64" t="s">
        <v>424</v>
      </c>
      <c r="U44" s="163">
        <v>1.0909090909090908</v>
      </c>
      <c r="V44" s="86" t="s">
        <v>1945</v>
      </c>
      <c r="W44" s="164" t="s">
        <v>3195</v>
      </c>
      <c r="X44" s="86" t="s">
        <v>109</v>
      </c>
      <c r="Y44" s="86" t="s">
        <v>3173</v>
      </c>
    </row>
    <row r="45" spans="1:25" x14ac:dyDescent="0.3">
      <c r="A45" s="86">
        <v>44</v>
      </c>
      <c r="B45" s="64" t="s">
        <v>23</v>
      </c>
      <c r="C45" s="64" t="s">
        <v>3196</v>
      </c>
      <c r="D45" s="64">
        <v>50326034</v>
      </c>
      <c r="E45" s="64">
        <v>55</v>
      </c>
      <c r="F45" s="86">
        <v>55</v>
      </c>
      <c r="G45" s="86">
        <v>54</v>
      </c>
      <c r="H45" s="156" t="s">
        <v>82</v>
      </c>
      <c r="I45" s="86" t="s">
        <v>109</v>
      </c>
      <c r="J45" s="86" t="s">
        <v>130</v>
      </c>
      <c r="K45" s="162">
        <v>0.92638888888888893</v>
      </c>
      <c r="L45" s="86" t="s">
        <v>109</v>
      </c>
      <c r="M45" s="86" t="s">
        <v>109</v>
      </c>
      <c r="N45" s="166" t="s">
        <v>2352</v>
      </c>
      <c r="O45" s="64" t="s">
        <v>61</v>
      </c>
      <c r="P45" s="86" t="s">
        <v>131</v>
      </c>
      <c r="Q45" s="86" t="s">
        <v>82</v>
      </c>
      <c r="R45" s="86" t="s">
        <v>62</v>
      </c>
      <c r="S45" s="86" t="s">
        <v>2922</v>
      </c>
      <c r="T45" s="64" t="s">
        <v>424</v>
      </c>
      <c r="U45" s="163">
        <v>0.98181818181818181</v>
      </c>
      <c r="V45" s="86" t="s">
        <v>1945</v>
      </c>
      <c r="W45" s="164" t="s">
        <v>3197</v>
      </c>
      <c r="X45" s="86" t="s">
        <v>109</v>
      </c>
      <c r="Y45" s="86" t="s">
        <v>3173</v>
      </c>
    </row>
    <row r="46" spans="1:25" x14ac:dyDescent="0.3">
      <c r="A46" s="86">
        <v>45</v>
      </c>
      <c r="B46" s="64" t="s">
        <v>23</v>
      </c>
      <c r="C46" s="64" t="s">
        <v>1173</v>
      </c>
      <c r="D46" s="64">
        <v>50126327</v>
      </c>
      <c r="E46" s="64">
        <v>45</v>
      </c>
      <c r="F46" s="86">
        <v>69</v>
      </c>
      <c r="G46" s="86">
        <v>45</v>
      </c>
      <c r="H46" s="156" t="s">
        <v>184</v>
      </c>
      <c r="I46" s="86" t="s">
        <v>109</v>
      </c>
      <c r="J46" s="86" t="s">
        <v>130</v>
      </c>
      <c r="K46" s="162">
        <v>2.6388888888888889E-2</v>
      </c>
      <c r="L46" s="86" t="s">
        <v>109</v>
      </c>
      <c r="M46" s="86" t="s">
        <v>109</v>
      </c>
      <c r="N46" s="64" t="s">
        <v>109</v>
      </c>
      <c r="O46" s="64" t="s">
        <v>61</v>
      </c>
      <c r="P46" s="86" t="s">
        <v>131</v>
      </c>
      <c r="Q46" s="86" t="s">
        <v>184</v>
      </c>
      <c r="R46" s="86" t="s">
        <v>62</v>
      </c>
      <c r="S46" s="86" t="s">
        <v>2922</v>
      </c>
      <c r="T46" s="64" t="s">
        <v>424</v>
      </c>
      <c r="U46" s="163">
        <v>1</v>
      </c>
      <c r="V46" s="86" t="s">
        <v>1945</v>
      </c>
      <c r="W46" s="164" t="s">
        <v>3198</v>
      </c>
      <c r="X46" s="86" t="s">
        <v>109</v>
      </c>
      <c r="Y46" s="86" t="s">
        <v>3173</v>
      </c>
    </row>
    <row r="47" spans="1:25" x14ac:dyDescent="0.3">
      <c r="A47" s="86">
        <v>46</v>
      </c>
      <c r="B47" s="64" t="s">
        <v>23</v>
      </c>
      <c r="C47" s="64" t="s">
        <v>2960</v>
      </c>
      <c r="D47" s="64">
        <v>50326017</v>
      </c>
      <c r="E47" s="64">
        <v>180</v>
      </c>
      <c r="F47" s="86">
        <v>226</v>
      </c>
      <c r="G47" s="86">
        <v>152</v>
      </c>
      <c r="H47" s="86" t="s">
        <v>3063</v>
      </c>
      <c r="I47" s="86" t="s">
        <v>109</v>
      </c>
      <c r="J47" s="86" t="s">
        <v>130</v>
      </c>
      <c r="K47" s="162">
        <v>0.72013888888888888</v>
      </c>
      <c r="L47" s="86" t="s">
        <v>109</v>
      </c>
      <c r="M47" s="86" t="s">
        <v>109</v>
      </c>
      <c r="N47" s="64" t="s">
        <v>109</v>
      </c>
      <c r="O47" s="64" t="s">
        <v>61</v>
      </c>
      <c r="P47" s="86" t="s">
        <v>131</v>
      </c>
      <c r="Q47" s="86" t="s">
        <v>66</v>
      </c>
      <c r="R47" s="86" t="s">
        <v>62</v>
      </c>
      <c r="S47" s="86" t="s">
        <v>2922</v>
      </c>
      <c r="T47" s="64" t="s">
        <v>424</v>
      </c>
      <c r="U47" s="163">
        <v>0.84444444444444444</v>
      </c>
      <c r="V47" s="86" t="s">
        <v>1313</v>
      </c>
      <c r="W47" s="164" t="s">
        <v>3199</v>
      </c>
      <c r="X47" s="86" t="s">
        <v>109</v>
      </c>
      <c r="Y47" s="86" t="s">
        <v>3173</v>
      </c>
    </row>
    <row r="48" spans="1:25" x14ac:dyDescent="0.3">
      <c r="A48" s="86">
        <v>47</v>
      </c>
      <c r="B48" s="64" t="s">
        <v>23</v>
      </c>
      <c r="C48" s="64" t="s">
        <v>937</v>
      </c>
      <c r="D48" s="64">
        <v>50126267</v>
      </c>
      <c r="E48" s="64">
        <v>85</v>
      </c>
      <c r="F48" s="86">
        <v>95</v>
      </c>
      <c r="G48" s="86">
        <v>86</v>
      </c>
      <c r="H48" s="156" t="s">
        <v>69</v>
      </c>
      <c r="I48" s="86" t="s">
        <v>109</v>
      </c>
      <c r="J48" s="86" t="s">
        <v>130</v>
      </c>
      <c r="K48" s="162">
        <v>0.8354166666666667</v>
      </c>
      <c r="L48" s="86" t="s">
        <v>109</v>
      </c>
      <c r="M48" s="86" t="s">
        <v>109</v>
      </c>
      <c r="N48" s="64" t="s">
        <v>109</v>
      </c>
      <c r="O48" s="64" t="s">
        <v>61</v>
      </c>
      <c r="P48" s="86" t="s">
        <v>131</v>
      </c>
      <c r="Q48" s="86" t="s">
        <v>69</v>
      </c>
      <c r="R48" s="86" t="s">
        <v>62</v>
      </c>
      <c r="S48" s="86" t="s">
        <v>2922</v>
      </c>
      <c r="T48" s="64" t="s">
        <v>424</v>
      </c>
      <c r="U48" s="163">
        <v>1.0117647058823529</v>
      </c>
      <c r="V48" s="86" t="s">
        <v>1945</v>
      </c>
      <c r="W48" s="164" t="s">
        <v>3200</v>
      </c>
      <c r="X48" s="86" t="s">
        <v>109</v>
      </c>
      <c r="Y48" s="86" t="s">
        <v>3173</v>
      </c>
    </row>
    <row r="49" spans="1:25" x14ac:dyDescent="0.3">
      <c r="A49" s="86">
        <v>28</v>
      </c>
      <c r="B49" s="64" t="s">
        <v>23</v>
      </c>
      <c r="C49" s="64" t="s">
        <v>2474</v>
      </c>
      <c r="D49" s="64">
        <v>50226106</v>
      </c>
      <c r="E49" s="64">
        <v>100</v>
      </c>
      <c r="F49" s="86">
        <v>59</v>
      </c>
      <c r="G49" s="86">
        <v>20</v>
      </c>
      <c r="H49" s="156" t="s">
        <v>200</v>
      </c>
      <c r="I49" s="86" t="s">
        <v>109</v>
      </c>
      <c r="J49" s="86" t="s">
        <v>130</v>
      </c>
      <c r="K49" s="162">
        <v>5.2083333333333336E-2</v>
      </c>
      <c r="L49" s="86" t="s">
        <v>109</v>
      </c>
      <c r="M49" s="86" t="s">
        <v>109</v>
      </c>
      <c r="N49" s="166" t="s">
        <v>3167</v>
      </c>
      <c r="O49" s="64" t="s">
        <v>61</v>
      </c>
      <c r="P49" s="86" t="s">
        <v>131</v>
      </c>
      <c r="Q49" s="86" t="s">
        <v>200</v>
      </c>
      <c r="R49" s="86" t="s">
        <v>62</v>
      </c>
      <c r="S49" s="86" t="s">
        <v>2922</v>
      </c>
      <c r="T49" s="64" t="s">
        <v>2473</v>
      </c>
      <c r="U49" s="163">
        <v>0.2</v>
      </c>
      <c r="V49" s="86" t="s">
        <v>2391</v>
      </c>
      <c r="W49" s="164" t="s">
        <v>3168</v>
      </c>
      <c r="X49" s="86" t="s">
        <v>109</v>
      </c>
      <c r="Y49" s="86" t="s">
        <v>3101</v>
      </c>
    </row>
    <row r="50" spans="1:25" x14ac:dyDescent="0.3">
      <c r="A50" s="86">
        <v>49</v>
      </c>
      <c r="B50" s="64" t="s">
        <v>23</v>
      </c>
      <c r="C50" s="64" t="s">
        <v>2038</v>
      </c>
      <c r="D50" s="64">
        <v>50226044</v>
      </c>
      <c r="E50" s="64">
        <v>120</v>
      </c>
      <c r="F50" s="86">
        <v>153</v>
      </c>
      <c r="G50" s="86">
        <v>99</v>
      </c>
      <c r="H50" s="156" t="s">
        <v>66</v>
      </c>
      <c r="I50" s="86" t="s">
        <v>109</v>
      </c>
      <c r="J50" s="86" t="s">
        <v>130</v>
      </c>
      <c r="K50" s="162">
        <v>0.8666666666666667</v>
      </c>
      <c r="L50" s="86" t="s">
        <v>109</v>
      </c>
      <c r="M50" s="86" t="s">
        <v>109</v>
      </c>
      <c r="N50" s="64" t="s">
        <v>109</v>
      </c>
      <c r="O50" s="64" t="s">
        <v>61</v>
      </c>
      <c r="P50" s="86" t="s">
        <v>131</v>
      </c>
      <c r="Q50" s="86" t="s">
        <v>66</v>
      </c>
      <c r="R50" s="86" t="s">
        <v>62</v>
      </c>
      <c r="S50" s="86" t="s">
        <v>2922</v>
      </c>
      <c r="T50" s="64" t="s">
        <v>424</v>
      </c>
      <c r="U50" s="163">
        <v>0.82499999999999996</v>
      </c>
      <c r="V50" s="86" t="s">
        <v>1945</v>
      </c>
      <c r="W50" s="164" t="s">
        <v>3203</v>
      </c>
      <c r="X50" s="86" t="s">
        <v>109</v>
      </c>
      <c r="Y50" s="86" t="s">
        <v>3173</v>
      </c>
    </row>
    <row r="51" spans="1:25" x14ac:dyDescent="0.3">
      <c r="A51" s="86">
        <v>50</v>
      </c>
      <c r="B51" s="64" t="s">
        <v>23</v>
      </c>
      <c r="C51" s="64" t="s">
        <v>732</v>
      </c>
      <c r="D51" s="64">
        <v>50126122</v>
      </c>
      <c r="E51" s="64">
        <v>50</v>
      </c>
      <c r="F51" s="86">
        <v>135</v>
      </c>
      <c r="G51" s="86">
        <v>7</v>
      </c>
      <c r="H51" s="86" t="s">
        <v>214</v>
      </c>
      <c r="I51" s="86" t="s">
        <v>109</v>
      </c>
      <c r="J51" s="86" t="s">
        <v>130</v>
      </c>
      <c r="K51" s="162">
        <v>9.7222222222222224E-3</v>
      </c>
      <c r="L51" s="86" t="s">
        <v>109</v>
      </c>
      <c r="M51" s="86" t="s">
        <v>109</v>
      </c>
      <c r="N51" s="64" t="s">
        <v>109</v>
      </c>
      <c r="O51" s="64" t="s">
        <v>61</v>
      </c>
      <c r="P51" s="86" t="s">
        <v>131</v>
      </c>
      <c r="Q51" s="86" t="s">
        <v>214</v>
      </c>
      <c r="R51" s="86" t="s">
        <v>62</v>
      </c>
      <c r="S51" s="86" t="s">
        <v>2922</v>
      </c>
      <c r="T51" s="64" t="s">
        <v>424</v>
      </c>
      <c r="U51" s="163">
        <v>0.14000000000000001</v>
      </c>
      <c r="V51" s="86" t="s">
        <v>152</v>
      </c>
      <c r="W51" s="164" t="s">
        <v>3204</v>
      </c>
      <c r="X51" s="86" t="s">
        <v>109</v>
      </c>
      <c r="Y51" s="86" t="s">
        <v>3173</v>
      </c>
    </row>
    <row r="52" spans="1:25" x14ac:dyDescent="0.3">
      <c r="A52" s="86">
        <v>51</v>
      </c>
      <c r="B52" s="64" t="s">
        <v>23</v>
      </c>
      <c r="C52" s="64" t="s">
        <v>3205</v>
      </c>
      <c r="D52" s="64">
        <v>50326032</v>
      </c>
      <c r="E52" s="64">
        <v>20</v>
      </c>
      <c r="F52" s="86">
        <v>32</v>
      </c>
      <c r="G52" s="86">
        <v>19</v>
      </c>
      <c r="H52" s="86" t="s">
        <v>67</v>
      </c>
      <c r="I52" s="86" t="s">
        <v>109</v>
      </c>
      <c r="J52" s="86" t="s">
        <v>130</v>
      </c>
      <c r="K52" s="162">
        <v>0.66874999999999996</v>
      </c>
      <c r="L52" s="86" t="s">
        <v>109</v>
      </c>
      <c r="M52" s="86" t="s">
        <v>109</v>
      </c>
      <c r="N52" s="64" t="s">
        <v>109</v>
      </c>
      <c r="O52" s="64" t="s">
        <v>61</v>
      </c>
      <c r="P52" s="86" t="s">
        <v>131</v>
      </c>
      <c r="Q52" s="86" t="s">
        <v>67</v>
      </c>
      <c r="R52" s="86" t="s">
        <v>62</v>
      </c>
      <c r="S52" s="86" t="s">
        <v>2922</v>
      </c>
      <c r="T52" s="64" t="s">
        <v>424</v>
      </c>
      <c r="U52" s="163">
        <v>0.95</v>
      </c>
      <c r="V52" s="86" t="s">
        <v>1945</v>
      </c>
      <c r="W52" s="164" t="s">
        <v>3206</v>
      </c>
      <c r="X52" s="86" t="s">
        <v>109</v>
      </c>
      <c r="Y52" s="86" t="s">
        <v>3173</v>
      </c>
    </row>
    <row r="53" spans="1:25" x14ac:dyDescent="0.3">
      <c r="A53" s="86">
        <v>52</v>
      </c>
      <c r="B53" s="64" t="s">
        <v>23</v>
      </c>
      <c r="C53" s="64" t="s">
        <v>3207</v>
      </c>
      <c r="D53" s="64">
        <v>50326041</v>
      </c>
      <c r="E53" s="64">
        <v>50</v>
      </c>
      <c r="F53" s="86">
        <v>67</v>
      </c>
      <c r="G53" s="86">
        <v>35</v>
      </c>
      <c r="H53" s="156" t="s">
        <v>65</v>
      </c>
      <c r="I53" s="86" t="s">
        <v>109</v>
      </c>
      <c r="J53" s="86" t="s">
        <v>130</v>
      </c>
      <c r="K53" s="162">
        <v>0.9868055555555556</v>
      </c>
      <c r="L53" s="86" t="s">
        <v>109</v>
      </c>
      <c r="M53" s="86" t="s">
        <v>109</v>
      </c>
      <c r="N53" s="64" t="s">
        <v>109</v>
      </c>
      <c r="O53" s="64" t="s">
        <v>61</v>
      </c>
      <c r="P53" s="86" t="s">
        <v>131</v>
      </c>
      <c r="Q53" s="86" t="s">
        <v>65</v>
      </c>
      <c r="R53" s="86" t="s">
        <v>62</v>
      </c>
      <c r="S53" s="86" t="s">
        <v>2922</v>
      </c>
      <c r="T53" s="64" t="s">
        <v>424</v>
      </c>
      <c r="U53" s="163">
        <v>0.7</v>
      </c>
      <c r="V53" s="86" t="s">
        <v>152</v>
      </c>
      <c r="W53" s="164" t="s">
        <v>3208</v>
      </c>
      <c r="X53" s="86" t="s">
        <v>109</v>
      </c>
      <c r="Y53" s="86" t="s">
        <v>3173</v>
      </c>
    </row>
    <row r="54" spans="1:25" x14ac:dyDescent="0.3">
      <c r="A54" s="86">
        <v>53</v>
      </c>
      <c r="B54" s="64" t="s">
        <v>135</v>
      </c>
      <c r="C54" s="64" t="s">
        <v>1415</v>
      </c>
      <c r="D54" s="59">
        <v>20126003</v>
      </c>
      <c r="E54" s="64">
        <v>31</v>
      </c>
      <c r="F54" s="86">
        <v>8</v>
      </c>
      <c r="G54" s="86">
        <v>5</v>
      </c>
      <c r="H54" s="156" t="s">
        <v>184</v>
      </c>
      <c r="I54" s="156" t="s">
        <v>94</v>
      </c>
      <c r="J54" s="86" t="s">
        <v>130</v>
      </c>
      <c r="K54" s="162">
        <v>4.1666666666666666E-3</v>
      </c>
      <c r="L54" s="162">
        <v>2.9166666666666667E-2</v>
      </c>
      <c r="M54" s="86" t="s">
        <v>109</v>
      </c>
      <c r="N54" s="64" t="s">
        <v>109</v>
      </c>
      <c r="O54" s="64" t="s">
        <v>61</v>
      </c>
      <c r="P54" s="86" t="s">
        <v>131</v>
      </c>
      <c r="Q54" s="86" t="s">
        <v>94</v>
      </c>
      <c r="R54" s="86" t="s">
        <v>62</v>
      </c>
      <c r="S54" s="86" t="s">
        <v>2922</v>
      </c>
      <c r="T54" s="64" t="s">
        <v>112</v>
      </c>
      <c r="U54" s="163">
        <v>0.16129032258064516</v>
      </c>
      <c r="V54" s="86" t="s">
        <v>152</v>
      </c>
      <c r="W54" s="164" t="s">
        <v>3209</v>
      </c>
      <c r="X54" s="86" t="s">
        <v>109</v>
      </c>
      <c r="Y54" s="86" t="s">
        <v>3101</v>
      </c>
    </row>
    <row r="55" spans="1:25" x14ac:dyDescent="0.3">
      <c r="A55" s="86">
        <v>54</v>
      </c>
      <c r="B55" s="64" t="s">
        <v>135</v>
      </c>
      <c r="C55" s="64" t="s">
        <v>1418</v>
      </c>
      <c r="D55" s="59">
        <v>20126004</v>
      </c>
      <c r="E55" s="64">
        <v>31</v>
      </c>
      <c r="F55" s="86">
        <v>31</v>
      </c>
      <c r="G55" s="86">
        <v>5</v>
      </c>
      <c r="H55" s="156" t="s">
        <v>68</v>
      </c>
      <c r="I55" s="77" t="s">
        <v>91</v>
      </c>
      <c r="J55" s="86" t="s">
        <v>130</v>
      </c>
      <c r="K55" s="162">
        <v>0.98819444444444449</v>
      </c>
      <c r="L55" s="162">
        <v>3.8194444444444448E-2</v>
      </c>
      <c r="M55" s="86" t="s">
        <v>109</v>
      </c>
      <c r="N55" s="64" t="s">
        <v>109</v>
      </c>
      <c r="O55" s="64" t="s">
        <v>61</v>
      </c>
      <c r="P55" s="86" t="s">
        <v>131</v>
      </c>
      <c r="Q55" s="86" t="s">
        <v>91</v>
      </c>
      <c r="R55" s="86" t="s">
        <v>62</v>
      </c>
      <c r="S55" s="86" t="s">
        <v>2922</v>
      </c>
      <c r="T55" s="64" t="s">
        <v>112</v>
      </c>
      <c r="U55" s="163">
        <v>0.16129032258064516</v>
      </c>
      <c r="V55" s="86" t="s">
        <v>152</v>
      </c>
      <c r="W55" s="164" t="s">
        <v>3210</v>
      </c>
      <c r="X55" s="86" t="s">
        <v>109</v>
      </c>
      <c r="Y55" s="86" t="s">
        <v>3101</v>
      </c>
    </row>
    <row r="56" spans="1:25" x14ac:dyDescent="0.3">
      <c r="A56" s="86">
        <v>55</v>
      </c>
      <c r="B56" s="64" t="s">
        <v>135</v>
      </c>
      <c r="C56" s="64" t="s">
        <v>1352</v>
      </c>
      <c r="D56" s="59">
        <v>20126005</v>
      </c>
      <c r="E56" s="64">
        <v>117</v>
      </c>
      <c r="F56" s="86">
        <v>85</v>
      </c>
      <c r="G56" s="86">
        <v>18</v>
      </c>
      <c r="H56" s="86" t="s">
        <v>3007</v>
      </c>
      <c r="I56" s="86" t="s">
        <v>2975</v>
      </c>
      <c r="J56" s="86" t="s">
        <v>130</v>
      </c>
      <c r="K56" s="162">
        <v>0.88958333333333328</v>
      </c>
      <c r="L56" s="162">
        <v>0.92777777777777781</v>
      </c>
      <c r="M56" s="86" t="s">
        <v>109</v>
      </c>
      <c r="N56" s="64" t="s">
        <v>109</v>
      </c>
      <c r="O56" s="64" t="s">
        <v>61</v>
      </c>
      <c r="P56" s="86" t="s">
        <v>131</v>
      </c>
      <c r="Q56" s="86" t="s">
        <v>93</v>
      </c>
      <c r="R56" s="86" t="s">
        <v>62</v>
      </c>
      <c r="S56" s="86" t="s">
        <v>2922</v>
      </c>
      <c r="T56" s="64" t="s">
        <v>112</v>
      </c>
      <c r="U56" s="163">
        <v>0.15384615384615385</v>
      </c>
      <c r="V56" s="86" t="s">
        <v>152</v>
      </c>
      <c r="W56" s="164" t="s">
        <v>3211</v>
      </c>
      <c r="X56" s="86" t="s">
        <v>109</v>
      </c>
      <c r="Y56" s="86" t="s">
        <v>3101</v>
      </c>
    </row>
    <row r="57" spans="1:25" x14ac:dyDescent="0.3">
      <c r="A57" s="86">
        <v>56</v>
      </c>
      <c r="B57" s="64" t="s">
        <v>135</v>
      </c>
      <c r="C57" s="64" t="s">
        <v>1353</v>
      </c>
      <c r="D57" s="59">
        <v>20126006</v>
      </c>
      <c r="E57" s="64">
        <v>75</v>
      </c>
      <c r="F57" s="86">
        <v>73</v>
      </c>
      <c r="G57" s="86">
        <v>28</v>
      </c>
      <c r="H57" s="156" t="s">
        <v>274</v>
      </c>
      <c r="I57" s="86" t="s">
        <v>93</v>
      </c>
      <c r="J57" s="86" t="s">
        <v>130</v>
      </c>
      <c r="K57" s="162">
        <v>0.68263888888888891</v>
      </c>
      <c r="L57" s="162">
        <v>0.69930555555555551</v>
      </c>
      <c r="M57" s="86" t="s">
        <v>109</v>
      </c>
      <c r="N57" s="64" t="s">
        <v>109</v>
      </c>
      <c r="O57" s="64" t="s">
        <v>61</v>
      </c>
      <c r="P57" s="86" t="s">
        <v>131</v>
      </c>
      <c r="Q57" s="86" t="s">
        <v>93</v>
      </c>
      <c r="R57" s="86" t="s">
        <v>62</v>
      </c>
      <c r="S57" s="86" t="s">
        <v>2922</v>
      </c>
      <c r="T57" s="64" t="s">
        <v>112</v>
      </c>
      <c r="U57" s="163">
        <v>0.37333333333333335</v>
      </c>
      <c r="V57" s="86" t="s">
        <v>152</v>
      </c>
      <c r="W57" s="164" t="s">
        <v>3212</v>
      </c>
      <c r="X57" s="86" t="s">
        <v>109</v>
      </c>
      <c r="Y57" s="86" t="s">
        <v>3101</v>
      </c>
    </row>
    <row r="58" spans="1:25" x14ac:dyDescent="0.3">
      <c r="A58" s="86">
        <v>57</v>
      </c>
      <c r="B58" s="64" t="s">
        <v>135</v>
      </c>
      <c r="C58" s="64" t="s">
        <v>3213</v>
      </c>
      <c r="D58" s="59">
        <v>20226011</v>
      </c>
      <c r="E58" s="64">
        <v>255</v>
      </c>
      <c r="F58" s="86">
        <v>465</v>
      </c>
      <c r="G58" s="86">
        <v>173</v>
      </c>
      <c r="H58" s="86" t="s">
        <v>3214</v>
      </c>
      <c r="I58" s="86" t="s">
        <v>3215</v>
      </c>
      <c r="J58" s="86" t="s">
        <v>130</v>
      </c>
      <c r="K58" s="162">
        <v>0.97499999999999998</v>
      </c>
      <c r="L58" s="162">
        <v>7.6388888888888886E-3</v>
      </c>
      <c r="M58" s="86" t="s">
        <v>109</v>
      </c>
      <c r="N58" s="64" t="s">
        <v>109</v>
      </c>
      <c r="O58" s="64" t="s">
        <v>61</v>
      </c>
      <c r="P58" s="86" t="s">
        <v>131</v>
      </c>
      <c r="Q58" s="86" t="s">
        <v>95</v>
      </c>
      <c r="R58" s="86" t="s">
        <v>63</v>
      </c>
      <c r="S58" s="86" t="s">
        <v>2922</v>
      </c>
      <c r="T58" s="64" t="s">
        <v>2563</v>
      </c>
      <c r="U58" s="163">
        <v>0.67843137254901964</v>
      </c>
      <c r="V58" s="86" t="s">
        <v>1313</v>
      </c>
      <c r="W58" s="164" t="s">
        <v>3216</v>
      </c>
      <c r="X58" s="86" t="s">
        <v>109</v>
      </c>
      <c r="Y58" s="86" t="s">
        <v>3101</v>
      </c>
    </row>
    <row r="59" spans="1:25" x14ac:dyDescent="0.3">
      <c r="A59" s="86">
        <v>58</v>
      </c>
      <c r="B59" s="64" t="s">
        <v>2395</v>
      </c>
      <c r="C59" s="64" t="s">
        <v>2393</v>
      </c>
      <c r="D59" s="59">
        <v>40226009</v>
      </c>
      <c r="E59" s="64">
        <v>320</v>
      </c>
      <c r="F59" s="86">
        <v>255</v>
      </c>
      <c r="G59" s="86">
        <v>27</v>
      </c>
      <c r="H59" s="86" t="s">
        <v>3217</v>
      </c>
      <c r="I59" s="86" t="s">
        <v>3218</v>
      </c>
      <c r="J59" s="86" t="s">
        <v>130</v>
      </c>
      <c r="K59" s="162">
        <v>0.82847222222222228</v>
      </c>
      <c r="L59" s="162">
        <v>0.95486111111111116</v>
      </c>
      <c r="M59" s="86" t="s">
        <v>109</v>
      </c>
      <c r="N59" s="166" t="s">
        <v>2165</v>
      </c>
      <c r="O59" s="64" t="s">
        <v>61</v>
      </c>
      <c r="P59" s="86" t="s">
        <v>131</v>
      </c>
      <c r="Q59" s="86" t="s">
        <v>91</v>
      </c>
      <c r="R59" s="86" t="s">
        <v>62</v>
      </c>
      <c r="S59" s="86" t="s">
        <v>2922</v>
      </c>
      <c r="T59" s="64" t="s">
        <v>2430</v>
      </c>
      <c r="U59" s="163">
        <v>8.4375000000000006E-2</v>
      </c>
      <c r="V59" s="86" t="s">
        <v>152</v>
      </c>
      <c r="W59" s="164" t="s">
        <v>3219</v>
      </c>
      <c r="X59" s="165" t="s">
        <v>3282</v>
      </c>
      <c r="Y59" s="86" t="s">
        <v>3102</v>
      </c>
    </row>
    <row r="60" spans="1:25" x14ac:dyDescent="0.3">
      <c r="A60" s="86">
        <v>75</v>
      </c>
      <c r="B60" s="64" t="s">
        <v>23</v>
      </c>
      <c r="C60" s="64" t="s">
        <v>3020</v>
      </c>
      <c r="D60" s="64">
        <v>50326025</v>
      </c>
      <c r="E60" s="64">
        <v>150</v>
      </c>
      <c r="F60" s="86">
        <v>131</v>
      </c>
      <c r="G60" s="86">
        <v>9</v>
      </c>
      <c r="H60" s="86" t="s">
        <v>2590</v>
      </c>
      <c r="I60" s="86" t="s">
        <v>109</v>
      </c>
      <c r="J60" s="86" t="s">
        <v>130</v>
      </c>
      <c r="K60" s="162">
        <v>6.458333333333334E-2</v>
      </c>
      <c r="L60" s="86" t="s">
        <v>109</v>
      </c>
      <c r="M60" s="86" t="s">
        <v>109</v>
      </c>
      <c r="N60" s="64" t="s">
        <v>109</v>
      </c>
      <c r="O60" s="64" t="s">
        <v>61</v>
      </c>
      <c r="P60" s="86" t="s">
        <v>131</v>
      </c>
      <c r="Q60" s="86" t="s">
        <v>200</v>
      </c>
      <c r="R60" s="86" t="s">
        <v>62</v>
      </c>
      <c r="S60" s="86" t="s">
        <v>2922</v>
      </c>
      <c r="T60" s="64" t="s">
        <v>1309</v>
      </c>
      <c r="U60" s="163">
        <v>0.06</v>
      </c>
      <c r="V60" s="86" t="s">
        <v>2391</v>
      </c>
      <c r="W60" s="164" t="s">
        <v>3257</v>
      </c>
      <c r="X60" s="86" t="s">
        <v>109</v>
      </c>
      <c r="Y60" s="86" t="s">
        <v>3101</v>
      </c>
    </row>
    <row r="61" spans="1:25" x14ac:dyDescent="0.3">
      <c r="A61" s="86">
        <v>60</v>
      </c>
      <c r="B61" s="64" t="s">
        <v>411</v>
      </c>
      <c r="C61" s="64" t="s">
        <v>3224</v>
      </c>
      <c r="D61" s="59">
        <v>30326005</v>
      </c>
      <c r="E61" s="64">
        <v>164</v>
      </c>
      <c r="F61" s="86">
        <v>264</v>
      </c>
      <c r="G61" s="86">
        <v>84</v>
      </c>
      <c r="H61" s="86" t="s">
        <v>922</v>
      </c>
      <c r="I61" s="86" t="s">
        <v>3031</v>
      </c>
      <c r="J61" s="86" t="s">
        <v>130</v>
      </c>
      <c r="K61" s="162">
        <v>0.99375000000000002</v>
      </c>
      <c r="L61" s="162">
        <v>5.347222222222222E-2</v>
      </c>
      <c r="M61" s="86" t="s">
        <v>109</v>
      </c>
      <c r="N61" s="64" t="s">
        <v>109</v>
      </c>
      <c r="O61" s="64" t="s">
        <v>61</v>
      </c>
      <c r="P61" s="86" t="s">
        <v>131</v>
      </c>
      <c r="Q61" s="86" t="s">
        <v>91</v>
      </c>
      <c r="R61" s="86" t="s">
        <v>63</v>
      </c>
      <c r="S61" s="86" t="s">
        <v>2922</v>
      </c>
      <c r="T61" s="64" t="s">
        <v>1562</v>
      </c>
      <c r="U61" s="163">
        <v>0.51219512195121952</v>
      </c>
      <c r="V61" s="86" t="s">
        <v>1313</v>
      </c>
      <c r="W61" s="164" t="s">
        <v>3225</v>
      </c>
      <c r="X61" s="86" t="s">
        <v>109</v>
      </c>
      <c r="Y61" s="86" t="s">
        <v>3101</v>
      </c>
    </row>
    <row r="62" spans="1:25" x14ac:dyDescent="0.3">
      <c r="A62" s="86">
        <v>61</v>
      </c>
      <c r="B62" s="64" t="s">
        <v>411</v>
      </c>
      <c r="C62" s="64" t="s">
        <v>3226</v>
      </c>
      <c r="D62" s="59">
        <v>30326004</v>
      </c>
      <c r="E62" s="64">
        <v>130</v>
      </c>
      <c r="F62" s="86">
        <v>201</v>
      </c>
      <c r="G62" s="86">
        <v>25</v>
      </c>
      <c r="H62" s="86" t="s">
        <v>3227</v>
      </c>
      <c r="I62" s="156" t="s">
        <v>3228</v>
      </c>
      <c r="J62" s="86" t="s">
        <v>130</v>
      </c>
      <c r="K62" s="162">
        <v>1.1805555555555555E-2</v>
      </c>
      <c r="L62" s="162">
        <v>2.361111111111111E-2</v>
      </c>
      <c r="M62" s="86" t="s">
        <v>109</v>
      </c>
      <c r="N62" s="64" t="s">
        <v>109</v>
      </c>
      <c r="O62" s="64" t="s">
        <v>61</v>
      </c>
      <c r="P62" s="86" t="s">
        <v>131</v>
      </c>
      <c r="Q62" s="86" t="s">
        <v>3287</v>
      </c>
      <c r="R62" s="86" t="s">
        <v>63</v>
      </c>
      <c r="S62" s="86" t="s">
        <v>2922</v>
      </c>
      <c r="T62" s="64" t="s">
        <v>1562</v>
      </c>
      <c r="U62" s="163">
        <v>0.19230769230769232</v>
      </c>
      <c r="V62" s="86" t="s">
        <v>2391</v>
      </c>
      <c r="W62" s="164" t="s">
        <v>3229</v>
      </c>
      <c r="X62" s="86" t="s">
        <v>109</v>
      </c>
      <c r="Y62" s="86" t="s">
        <v>3101</v>
      </c>
    </row>
    <row r="63" spans="1:25" x14ac:dyDescent="0.3">
      <c r="A63" s="86">
        <v>62</v>
      </c>
      <c r="B63" s="64" t="s">
        <v>24</v>
      </c>
      <c r="C63" s="64" t="s">
        <v>46</v>
      </c>
      <c r="D63" s="59">
        <v>61225009</v>
      </c>
      <c r="E63" s="64">
        <v>141</v>
      </c>
      <c r="F63" s="86">
        <v>138</v>
      </c>
      <c r="G63" s="86">
        <v>62</v>
      </c>
      <c r="H63" s="86" t="s">
        <v>3230</v>
      </c>
      <c r="I63" s="77" t="s">
        <v>2597</v>
      </c>
      <c r="J63" s="86" t="s">
        <v>130</v>
      </c>
      <c r="K63" s="162">
        <v>0.9458333333333333</v>
      </c>
      <c r="L63" s="162">
        <v>0.9555555555555556</v>
      </c>
      <c r="M63" s="86" t="s">
        <v>109</v>
      </c>
      <c r="N63" s="64" t="s">
        <v>109</v>
      </c>
      <c r="O63" s="64" t="s">
        <v>61</v>
      </c>
      <c r="P63" s="86" t="s">
        <v>131</v>
      </c>
      <c r="Q63" s="86" t="s">
        <v>209</v>
      </c>
      <c r="R63" s="86" t="s">
        <v>63</v>
      </c>
      <c r="S63" s="86" t="s">
        <v>2922</v>
      </c>
      <c r="T63" s="64" t="s">
        <v>3231</v>
      </c>
      <c r="U63" s="163">
        <v>0.43971631205673761</v>
      </c>
      <c r="V63" s="86" t="s">
        <v>152</v>
      </c>
      <c r="W63" s="164" t="s">
        <v>3232</v>
      </c>
      <c r="X63" s="86" t="s">
        <v>109</v>
      </c>
      <c r="Y63" s="86" t="s">
        <v>3101</v>
      </c>
    </row>
    <row r="64" spans="1:25" x14ac:dyDescent="0.3">
      <c r="A64" s="86">
        <v>63</v>
      </c>
      <c r="B64" s="64" t="s">
        <v>24</v>
      </c>
      <c r="C64" s="64" t="s">
        <v>1902</v>
      </c>
      <c r="D64" s="59">
        <v>60226013</v>
      </c>
      <c r="E64" s="64">
        <v>16</v>
      </c>
      <c r="F64" s="86">
        <v>14</v>
      </c>
      <c r="G64" s="86">
        <v>6</v>
      </c>
      <c r="H64" s="156" t="s">
        <v>241</v>
      </c>
      <c r="I64" s="77" t="s">
        <v>91</v>
      </c>
      <c r="J64" s="86" t="s">
        <v>130</v>
      </c>
      <c r="K64" s="162">
        <v>0.75763888888888886</v>
      </c>
      <c r="L64" s="162">
        <v>0.76944444444444449</v>
      </c>
      <c r="M64" s="86" t="s">
        <v>109</v>
      </c>
      <c r="N64" s="64" t="s">
        <v>109</v>
      </c>
      <c r="O64" s="64" t="s">
        <v>61</v>
      </c>
      <c r="P64" s="86" t="s">
        <v>131</v>
      </c>
      <c r="Q64" s="86" t="s">
        <v>91</v>
      </c>
      <c r="R64" s="86" t="s">
        <v>63</v>
      </c>
      <c r="S64" s="86" t="s">
        <v>2922</v>
      </c>
      <c r="T64" s="64" t="s">
        <v>1329</v>
      </c>
      <c r="U64" s="163">
        <v>0.375</v>
      </c>
      <c r="V64" s="86" t="s">
        <v>152</v>
      </c>
      <c r="W64" s="164" t="s">
        <v>3233</v>
      </c>
      <c r="X64" s="86" t="s">
        <v>109</v>
      </c>
      <c r="Y64" s="86" t="s">
        <v>3101</v>
      </c>
    </row>
    <row r="65" spans="1:25" x14ac:dyDescent="0.3">
      <c r="A65" s="86">
        <v>64</v>
      </c>
      <c r="B65" s="64" t="s">
        <v>24</v>
      </c>
      <c r="C65" s="64" t="s">
        <v>2457</v>
      </c>
      <c r="D65" s="59">
        <v>60226021</v>
      </c>
      <c r="E65" s="64">
        <v>7</v>
      </c>
      <c r="F65" s="86">
        <v>7</v>
      </c>
      <c r="G65" s="86">
        <v>4</v>
      </c>
      <c r="H65" s="156" t="s">
        <v>84</v>
      </c>
      <c r="I65" s="86" t="s">
        <v>209</v>
      </c>
      <c r="J65" s="86" t="s">
        <v>130</v>
      </c>
      <c r="K65" s="162">
        <v>0.68194444444444446</v>
      </c>
      <c r="L65" s="162">
        <v>0.69166666666666665</v>
      </c>
      <c r="M65" s="86" t="s">
        <v>109</v>
      </c>
      <c r="N65" s="64" t="s">
        <v>109</v>
      </c>
      <c r="O65" s="64" t="s">
        <v>61</v>
      </c>
      <c r="P65" s="86" t="s">
        <v>131</v>
      </c>
      <c r="Q65" s="86" t="s">
        <v>209</v>
      </c>
      <c r="R65" s="86" t="s">
        <v>63</v>
      </c>
      <c r="S65" s="86" t="s">
        <v>2922</v>
      </c>
      <c r="T65" s="64" t="s">
        <v>2455</v>
      </c>
      <c r="U65" s="163">
        <v>0.5714285714285714</v>
      </c>
      <c r="V65" s="86" t="s">
        <v>152</v>
      </c>
      <c r="W65" s="164" t="s">
        <v>3234</v>
      </c>
      <c r="X65" s="165" t="s">
        <v>3282</v>
      </c>
      <c r="Y65" s="86" t="s">
        <v>3102</v>
      </c>
    </row>
    <row r="66" spans="1:25" x14ac:dyDescent="0.3">
      <c r="A66" s="86">
        <v>65</v>
      </c>
      <c r="B66" s="64" t="s">
        <v>24</v>
      </c>
      <c r="C66" s="64" t="s">
        <v>2458</v>
      </c>
      <c r="D66" s="59">
        <v>60226022</v>
      </c>
      <c r="E66" s="64">
        <v>8</v>
      </c>
      <c r="F66" s="86">
        <v>8</v>
      </c>
      <c r="G66" s="86">
        <v>4</v>
      </c>
      <c r="H66" s="156" t="s">
        <v>82</v>
      </c>
      <c r="I66" s="156" t="s">
        <v>1082</v>
      </c>
      <c r="J66" s="86" t="s">
        <v>130</v>
      </c>
      <c r="K66" s="162">
        <v>0.92986111111111114</v>
      </c>
      <c r="L66" s="162">
        <v>0.93333333333333335</v>
      </c>
      <c r="M66" s="86" t="s">
        <v>109</v>
      </c>
      <c r="N66" s="64" t="s">
        <v>109</v>
      </c>
      <c r="O66" s="64" t="s">
        <v>61</v>
      </c>
      <c r="P66" s="86" t="s">
        <v>131</v>
      </c>
      <c r="Q66" s="86" t="s">
        <v>3287</v>
      </c>
      <c r="R66" s="86" t="s">
        <v>63</v>
      </c>
      <c r="S66" s="86" t="s">
        <v>2922</v>
      </c>
      <c r="T66" s="64" t="s">
        <v>2455</v>
      </c>
      <c r="U66" s="163">
        <v>0.5</v>
      </c>
      <c r="V66" s="86" t="s">
        <v>152</v>
      </c>
      <c r="W66" s="164" t="s">
        <v>3235</v>
      </c>
      <c r="X66" s="165" t="s">
        <v>3282</v>
      </c>
      <c r="Y66" s="86" t="s">
        <v>3102</v>
      </c>
    </row>
    <row r="67" spans="1:25" x14ac:dyDescent="0.3">
      <c r="A67" s="86">
        <v>66</v>
      </c>
      <c r="B67" s="64" t="s">
        <v>26</v>
      </c>
      <c r="C67" s="64" t="s">
        <v>1388</v>
      </c>
      <c r="D67" s="59">
        <v>40126024</v>
      </c>
      <c r="E67" s="64">
        <v>422</v>
      </c>
      <c r="F67" s="86">
        <v>742</v>
      </c>
      <c r="G67" s="86">
        <v>141</v>
      </c>
      <c r="H67" s="86" t="s">
        <v>3236</v>
      </c>
      <c r="I67" s="86" t="s">
        <v>3237</v>
      </c>
      <c r="J67" s="86" t="s">
        <v>130</v>
      </c>
      <c r="K67" s="162">
        <v>0.75069444444444444</v>
      </c>
      <c r="L67" s="162">
        <v>0.77638888888888891</v>
      </c>
      <c r="M67" s="86" t="s">
        <v>109</v>
      </c>
      <c r="N67" s="166" t="s">
        <v>1006</v>
      </c>
      <c r="O67" s="64" t="s">
        <v>61</v>
      </c>
      <c r="P67" s="86" t="s">
        <v>131</v>
      </c>
      <c r="Q67" s="86" t="s">
        <v>90</v>
      </c>
      <c r="R67" s="86" t="s">
        <v>62</v>
      </c>
      <c r="S67" s="86" t="s">
        <v>2922</v>
      </c>
      <c r="T67" s="64" t="s">
        <v>121</v>
      </c>
      <c r="U67" s="163">
        <v>0.33412322274881517</v>
      </c>
      <c r="V67" s="86" t="s">
        <v>2391</v>
      </c>
      <c r="W67" s="164" t="s">
        <v>3238</v>
      </c>
      <c r="X67" s="86" t="s">
        <v>109</v>
      </c>
      <c r="Y67" s="86" t="s">
        <v>3101</v>
      </c>
    </row>
    <row r="68" spans="1:25" x14ac:dyDescent="0.3">
      <c r="A68" s="86">
        <v>67</v>
      </c>
      <c r="B68" s="64" t="s">
        <v>26</v>
      </c>
      <c r="C68" s="64" t="s">
        <v>1778</v>
      </c>
      <c r="D68" s="59">
        <v>40226001</v>
      </c>
      <c r="E68" s="64">
        <v>451</v>
      </c>
      <c r="F68" s="86">
        <v>719</v>
      </c>
      <c r="G68" s="86">
        <v>145</v>
      </c>
      <c r="H68" s="86" t="s">
        <v>3239</v>
      </c>
      <c r="I68" s="86" t="s">
        <v>3240</v>
      </c>
      <c r="J68" s="86" t="s">
        <v>130</v>
      </c>
      <c r="K68" s="162">
        <v>0.71388888888888891</v>
      </c>
      <c r="L68" s="162">
        <v>0.73402777777777772</v>
      </c>
      <c r="M68" s="86" t="s">
        <v>109</v>
      </c>
      <c r="N68" s="166" t="s">
        <v>1006</v>
      </c>
      <c r="O68" s="64" t="s">
        <v>61</v>
      </c>
      <c r="P68" s="86" t="s">
        <v>131</v>
      </c>
      <c r="Q68" s="86" t="s">
        <v>87</v>
      </c>
      <c r="R68" s="86" t="s">
        <v>62</v>
      </c>
      <c r="S68" s="86" t="s">
        <v>2922</v>
      </c>
      <c r="T68" s="64" t="s">
        <v>121</v>
      </c>
      <c r="U68" s="163">
        <v>0.3215077605321508</v>
      </c>
      <c r="V68" s="86" t="s">
        <v>2391</v>
      </c>
      <c r="W68" s="164" t="s">
        <v>3241</v>
      </c>
      <c r="X68" s="86" t="s">
        <v>109</v>
      </c>
      <c r="Y68" s="86" t="s">
        <v>3101</v>
      </c>
    </row>
    <row r="69" spans="1:25" x14ac:dyDescent="0.3">
      <c r="A69" s="86">
        <v>68</v>
      </c>
      <c r="B69" s="64" t="s">
        <v>26</v>
      </c>
      <c r="C69" s="64" t="s">
        <v>2460</v>
      </c>
      <c r="D69" s="59">
        <v>40226013</v>
      </c>
      <c r="E69" s="64">
        <v>10</v>
      </c>
      <c r="F69" s="86">
        <v>1</v>
      </c>
      <c r="G69" s="86">
        <v>1</v>
      </c>
      <c r="H69" s="156" t="s">
        <v>65</v>
      </c>
      <c r="I69" s="86" t="s">
        <v>90</v>
      </c>
      <c r="J69" s="86" t="s">
        <v>130</v>
      </c>
      <c r="K69" s="162">
        <v>0.81597222222222221</v>
      </c>
      <c r="L69" s="162">
        <v>0.82291666666666663</v>
      </c>
      <c r="M69" s="86" t="s">
        <v>109</v>
      </c>
      <c r="N69" s="166" t="s">
        <v>110</v>
      </c>
      <c r="O69" s="64" t="s">
        <v>61</v>
      </c>
      <c r="P69" s="86" t="s">
        <v>131</v>
      </c>
      <c r="Q69" s="86" t="s">
        <v>90</v>
      </c>
      <c r="R69" s="86" t="s">
        <v>62</v>
      </c>
      <c r="S69" s="86" t="s">
        <v>2922</v>
      </c>
      <c r="T69" s="64" t="s">
        <v>122</v>
      </c>
      <c r="U69" s="163">
        <v>0.1</v>
      </c>
      <c r="V69" s="86" t="s">
        <v>152</v>
      </c>
      <c r="W69" s="164" t="s">
        <v>3242</v>
      </c>
      <c r="X69" s="86" t="s">
        <v>109</v>
      </c>
      <c r="Y69" s="86" t="s">
        <v>3101</v>
      </c>
    </row>
    <row r="70" spans="1:25" x14ac:dyDescent="0.3">
      <c r="A70" s="86">
        <v>69</v>
      </c>
      <c r="B70" s="64" t="s">
        <v>26</v>
      </c>
      <c r="C70" s="64" t="s">
        <v>2462</v>
      </c>
      <c r="D70" s="59">
        <v>40226014</v>
      </c>
      <c r="E70" s="64">
        <v>294</v>
      </c>
      <c r="F70" s="86">
        <v>553</v>
      </c>
      <c r="G70" s="86">
        <v>119</v>
      </c>
      <c r="H70" s="86" t="s">
        <v>3243</v>
      </c>
      <c r="I70" s="86" t="s">
        <v>3244</v>
      </c>
      <c r="J70" s="86" t="s">
        <v>130</v>
      </c>
      <c r="K70" s="162">
        <v>0.7583333333333333</v>
      </c>
      <c r="L70" s="162">
        <v>0.83263888888888893</v>
      </c>
      <c r="M70" s="86" t="s">
        <v>109</v>
      </c>
      <c r="N70" s="166" t="s">
        <v>110</v>
      </c>
      <c r="O70" s="64" t="s">
        <v>61</v>
      </c>
      <c r="P70" s="86" t="s">
        <v>131</v>
      </c>
      <c r="Q70" s="86" t="s">
        <v>209</v>
      </c>
      <c r="R70" s="86" t="s">
        <v>62</v>
      </c>
      <c r="S70" s="86" t="s">
        <v>2922</v>
      </c>
      <c r="T70" s="64" t="s">
        <v>122</v>
      </c>
      <c r="U70" s="163">
        <v>0.40476190476190477</v>
      </c>
      <c r="V70" s="86" t="s">
        <v>2391</v>
      </c>
      <c r="W70" s="164" t="s">
        <v>3245</v>
      </c>
      <c r="X70" s="86" t="s">
        <v>109</v>
      </c>
      <c r="Y70" s="86" t="s">
        <v>3101</v>
      </c>
    </row>
    <row r="71" spans="1:25" x14ac:dyDescent="0.3">
      <c r="A71" s="86">
        <v>70</v>
      </c>
      <c r="B71" s="64" t="s">
        <v>26</v>
      </c>
      <c r="C71" s="64" t="s">
        <v>2468</v>
      </c>
      <c r="D71" s="59">
        <v>40226012</v>
      </c>
      <c r="E71" s="64">
        <v>444</v>
      </c>
      <c r="F71" s="86">
        <v>819</v>
      </c>
      <c r="G71" s="86">
        <v>124</v>
      </c>
      <c r="H71" s="86" t="s">
        <v>2998</v>
      </c>
      <c r="I71" s="86" t="s">
        <v>3246</v>
      </c>
      <c r="J71" s="86" t="s">
        <v>130</v>
      </c>
      <c r="K71" s="162">
        <v>0.69027777777777777</v>
      </c>
      <c r="L71" s="162">
        <v>0.7895833333333333</v>
      </c>
      <c r="M71" s="86" t="s">
        <v>109</v>
      </c>
      <c r="N71" s="166" t="s">
        <v>110</v>
      </c>
      <c r="O71" s="64" t="s">
        <v>61</v>
      </c>
      <c r="P71" s="86" t="s">
        <v>131</v>
      </c>
      <c r="Q71" s="86" t="s">
        <v>90</v>
      </c>
      <c r="R71" s="86" t="s">
        <v>62</v>
      </c>
      <c r="S71" s="86" t="s">
        <v>2922</v>
      </c>
      <c r="T71" s="64" t="s">
        <v>122</v>
      </c>
      <c r="U71" s="163">
        <v>0.27927927927927926</v>
      </c>
      <c r="V71" s="86" t="s">
        <v>2391</v>
      </c>
      <c r="W71" s="164" t="s">
        <v>3247</v>
      </c>
      <c r="X71" s="86" t="s">
        <v>109</v>
      </c>
      <c r="Y71" s="86" t="s">
        <v>3101</v>
      </c>
    </row>
    <row r="72" spans="1:25" x14ac:dyDescent="0.3">
      <c r="A72" s="86">
        <v>71</v>
      </c>
      <c r="B72" s="64" t="s">
        <v>26</v>
      </c>
      <c r="C72" s="64" t="s">
        <v>2632</v>
      </c>
      <c r="D72" s="59">
        <v>40226018</v>
      </c>
      <c r="E72" s="64">
        <v>269</v>
      </c>
      <c r="F72" s="86">
        <v>469</v>
      </c>
      <c r="G72" s="86">
        <v>211</v>
      </c>
      <c r="H72" s="86" t="s">
        <v>3248</v>
      </c>
      <c r="I72" s="86" t="s">
        <v>3249</v>
      </c>
      <c r="J72" s="86" t="s">
        <v>130</v>
      </c>
      <c r="K72" s="162">
        <v>0.77500000000000002</v>
      </c>
      <c r="L72" s="162">
        <v>0.9458333333333333</v>
      </c>
      <c r="M72" s="86" t="s">
        <v>109</v>
      </c>
      <c r="N72" s="166" t="s">
        <v>110</v>
      </c>
      <c r="O72" s="64" t="s">
        <v>61</v>
      </c>
      <c r="P72" s="86" t="s">
        <v>131</v>
      </c>
      <c r="Q72" s="86" t="s">
        <v>94</v>
      </c>
      <c r="R72" s="86" t="s">
        <v>62</v>
      </c>
      <c r="S72" s="86" t="s">
        <v>2922</v>
      </c>
      <c r="T72" s="64" t="s">
        <v>2636</v>
      </c>
      <c r="U72" s="163">
        <v>0.78438661710037172</v>
      </c>
      <c r="V72" s="86" t="s">
        <v>1313</v>
      </c>
      <c r="W72" s="164" t="s">
        <v>3250</v>
      </c>
      <c r="X72" s="86" t="s">
        <v>109</v>
      </c>
      <c r="Y72" s="86" t="s">
        <v>3101</v>
      </c>
    </row>
    <row r="73" spans="1:25" x14ac:dyDescent="0.3">
      <c r="A73" s="86">
        <v>72</v>
      </c>
      <c r="B73" s="64" t="s">
        <v>26</v>
      </c>
      <c r="C73" s="64" t="s">
        <v>2637</v>
      </c>
      <c r="D73" s="59">
        <v>40226019</v>
      </c>
      <c r="E73" s="64">
        <v>357</v>
      </c>
      <c r="F73" s="86">
        <v>641</v>
      </c>
      <c r="G73" s="86">
        <v>188</v>
      </c>
      <c r="H73" s="156" t="s">
        <v>3251</v>
      </c>
      <c r="I73" s="77" t="s">
        <v>3252</v>
      </c>
      <c r="J73" s="86" t="s">
        <v>130</v>
      </c>
      <c r="K73" s="162">
        <v>0.78333333333333333</v>
      </c>
      <c r="L73" s="162">
        <v>0.90069444444444446</v>
      </c>
      <c r="M73" s="86" t="s">
        <v>109</v>
      </c>
      <c r="N73" s="166" t="s">
        <v>110</v>
      </c>
      <c r="O73" s="64" t="s">
        <v>61</v>
      </c>
      <c r="P73" s="86" t="s">
        <v>131</v>
      </c>
      <c r="Q73" s="86" t="s">
        <v>94</v>
      </c>
      <c r="R73" s="86" t="s">
        <v>62</v>
      </c>
      <c r="S73" s="86" t="s">
        <v>2922</v>
      </c>
      <c r="T73" s="64" t="s">
        <v>2636</v>
      </c>
      <c r="U73" s="163">
        <v>0.5266106442577031</v>
      </c>
      <c r="V73" s="86" t="s">
        <v>1313</v>
      </c>
      <c r="W73" s="164" t="s">
        <v>3253</v>
      </c>
      <c r="X73" s="86" t="s">
        <v>109</v>
      </c>
      <c r="Y73" s="86" t="s">
        <v>3101</v>
      </c>
    </row>
    <row r="74" spans="1:25" x14ac:dyDescent="0.3">
      <c r="A74" s="86">
        <v>73</v>
      </c>
      <c r="B74" s="64" t="s">
        <v>23</v>
      </c>
      <c r="C74" s="64" t="s">
        <v>3018</v>
      </c>
      <c r="D74" s="64">
        <v>50326027</v>
      </c>
      <c r="E74" s="64">
        <v>20</v>
      </c>
      <c r="F74" s="86">
        <v>40</v>
      </c>
      <c r="G74" s="86">
        <v>18</v>
      </c>
      <c r="H74" s="156" t="s">
        <v>67</v>
      </c>
      <c r="I74" s="86" t="s">
        <v>109</v>
      </c>
      <c r="J74" s="86" t="s">
        <v>130</v>
      </c>
      <c r="K74" s="162">
        <v>0.70416666666666672</v>
      </c>
      <c r="L74" s="86" t="s">
        <v>109</v>
      </c>
      <c r="M74" s="86" t="s">
        <v>109</v>
      </c>
      <c r="N74" s="64" t="s">
        <v>109</v>
      </c>
      <c r="O74" s="64" t="s">
        <v>61</v>
      </c>
      <c r="P74" s="86" t="s">
        <v>131</v>
      </c>
      <c r="Q74" s="86" t="s">
        <v>67</v>
      </c>
      <c r="R74" s="86" t="s">
        <v>62</v>
      </c>
      <c r="S74" s="86" t="s">
        <v>2922</v>
      </c>
      <c r="T74" s="64" t="s">
        <v>1309</v>
      </c>
      <c r="U74" s="163">
        <v>0.9</v>
      </c>
      <c r="V74" s="86" t="s">
        <v>1945</v>
      </c>
      <c r="W74" s="164" t="s">
        <v>3254</v>
      </c>
      <c r="X74" s="86" t="s">
        <v>109</v>
      </c>
      <c r="Y74" s="86" t="s">
        <v>3101</v>
      </c>
    </row>
    <row r="75" spans="1:25" x14ac:dyDescent="0.3">
      <c r="A75" s="86">
        <v>74</v>
      </c>
      <c r="B75" s="64" t="s">
        <v>23</v>
      </c>
      <c r="C75" s="64" t="s">
        <v>2117</v>
      </c>
      <c r="D75" s="64">
        <v>50226054</v>
      </c>
      <c r="E75" s="64">
        <v>500</v>
      </c>
      <c r="F75" s="86">
        <v>905</v>
      </c>
      <c r="G75" s="86">
        <v>299</v>
      </c>
      <c r="H75" s="86" t="s">
        <v>3255</v>
      </c>
      <c r="I75" s="86" t="s">
        <v>109</v>
      </c>
      <c r="J75" s="86" t="s">
        <v>130</v>
      </c>
      <c r="K75" s="162">
        <v>2.7777777777777776E-2</v>
      </c>
      <c r="L75" s="86" t="s">
        <v>109</v>
      </c>
      <c r="M75" s="86" t="s">
        <v>109</v>
      </c>
      <c r="N75" s="166" t="s">
        <v>1621</v>
      </c>
      <c r="O75" s="64" t="s">
        <v>61</v>
      </c>
      <c r="P75" s="86" t="s">
        <v>131</v>
      </c>
      <c r="Q75" s="86" t="s">
        <v>68</v>
      </c>
      <c r="R75" s="86" t="s">
        <v>62</v>
      </c>
      <c r="S75" s="86" t="s">
        <v>2922</v>
      </c>
      <c r="T75" s="64" t="s">
        <v>289</v>
      </c>
      <c r="U75" s="163">
        <v>0.59799999999999998</v>
      </c>
      <c r="V75" s="86" t="s">
        <v>1313</v>
      </c>
      <c r="W75" s="164" t="s">
        <v>3256</v>
      </c>
      <c r="X75" s="86" t="s">
        <v>109</v>
      </c>
      <c r="Y75" s="86" t="s">
        <v>3101</v>
      </c>
    </row>
    <row r="76" spans="1:25" x14ac:dyDescent="0.3">
      <c r="A76" s="86">
        <v>34</v>
      </c>
      <c r="B76" s="64" t="s">
        <v>23</v>
      </c>
      <c r="C76" s="64" t="s">
        <v>427</v>
      </c>
      <c r="D76" s="64">
        <v>50126022</v>
      </c>
      <c r="E76" s="64">
        <v>200</v>
      </c>
      <c r="F76" s="86">
        <v>373</v>
      </c>
      <c r="G76" s="86">
        <v>205</v>
      </c>
      <c r="H76" s="86" t="s">
        <v>2975</v>
      </c>
      <c r="I76" s="86" t="s">
        <v>109</v>
      </c>
      <c r="J76" s="86" t="s">
        <v>130</v>
      </c>
      <c r="K76" s="162">
        <v>0.91874999999999996</v>
      </c>
      <c r="L76" s="86" t="s">
        <v>109</v>
      </c>
      <c r="M76" s="86" t="s">
        <v>109</v>
      </c>
      <c r="N76" s="166" t="s">
        <v>2352</v>
      </c>
      <c r="O76" s="64" t="s">
        <v>61</v>
      </c>
      <c r="P76" s="86" t="s">
        <v>131</v>
      </c>
      <c r="Q76" s="86" t="s">
        <v>93</v>
      </c>
      <c r="R76" s="86" t="s">
        <v>62</v>
      </c>
      <c r="S76" s="86" t="s">
        <v>2922</v>
      </c>
      <c r="T76" s="64" t="s">
        <v>424</v>
      </c>
      <c r="U76" s="163">
        <v>1.0249999999999999</v>
      </c>
      <c r="V76" s="86" t="s">
        <v>1945</v>
      </c>
      <c r="W76" s="164" t="s">
        <v>3178</v>
      </c>
      <c r="X76" s="86" t="s">
        <v>109</v>
      </c>
      <c r="Y76" s="86" t="s">
        <v>3173</v>
      </c>
    </row>
    <row r="77" spans="1:25" x14ac:dyDescent="0.3">
      <c r="A77" s="86">
        <v>59</v>
      </c>
      <c r="B77" s="64" t="s">
        <v>411</v>
      </c>
      <c r="C77" s="64" t="s">
        <v>3220</v>
      </c>
      <c r="D77" s="59">
        <v>30326003</v>
      </c>
      <c r="E77" s="64">
        <v>248</v>
      </c>
      <c r="F77" s="86">
        <v>386</v>
      </c>
      <c r="G77" s="86">
        <v>105</v>
      </c>
      <c r="H77" s="86" t="s">
        <v>3221</v>
      </c>
      <c r="I77" s="86" t="s">
        <v>3222</v>
      </c>
      <c r="J77" s="86" t="s">
        <v>130</v>
      </c>
      <c r="K77" s="162">
        <v>0.97083333333333333</v>
      </c>
      <c r="L77" s="162">
        <v>6.6666666666666666E-2</v>
      </c>
      <c r="M77" s="86" t="s">
        <v>109</v>
      </c>
      <c r="N77" s="64" t="s">
        <v>109</v>
      </c>
      <c r="O77" s="64" t="s">
        <v>61</v>
      </c>
      <c r="P77" s="86" t="s">
        <v>131</v>
      </c>
      <c r="Q77" s="86" t="s">
        <v>90</v>
      </c>
      <c r="R77" s="86" t="s">
        <v>63</v>
      </c>
      <c r="S77" s="86" t="s">
        <v>2922</v>
      </c>
      <c r="T77" s="64" t="s">
        <v>1562</v>
      </c>
      <c r="U77" s="163">
        <v>0.42338709677419356</v>
      </c>
      <c r="V77" s="86" t="s">
        <v>2391</v>
      </c>
      <c r="W77" s="164" t="s">
        <v>3223</v>
      </c>
      <c r="X77" s="86" t="s">
        <v>109</v>
      </c>
      <c r="Y77" s="86" t="s">
        <v>3101</v>
      </c>
    </row>
    <row r="78" spans="1:25" x14ac:dyDescent="0.3">
      <c r="A78" s="86">
        <v>77</v>
      </c>
      <c r="B78" s="64" t="s">
        <v>23</v>
      </c>
      <c r="C78" s="64" t="s">
        <v>982</v>
      </c>
      <c r="D78" s="64">
        <v>50126277</v>
      </c>
      <c r="E78" s="64">
        <v>300</v>
      </c>
      <c r="F78" s="86">
        <v>594</v>
      </c>
      <c r="G78" s="86">
        <v>207</v>
      </c>
      <c r="H78" s="86" t="s">
        <v>3260</v>
      </c>
      <c r="I78" s="86" t="s">
        <v>109</v>
      </c>
      <c r="J78" s="86" t="s">
        <v>130</v>
      </c>
      <c r="K78" s="162">
        <v>0.83888888888888891</v>
      </c>
      <c r="L78" s="86" t="s">
        <v>109</v>
      </c>
      <c r="M78" s="86" t="s">
        <v>109</v>
      </c>
      <c r="N78" s="166" t="s">
        <v>1621</v>
      </c>
      <c r="O78" s="64" t="s">
        <v>61</v>
      </c>
      <c r="P78" s="86" t="s">
        <v>131</v>
      </c>
      <c r="Q78" s="86" t="s">
        <v>70</v>
      </c>
      <c r="R78" s="86" t="s">
        <v>62</v>
      </c>
      <c r="S78" s="86" t="s">
        <v>2922</v>
      </c>
      <c r="T78" s="64" t="s">
        <v>334</v>
      </c>
      <c r="U78" s="163">
        <v>0.69</v>
      </c>
      <c r="V78" s="86" t="s">
        <v>1313</v>
      </c>
      <c r="W78" s="164" t="s">
        <v>3261</v>
      </c>
      <c r="X78" s="86" t="s">
        <v>109</v>
      </c>
      <c r="Y78" s="86" t="s">
        <v>3101</v>
      </c>
    </row>
    <row r="79" spans="1:25" x14ac:dyDescent="0.3">
      <c r="A79" s="86">
        <v>78</v>
      </c>
      <c r="B79" s="64" t="s">
        <v>23</v>
      </c>
      <c r="C79" s="64" t="s">
        <v>2433</v>
      </c>
      <c r="D79" s="64">
        <v>50226090</v>
      </c>
      <c r="E79" s="64">
        <v>75</v>
      </c>
      <c r="F79" s="86">
        <v>143</v>
      </c>
      <c r="G79" s="86">
        <v>15</v>
      </c>
      <c r="H79" s="156" t="s">
        <v>153</v>
      </c>
      <c r="I79" s="86" t="s">
        <v>109</v>
      </c>
      <c r="J79" s="86" t="s">
        <v>130</v>
      </c>
      <c r="K79" s="162">
        <v>0.7631944444444444</v>
      </c>
      <c r="L79" s="86" t="s">
        <v>109</v>
      </c>
      <c r="M79" s="86" t="s">
        <v>109</v>
      </c>
      <c r="N79" s="64" t="s">
        <v>109</v>
      </c>
      <c r="O79" s="64" t="s">
        <v>61</v>
      </c>
      <c r="P79" s="86" t="s">
        <v>131</v>
      </c>
      <c r="Q79" s="86" t="s">
        <v>153</v>
      </c>
      <c r="R79" s="86" t="s">
        <v>62</v>
      </c>
      <c r="S79" s="86" t="s">
        <v>2922</v>
      </c>
      <c r="T79" s="64" t="s">
        <v>1365</v>
      </c>
      <c r="U79" s="163">
        <v>0.2</v>
      </c>
      <c r="V79" s="86" t="s">
        <v>2391</v>
      </c>
      <c r="W79" s="164" t="s">
        <v>3262</v>
      </c>
      <c r="X79" s="86" t="s">
        <v>109</v>
      </c>
      <c r="Y79" s="86" t="s">
        <v>3101</v>
      </c>
    </row>
    <row r="80" spans="1:25" x14ac:dyDescent="0.3">
      <c r="A80" s="86">
        <v>79</v>
      </c>
      <c r="B80" s="64" t="s">
        <v>23</v>
      </c>
      <c r="C80" s="64" t="s">
        <v>981</v>
      </c>
      <c r="D80" s="64">
        <v>50126275</v>
      </c>
      <c r="E80" s="64">
        <v>100</v>
      </c>
      <c r="F80" s="86">
        <v>161</v>
      </c>
      <c r="G80" s="86">
        <v>98</v>
      </c>
      <c r="H80" s="156" t="s">
        <v>65</v>
      </c>
      <c r="I80" s="86" t="s">
        <v>109</v>
      </c>
      <c r="J80" s="86" t="s">
        <v>130</v>
      </c>
      <c r="K80" s="162">
        <v>4.0972222222222222E-2</v>
      </c>
      <c r="L80" s="86" t="s">
        <v>109</v>
      </c>
      <c r="M80" s="86" t="s">
        <v>109</v>
      </c>
      <c r="N80" s="64" t="s">
        <v>109</v>
      </c>
      <c r="O80" s="64" t="s">
        <v>61</v>
      </c>
      <c r="P80" s="86" t="s">
        <v>131</v>
      </c>
      <c r="Q80" s="86" t="s">
        <v>65</v>
      </c>
      <c r="R80" s="86" t="s">
        <v>62</v>
      </c>
      <c r="S80" s="86" t="s">
        <v>2922</v>
      </c>
      <c r="T80" s="64" t="s">
        <v>334</v>
      </c>
      <c r="U80" s="163">
        <v>0.98</v>
      </c>
      <c r="V80" s="86" t="s">
        <v>1945</v>
      </c>
      <c r="W80" s="164" t="s">
        <v>3263</v>
      </c>
      <c r="X80" s="86" t="s">
        <v>109</v>
      </c>
      <c r="Y80" s="86" t="s">
        <v>3101</v>
      </c>
    </row>
    <row r="81" spans="1:25" x14ac:dyDescent="0.3">
      <c r="A81" s="86">
        <v>80</v>
      </c>
      <c r="B81" s="64" t="s">
        <v>23</v>
      </c>
      <c r="C81" s="64" t="s">
        <v>2753</v>
      </c>
      <c r="D81" s="64">
        <v>50226123</v>
      </c>
      <c r="E81" s="64">
        <v>100</v>
      </c>
      <c r="F81" s="86">
        <v>200</v>
      </c>
      <c r="G81" s="86">
        <v>58</v>
      </c>
      <c r="H81" s="156" t="s">
        <v>184</v>
      </c>
      <c r="I81" s="86" t="s">
        <v>109</v>
      </c>
      <c r="J81" s="86" t="s">
        <v>130</v>
      </c>
      <c r="K81" s="162">
        <v>0.94722222222222219</v>
      </c>
      <c r="L81" s="86" t="s">
        <v>109</v>
      </c>
      <c r="M81" s="86" t="s">
        <v>109</v>
      </c>
      <c r="N81" s="64" t="s">
        <v>109</v>
      </c>
      <c r="O81" s="64" t="s">
        <v>61</v>
      </c>
      <c r="P81" s="86" t="s">
        <v>131</v>
      </c>
      <c r="Q81" s="86" t="s">
        <v>184</v>
      </c>
      <c r="R81" s="86" t="s">
        <v>62</v>
      </c>
      <c r="S81" s="86" t="s">
        <v>2922</v>
      </c>
      <c r="T81" s="64" t="s">
        <v>362</v>
      </c>
      <c r="U81" s="163">
        <v>0.57999999999999996</v>
      </c>
      <c r="V81" s="86" t="s">
        <v>1313</v>
      </c>
      <c r="W81" s="164" t="s">
        <v>3264</v>
      </c>
      <c r="X81" s="86" t="s">
        <v>3282</v>
      </c>
      <c r="Y81" s="86" t="s">
        <v>3102</v>
      </c>
    </row>
    <row r="82" spans="1:25" x14ac:dyDescent="0.3">
      <c r="A82" s="86">
        <v>81</v>
      </c>
      <c r="B82" s="64" t="s">
        <v>23</v>
      </c>
      <c r="C82" s="64" t="s">
        <v>753</v>
      </c>
      <c r="D82" s="59">
        <v>50126146</v>
      </c>
      <c r="E82" s="64">
        <v>100</v>
      </c>
      <c r="F82" s="86">
        <v>178</v>
      </c>
      <c r="G82" s="86">
        <v>34</v>
      </c>
      <c r="H82" s="156" t="s">
        <v>82</v>
      </c>
      <c r="I82" s="77" t="s">
        <v>209</v>
      </c>
      <c r="J82" s="86" t="s">
        <v>130</v>
      </c>
      <c r="K82" s="162">
        <v>0.80763888888888891</v>
      </c>
      <c r="L82" s="162">
        <v>0.83888888888888891</v>
      </c>
      <c r="M82" s="86" t="s">
        <v>109</v>
      </c>
      <c r="N82" s="64" t="s">
        <v>109</v>
      </c>
      <c r="O82" s="64" t="s">
        <v>61</v>
      </c>
      <c r="P82" s="86" t="s">
        <v>131</v>
      </c>
      <c r="Q82" s="86" t="s">
        <v>209</v>
      </c>
      <c r="R82" s="86" t="s">
        <v>62</v>
      </c>
      <c r="S82" s="86" t="s">
        <v>2922</v>
      </c>
      <c r="T82" s="64" t="s">
        <v>480</v>
      </c>
      <c r="U82" s="163">
        <v>0.34</v>
      </c>
      <c r="V82" s="86" t="s">
        <v>2391</v>
      </c>
      <c r="W82" s="164" t="s">
        <v>3265</v>
      </c>
      <c r="X82" s="86" t="s">
        <v>109</v>
      </c>
      <c r="Y82" s="86" t="s">
        <v>3101</v>
      </c>
    </row>
    <row r="83" spans="1:25" x14ac:dyDescent="0.3">
      <c r="A83" s="86">
        <v>82</v>
      </c>
      <c r="B83" s="64" t="s">
        <v>23</v>
      </c>
      <c r="C83" s="64" t="s">
        <v>756</v>
      </c>
      <c r="D83" s="59">
        <v>50126144</v>
      </c>
      <c r="E83" s="64">
        <v>100</v>
      </c>
      <c r="F83" s="86">
        <v>104</v>
      </c>
      <c r="G83" s="86">
        <v>45</v>
      </c>
      <c r="H83" s="156" t="s">
        <v>68</v>
      </c>
      <c r="I83" s="86" t="s">
        <v>95</v>
      </c>
      <c r="J83" s="86" t="s">
        <v>130</v>
      </c>
      <c r="K83" s="162">
        <v>0.81805555555555554</v>
      </c>
      <c r="L83" s="162">
        <v>0.8618055555555556</v>
      </c>
      <c r="M83" s="86" t="s">
        <v>109</v>
      </c>
      <c r="N83" s="64" t="s">
        <v>109</v>
      </c>
      <c r="O83" s="64" t="s">
        <v>61</v>
      </c>
      <c r="P83" s="86" t="s">
        <v>131</v>
      </c>
      <c r="Q83" s="86" t="s">
        <v>95</v>
      </c>
      <c r="R83" s="86" t="s">
        <v>62</v>
      </c>
      <c r="S83" s="86" t="s">
        <v>2922</v>
      </c>
      <c r="T83" s="64" t="s">
        <v>480</v>
      </c>
      <c r="U83" s="163">
        <v>0.45</v>
      </c>
      <c r="V83" s="86" t="s">
        <v>152</v>
      </c>
      <c r="W83" s="164" t="s">
        <v>3266</v>
      </c>
      <c r="X83" s="86" t="s">
        <v>109</v>
      </c>
      <c r="Y83" s="86" t="s">
        <v>3101</v>
      </c>
    </row>
    <row r="84" spans="1:25" x14ac:dyDescent="0.3">
      <c r="A84" s="86">
        <v>83</v>
      </c>
      <c r="B84" s="64" t="s">
        <v>23</v>
      </c>
      <c r="C84" s="64" t="s">
        <v>757</v>
      </c>
      <c r="D84" s="59">
        <v>50126145</v>
      </c>
      <c r="E84" s="64">
        <v>100</v>
      </c>
      <c r="F84" s="86">
        <v>164</v>
      </c>
      <c r="G84" s="86">
        <v>70</v>
      </c>
      <c r="H84" s="77" t="s">
        <v>64</v>
      </c>
      <c r="I84" s="86" t="s">
        <v>95</v>
      </c>
      <c r="J84" s="86" t="s">
        <v>130</v>
      </c>
      <c r="K84" s="162">
        <v>0.78472222222222221</v>
      </c>
      <c r="L84" s="162">
        <v>0.8</v>
      </c>
      <c r="M84" s="86" t="s">
        <v>109</v>
      </c>
      <c r="N84" s="64" t="s">
        <v>109</v>
      </c>
      <c r="O84" s="64" t="s">
        <v>61</v>
      </c>
      <c r="P84" s="86" t="s">
        <v>131</v>
      </c>
      <c r="Q84" s="86" t="s">
        <v>95</v>
      </c>
      <c r="R84" s="86" t="s">
        <v>62</v>
      </c>
      <c r="S84" s="86" t="s">
        <v>2922</v>
      </c>
      <c r="T84" s="64" t="s">
        <v>480</v>
      </c>
      <c r="U84" s="163">
        <v>0.7</v>
      </c>
      <c r="V84" s="86" t="s">
        <v>2146</v>
      </c>
      <c r="W84" s="164" t="s">
        <v>3267</v>
      </c>
      <c r="X84" s="86" t="s">
        <v>109</v>
      </c>
      <c r="Y84" s="86" t="s">
        <v>3101</v>
      </c>
    </row>
    <row r="85" spans="1:25" x14ac:dyDescent="0.3">
      <c r="A85" s="86">
        <v>84</v>
      </c>
      <c r="B85" s="64" t="s">
        <v>23</v>
      </c>
      <c r="C85" s="64" t="s">
        <v>758</v>
      </c>
      <c r="D85" s="59">
        <v>50126142</v>
      </c>
      <c r="E85" s="64">
        <v>200</v>
      </c>
      <c r="F85" s="86">
        <v>292</v>
      </c>
      <c r="G85" s="86">
        <v>43</v>
      </c>
      <c r="H85" s="86" t="s">
        <v>3063</v>
      </c>
      <c r="I85" s="156" t="s">
        <v>2932</v>
      </c>
      <c r="J85" s="86" t="s">
        <v>130</v>
      </c>
      <c r="K85" s="162">
        <v>0.85347222222222219</v>
      </c>
      <c r="L85" s="162">
        <v>0.88194444444444442</v>
      </c>
      <c r="M85" s="86" t="s">
        <v>109</v>
      </c>
      <c r="N85" s="64" t="s">
        <v>109</v>
      </c>
      <c r="O85" s="64" t="s">
        <v>61</v>
      </c>
      <c r="P85" s="86" t="s">
        <v>131</v>
      </c>
      <c r="Q85" s="86" t="s">
        <v>154</v>
      </c>
      <c r="R85" s="86" t="s">
        <v>62</v>
      </c>
      <c r="S85" s="86" t="s">
        <v>2922</v>
      </c>
      <c r="T85" s="64" t="s">
        <v>480</v>
      </c>
      <c r="U85" s="163">
        <v>0.215</v>
      </c>
      <c r="V85" s="86" t="s">
        <v>2391</v>
      </c>
      <c r="W85" s="164" t="s">
        <v>3268</v>
      </c>
      <c r="X85" s="86" t="s">
        <v>109</v>
      </c>
      <c r="Y85" s="86" t="s">
        <v>3101</v>
      </c>
    </row>
    <row r="86" spans="1:25" x14ac:dyDescent="0.3">
      <c r="A86" s="86">
        <v>85</v>
      </c>
      <c r="B86" s="64" t="s">
        <v>23</v>
      </c>
      <c r="C86" s="64" t="s">
        <v>1053</v>
      </c>
      <c r="D86" s="59">
        <v>50126314</v>
      </c>
      <c r="E86" s="64">
        <v>75</v>
      </c>
      <c r="F86" s="86">
        <v>113</v>
      </c>
      <c r="G86" s="86">
        <v>71</v>
      </c>
      <c r="H86" s="86" t="s">
        <v>214</v>
      </c>
      <c r="I86" s="86" t="s">
        <v>91</v>
      </c>
      <c r="J86" s="86" t="s">
        <v>130</v>
      </c>
      <c r="K86" s="162">
        <v>0.81527777777777777</v>
      </c>
      <c r="L86" s="162">
        <v>0.86736111111111114</v>
      </c>
      <c r="M86" s="86" t="s">
        <v>109</v>
      </c>
      <c r="N86" s="64" t="s">
        <v>109</v>
      </c>
      <c r="O86" s="64" t="s">
        <v>61</v>
      </c>
      <c r="P86" s="86" t="s">
        <v>131</v>
      </c>
      <c r="Q86" s="86" t="s">
        <v>91</v>
      </c>
      <c r="R86" s="86" t="s">
        <v>62</v>
      </c>
      <c r="S86" s="86" t="s">
        <v>2922</v>
      </c>
      <c r="T86" s="64" t="s">
        <v>480</v>
      </c>
      <c r="U86" s="163">
        <v>0.94666666666666666</v>
      </c>
      <c r="V86" s="86" t="s">
        <v>1945</v>
      </c>
      <c r="W86" s="164" t="s">
        <v>3269</v>
      </c>
      <c r="X86" s="165" t="s">
        <v>3282</v>
      </c>
      <c r="Y86" s="86" t="s">
        <v>3102</v>
      </c>
    </row>
    <row r="87" spans="1:25" x14ac:dyDescent="0.3">
      <c r="A87" s="86">
        <v>86</v>
      </c>
      <c r="B87" s="64" t="s">
        <v>23</v>
      </c>
      <c r="C87" s="64" t="s">
        <v>1905</v>
      </c>
      <c r="D87" s="59">
        <v>50226024</v>
      </c>
      <c r="E87" s="64">
        <v>110</v>
      </c>
      <c r="F87" s="86">
        <v>211</v>
      </c>
      <c r="G87" s="86">
        <v>99</v>
      </c>
      <c r="H87" s="86" t="s">
        <v>2348</v>
      </c>
      <c r="I87" s="86" t="s">
        <v>2970</v>
      </c>
      <c r="J87" s="86" t="s">
        <v>130</v>
      </c>
      <c r="K87" s="162">
        <v>0.94027777777777777</v>
      </c>
      <c r="L87" s="162">
        <v>0.97152777777777777</v>
      </c>
      <c r="M87" s="86" t="s">
        <v>109</v>
      </c>
      <c r="N87" s="64" t="s">
        <v>109</v>
      </c>
      <c r="O87" s="64" t="s">
        <v>61</v>
      </c>
      <c r="P87" s="86" t="s">
        <v>131</v>
      </c>
      <c r="Q87" s="86" t="s">
        <v>154</v>
      </c>
      <c r="R87" s="86" t="s">
        <v>62</v>
      </c>
      <c r="S87" s="86" t="s">
        <v>2922</v>
      </c>
      <c r="T87" s="64" t="s">
        <v>480</v>
      </c>
      <c r="U87" s="163">
        <v>0.9</v>
      </c>
      <c r="V87" s="86" t="s">
        <v>1313</v>
      </c>
      <c r="W87" s="164" t="s">
        <v>3270</v>
      </c>
      <c r="X87" s="165" t="s">
        <v>3282</v>
      </c>
      <c r="Y87" s="86" t="s">
        <v>3102</v>
      </c>
    </row>
    <row r="88" spans="1:25" x14ac:dyDescent="0.3">
      <c r="A88" s="86">
        <v>87</v>
      </c>
      <c r="B88" s="64" t="s">
        <v>23</v>
      </c>
      <c r="C88" s="64" t="s">
        <v>1054</v>
      </c>
      <c r="D88" s="59">
        <v>50126315</v>
      </c>
      <c r="E88" s="64">
        <v>150</v>
      </c>
      <c r="F88" s="86">
        <v>291</v>
      </c>
      <c r="G88" s="86">
        <v>80</v>
      </c>
      <c r="H88" s="86" t="s">
        <v>3271</v>
      </c>
      <c r="I88" s="86" t="s">
        <v>3272</v>
      </c>
      <c r="J88" s="86" t="s">
        <v>130</v>
      </c>
      <c r="K88" s="162">
        <v>0.86111111111111116</v>
      </c>
      <c r="L88" s="162">
        <v>0.90625</v>
      </c>
      <c r="M88" s="86" t="s">
        <v>109</v>
      </c>
      <c r="N88" s="64" t="s">
        <v>109</v>
      </c>
      <c r="O88" s="64" t="s">
        <v>61</v>
      </c>
      <c r="P88" s="86" t="s">
        <v>131</v>
      </c>
      <c r="Q88" s="86" t="s">
        <v>90</v>
      </c>
      <c r="R88" s="86" t="s">
        <v>62</v>
      </c>
      <c r="S88" s="86" t="s">
        <v>2922</v>
      </c>
      <c r="T88" s="64" t="s">
        <v>480</v>
      </c>
      <c r="U88" s="163">
        <v>0.53333333333333333</v>
      </c>
      <c r="V88" s="86" t="s">
        <v>1313</v>
      </c>
      <c r="W88" s="164" t="s">
        <v>3273</v>
      </c>
      <c r="X88" s="86" t="s">
        <v>109</v>
      </c>
      <c r="Y88" s="86" t="s">
        <v>3101</v>
      </c>
    </row>
    <row r="89" spans="1:25" x14ac:dyDescent="0.3">
      <c r="A89" s="86">
        <v>2</v>
      </c>
      <c r="B89" s="64" t="s">
        <v>23</v>
      </c>
      <c r="C89" s="64" t="s">
        <v>380</v>
      </c>
      <c r="D89" s="64">
        <v>50425241</v>
      </c>
      <c r="E89" s="64">
        <v>250</v>
      </c>
      <c r="F89" s="86">
        <v>344</v>
      </c>
      <c r="G89" s="86">
        <v>47</v>
      </c>
      <c r="H89" s="86" t="s">
        <v>3129</v>
      </c>
      <c r="I89" s="86" t="s">
        <v>109</v>
      </c>
      <c r="J89" s="86" t="s">
        <v>130</v>
      </c>
      <c r="K89" s="162">
        <v>6.5277777777777782E-2</v>
      </c>
      <c r="L89" s="86" t="s">
        <v>109</v>
      </c>
      <c r="M89" s="86" t="s">
        <v>109</v>
      </c>
      <c r="N89" s="64" t="s">
        <v>109</v>
      </c>
      <c r="O89" s="64" t="s">
        <v>61</v>
      </c>
      <c r="P89" s="86" t="s">
        <v>131</v>
      </c>
      <c r="Q89" s="86" t="s">
        <v>69</v>
      </c>
      <c r="R89" s="86" t="s">
        <v>62</v>
      </c>
      <c r="S89" s="86" t="s">
        <v>2922</v>
      </c>
      <c r="T89" s="64" t="s">
        <v>379</v>
      </c>
      <c r="U89" s="163">
        <v>0.188</v>
      </c>
      <c r="V89" s="86" t="s">
        <v>2629</v>
      </c>
      <c r="W89" s="164" t="s">
        <v>3130</v>
      </c>
      <c r="X89" s="165" t="s">
        <v>3282</v>
      </c>
      <c r="Y89" s="86" t="s">
        <v>3102</v>
      </c>
    </row>
    <row r="90" spans="1:25" x14ac:dyDescent="0.3">
      <c r="A90" s="86">
        <v>89</v>
      </c>
      <c r="B90" s="64" t="s">
        <v>23</v>
      </c>
      <c r="C90" s="64" t="s">
        <v>1056</v>
      </c>
      <c r="D90" s="59">
        <v>50126316</v>
      </c>
      <c r="E90" s="64">
        <v>100</v>
      </c>
      <c r="F90" s="86">
        <v>163</v>
      </c>
      <c r="G90" s="86">
        <v>101</v>
      </c>
      <c r="H90" s="156" t="s">
        <v>222</v>
      </c>
      <c r="I90" s="156" t="s">
        <v>88</v>
      </c>
      <c r="J90" s="86" t="s">
        <v>130</v>
      </c>
      <c r="K90" s="162">
        <v>0.8569444444444444</v>
      </c>
      <c r="L90" s="162">
        <v>0.88749999999999996</v>
      </c>
      <c r="M90" s="86" t="s">
        <v>109</v>
      </c>
      <c r="N90" s="64" t="s">
        <v>109</v>
      </c>
      <c r="O90" s="64" t="s">
        <v>61</v>
      </c>
      <c r="P90" s="86" t="s">
        <v>131</v>
      </c>
      <c r="Q90" s="86" t="s">
        <v>88</v>
      </c>
      <c r="R90" s="86" t="s">
        <v>62</v>
      </c>
      <c r="S90" s="86" t="s">
        <v>2922</v>
      </c>
      <c r="T90" s="64" t="s">
        <v>480</v>
      </c>
      <c r="U90" s="163">
        <v>1.01</v>
      </c>
      <c r="V90" s="86" t="s">
        <v>1945</v>
      </c>
      <c r="W90" s="164" t="s">
        <v>3275</v>
      </c>
      <c r="X90" s="165" t="s">
        <v>3282</v>
      </c>
      <c r="Y90" s="86" t="s">
        <v>3102</v>
      </c>
    </row>
    <row r="91" spans="1:25" x14ac:dyDescent="0.3">
      <c r="A91" s="86">
        <v>90</v>
      </c>
      <c r="B91" s="64" t="s">
        <v>23</v>
      </c>
      <c r="C91" s="64" t="s">
        <v>1307</v>
      </c>
      <c r="D91" s="64">
        <v>50126334</v>
      </c>
      <c r="E91" s="64">
        <v>275</v>
      </c>
      <c r="F91" s="86">
        <v>98</v>
      </c>
      <c r="G91" s="86">
        <v>15</v>
      </c>
      <c r="H91" s="86" t="s">
        <v>3276</v>
      </c>
      <c r="I91" s="86" t="s">
        <v>109</v>
      </c>
      <c r="J91" s="86" t="s">
        <v>130</v>
      </c>
      <c r="K91" s="162">
        <v>1.1111111111111112E-2</v>
      </c>
      <c r="L91" s="86" t="s">
        <v>109</v>
      </c>
      <c r="M91" s="86" t="s">
        <v>109</v>
      </c>
      <c r="N91" s="166" t="s">
        <v>1621</v>
      </c>
      <c r="O91" s="64" t="s">
        <v>61</v>
      </c>
      <c r="P91" s="86" t="s">
        <v>131</v>
      </c>
      <c r="Q91" s="86" t="s">
        <v>65</v>
      </c>
      <c r="R91" s="86" t="s">
        <v>62</v>
      </c>
      <c r="S91" s="86" t="s">
        <v>2922</v>
      </c>
      <c r="T91" s="64" t="s">
        <v>1309</v>
      </c>
      <c r="U91" s="163">
        <v>5.4545454545454543E-2</v>
      </c>
      <c r="V91" s="86" t="s">
        <v>152</v>
      </c>
      <c r="W91" s="164" t="s">
        <v>3277</v>
      </c>
      <c r="X91" s="86" t="s">
        <v>109</v>
      </c>
      <c r="Y91" s="86" t="s">
        <v>3101</v>
      </c>
    </row>
    <row r="92" spans="1:25" x14ac:dyDescent="0.3">
      <c r="A92" s="86">
        <v>91</v>
      </c>
      <c r="B92" s="64" t="s">
        <v>23</v>
      </c>
      <c r="C92" s="64" t="s">
        <v>3278</v>
      </c>
      <c r="D92" s="64">
        <v>50326031</v>
      </c>
      <c r="E92" s="64">
        <v>150</v>
      </c>
      <c r="F92" s="86">
        <v>244</v>
      </c>
      <c r="G92" s="86">
        <v>151</v>
      </c>
      <c r="H92" s="156" t="s">
        <v>1552</v>
      </c>
      <c r="I92" s="86" t="s">
        <v>109</v>
      </c>
      <c r="J92" s="86" t="s">
        <v>130</v>
      </c>
      <c r="K92" s="162">
        <v>1.1111111111111112E-2</v>
      </c>
      <c r="L92" s="86" t="s">
        <v>109</v>
      </c>
      <c r="M92" s="86" t="s">
        <v>109</v>
      </c>
      <c r="N92" s="64" t="s">
        <v>109</v>
      </c>
      <c r="O92" s="64" t="s">
        <v>61</v>
      </c>
      <c r="P92" s="86" t="s">
        <v>131</v>
      </c>
      <c r="Q92" s="86" t="s">
        <v>71</v>
      </c>
      <c r="R92" s="86" t="s">
        <v>62</v>
      </c>
      <c r="S92" s="86" t="s">
        <v>2922</v>
      </c>
      <c r="T92" s="64" t="s">
        <v>362</v>
      </c>
      <c r="U92" s="163">
        <v>1.0066666666666666</v>
      </c>
      <c r="V92" s="86" t="s">
        <v>1945</v>
      </c>
      <c r="W92" s="164" t="s">
        <v>3279</v>
      </c>
      <c r="X92" s="86" t="s">
        <v>109</v>
      </c>
      <c r="Y92" s="86" t="s">
        <v>3101</v>
      </c>
    </row>
    <row r="93" spans="1:25" x14ac:dyDescent="0.3">
      <c r="A93" s="86">
        <v>92</v>
      </c>
      <c r="B93" s="64" t="s">
        <v>23</v>
      </c>
      <c r="C93" s="64" t="s">
        <v>1371</v>
      </c>
      <c r="D93" s="64">
        <v>50126338</v>
      </c>
      <c r="E93" s="64">
        <v>50</v>
      </c>
      <c r="F93" s="86">
        <v>100</v>
      </c>
      <c r="G93" s="86">
        <v>11</v>
      </c>
      <c r="H93" s="156" t="s">
        <v>66</v>
      </c>
      <c r="I93" s="86" t="s">
        <v>109</v>
      </c>
      <c r="J93" s="86" t="s">
        <v>130</v>
      </c>
      <c r="K93" s="162">
        <v>0.94374999999999998</v>
      </c>
      <c r="L93" s="86" t="s">
        <v>109</v>
      </c>
      <c r="M93" s="86" t="s">
        <v>109</v>
      </c>
      <c r="N93" s="166" t="s">
        <v>3079</v>
      </c>
      <c r="O93" s="64" t="s">
        <v>145</v>
      </c>
      <c r="P93" s="86" t="s">
        <v>131</v>
      </c>
      <c r="Q93" s="86" t="s">
        <v>66</v>
      </c>
      <c r="R93" s="86" t="s">
        <v>62</v>
      </c>
      <c r="S93" s="86" t="s">
        <v>2922</v>
      </c>
      <c r="T93" s="64" t="s">
        <v>1365</v>
      </c>
      <c r="U93" s="163">
        <v>0.22</v>
      </c>
      <c r="V93" s="86" t="s">
        <v>1313</v>
      </c>
      <c r="W93" s="164" t="s">
        <v>3280</v>
      </c>
      <c r="X93" s="165" t="s">
        <v>3282</v>
      </c>
      <c r="Y93" s="86" t="s">
        <v>3102</v>
      </c>
    </row>
    <row r="94" spans="1:25" x14ac:dyDescent="0.3">
      <c r="A94" s="86">
        <v>93</v>
      </c>
      <c r="B94" s="139" t="s">
        <v>24</v>
      </c>
      <c r="C94" s="64" t="s">
        <v>3283</v>
      </c>
      <c r="D94" s="64">
        <v>60126004</v>
      </c>
      <c r="E94" s="64">
        <v>65</v>
      </c>
      <c r="F94" s="86">
        <v>58</v>
      </c>
      <c r="G94" s="86">
        <v>33</v>
      </c>
      <c r="H94" s="86" t="s">
        <v>67</v>
      </c>
      <c r="I94" s="86" t="s">
        <v>154</v>
      </c>
      <c r="J94" s="86" t="s">
        <v>130</v>
      </c>
      <c r="K94" s="162">
        <v>0.78680555555555554</v>
      </c>
      <c r="L94" s="162">
        <v>0.82708333333333328</v>
      </c>
      <c r="M94" s="86" t="s">
        <v>109</v>
      </c>
      <c r="N94" s="86" t="s">
        <v>109</v>
      </c>
      <c r="O94" s="64" t="s">
        <v>145</v>
      </c>
      <c r="P94" s="86" t="s">
        <v>131</v>
      </c>
      <c r="Q94" s="86" t="s">
        <v>154</v>
      </c>
      <c r="R94" s="139" t="s">
        <v>63</v>
      </c>
      <c r="S94" s="86" t="s">
        <v>2447</v>
      </c>
      <c r="T94" s="139" t="s">
        <v>891</v>
      </c>
      <c r="U94" s="163">
        <v>0.50769230769230766</v>
      </c>
      <c r="V94" s="86" t="s">
        <v>2629</v>
      </c>
      <c r="W94" s="167" t="s">
        <v>3284</v>
      </c>
      <c r="X94" s="165" t="s">
        <v>109</v>
      </c>
      <c r="Y94" s="86" t="s">
        <v>3101</v>
      </c>
    </row>
    <row r="95" spans="1:25" x14ac:dyDescent="0.3">
      <c r="A95" s="86">
        <v>94</v>
      </c>
      <c r="B95" s="139" t="s">
        <v>24</v>
      </c>
      <c r="C95" s="64" t="s">
        <v>3285</v>
      </c>
      <c r="D95" s="64">
        <v>60126011</v>
      </c>
      <c r="E95" s="64">
        <v>60</v>
      </c>
      <c r="F95" s="86">
        <v>59</v>
      </c>
      <c r="G95" s="86">
        <v>13</v>
      </c>
      <c r="H95" s="77" t="s">
        <v>64</v>
      </c>
      <c r="I95" s="77" t="s">
        <v>95</v>
      </c>
      <c r="J95" s="86" t="s">
        <v>130</v>
      </c>
      <c r="K95" s="162">
        <v>0.8208333333333333</v>
      </c>
      <c r="L95" s="162">
        <v>0.84930555555555554</v>
      </c>
      <c r="M95" s="86" t="s">
        <v>109</v>
      </c>
      <c r="N95" s="86" t="s">
        <v>109</v>
      </c>
      <c r="O95" s="64" t="s">
        <v>145</v>
      </c>
      <c r="P95" s="86" t="s">
        <v>131</v>
      </c>
      <c r="Q95" s="86" t="s">
        <v>95</v>
      </c>
      <c r="R95" s="139" t="s">
        <v>63</v>
      </c>
      <c r="S95" s="86" t="s">
        <v>2447</v>
      </c>
      <c r="T95" s="139" t="s">
        <v>1536</v>
      </c>
      <c r="U95" s="163">
        <v>0.21666666666666667</v>
      </c>
      <c r="V95" s="86" t="s">
        <v>2629</v>
      </c>
      <c r="W95" s="167" t="s">
        <v>3286</v>
      </c>
      <c r="X95" s="165" t="s">
        <v>109</v>
      </c>
      <c r="Y95" s="86" t="s">
        <v>3101</v>
      </c>
    </row>
    <row r="96" spans="1:25" x14ac:dyDescent="0.3">
      <c r="A96" s="86">
        <v>95</v>
      </c>
      <c r="B96" s="139" t="s">
        <v>292</v>
      </c>
      <c r="C96" s="64" t="s">
        <v>2386</v>
      </c>
      <c r="D96" s="64">
        <v>40226005</v>
      </c>
      <c r="E96" s="64">
        <v>150</v>
      </c>
      <c r="F96" s="86">
        <v>331</v>
      </c>
      <c r="G96" s="86">
        <v>66</v>
      </c>
      <c r="H96" s="86" t="s">
        <v>3290</v>
      </c>
      <c r="I96" s="86" t="s">
        <v>3162</v>
      </c>
      <c r="J96" s="86" t="s">
        <v>130</v>
      </c>
      <c r="K96" s="162">
        <v>0.93055555555555558</v>
      </c>
      <c r="L96" s="162">
        <v>0.94444444444444442</v>
      </c>
      <c r="M96" s="86" t="s">
        <v>109</v>
      </c>
      <c r="N96" s="168" t="s">
        <v>3288</v>
      </c>
      <c r="O96" s="64" t="s">
        <v>61</v>
      </c>
      <c r="P96" s="86" t="s">
        <v>131</v>
      </c>
      <c r="Q96" s="86" t="s">
        <v>90</v>
      </c>
      <c r="R96" s="139" t="s">
        <v>63</v>
      </c>
      <c r="S96" s="86" t="s">
        <v>123</v>
      </c>
      <c r="T96" s="64" t="s">
        <v>295</v>
      </c>
      <c r="U96" s="163">
        <v>0.44</v>
      </c>
      <c r="V96" s="86" t="s">
        <v>1313</v>
      </c>
      <c r="W96" s="167" t="s">
        <v>3289</v>
      </c>
      <c r="X96" s="165" t="s">
        <v>3282</v>
      </c>
      <c r="Y96" s="86" t="s">
        <v>3102</v>
      </c>
    </row>
    <row r="97" spans="1:25" x14ac:dyDescent="0.3">
      <c r="A97" s="86">
        <v>96</v>
      </c>
      <c r="B97" s="169" t="s">
        <v>24</v>
      </c>
      <c r="C97" s="64" t="s">
        <v>3291</v>
      </c>
      <c r="D97" s="64">
        <v>60226012</v>
      </c>
      <c r="E97" s="64">
        <v>37</v>
      </c>
      <c r="F97" s="86">
        <v>16</v>
      </c>
      <c r="G97" s="86">
        <v>5</v>
      </c>
      <c r="H97" s="156" t="s">
        <v>71</v>
      </c>
      <c r="I97" s="86" t="s">
        <v>87</v>
      </c>
      <c r="J97" s="86" t="s">
        <v>130</v>
      </c>
      <c r="K97" s="162">
        <v>0.97569444444444442</v>
      </c>
      <c r="L97" s="162">
        <v>0.99444444444444446</v>
      </c>
      <c r="M97" s="86" t="s">
        <v>109</v>
      </c>
      <c r="N97" s="86" t="s">
        <v>109</v>
      </c>
      <c r="O97" s="64" t="s">
        <v>145</v>
      </c>
      <c r="P97" s="86" t="s">
        <v>131</v>
      </c>
      <c r="Q97" s="86" t="s">
        <v>87</v>
      </c>
      <c r="R97" s="139" t="s">
        <v>63</v>
      </c>
      <c r="S97" s="86" t="s">
        <v>2447</v>
      </c>
      <c r="T97" s="139" t="s">
        <v>117</v>
      </c>
      <c r="U97" s="163">
        <v>0.13513513513513514</v>
      </c>
      <c r="V97" s="86" t="s">
        <v>2629</v>
      </c>
      <c r="W97" s="167" t="s">
        <v>3292</v>
      </c>
      <c r="X97" s="165" t="s">
        <v>3282</v>
      </c>
      <c r="Y97" s="86" t="s">
        <v>3102</v>
      </c>
    </row>
    <row r="98" spans="1:25" x14ac:dyDescent="0.3">
      <c r="A98" s="86">
        <v>97</v>
      </c>
      <c r="B98" s="139" t="s">
        <v>170</v>
      </c>
      <c r="C98" s="64" t="s">
        <v>3293</v>
      </c>
      <c r="D98" s="64">
        <v>40226006</v>
      </c>
      <c r="E98" s="64">
        <v>69</v>
      </c>
      <c r="F98" s="86">
        <v>121</v>
      </c>
      <c r="G98" s="86">
        <v>71</v>
      </c>
      <c r="H98" s="86" t="s">
        <v>70</v>
      </c>
      <c r="I98" s="86" t="s">
        <v>94</v>
      </c>
      <c r="J98" s="86" t="s">
        <v>130</v>
      </c>
      <c r="K98" s="162">
        <v>0.96597222222222223</v>
      </c>
      <c r="L98" s="162">
        <v>1.5277777777777777E-2</v>
      </c>
      <c r="M98" s="86" t="s">
        <v>109</v>
      </c>
      <c r="N98" s="168" t="s">
        <v>3294</v>
      </c>
      <c r="O98" s="64" t="s">
        <v>61</v>
      </c>
      <c r="P98" s="86" t="s">
        <v>131</v>
      </c>
      <c r="Q98" s="86" t="s">
        <v>94</v>
      </c>
      <c r="R98" s="139" t="s">
        <v>62</v>
      </c>
      <c r="S98" s="86" t="s">
        <v>136</v>
      </c>
      <c r="T98" s="139" t="s">
        <v>410</v>
      </c>
      <c r="U98" s="163">
        <v>1.0289855072463767</v>
      </c>
      <c r="V98" s="86" t="s">
        <v>1313</v>
      </c>
      <c r="W98" s="167" t="s">
        <v>3295</v>
      </c>
      <c r="X98" s="165" t="s">
        <v>3282</v>
      </c>
      <c r="Y98" s="86" t="s">
        <v>3102</v>
      </c>
    </row>
    <row r="99" spans="1:25" x14ac:dyDescent="0.3">
      <c r="A99" s="86">
        <v>98</v>
      </c>
      <c r="B99" s="139" t="s">
        <v>23</v>
      </c>
      <c r="C99" s="64" t="s">
        <v>1569</v>
      </c>
      <c r="D99" s="64">
        <v>50126355</v>
      </c>
      <c r="E99" s="64">
        <v>15</v>
      </c>
      <c r="F99" s="86">
        <v>15</v>
      </c>
      <c r="G99" s="86">
        <v>15</v>
      </c>
      <c r="H99" s="86" t="s">
        <v>82</v>
      </c>
      <c r="I99" s="86" t="s">
        <v>1082</v>
      </c>
      <c r="J99" s="86" t="s">
        <v>130</v>
      </c>
      <c r="K99" s="162">
        <v>0.97013888888888888</v>
      </c>
      <c r="L99" s="162">
        <v>0.98124999999999996</v>
      </c>
      <c r="M99" s="86" t="s">
        <v>109</v>
      </c>
      <c r="N99" s="86" t="s">
        <v>3296</v>
      </c>
      <c r="O99" s="64" t="s">
        <v>145</v>
      </c>
      <c r="P99" s="86" t="s">
        <v>131</v>
      </c>
      <c r="Q99" s="86" t="s">
        <v>3287</v>
      </c>
      <c r="R99" s="139" t="s">
        <v>62</v>
      </c>
      <c r="S99" s="86" t="s">
        <v>3297</v>
      </c>
      <c r="T99" s="139" t="s">
        <v>1568</v>
      </c>
      <c r="U99" s="163">
        <v>1</v>
      </c>
      <c r="V99" s="86" t="s">
        <v>2629</v>
      </c>
      <c r="W99" s="167" t="s">
        <v>3298</v>
      </c>
      <c r="X99" s="165" t="s">
        <v>109</v>
      </c>
      <c r="Y99" s="86" t="s">
        <v>3173</v>
      </c>
    </row>
    <row r="100" spans="1:25" x14ac:dyDescent="0.3">
      <c r="A100" s="86">
        <v>99</v>
      </c>
      <c r="B100" s="139" t="s">
        <v>23</v>
      </c>
      <c r="C100" s="64" t="s">
        <v>3299</v>
      </c>
      <c r="D100" s="64">
        <v>50126341</v>
      </c>
      <c r="E100" s="64">
        <v>48</v>
      </c>
      <c r="F100" s="86">
        <v>48</v>
      </c>
      <c r="G100" s="86">
        <v>7</v>
      </c>
      <c r="H100" s="86" t="s">
        <v>153</v>
      </c>
      <c r="I100" s="86" t="s">
        <v>88</v>
      </c>
      <c r="J100" s="86" t="s">
        <v>130</v>
      </c>
      <c r="K100" s="162">
        <v>0.93055555555555558</v>
      </c>
      <c r="L100" s="162">
        <v>0.96111111111111114</v>
      </c>
      <c r="M100" s="86" t="s">
        <v>109</v>
      </c>
      <c r="N100" s="86" t="s">
        <v>109</v>
      </c>
      <c r="O100" s="64" t="s">
        <v>145</v>
      </c>
      <c r="P100" s="86" t="s">
        <v>131</v>
      </c>
      <c r="Q100" s="86" t="s">
        <v>88</v>
      </c>
      <c r="R100" s="139" t="s">
        <v>62</v>
      </c>
      <c r="S100" s="86" t="s">
        <v>2864</v>
      </c>
      <c r="T100" s="139" t="s">
        <v>1365</v>
      </c>
      <c r="U100" s="163">
        <v>0.14583333333333334</v>
      </c>
      <c r="V100" s="86" t="s">
        <v>2629</v>
      </c>
      <c r="W100" s="167" t="s">
        <v>3300</v>
      </c>
      <c r="X100" s="165" t="s">
        <v>3282</v>
      </c>
      <c r="Y100" s="86" t="s">
        <v>3102</v>
      </c>
    </row>
    <row r="101" spans="1:25" x14ac:dyDescent="0.3">
      <c r="A101" s="86">
        <v>100</v>
      </c>
      <c r="B101" s="169" t="s">
        <v>292</v>
      </c>
      <c r="C101" s="64" t="s">
        <v>1883</v>
      </c>
      <c r="D101" s="64">
        <v>40126037</v>
      </c>
      <c r="E101" s="64">
        <v>26</v>
      </c>
      <c r="F101" s="86">
        <v>26</v>
      </c>
      <c r="G101" s="86">
        <v>12</v>
      </c>
      <c r="H101" s="86" t="s">
        <v>91</v>
      </c>
      <c r="I101" s="86" t="s">
        <v>109</v>
      </c>
      <c r="J101" s="86" t="s">
        <v>130</v>
      </c>
      <c r="K101" s="162">
        <v>2.7777777777777779E-3</v>
      </c>
      <c r="L101" s="86" t="s">
        <v>109</v>
      </c>
      <c r="M101" s="86" t="s">
        <v>109</v>
      </c>
      <c r="N101" s="86" t="s">
        <v>109</v>
      </c>
      <c r="O101" s="64" t="s">
        <v>145</v>
      </c>
      <c r="P101" s="86" t="s">
        <v>131</v>
      </c>
      <c r="Q101" s="86" t="s">
        <v>91</v>
      </c>
      <c r="R101" s="139" t="s">
        <v>63</v>
      </c>
      <c r="S101" s="86" t="s">
        <v>3304</v>
      </c>
      <c r="T101" s="139" t="s">
        <v>117</v>
      </c>
      <c r="U101" s="163">
        <v>0.46153846153846156</v>
      </c>
      <c r="V101" s="86" t="s">
        <v>2629</v>
      </c>
      <c r="W101" s="167" t="s">
        <v>3303</v>
      </c>
      <c r="X101" s="86" t="s">
        <v>109</v>
      </c>
      <c r="Y101" s="86" t="s">
        <v>3101</v>
      </c>
    </row>
    <row r="102" spans="1:25" x14ac:dyDescent="0.3">
      <c r="A102" s="86">
        <v>76</v>
      </c>
      <c r="B102" s="64" t="s">
        <v>23</v>
      </c>
      <c r="C102" s="64" t="s">
        <v>2199</v>
      </c>
      <c r="D102" s="64">
        <v>50226057</v>
      </c>
      <c r="E102" s="64">
        <v>500</v>
      </c>
      <c r="F102" s="86">
        <v>935</v>
      </c>
      <c r="G102" s="86">
        <v>451</v>
      </c>
      <c r="H102" s="86" t="s">
        <v>3258</v>
      </c>
      <c r="I102" s="86" t="s">
        <v>109</v>
      </c>
      <c r="J102" s="86" t="s">
        <v>130</v>
      </c>
      <c r="K102" s="162">
        <v>4.5138888888888888E-2</v>
      </c>
      <c r="L102" s="86" t="s">
        <v>109</v>
      </c>
      <c r="M102" s="86" t="s">
        <v>109</v>
      </c>
      <c r="N102" s="166" t="s">
        <v>1621</v>
      </c>
      <c r="O102" s="64" t="s">
        <v>61</v>
      </c>
      <c r="P102" s="86" t="s">
        <v>131</v>
      </c>
      <c r="Q102" s="86" t="s">
        <v>69</v>
      </c>
      <c r="R102" s="86" t="s">
        <v>62</v>
      </c>
      <c r="S102" s="86" t="s">
        <v>2922</v>
      </c>
      <c r="T102" s="64" t="s">
        <v>289</v>
      </c>
      <c r="U102" s="163">
        <v>0.90200000000000002</v>
      </c>
      <c r="V102" s="86" t="s">
        <v>1945</v>
      </c>
      <c r="W102" s="164" t="s">
        <v>3259</v>
      </c>
      <c r="X102" s="86" t="s">
        <v>109</v>
      </c>
      <c r="Y102" s="86" t="s">
        <v>3101</v>
      </c>
    </row>
  </sheetData>
  <conditionalFormatting sqref="D1">
    <cfRule type="duplicateValues" dxfId="14" priority="3"/>
  </conditionalFormatting>
  <conditionalFormatting sqref="D1:D96">
    <cfRule type="duplicateValues" dxfId="13" priority="2"/>
  </conditionalFormatting>
  <conditionalFormatting sqref="D103:D1048576 D1:D101">
    <cfRule type="duplicateValues" dxfId="12" priority="1"/>
  </conditionalFormatting>
  <hyperlinks>
    <hyperlink ref="W94" r:id="rId1" xr:uid="{0056F2E0-DA05-4916-9EE4-4187E9C47E7E}"/>
    <hyperlink ref="W95" r:id="rId2" xr:uid="{0A2027DA-05E5-49FD-A967-4E8DC3BE8710}"/>
    <hyperlink ref="W96" r:id="rId3" xr:uid="{3FD82458-F2C4-4B7D-861E-1F597FD7ED23}"/>
    <hyperlink ref="W97" r:id="rId4" xr:uid="{5CA33CEC-713A-4C86-80AF-4F73CC844B95}"/>
    <hyperlink ref="W98" r:id="rId5" xr:uid="{70BBA136-7EE1-4C55-8242-73B2F5C69941}"/>
    <hyperlink ref="W99" r:id="rId6" xr:uid="{1408B6B8-C398-40A6-8417-777EBDA127CE}"/>
    <hyperlink ref="W100" r:id="rId7" xr:uid="{D37CF36D-6D5C-4D41-810F-3EE9790A9B6A}"/>
    <hyperlink ref="W101" r:id="rId8" xr:uid="{CF634A14-B369-44C9-A733-6D1556EA2AB4}"/>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3B227-D6B9-4F9A-B548-D3CC9F68CFD4}">
  <sheetPr filterMode="1"/>
  <dimension ref="A1:Y90"/>
  <sheetViews>
    <sheetView topLeftCell="E1" workbookViewId="0">
      <pane ySplit="1" topLeftCell="A31" activePane="bottomLeft" state="frozen"/>
      <selection activeCell="C1" sqref="C1"/>
      <selection pane="bottomLeft" activeCell="I94" sqref="I94"/>
    </sheetView>
  </sheetViews>
  <sheetFormatPr defaultRowHeight="14.4" x14ac:dyDescent="0.3"/>
  <cols>
    <col min="1" max="2" width="8.88671875" style="31"/>
    <col min="3" max="3" width="47.6640625" style="31" customWidth="1"/>
    <col min="4" max="7" width="8.88671875" style="31"/>
    <col min="8" max="8" width="77.77734375" style="31" customWidth="1"/>
    <col min="9" max="9" width="35.6640625" style="31" customWidth="1"/>
    <col min="10" max="10" width="8.88671875" style="31"/>
    <col min="11" max="11" width="17.33203125" style="31" customWidth="1"/>
    <col min="12" max="12" width="17.88671875" style="31" customWidth="1"/>
    <col min="13" max="16" width="8.88671875" style="31"/>
    <col min="17" max="17" width="17.77734375" style="31" customWidth="1"/>
    <col min="18" max="20" width="8.88671875" style="31"/>
    <col min="21" max="21" width="8.88671875" style="120"/>
    <col min="22" max="22" width="22.88671875" style="31" customWidth="1"/>
    <col min="23" max="23" width="8.88671875" style="31"/>
    <col min="24" max="24" width="11.5546875" style="31" customWidth="1"/>
    <col min="25" max="25" width="10.88671875" style="31" customWidth="1"/>
    <col min="26" max="16384" width="8.88671875" style="31"/>
  </cols>
  <sheetData>
    <row r="1" spans="1:25" x14ac:dyDescent="0.3">
      <c r="A1" s="1" t="s">
        <v>0</v>
      </c>
      <c r="B1" s="1" t="s">
        <v>1</v>
      </c>
      <c r="C1" s="1" t="s">
        <v>2</v>
      </c>
      <c r="D1" s="1" t="s">
        <v>3</v>
      </c>
      <c r="E1" s="1" t="s">
        <v>4</v>
      </c>
      <c r="F1" s="1" t="s">
        <v>5</v>
      </c>
      <c r="G1" s="1" t="s">
        <v>6</v>
      </c>
      <c r="H1" s="1" t="s">
        <v>7</v>
      </c>
      <c r="I1" s="1" t="s">
        <v>8</v>
      </c>
      <c r="J1" s="1" t="s">
        <v>9</v>
      </c>
      <c r="K1" s="2" t="s">
        <v>2218</v>
      </c>
      <c r="L1" s="2" t="s">
        <v>2219</v>
      </c>
      <c r="M1" s="3" t="s">
        <v>2281</v>
      </c>
      <c r="N1" s="4" t="s">
        <v>13</v>
      </c>
      <c r="O1" s="1" t="s">
        <v>14</v>
      </c>
      <c r="P1" s="1" t="s">
        <v>15</v>
      </c>
      <c r="Q1" s="1" t="s">
        <v>16</v>
      </c>
      <c r="R1" s="1" t="s">
        <v>17</v>
      </c>
      <c r="S1" s="172" t="s">
        <v>2282</v>
      </c>
      <c r="T1" s="1" t="s">
        <v>19</v>
      </c>
      <c r="U1" s="118" t="s">
        <v>20</v>
      </c>
      <c r="V1" s="161" t="s">
        <v>21</v>
      </c>
      <c r="W1" s="161" t="s">
        <v>3125</v>
      </c>
      <c r="X1" s="161" t="s">
        <v>3126</v>
      </c>
      <c r="Y1" s="161" t="s">
        <v>3127</v>
      </c>
    </row>
    <row r="2" spans="1:25" hidden="1" x14ac:dyDescent="0.3">
      <c r="A2" s="7">
        <v>1</v>
      </c>
      <c r="B2" s="29" t="s">
        <v>292</v>
      </c>
      <c r="C2" s="29" t="s">
        <v>1883</v>
      </c>
      <c r="D2" s="91">
        <v>40126037</v>
      </c>
      <c r="E2" s="29">
        <v>83</v>
      </c>
      <c r="F2" s="7">
        <v>72</v>
      </c>
      <c r="G2" s="7">
        <v>14</v>
      </c>
      <c r="H2" s="7" t="s">
        <v>153</v>
      </c>
      <c r="I2" s="89" t="s">
        <v>93</v>
      </c>
      <c r="J2" s="7" t="s">
        <v>130</v>
      </c>
      <c r="K2" s="11">
        <v>0.74861111111111112</v>
      </c>
      <c r="L2" s="11">
        <v>0.76249999999999996</v>
      </c>
      <c r="M2" s="7" t="s">
        <v>109</v>
      </c>
      <c r="N2" s="32" t="s">
        <v>3347</v>
      </c>
      <c r="O2" s="29" t="s">
        <v>61</v>
      </c>
      <c r="P2" s="7" t="s">
        <v>131</v>
      </c>
      <c r="Q2" s="7" t="s">
        <v>93</v>
      </c>
      <c r="R2" s="7" t="s">
        <v>63</v>
      </c>
      <c r="S2" s="7" t="s">
        <v>123</v>
      </c>
      <c r="T2" s="29" t="s">
        <v>117</v>
      </c>
      <c r="U2" s="108">
        <f>G2/E2</f>
        <v>0.16867469879518071</v>
      </c>
      <c r="V2" s="7" t="s">
        <v>152</v>
      </c>
      <c r="W2" s="174" t="s">
        <v>3303</v>
      </c>
      <c r="X2" s="7" t="s">
        <v>109</v>
      </c>
      <c r="Y2" s="7" t="s">
        <v>109</v>
      </c>
    </row>
    <row r="3" spans="1:25" hidden="1" x14ac:dyDescent="0.3">
      <c r="A3" s="7">
        <v>2</v>
      </c>
      <c r="B3" s="29" t="s">
        <v>24</v>
      </c>
      <c r="C3" s="29" t="s">
        <v>2867</v>
      </c>
      <c r="D3" s="91">
        <v>60326001</v>
      </c>
      <c r="E3" s="29">
        <v>371</v>
      </c>
      <c r="F3" s="7">
        <v>670</v>
      </c>
      <c r="G3" s="7">
        <v>211</v>
      </c>
      <c r="H3" s="7" t="s">
        <v>3373</v>
      </c>
      <c r="I3" s="7" t="s">
        <v>3374</v>
      </c>
      <c r="J3" s="7" t="s">
        <v>130</v>
      </c>
      <c r="K3" s="11">
        <v>0.97361111111111109</v>
      </c>
      <c r="L3" s="11">
        <v>0.98124999999999996</v>
      </c>
      <c r="M3" s="7" t="s">
        <v>109</v>
      </c>
      <c r="N3" s="29" t="s">
        <v>109</v>
      </c>
      <c r="O3" s="29" t="s">
        <v>61</v>
      </c>
      <c r="P3" s="7" t="s">
        <v>131</v>
      </c>
      <c r="Q3" s="7" t="s">
        <v>95</v>
      </c>
      <c r="R3" s="7" t="s">
        <v>63</v>
      </c>
      <c r="S3" s="7" t="s">
        <v>123</v>
      </c>
      <c r="T3" s="29" t="s">
        <v>2870</v>
      </c>
      <c r="U3" s="108">
        <f t="shared" ref="U3:U66" si="0">G3/E3</f>
        <v>0.56873315363881405</v>
      </c>
      <c r="V3" s="7" t="s">
        <v>1313</v>
      </c>
      <c r="W3" s="176" t="s">
        <v>3375</v>
      </c>
      <c r="X3" s="7" t="s">
        <v>3282</v>
      </c>
      <c r="Y3" s="7" t="s">
        <v>3101</v>
      </c>
    </row>
    <row r="4" spans="1:25" hidden="1" x14ac:dyDescent="0.3">
      <c r="A4" s="7">
        <v>3</v>
      </c>
      <c r="B4" s="29" t="s">
        <v>26</v>
      </c>
      <c r="C4" s="29" t="s">
        <v>1388</v>
      </c>
      <c r="D4" s="91">
        <v>40126024</v>
      </c>
      <c r="E4" s="29">
        <v>388</v>
      </c>
      <c r="F4" s="7">
        <v>1564</v>
      </c>
      <c r="G4" s="7">
        <v>367</v>
      </c>
      <c r="H4" s="7" t="s">
        <v>3385</v>
      </c>
      <c r="I4" s="7" t="s">
        <v>109</v>
      </c>
      <c r="J4" s="7" t="s">
        <v>130</v>
      </c>
      <c r="K4" s="11">
        <v>0.88055555555555554</v>
      </c>
      <c r="L4" s="7" t="s">
        <v>109</v>
      </c>
      <c r="M4" s="7" t="s">
        <v>109</v>
      </c>
      <c r="N4" s="32" t="s">
        <v>3347</v>
      </c>
      <c r="O4" s="29" t="s">
        <v>61</v>
      </c>
      <c r="P4" s="7" t="s">
        <v>131</v>
      </c>
      <c r="Q4" s="7" t="s">
        <v>209</v>
      </c>
      <c r="R4" s="7" t="s">
        <v>62</v>
      </c>
      <c r="S4" s="7" t="s">
        <v>123</v>
      </c>
      <c r="T4" s="29" t="s">
        <v>121</v>
      </c>
      <c r="U4" s="108">
        <f t="shared" si="0"/>
        <v>0.94587628865979378</v>
      </c>
      <c r="V4" s="7" t="s">
        <v>1945</v>
      </c>
      <c r="W4" s="174" t="s">
        <v>3238</v>
      </c>
      <c r="X4" s="7" t="s">
        <v>109</v>
      </c>
      <c r="Y4" s="7" t="s">
        <v>109</v>
      </c>
    </row>
    <row r="5" spans="1:25" hidden="1" x14ac:dyDescent="0.3">
      <c r="A5" s="7">
        <v>4</v>
      </c>
      <c r="B5" s="29" t="s">
        <v>26</v>
      </c>
      <c r="C5" s="29" t="s">
        <v>1778</v>
      </c>
      <c r="D5" s="91">
        <v>40226001</v>
      </c>
      <c r="E5" s="29">
        <v>450</v>
      </c>
      <c r="F5" s="7">
        <v>1434</v>
      </c>
      <c r="G5" s="7">
        <v>463</v>
      </c>
      <c r="H5" s="7" t="s">
        <v>3386</v>
      </c>
      <c r="I5" s="7" t="s">
        <v>3377</v>
      </c>
      <c r="J5" s="7" t="s">
        <v>130</v>
      </c>
      <c r="K5" s="11">
        <v>6.9444444444444441E-3</v>
      </c>
      <c r="L5" s="11">
        <v>3.5416666666666666E-2</v>
      </c>
      <c r="M5" s="7" t="s">
        <v>109</v>
      </c>
      <c r="N5" s="32" t="s">
        <v>3347</v>
      </c>
      <c r="O5" s="29" t="s">
        <v>61</v>
      </c>
      <c r="P5" s="7" t="s">
        <v>131</v>
      </c>
      <c r="Q5" s="7" t="s">
        <v>3400</v>
      </c>
      <c r="R5" s="7" t="s">
        <v>62</v>
      </c>
      <c r="S5" s="7" t="s">
        <v>123</v>
      </c>
      <c r="T5" s="29" t="s">
        <v>121</v>
      </c>
      <c r="U5" s="108">
        <f t="shared" si="0"/>
        <v>1.028888888888889</v>
      </c>
      <c r="V5" s="7" t="s">
        <v>1945</v>
      </c>
      <c r="W5" s="174" t="s">
        <v>3241</v>
      </c>
      <c r="X5" s="7" t="s">
        <v>109</v>
      </c>
      <c r="Y5" s="7" t="s">
        <v>109</v>
      </c>
    </row>
    <row r="6" spans="1:25" hidden="1" x14ac:dyDescent="0.3">
      <c r="A6" s="7">
        <v>5</v>
      </c>
      <c r="B6" s="29" t="s">
        <v>26</v>
      </c>
      <c r="C6" s="29" t="s">
        <v>2460</v>
      </c>
      <c r="D6" s="91">
        <v>40226013</v>
      </c>
      <c r="E6" s="29">
        <v>33</v>
      </c>
      <c r="F6" s="7">
        <v>30</v>
      </c>
      <c r="G6" s="7">
        <v>12</v>
      </c>
      <c r="H6" s="89" t="s">
        <v>241</v>
      </c>
      <c r="I6" s="155" t="s">
        <v>87</v>
      </c>
      <c r="J6" s="7" t="s">
        <v>130</v>
      </c>
      <c r="K6" s="11">
        <v>0.68611111111111112</v>
      </c>
      <c r="L6" s="11">
        <v>0.74791666666666667</v>
      </c>
      <c r="M6" s="7" t="s">
        <v>109</v>
      </c>
      <c r="N6" s="32" t="s">
        <v>3315</v>
      </c>
      <c r="O6" s="29" t="s">
        <v>145</v>
      </c>
      <c r="P6" s="7" t="s">
        <v>131</v>
      </c>
      <c r="Q6" s="7" t="s">
        <v>87</v>
      </c>
      <c r="R6" s="7" t="s">
        <v>62</v>
      </c>
      <c r="S6" s="7" t="s">
        <v>123</v>
      </c>
      <c r="T6" s="29" t="s">
        <v>122</v>
      </c>
      <c r="U6" s="108">
        <f t="shared" si="0"/>
        <v>0.36363636363636365</v>
      </c>
      <c r="V6" s="7" t="s">
        <v>2629</v>
      </c>
      <c r="W6" s="174" t="s">
        <v>3242</v>
      </c>
      <c r="X6" s="7" t="s">
        <v>109</v>
      </c>
      <c r="Y6" s="7" t="s">
        <v>109</v>
      </c>
    </row>
    <row r="7" spans="1:25" hidden="1" x14ac:dyDescent="0.3">
      <c r="A7" s="7">
        <v>6</v>
      </c>
      <c r="B7" s="29" t="s">
        <v>26</v>
      </c>
      <c r="C7" s="29" t="s">
        <v>2462</v>
      </c>
      <c r="D7" s="91">
        <v>40226014</v>
      </c>
      <c r="E7" s="29">
        <v>107</v>
      </c>
      <c r="F7" s="7">
        <v>107</v>
      </c>
      <c r="G7" s="7">
        <v>42</v>
      </c>
      <c r="H7" s="156" t="s">
        <v>70</v>
      </c>
      <c r="I7" s="173" t="s">
        <v>90</v>
      </c>
      <c r="J7" s="7" t="s">
        <v>130</v>
      </c>
      <c r="K7" s="11">
        <v>0.92083333333333328</v>
      </c>
      <c r="L7" s="11">
        <v>4.3055555555555555E-2</v>
      </c>
      <c r="M7" s="7" t="s">
        <v>109</v>
      </c>
      <c r="N7" s="32" t="s">
        <v>3315</v>
      </c>
      <c r="O7" s="29" t="s">
        <v>145</v>
      </c>
      <c r="P7" s="7" t="s">
        <v>109</v>
      </c>
      <c r="Q7" s="7" t="s">
        <v>90</v>
      </c>
      <c r="R7" s="7" t="s">
        <v>62</v>
      </c>
      <c r="S7" s="7" t="s">
        <v>123</v>
      </c>
      <c r="T7" s="29" t="s">
        <v>122</v>
      </c>
      <c r="U7" s="108">
        <f t="shared" si="0"/>
        <v>0.3925233644859813</v>
      </c>
      <c r="V7" s="7" t="s">
        <v>2629</v>
      </c>
      <c r="W7" s="174" t="s">
        <v>3245</v>
      </c>
      <c r="X7" s="7" t="s">
        <v>109</v>
      </c>
      <c r="Y7" s="7" t="s">
        <v>109</v>
      </c>
    </row>
    <row r="8" spans="1:25" hidden="1" x14ac:dyDescent="0.3">
      <c r="A8" s="7">
        <v>7</v>
      </c>
      <c r="B8" s="29" t="s">
        <v>26</v>
      </c>
      <c r="C8" s="29" t="s">
        <v>2468</v>
      </c>
      <c r="D8" s="91">
        <v>40226012</v>
      </c>
      <c r="E8" s="29">
        <v>365</v>
      </c>
      <c r="F8" s="7">
        <v>338</v>
      </c>
      <c r="G8" s="7">
        <v>92</v>
      </c>
      <c r="H8" s="7" t="s">
        <v>3087</v>
      </c>
      <c r="I8" s="7" t="s">
        <v>3372</v>
      </c>
      <c r="J8" s="7" t="s">
        <v>130</v>
      </c>
      <c r="K8" s="11">
        <v>0.68680555555555556</v>
      </c>
      <c r="L8" s="11">
        <v>0.80694444444444446</v>
      </c>
      <c r="M8" s="7" t="s">
        <v>109</v>
      </c>
      <c r="N8" s="32" t="s">
        <v>3315</v>
      </c>
      <c r="O8" s="29" t="s">
        <v>145</v>
      </c>
      <c r="P8" s="7" t="s">
        <v>131</v>
      </c>
      <c r="Q8" s="7" t="s">
        <v>90</v>
      </c>
      <c r="R8" s="7" t="s">
        <v>62</v>
      </c>
      <c r="S8" s="7" t="s">
        <v>123</v>
      </c>
      <c r="T8" s="29" t="s">
        <v>122</v>
      </c>
      <c r="U8" s="108">
        <f t="shared" si="0"/>
        <v>0.25205479452054796</v>
      </c>
      <c r="V8" s="7" t="s">
        <v>2629</v>
      </c>
      <c r="W8" s="174" t="s">
        <v>3247</v>
      </c>
      <c r="X8" s="7" t="s">
        <v>109</v>
      </c>
      <c r="Y8" s="7" t="s">
        <v>109</v>
      </c>
    </row>
    <row r="9" spans="1:25" hidden="1" x14ac:dyDescent="0.3">
      <c r="A9" s="7">
        <v>8</v>
      </c>
      <c r="B9" s="29" t="s">
        <v>26</v>
      </c>
      <c r="C9" s="29" t="s">
        <v>2632</v>
      </c>
      <c r="D9" s="91">
        <v>40226018</v>
      </c>
      <c r="E9" s="29">
        <v>221</v>
      </c>
      <c r="F9" s="7">
        <v>415</v>
      </c>
      <c r="G9" s="7">
        <v>231</v>
      </c>
      <c r="H9" s="7" t="s">
        <v>3174</v>
      </c>
      <c r="I9" s="7" t="s">
        <v>109</v>
      </c>
      <c r="J9" s="7" t="s">
        <v>130</v>
      </c>
      <c r="K9" s="11">
        <v>0.94930555555555551</v>
      </c>
      <c r="L9" s="7" t="s">
        <v>109</v>
      </c>
      <c r="M9" s="7" t="s">
        <v>109</v>
      </c>
      <c r="N9" s="32" t="s">
        <v>3347</v>
      </c>
      <c r="O9" s="29" t="s">
        <v>61</v>
      </c>
      <c r="P9" s="7" t="s">
        <v>131</v>
      </c>
      <c r="Q9" s="7" t="s">
        <v>93</v>
      </c>
      <c r="R9" s="7" t="s">
        <v>62</v>
      </c>
      <c r="S9" s="7" t="s">
        <v>123</v>
      </c>
      <c r="T9" s="29" t="s">
        <v>2636</v>
      </c>
      <c r="U9" s="108">
        <f t="shared" si="0"/>
        <v>1.0452488687782806</v>
      </c>
      <c r="V9" s="7" t="s">
        <v>1945</v>
      </c>
      <c r="W9" s="174" t="s">
        <v>3250</v>
      </c>
      <c r="X9" s="7" t="s">
        <v>109</v>
      </c>
      <c r="Y9" s="7" t="s">
        <v>109</v>
      </c>
    </row>
    <row r="10" spans="1:25" hidden="1" x14ac:dyDescent="0.3">
      <c r="A10" s="7">
        <v>9</v>
      </c>
      <c r="B10" s="29" t="s">
        <v>26</v>
      </c>
      <c r="C10" s="29" t="s">
        <v>2637</v>
      </c>
      <c r="D10" s="91">
        <v>40226019</v>
      </c>
      <c r="E10" s="29">
        <v>398</v>
      </c>
      <c r="F10" s="7">
        <v>849</v>
      </c>
      <c r="G10" s="7">
        <v>309</v>
      </c>
      <c r="H10" s="7" t="s">
        <v>2989</v>
      </c>
      <c r="I10" s="7" t="s">
        <v>3376</v>
      </c>
      <c r="J10" s="7" t="s">
        <v>130</v>
      </c>
      <c r="K10" s="11">
        <v>1.3888888888888889E-3</v>
      </c>
      <c r="L10" s="11">
        <v>2.6388888888888889E-2</v>
      </c>
      <c r="M10" s="33" t="s">
        <v>3388</v>
      </c>
      <c r="N10" s="32" t="s">
        <v>3347</v>
      </c>
      <c r="O10" s="29" t="s">
        <v>61</v>
      </c>
      <c r="P10" s="7" t="s">
        <v>131</v>
      </c>
      <c r="Q10" s="7" t="s">
        <v>91</v>
      </c>
      <c r="R10" s="7" t="s">
        <v>62</v>
      </c>
      <c r="S10" s="7" t="s">
        <v>123</v>
      </c>
      <c r="T10" s="29" t="s">
        <v>2636</v>
      </c>
      <c r="U10" s="108">
        <f t="shared" si="0"/>
        <v>0.77638190954773867</v>
      </c>
      <c r="V10" s="7" t="s">
        <v>1313</v>
      </c>
      <c r="W10" s="174" t="s">
        <v>3253</v>
      </c>
      <c r="X10" s="7" t="s">
        <v>109</v>
      </c>
      <c r="Y10" s="7" t="s">
        <v>109</v>
      </c>
    </row>
    <row r="11" spans="1:25" hidden="1" x14ac:dyDescent="0.3">
      <c r="A11" s="7">
        <v>10</v>
      </c>
      <c r="B11" s="29" t="s">
        <v>23</v>
      </c>
      <c r="C11" s="29" t="s">
        <v>990</v>
      </c>
      <c r="D11" s="29">
        <v>50126268</v>
      </c>
      <c r="E11" s="29">
        <v>40</v>
      </c>
      <c r="F11" s="7">
        <v>73</v>
      </c>
      <c r="G11" s="7">
        <v>43</v>
      </c>
      <c r="H11" s="89" t="s">
        <v>200</v>
      </c>
      <c r="I11" s="7" t="s">
        <v>109</v>
      </c>
      <c r="J11" s="7" t="s">
        <v>130</v>
      </c>
      <c r="K11" s="11">
        <v>0.6875</v>
      </c>
      <c r="L11" s="7" t="s">
        <v>109</v>
      </c>
      <c r="M11" s="7" t="s">
        <v>109</v>
      </c>
      <c r="N11" s="32" t="s">
        <v>3318</v>
      </c>
      <c r="O11" s="29" t="s">
        <v>61</v>
      </c>
      <c r="P11" s="7" t="s">
        <v>131</v>
      </c>
      <c r="Q11" s="7" t="s">
        <v>200</v>
      </c>
      <c r="R11" s="7" t="s">
        <v>62</v>
      </c>
      <c r="S11" s="7" t="s">
        <v>123</v>
      </c>
      <c r="T11" s="29" t="s">
        <v>402</v>
      </c>
      <c r="U11" s="108">
        <f t="shared" si="0"/>
        <v>1.075</v>
      </c>
      <c r="V11" s="7" t="s">
        <v>1945</v>
      </c>
      <c r="W11" s="174" t="s">
        <v>3319</v>
      </c>
      <c r="X11" s="7" t="s">
        <v>3282</v>
      </c>
      <c r="Y11" s="7" t="s">
        <v>3101</v>
      </c>
    </row>
    <row r="12" spans="1:25" hidden="1" x14ac:dyDescent="0.3">
      <c r="A12" s="7">
        <v>11</v>
      </c>
      <c r="B12" s="29" t="s">
        <v>23</v>
      </c>
      <c r="C12" s="29" t="s">
        <v>3364</v>
      </c>
      <c r="D12" s="29">
        <v>50326040</v>
      </c>
      <c r="E12" s="29">
        <v>160</v>
      </c>
      <c r="F12" s="7">
        <v>237</v>
      </c>
      <c r="G12" s="7">
        <v>166</v>
      </c>
      <c r="H12" s="7" t="s">
        <v>3230</v>
      </c>
      <c r="I12" s="7" t="s">
        <v>109</v>
      </c>
      <c r="J12" s="7" t="s">
        <v>130</v>
      </c>
      <c r="K12" s="11">
        <v>0.75</v>
      </c>
      <c r="L12" s="7" t="s">
        <v>109</v>
      </c>
      <c r="M12" s="7" t="s">
        <v>109</v>
      </c>
      <c r="N12" s="32" t="s">
        <v>2223</v>
      </c>
      <c r="O12" s="29" t="s">
        <v>61</v>
      </c>
      <c r="P12" s="7" t="s">
        <v>131</v>
      </c>
      <c r="Q12" s="7" t="s">
        <v>222</v>
      </c>
      <c r="R12" s="7" t="s">
        <v>62</v>
      </c>
      <c r="S12" s="7" t="s">
        <v>123</v>
      </c>
      <c r="T12" s="29" t="s">
        <v>1433</v>
      </c>
      <c r="U12" s="108">
        <f t="shared" si="0"/>
        <v>1.0375000000000001</v>
      </c>
      <c r="V12" s="7" t="s">
        <v>1945</v>
      </c>
      <c r="W12" s="174" t="s">
        <v>3365</v>
      </c>
      <c r="X12" s="7" t="s">
        <v>109</v>
      </c>
      <c r="Y12" s="7" t="s">
        <v>109</v>
      </c>
    </row>
    <row r="13" spans="1:25" hidden="1" x14ac:dyDescent="0.3">
      <c r="A13" s="7">
        <v>12</v>
      </c>
      <c r="B13" s="29" t="s">
        <v>23</v>
      </c>
      <c r="C13" s="29" t="s">
        <v>1794</v>
      </c>
      <c r="D13" s="29">
        <v>50226004</v>
      </c>
      <c r="E13" s="29">
        <v>50</v>
      </c>
      <c r="F13" s="7">
        <v>100</v>
      </c>
      <c r="G13" s="7">
        <v>24</v>
      </c>
      <c r="H13" s="156" t="s">
        <v>69</v>
      </c>
      <c r="I13" s="7" t="s">
        <v>109</v>
      </c>
      <c r="J13" s="7" t="s">
        <v>130</v>
      </c>
      <c r="K13" s="11">
        <v>3.1944444444444442E-2</v>
      </c>
      <c r="L13" s="7" t="s">
        <v>109</v>
      </c>
      <c r="M13" s="7" t="s">
        <v>109</v>
      </c>
      <c r="N13" s="29" t="s">
        <v>109</v>
      </c>
      <c r="O13" s="29" t="s">
        <v>61</v>
      </c>
      <c r="P13" s="7" t="s">
        <v>131</v>
      </c>
      <c r="Q13" s="7" t="s">
        <v>510</v>
      </c>
      <c r="R13" s="7" t="s">
        <v>62</v>
      </c>
      <c r="S13" s="7" t="s">
        <v>123</v>
      </c>
      <c r="T13" s="29" t="s">
        <v>117</v>
      </c>
      <c r="U13" s="108">
        <f t="shared" si="0"/>
        <v>0.48</v>
      </c>
      <c r="V13" s="7" t="s">
        <v>1313</v>
      </c>
      <c r="W13" s="174" t="s">
        <v>3326</v>
      </c>
      <c r="X13" s="7" t="s">
        <v>109</v>
      </c>
      <c r="Y13" s="7" t="s">
        <v>109</v>
      </c>
    </row>
    <row r="14" spans="1:25" hidden="1" x14ac:dyDescent="0.3">
      <c r="A14" s="7">
        <v>13</v>
      </c>
      <c r="B14" s="29" t="s">
        <v>23</v>
      </c>
      <c r="C14" s="29" t="s">
        <v>2130</v>
      </c>
      <c r="D14" s="29">
        <v>50226058</v>
      </c>
      <c r="E14" s="29">
        <v>80</v>
      </c>
      <c r="F14" s="7">
        <v>108</v>
      </c>
      <c r="G14" s="7">
        <v>84</v>
      </c>
      <c r="H14" s="7" t="s">
        <v>184</v>
      </c>
      <c r="I14" s="7" t="s">
        <v>109</v>
      </c>
      <c r="J14" s="7" t="s">
        <v>130</v>
      </c>
      <c r="K14" s="11">
        <v>0.93611111111111112</v>
      </c>
      <c r="L14" s="7" t="s">
        <v>109</v>
      </c>
      <c r="M14" s="7" t="s">
        <v>109</v>
      </c>
      <c r="N14" s="32" t="s">
        <v>631</v>
      </c>
      <c r="O14" s="29" t="s">
        <v>145</v>
      </c>
      <c r="P14" s="7" t="s">
        <v>131</v>
      </c>
      <c r="Q14" s="7" t="s">
        <v>184</v>
      </c>
      <c r="R14" s="7" t="s">
        <v>62</v>
      </c>
      <c r="S14" s="7" t="s">
        <v>123</v>
      </c>
      <c r="T14" s="29" t="s">
        <v>117</v>
      </c>
      <c r="U14" s="108">
        <f t="shared" si="0"/>
        <v>1.05</v>
      </c>
      <c r="V14" s="7" t="s">
        <v>1945</v>
      </c>
      <c r="W14" s="174" t="s">
        <v>3346</v>
      </c>
      <c r="X14" s="7" t="s">
        <v>109</v>
      </c>
      <c r="Y14" s="7" t="s">
        <v>109</v>
      </c>
    </row>
    <row r="15" spans="1:25" hidden="1" x14ac:dyDescent="0.3">
      <c r="A15" s="7">
        <v>14</v>
      </c>
      <c r="B15" s="29" t="s">
        <v>23</v>
      </c>
      <c r="C15" s="29" t="s">
        <v>2554</v>
      </c>
      <c r="D15" s="29">
        <v>50226112</v>
      </c>
      <c r="E15" s="29">
        <v>50</v>
      </c>
      <c r="F15" s="7">
        <v>82</v>
      </c>
      <c r="G15" s="7">
        <v>54</v>
      </c>
      <c r="H15" s="155" t="s">
        <v>64</v>
      </c>
      <c r="I15" s="7" t="s">
        <v>109</v>
      </c>
      <c r="J15" s="7" t="s">
        <v>130</v>
      </c>
      <c r="K15" s="11">
        <v>0.80902777777777779</v>
      </c>
      <c r="L15" s="7" t="s">
        <v>109</v>
      </c>
      <c r="M15" s="7" t="s">
        <v>109</v>
      </c>
      <c r="N15" s="29" t="s">
        <v>109</v>
      </c>
      <c r="O15" s="29" t="s">
        <v>61</v>
      </c>
      <c r="P15" s="7" t="s">
        <v>131</v>
      </c>
      <c r="Q15" s="7" t="s">
        <v>64</v>
      </c>
      <c r="R15" s="7" t="s">
        <v>62</v>
      </c>
      <c r="S15" s="7" t="s">
        <v>123</v>
      </c>
      <c r="T15" s="29" t="s">
        <v>2555</v>
      </c>
      <c r="U15" s="108">
        <f t="shared" si="0"/>
        <v>1.08</v>
      </c>
      <c r="V15" s="7" t="s">
        <v>1945</v>
      </c>
      <c r="W15" s="174" t="s">
        <v>3327</v>
      </c>
      <c r="X15" s="7" t="s">
        <v>3282</v>
      </c>
      <c r="Y15" s="7" t="s">
        <v>3101</v>
      </c>
    </row>
    <row r="16" spans="1:25" hidden="1" x14ac:dyDescent="0.3">
      <c r="A16" s="7">
        <v>15</v>
      </c>
      <c r="B16" s="29" t="s">
        <v>23</v>
      </c>
      <c r="C16" s="29" t="s">
        <v>2556</v>
      </c>
      <c r="D16" s="29">
        <v>50226113</v>
      </c>
      <c r="E16" s="29">
        <v>160</v>
      </c>
      <c r="F16" s="7">
        <v>74</v>
      </c>
      <c r="G16" s="7">
        <v>28</v>
      </c>
      <c r="H16" s="7" t="s">
        <v>920</v>
      </c>
      <c r="I16" s="7" t="s">
        <v>109</v>
      </c>
      <c r="J16" s="7" t="s">
        <v>130</v>
      </c>
      <c r="K16" s="11">
        <v>0.99930555555555556</v>
      </c>
      <c r="L16" s="7" t="s">
        <v>109</v>
      </c>
      <c r="M16" s="7" t="s">
        <v>109</v>
      </c>
      <c r="N16" s="29" t="s">
        <v>109</v>
      </c>
      <c r="O16" s="29" t="s">
        <v>61</v>
      </c>
      <c r="P16" s="7" t="s">
        <v>131</v>
      </c>
      <c r="Q16" s="7" t="s">
        <v>82</v>
      </c>
      <c r="R16" s="7" t="s">
        <v>62</v>
      </c>
      <c r="S16" s="7" t="s">
        <v>123</v>
      </c>
      <c r="T16" s="29" t="s">
        <v>2555</v>
      </c>
      <c r="U16" s="108">
        <f t="shared" si="0"/>
        <v>0.17499999999999999</v>
      </c>
      <c r="V16" s="7" t="s">
        <v>152</v>
      </c>
      <c r="W16" s="174" t="s">
        <v>3366</v>
      </c>
      <c r="X16" s="7" t="s">
        <v>3282</v>
      </c>
      <c r="Y16" s="7" t="s">
        <v>3101</v>
      </c>
    </row>
    <row r="17" spans="1:25" hidden="1" x14ac:dyDescent="0.3">
      <c r="A17" s="7">
        <v>16</v>
      </c>
      <c r="B17" s="29" t="s">
        <v>23</v>
      </c>
      <c r="C17" s="29" t="s">
        <v>2840</v>
      </c>
      <c r="D17" s="29">
        <v>50326001</v>
      </c>
      <c r="E17" s="29">
        <v>90</v>
      </c>
      <c r="F17" s="7">
        <v>128</v>
      </c>
      <c r="G17" s="7">
        <v>98</v>
      </c>
      <c r="H17" s="89" t="s">
        <v>222</v>
      </c>
      <c r="I17" s="7" t="s">
        <v>109</v>
      </c>
      <c r="J17" s="7" t="s">
        <v>130</v>
      </c>
      <c r="K17" s="11">
        <v>0.68611111111111112</v>
      </c>
      <c r="L17" s="7" t="s">
        <v>109</v>
      </c>
      <c r="M17" s="7" t="s">
        <v>109</v>
      </c>
      <c r="N17" s="32" t="s">
        <v>2223</v>
      </c>
      <c r="O17" s="29" t="s">
        <v>61</v>
      </c>
      <c r="P17" s="7" t="s">
        <v>131</v>
      </c>
      <c r="Q17" s="7" t="s">
        <v>222</v>
      </c>
      <c r="R17" s="7" t="s">
        <v>62</v>
      </c>
      <c r="S17" s="7" t="s">
        <v>123</v>
      </c>
      <c r="T17" s="29" t="s">
        <v>2841</v>
      </c>
      <c r="U17" s="108">
        <f t="shared" si="0"/>
        <v>1.0888888888888888</v>
      </c>
      <c r="V17" s="7" t="s">
        <v>1945</v>
      </c>
      <c r="W17" s="174" t="s">
        <v>3137</v>
      </c>
      <c r="X17" s="7" t="s">
        <v>3282</v>
      </c>
      <c r="Y17" s="7" t="s">
        <v>3173</v>
      </c>
    </row>
    <row r="18" spans="1:25" hidden="1" x14ac:dyDescent="0.3">
      <c r="A18" s="7">
        <v>17</v>
      </c>
      <c r="B18" s="29" t="s">
        <v>23</v>
      </c>
      <c r="C18" s="29" t="s">
        <v>2844</v>
      </c>
      <c r="D18" s="29">
        <v>50326004</v>
      </c>
      <c r="E18" s="29">
        <v>50</v>
      </c>
      <c r="F18" s="7">
        <v>83</v>
      </c>
      <c r="G18" s="7">
        <v>6</v>
      </c>
      <c r="H18" s="89" t="s">
        <v>184</v>
      </c>
      <c r="I18" s="7" t="s">
        <v>109</v>
      </c>
      <c r="J18" s="7" t="s">
        <v>130</v>
      </c>
      <c r="K18" s="11">
        <v>0.95625000000000004</v>
      </c>
      <c r="L18" s="7" t="s">
        <v>109</v>
      </c>
      <c r="M18" s="7" t="s">
        <v>109</v>
      </c>
      <c r="N18" s="29" t="s">
        <v>109</v>
      </c>
      <c r="O18" s="29" t="s">
        <v>61</v>
      </c>
      <c r="P18" s="7" t="s">
        <v>131</v>
      </c>
      <c r="Q18" s="7" t="s">
        <v>184</v>
      </c>
      <c r="R18" s="7" t="s">
        <v>62</v>
      </c>
      <c r="S18" s="7" t="s">
        <v>123</v>
      </c>
      <c r="T18" s="29" t="s">
        <v>2841</v>
      </c>
      <c r="U18" s="108">
        <f t="shared" si="0"/>
        <v>0.12</v>
      </c>
      <c r="V18" s="7" t="s">
        <v>2391</v>
      </c>
      <c r="W18" s="174" t="s">
        <v>3139</v>
      </c>
      <c r="X18" s="7" t="s">
        <v>3282</v>
      </c>
      <c r="Y18" s="7" t="s">
        <v>3173</v>
      </c>
    </row>
    <row r="19" spans="1:25" hidden="1" x14ac:dyDescent="0.3">
      <c r="A19" s="7">
        <v>18</v>
      </c>
      <c r="B19" s="29" t="s">
        <v>23</v>
      </c>
      <c r="C19" s="29" t="s">
        <v>2519</v>
      </c>
      <c r="D19" s="29">
        <v>50226107</v>
      </c>
      <c r="E19" s="29">
        <v>110</v>
      </c>
      <c r="F19" s="7">
        <v>200</v>
      </c>
      <c r="G19" s="7">
        <v>46</v>
      </c>
      <c r="H19" s="89" t="s">
        <v>66</v>
      </c>
      <c r="I19" s="7" t="s">
        <v>109</v>
      </c>
      <c r="J19" s="7" t="s">
        <v>130</v>
      </c>
      <c r="K19" s="11">
        <v>0.79722222222222228</v>
      </c>
      <c r="L19" s="7" t="s">
        <v>109</v>
      </c>
      <c r="M19" s="7" t="s">
        <v>109</v>
      </c>
      <c r="N19" s="32" t="s">
        <v>2223</v>
      </c>
      <c r="O19" s="29" t="s">
        <v>61</v>
      </c>
      <c r="P19" s="7" t="s">
        <v>131</v>
      </c>
      <c r="Q19" s="7" t="s">
        <v>66</v>
      </c>
      <c r="R19" s="7" t="s">
        <v>62</v>
      </c>
      <c r="S19" s="7" t="s">
        <v>123</v>
      </c>
      <c r="T19" s="29" t="s">
        <v>122</v>
      </c>
      <c r="U19" s="108">
        <f t="shared" si="0"/>
        <v>0.41818181818181815</v>
      </c>
      <c r="V19" s="7" t="s">
        <v>1313</v>
      </c>
      <c r="W19" s="174" t="s">
        <v>3140</v>
      </c>
      <c r="X19" s="7" t="s">
        <v>109</v>
      </c>
      <c r="Y19" s="7" t="s">
        <v>109</v>
      </c>
    </row>
    <row r="20" spans="1:25" hidden="1" x14ac:dyDescent="0.3">
      <c r="A20" s="7">
        <v>19</v>
      </c>
      <c r="B20" s="29" t="s">
        <v>23</v>
      </c>
      <c r="C20" s="29" t="s">
        <v>2983</v>
      </c>
      <c r="D20" s="29">
        <v>50326023</v>
      </c>
      <c r="E20" s="29">
        <v>120</v>
      </c>
      <c r="F20" s="7">
        <v>147</v>
      </c>
      <c r="G20" s="7">
        <v>47</v>
      </c>
      <c r="H20" s="156" t="s">
        <v>3358</v>
      </c>
      <c r="I20" s="7" t="s">
        <v>109</v>
      </c>
      <c r="J20" s="7" t="s">
        <v>130</v>
      </c>
      <c r="K20" s="11">
        <v>0.81180555555555556</v>
      </c>
      <c r="L20" s="7" t="s">
        <v>109</v>
      </c>
      <c r="M20" s="7" t="s">
        <v>109</v>
      </c>
      <c r="N20" s="32" t="s">
        <v>2223</v>
      </c>
      <c r="O20" s="29" t="s">
        <v>61</v>
      </c>
      <c r="P20" s="7" t="s">
        <v>131</v>
      </c>
      <c r="Q20" s="7" t="s">
        <v>70</v>
      </c>
      <c r="R20" s="7" t="s">
        <v>62</v>
      </c>
      <c r="S20" s="7" t="s">
        <v>123</v>
      </c>
      <c r="T20" s="29" t="s">
        <v>121</v>
      </c>
      <c r="U20" s="108">
        <f t="shared" si="0"/>
        <v>0.39166666666666666</v>
      </c>
      <c r="V20" s="7" t="s">
        <v>152</v>
      </c>
      <c r="W20" s="174" t="s">
        <v>3142</v>
      </c>
      <c r="X20" s="7" t="s">
        <v>109</v>
      </c>
      <c r="Y20" s="7" t="s">
        <v>109</v>
      </c>
    </row>
    <row r="21" spans="1:25" hidden="1" x14ac:dyDescent="0.3">
      <c r="A21" s="7">
        <v>20</v>
      </c>
      <c r="B21" s="29" t="s">
        <v>23</v>
      </c>
      <c r="C21" s="29" t="s">
        <v>2736</v>
      </c>
      <c r="D21" s="29">
        <v>50226124</v>
      </c>
      <c r="E21" s="29">
        <v>400</v>
      </c>
      <c r="F21" s="7">
        <v>658</v>
      </c>
      <c r="G21" s="7">
        <v>59</v>
      </c>
      <c r="H21" s="7" t="s">
        <v>3088</v>
      </c>
      <c r="I21" s="7" t="s">
        <v>109</v>
      </c>
      <c r="J21" s="7" t="s">
        <v>130</v>
      </c>
      <c r="K21" s="11">
        <v>0.9</v>
      </c>
      <c r="L21" s="7" t="s">
        <v>109</v>
      </c>
      <c r="M21" s="7" t="s">
        <v>109</v>
      </c>
      <c r="N21" s="29" t="s">
        <v>109</v>
      </c>
      <c r="O21" s="29" t="s">
        <v>61</v>
      </c>
      <c r="P21" s="7" t="s">
        <v>131</v>
      </c>
      <c r="Q21" s="7" t="s">
        <v>241</v>
      </c>
      <c r="R21" s="7" t="s">
        <v>62</v>
      </c>
      <c r="S21" s="7" t="s">
        <v>123</v>
      </c>
      <c r="T21" s="29" t="s">
        <v>1341</v>
      </c>
      <c r="U21" s="108">
        <f t="shared" si="0"/>
        <v>0.14749999999999999</v>
      </c>
      <c r="V21" s="7" t="s">
        <v>2391</v>
      </c>
      <c r="W21" s="174" t="s">
        <v>3170</v>
      </c>
      <c r="X21" s="7" t="s">
        <v>3282</v>
      </c>
      <c r="Y21" s="7" t="s">
        <v>3101</v>
      </c>
    </row>
    <row r="22" spans="1:25" hidden="1" x14ac:dyDescent="0.3">
      <c r="A22" s="7">
        <v>21</v>
      </c>
      <c r="B22" s="29" t="s">
        <v>23</v>
      </c>
      <c r="C22" s="29" t="s">
        <v>2475</v>
      </c>
      <c r="D22" s="29">
        <v>50226103</v>
      </c>
      <c r="E22" s="29">
        <v>100</v>
      </c>
      <c r="F22" s="7">
        <v>113</v>
      </c>
      <c r="G22" s="7">
        <v>40</v>
      </c>
      <c r="H22" s="89" t="s">
        <v>68</v>
      </c>
      <c r="I22" s="7" t="s">
        <v>109</v>
      </c>
      <c r="J22" s="7" t="s">
        <v>130</v>
      </c>
      <c r="K22" s="11">
        <v>0.7055555555555556</v>
      </c>
      <c r="L22" s="7" t="s">
        <v>109</v>
      </c>
      <c r="M22" s="7" t="s">
        <v>109</v>
      </c>
      <c r="N22" s="29" t="s">
        <v>109</v>
      </c>
      <c r="O22" s="29" t="s">
        <v>61</v>
      </c>
      <c r="P22" s="7" t="s">
        <v>131</v>
      </c>
      <c r="Q22" s="7" t="s">
        <v>68</v>
      </c>
      <c r="R22" s="7" t="s">
        <v>62</v>
      </c>
      <c r="S22" s="7" t="s">
        <v>123</v>
      </c>
      <c r="T22" s="29" t="s">
        <v>2473</v>
      </c>
      <c r="U22" s="108">
        <f t="shared" si="0"/>
        <v>0.4</v>
      </c>
      <c r="V22" s="7" t="s">
        <v>152</v>
      </c>
      <c r="W22" s="174" t="s">
        <v>3350</v>
      </c>
      <c r="X22" s="7" t="s">
        <v>109</v>
      </c>
      <c r="Y22" s="7" t="s">
        <v>109</v>
      </c>
    </row>
    <row r="23" spans="1:25" hidden="1" x14ac:dyDescent="0.3">
      <c r="A23" s="7">
        <v>22</v>
      </c>
      <c r="B23" s="29" t="s">
        <v>23</v>
      </c>
      <c r="C23" s="29" t="s">
        <v>3360</v>
      </c>
      <c r="D23" s="29">
        <v>50326043</v>
      </c>
      <c r="E23" s="29">
        <v>150</v>
      </c>
      <c r="F23" s="7">
        <v>191</v>
      </c>
      <c r="G23" s="7">
        <v>120</v>
      </c>
      <c r="H23" s="7" t="s">
        <v>3227</v>
      </c>
      <c r="I23" s="7" t="s">
        <v>109</v>
      </c>
      <c r="J23" s="7" t="s">
        <v>130</v>
      </c>
      <c r="K23" s="11">
        <v>9.0277777777777769E-3</v>
      </c>
      <c r="L23" s="7" t="s">
        <v>109</v>
      </c>
      <c r="M23" s="7" t="s">
        <v>109</v>
      </c>
      <c r="N23" s="29" t="s">
        <v>109</v>
      </c>
      <c r="O23" s="29" t="s">
        <v>61</v>
      </c>
      <c r="P23" s="7" t="s">
        <v>131</v>
      </c>
      <c r="Q23" s="7" t="s">
        <v>274</v>
      </c>
      <c r="R23" s="7" t="s">
        <v>62</v>
      </c>
      <c r="S23" s="7" t="s">
        <v>123</v>
      </c>
      <c r="T23" s="29" t="s">
        <v>266</v>
      </c>
      <c r="U23" s="108">
        <f t="shared" si="0"/>
        <v>0.8</v>
      </c>
      <c r="V23" s="7" t="s">
        <v>1313</v>
      </c>
      <c r="W23" s="174" t="s">
        <v>3361</v>
      </c>
      <c r="X23" s="7" t="s">
        <v>109</v>
      </c>
      <c r="Y23" s="7" t="s">
        <v>109</v>
      </c>
    </row>
    <row r="24" spans="1:25" hidden="1" x14ac:dyDescent="0.3">
      <c r="A24" s="7">
        <v>23</v>
      </c>
      <c r="B24" s="29" t="s">
        <v>23</v>
      </c>
      <c r="C24" s="29" t="s">
        <v>1062</v>
      </c>
      <c r="D24" s="29">
        <v>50126304</v>
      </c>
      <c r="E24" s="29">
        <v>100</v>
      </c>
      <c r="F24" s="7">
        <v>181</v>
      </c>
      <c r="G24" s="7">
        <v>64</v>
      </c>
      <c r="H24" s="89" t="s">
        <v>82</v>
      </c>
      <c r="I24" s="7" t="s">
        <v>109</v>
      </c>
      <c r="J24" s="7" t="s">
        <v>130</v>
      </c>
      <c r="K24" s="11">
        <v>0.78819444444444442</v>
      </c>
      <c r="L24" s="7" t="s">
        <v>109</v>
      </c>
      <c r="M24" s="7" t="s">
        <v>109</v>
      </c>
      <c r="N24" s="29" t="s">
        <v>109</v>
      </c>
      <c r="O24" s="29" t="s">
        <v>61</v>
      </c>
      <c r="P24" s="7" t="s">
        <v>131</v>
      </c>
      <c r="Q24" s="7" t="s">
        <v>82</v>
      </c>
      <c r="R24" s="7" t="s">
        <v>62</v>
      </c>
      <c r="S24" s="7" t="s">
        <v>123</v>
      </c>
      <c r="T24" s="29" t="s">
        <v>1063</v>
      </c>
      <c r="U24" s="108">
        <f t="shared" si="0"/>
        <v>0.64</v>
      </c>
      <c r="V24" s="7" t="s">
        <v>1313</v>
      </c>
      <c r="W24" s="174" t="s">
        <v>3351</v>
      </c>
      <c r="X24" s="7" t="s">
        <v>109</v>
      </c>
      <c r="Y24" s="7" t="s">
        <v>109</v>
      </c>
    </row>
    <row r="25" spans="1:25" hidden="1" x14ac:dyDescent="0.3">
      <c r="A25" s="7">
        <v>24</v>
      </c>
      <c r="B25" s="29" t="s">
        <v>23</v>
      </c>
      <c r="C25" s="29" t="s">
        <v>280</v>
      </c>
      <c r="D25" s="29">
        <v>51125192</v>
      </c>
      <c r="E25" s="29">
        <v>100</v>
      </c>
      <c r="F25" s="7">
        <v>137</v>
      </c>
      <c r="G25" s="7">
        <v>106</v>
      </c>
      <c r="H25" s="89" t="s">
        <v>200</v>
      </c>
      <c r="I25" s="7" t="s">
        <v>109</v>
      </c>
      <c r="J25" s="7" t="s">
        <v>130</v>
      </c>
      <c r="K25" s="11">
        <v>0.73611111111111116</v>
      </c>
      <c r="L25" s="7" t="s">
        <v>109</v>
      </c>
      <c r="M25" s="7" t="s">
        <v>109</v>
      </c>
      <c r="N25" s="29" t="s">
        <v>109</v>
      </c>
      <c r="O25" s="29" t="s">
        <v>61</v>
      </c>
      <c r="P25" s="7" t="s">
        <v>131</v>
      </c>
      <c r="Q25" s="7" t="s">
        <v>200</v>
      </c>
      <c r="R25" s="7" t="s">
        <v>62</v>
      </c>
      <c r="S25" s="7" t="s">
        <v>123</v>
      </c>
      <c r="T25" s="29" t="s">
        <v>278</v>
      </c>
      <c r="U25" s="108">
        <f t="shared" si="0"/>
        <v>1.06</v>
      </c>
      <c r="V25" s="7" t="s">
        <v>1945</v>
      </c>
      <c r="W25" s="174" t="s">
        <v>3352</v>
      </c>
      <c r="X25" s="7" t="s">
        <v>3282</v>
      </c>
      <c r="Y25" s="7" t="s">
        <v>3101</v>
      </c>
    </row>
    <row r="26" spans="1:25" hidden="1" x14ac:dyDescent="0.3">
      <c r="A26" s="7">
        <v>25</v>
      </c>
      <c r="B26" s="29" t="s">
        <v>23</v>
      </c>
      <c r="C26" s="29" t="s">
        <v>3353</v>
      </c>
      <c r="D26" s="29">
        <v>50126404</v>
      </c>
      <c r="E26" s="29">
        <v>100</v>
      </c>
      <c r="F26" s="7">
        <v>161</v>
      </c>
      <c r="G26" s="7">
        <v>60</v>
      </c>
      <c r="H26" s="89" t="s">
        <v>196</v>
      </c>
      <c r="I26" s="7" t="s">
        <v>109</v>
      </c>
      <c r="J26" s="7" t="s">
        <v>130</v>
      </c>
      <c r="K26" s="11">
        <v>4.8611111111111112E-3</v>
      </c>
      <c r="L26" s="7" t="s">
        <v>109</v>
      </c>
      <c r="M26" s="7" t="s">
        <v>109</v>
      </c>
      <c r="N26" s="29" t="s">
        <v>109</v>
      </c>
      <c r="O26" s="29" t="s">
        <v>61</v>
      </c>
      <c r="P26" s="7" t="s">
        <v>131</v>
      </c>
      <c r="Q26" s="7" t="s">
        <v>196</v>
      </c>
      <c r="R26" s="7" t="s">
        <v>62</v>
      </c>
      <c r="S26" s="7" t="s">
        <v>123</v>
      </c>
      <c r="T26" s="29" t="s">
        <v>278</v>
      </c>
      <c r="U26" s="108">
        <f t="shared" si="0"/>
        <v>0.6</v>
      </c>
      <c r="V26" s="7" t="s">
        <v>1313</v>
      </c>
      <c r="W26" s="174" t="s">
        <v>3354</v>
      </c>
      <c r="X26" s="7" t="s">
        <v>109</v>
      </c>
      <c r="Y26" s="7" t="s">
        <v>109</v>
      </c>
    </row>
    <row r="27" spans="1:25" hidden="1" x14ac:dyDescent="0.3">
      <c r="A27" s="7">
        <v>26</v>
      </c>
      <c r="B27" s="29" t="s">
        <v>23</v>
      </c>
      <c r="C27" s="29" t="s">
        <v>1066</v>
      </c>
      <c r="D27" s="29">
        <v>50126302</v>
      </c>
      <c r="E27" s="29">
        <v>20</v>
      </c>
      <c r="F27" s="7">
        <v>17</v>
      </c>
      <c r="G27" s="7">
        <v>9</v>
      </c>
      <c r="H27" s="7" t="s">
        <v>82</v>
      </c>
      <c r="I27" s="7" t="s">
        <v>109</v>
      </c>
      <c r="J27" s="7" t="s">
        <v>130</v>
      </c>
      <c r="K27" s="11">
        <v>0.64930555555555558</v>
      </c>
      <c r="L27" s="7" t="s">
        <v>109</v>
      </c>
      <c r="M27" s="7" t="s">
        <v>109</v>
      </c>
      <c r="N27" s="29" t="s">
        <v>109</v>
      </c>
      <c r="O27" s="29" t="s">
        <v>61</v>
      </c>
      <c r="P27" s="7" t="s">
        <v>131</v>
      </c>
      <c r="Q27" s="7" t="s">
        <v>82</v>
      </c>
      <c r="R27" s="7" t="s">
        <v>62</v>
      </c>
      <c r="S27" s="7" t="s">
        <v>123</v>
      </c>
      <c r="T27" s="29" t="s">
        <v>1067</v>
      </c>
      <c r="U27" s="108">
        <f t="shared" si="0"/>
        <v>0.45</v>
      </c>
      <c r="V27" s="7" t="s">
        <v>152</v>
      </c>
      <c r="W27" s="174" t="s">
        <v>3309</v>
      </c>
      <c r="X27" s="7" t="s">
        <v>109</v>
      </c>
      <c r="Y27" s="7" t="s">
        <v>109</v>
      </c>
    </row>
    <row r="28" spans="1:25" hidden="1" x14ac:dyDescent="0.3">
      <c r="A28" s="7">
        <v>27</v>
      </c>
      <c r="B28" s="29" t="s">
        <v>23</v>
      </c>
      <c r="C28" s="29" t="s">
        <v>3328</v>
      </c>
      <c r="D28" s="29">
        <v>50326042</v>
      </c>
      <c r="E28" s="29">
        <v>50</v>
      </c>
      <c r="F28" s="7">
        <v>110</v>
      </c>
      <c r="G28" s="7">
        <v>36</v>
      </c>
      <c r="H28" s="89" t="s">
        <v>65</v>
      </c>
      <c r="I28" s="7" t="s">
        <v>109</v>
      </c>
      <c r="J28" s="7" t="s">
        <v>130</v>
      </c>
      <c r="K28" s="11">
        <v>0.97013888888888888</v>
      </c>
      <c r="L28" s="7" t="s">
        <v>109</v>
      </c>
      <c r="M28" s="7" t="s">
        <v>109</v>
      </c>
      <c r="N28" s="29" t="s">
        <v>109</v>
      </c>
      <c r="O28" s="29" t="s">
        <v>61</v>
      </c>
      <c r="P28" s="7" t="s">
        <v>131</v>
      </c>
      <c r="Q28" s="7" t="s">
        <v>65</v>
      </c>
      <c r="R28" s="7" t="s">
        <v>62</v>
      </c>
      <c r="S28" s="7" t="s">
        <v>123</v>
      </c>
      <c r="T28" s="29" t="s">
        <v>1067</v>
      </c>
      <c r="U28" s="108">
        <f t="shared" si="0"/>
        <v>0.72</v>
      </c>
      <c r="V28" s="7" t="s">
        <v>1313</v>
      </c>
      <c r="W28" s="174" t="s">
        <v>3329</v>
      </c>
      <c r="X28" s="7" t="s">
        <v>109</v>
      </c>
      <c r="Y28" s="7" t="s">
        <v>109</v>
      </c>
    </row>
    <row r="29" spans="1:25" hidden="1" x14ac:dyDescent="0.3">
      <c r="A29" s="7">
        <v>28</v>
      </c>
      <c r="B29" s="29" t="s">
        <v>143</v>
      </c>
      <c r="C29" s="29" t="s">
        <v>3003</v>
      </c>
      <c r="D29" s="91">
        <v>10326030</v>
      </c>
      <c r="E29" s="29">
        <v>35</v>
      </c>
      <c r="F29" s="7">
        <v>80</v>
      </c>
      <c r="G29" s="7">
        <v>33</v>
      </c>
      <c r="H29" s="89" t="s">
        <v>196</v>
      </c>
      <c r="I29" s="7" t="s">
        <v>87</v>
      </c>
      <c r="J29" s="7" t="s">
        <v>130</v>
      </c>
      <c r="K29" s="11">
        <v>0.69236111111111109</v>
      </c>
      <c r="L29" s="11">
        <v>0.76666666666666672</v>
      </c>
      <c r="M29" s="7" t="s">
        <v>109</v>
      </c>
      <c r="N29" s="29" t="s">
        <v>109</v>
      </c>
      <c r="O29" s="29" t="s">
        <v>61</v>
      </c>
      <c r="P29" s="7" t="s">
        <v>131</v>
      </c>
      <c r="Q29" s="7" t="s">
        <v>87</v>
      </c>
      <c r="R29" s="7" t="s">
        <v>62</v>
      </c>
      <c r="S29" s="7" t="s">
        <v>123</v>
      </c>
      <c r="T29" s="29" t="s">
        <v>121</v>
      </c>
      <c r="U29" s="108">
        <f t="shared" si="0"/>
        <v>0.94285714285714284</v>
      </c>
      <c r="V29" s="7" t="s">
        <v>1945</v>
      </c>
      <c r="W29" s="174" t="s">
        <v>3316</v>
      </c>
      <c r="X29" s="7" t="s">
        <v>109</v>
      </c>
      <c r="Y29" s="7" t="s">
        <v>109</v>
      </c>
    </row>
    <row r="30" spans="1:25" hidden="1" x14ac:dyDescent="0.3">
      <c r="A30" s="7">
        <v>29</v>
      </c>
      <c r="B30" s="29" t="s">
        <v>143</v>
      </c>
      <c r="C30" s="29" t="s">
        <v>2331</v>
      </c>
      <c r="D30" s="91">
        <v>10226031</v>
      </c>
      <c r="E30" s="29">
        <v>92</v>
      </c>
      <c r="F30" s="7">
        <v>182</v>
      </c>
      <c r="G30" s="7">
        <v>10</v>
      </c>
      <c r="H30" s="155" t="s">
        <v>64</v>
      </c>
      <c r="I30" s="7" t="s">
        <v>209</v>
      </c>
      <c r="J30" s="7" t="s">
        <v>130</v>
      </c>
      <c r="K30" s="11">
        <v>0.91388888888888886</v>
      </c>
      <c r="L30" s="11">
        <v>0.97847222222222219</v>
      </c>
      <c r="M30" s="7" t="s">
        <v>109</v>
      </c>
      <c r="N30" s="29" t="s">
        <v>109</v>
      </c>
      <c r="O30" s="29" t="s">
        <v>61</v>
      </c>
      <c r="P30" s="7" t="s">
        <v>131</v>
      </c>
      <c r="Q30" s="7" t="s">
        <v>209</v>
      </c>
      <c r="R30" s="7" t="s">
        <v>62</v>
      </c>
      <c r="S30" s="7" t="s">
        <v>123</v>
      </c>
      <c r="T30" s="29" t="s">
        <v>121</v>
      </c>
      <c r="U30" s="108">
        <f t="shared" si="0"/>
        <v>0.10869565217391304</v>
      </c>
      <c r="V30" s="7" t="s">
        <v>2391</v>
      </c>
      <c r="W30" s="174" t="s">
        <v>3348</v>
      </c>
      <c r="X30" s="7" t="s">
        <v>109</v>
      </c>
      <c r="Y30" s="7" t="s">
        <v>109</v>
      </c>
    </row>
    <row r="31" spans="1:25" x14ac:dyDescent="0.3">
      <c r="A31" s="7">
        <v>30</v>
      </c>
      <c r="B31" s="29" t="s">
        <v>143</v>
      </c>
      <c r="C31" s="29" t="s">
        <v>2361</v>
      </c>
      <c r="D31" s="91">
        <v>10226039</v>
      </c>
      <c r="E31" s="29" t="s">
        <v>60</v>
      </c>
      <c r="F31" s="7" t="s">
        <v>109</v>
      </c>
      <c r="G31" s="7" t="s">
        <v>109</v>
      </c>
      <c r="H31" s="89" t="s">
        <v>200</v>
      </c>
      <c r="I31" s="155" t="s">
        <v>91</v>
      </c>
      <c r="J31" s="18" t="s">
        <v>85</v>
      </c>
      <c r="K31" s="7" t="s">
        <v>109</v>
      </c>
      <c r="L31" s="7" t="s">
        <v>109</v>
      </c>
      <c r="M31" s="7" t="s">
        <v>109</v>
      </c>
      <c r="N31" s="29" t="s">
        <v>109</v>
      </c>
      <c r="O31" s="29" t="s">
        <v>61</v>
      </c>
      <c r="P31" s="7" t="s">
        <v>109</v>
      </c>
      <c r="Q31" s="7" t="s">
        <v>109</v>
      </c>
      <c r="R31" s="7" t="s">
        <v>62</v>
      </c>
      <c r="S31" s="7" t="s">
        <v>123</v>
      </c>
      <c r="T31" s="29" t="s">
        <v>121</v>
      </c>
      <c r="U31" s="108" t="e">
        <f t="shared" si="0"/>
        <v>#VALUE!</v>
      </c>
      <c r="V31" s="7" t="s">
        <v>109</v>
      </c>
      <c r="W31" s="174" t="s">
        <v>3379</v>
      </c>
      <c r="X31" s="7" t="s">
        <v>109</v>
      </c>
      <c r="Y31" s="7" t="s">
        <v>109</v>
      </c>
    </row>
    <row r="32" spans="1:25" hidden="1" x14ac:dyDescent="0.3">
      <c r="A32" s="7">
        <v>31</v>
      </c>
      <c r="B32" s="29" t="s">
        <v>143</v>
      </c>
      <c r="C32" s="29" t="s">
        <v>2834</v>
      </c>
      <c r="D32" s="91">
        <v>10326014</v>
      </c>
      <c r="E32" s="29" t="s">
        <v>60</v>
      </c>
      <c r="F32" s="7">
        <v>206</v>
      </c>
      <c r="G32" s="7">
        <v>73</v>
      </c>
      <c r="H32" s="7" t="s">
        <v>3380</v>
      </c>
      <c r="I32" s="7" t="s">
        <v>3381</v>
      </c>
      <c r="J32" s="7" t="s">
        <v>130</v>
      </c>
      <c r="K32" s="11">
        <v>0.83611111111111114</v>
      </c>
      <c r="L32" s="11">
        <v>0.99722222222222223</v>
      </c>
      <c r="M32" s="7" t="s">
        <v>109</v>
      </c>
      <c r="N32" s="29" t="s">
        <v>109</v>
      </c>
      <c r="O32" s="29" t="s">
        <v>61</v>
      </c>
      <c r="P32" s="7" t="s">
        <v>131</v>
      </c>
      <c r="Q32" s="7" t="s">
        <v>209</v>
      </c>
      <c r="R32" s="7" t="s">
        <v>62</v>
      </c>
      <c r="S32" s="7" t="s">
        <v>123</v>
      </c>
      <c r="T32" s="29" t="s">
        <v>121</v>
      </c>
      <c r="U32" s="108" t="e">
        <f t="shared" si="0"/>
        <v>#VALUE!</v>
      </c>
      <c r="V32" s="7" t="s">
        <v>152</v>
      </c>
      <c r="W32" s="174" t="s">
        <v>3382</v>
      </c>
      <c r="X32" s="7" t="s">
        <v>109</v>
      </c>
      <c r="Y32" s="7" t="s">
        <v>109</v>
      </c>
    </row>
    <row r="33" spans="1:25" hidden="1" x14ac:dyDescent="0.3">
      <c r="A33" s="7">
        <v>32</v>
      </c>
      <c r="B33" s="29" t="s">
        <v>143</v>
      </c>
      <c r="C33" s="29" t="s">
        <v>2838</v>
      </c>
      <c r="D33" s="91">
        <v>10326009</v>
      </c>
      <c r="E33" s="29">
        <v>45</v>
      </c>
      <c r="F33" s="7">
        <v>93</v>
      </c>
      <c r="G33" s="7">
        <v>46</v>
      </c>
      <c r="H33" s="156" t="s">
        <v>274</v>
      </c>
      <c r="I33" s="89" t="s">
        <v>88</v>
      </c>
      <c r="J33" s="7" t="s">
        <v>130</v>
      </c>
      <c r="K33" s="11">
        <v>0.72291666666666665</v>
      </c>
      <c r="L33" s="11">
        <v>0.80763888888888891</v>
      </c>
      <c r="M33" s="7" t="s">
        <v>109</v>
      </c>
      <c r="N33" s="29" t="s">
        <v>109</v>
      </c>
      <c r="O33" s="29" t="s">
        <v>61</v>
      </c>
      <c r="P33" s="7" t="s">
        <v>131</v>
      </c>
      <c r="Q33" s="7" t="s">
        <v>88</v>
      </c>
      <c r="R33" s="7" t="s">
        <v>62</v>
      </c>
      <c r="S33" s="7" t="s">
        <v>123</v>
      </c>
      <c r="T33" s="29" t="s">
        <v>121</v>
      </c>
      <c r="U33" s="108">
        <f t="shared" si="0"/>
        <v>1.0222222222222221</v>
      </c>
      <c r="V33" s="7" t="s">
        <v>1945</v>
      </c>
      <c r="W33" s="174" t="s">
        <v>3322</v>
      </c>
      <c r="X33" s="7" t="s">
        <v>109</v>
      </c>
      <c r="Y33" s="7" t="s">
        <v>109</v>
      </c>
    </row>
    <row r="34" spans="1:25" hidden="1" x14ac:dyDescent="0.3">
      <c r="A34" s="7">
        <v>33</v>
      </c>
      <c r="B34" s="29" t="s">
        <v>143</v>
      </c>
      <c r="C34" s="29" t="s">
        <v>3061</v>
      </c>
      <c r="D34" s="91">
        <v>10326037</v>
      </c>
      <c r="E34" s="29">
        <v>40</v>
      </c>
      <c r="F34" s="7">
        <v>80</v>
      </c>
      <c r="G34" s="7">
        <v>28</v>
      </c>
      <c r="H34" s="89" t="s">
        <v>66</v>
      </c>
      <c r="I34" s="7" t="s">
        <v>93</v>
      </c>
      <c r="J34" s="7" t="s">
        <v>130</v>
      </c>
      <c r="K34" s="11">
        <v>0.66180555555555554</v>
      </c>
      <c r="L34" s="11">
        <v>0.72638888888888886</v>
      </c>
      <c r="M34" s="7" t="s">
        <v>109</v>
      </c>
      <c r="N34" s="29" t="s">
        <v>109</v>
      </c>
      <c r="O34" s="29" t="s">
        <v>61</v>
      </c>
      <c r="P34" s="7" t="s">
        <v>131</v>
      </c>
      <c r="Q34" s="7" t="s">
        <v>93</v>
      </c>
      <c r="R34" s="7" t="s">
        <v>62</v>
      </c>
      <c r="S34" s="7" t="s">
        <v>123</v>
      </c>
      <c r="T34" s="29" t="s">
        <v>121</v>
      </c>
      <c r="U34" s="108">
        <f t="shared" si="0"/>
        <v>0.7</v>
      </c>
      <c r="V34" s="7" t="s">
        <v>1313</v>
      </c>
      <c r="W34" s="174" t="s">
        <v>3320</v>
      </c>
      <c r="X34" s="7" t="s">
        <v>109</v>
      </c>
      <c r="Y34" s="7" t="s">
        <v>109</v>
      </c>
    </row>
    <row r="35" spans="1:25" hidden="1" x14ac:dyDescent="0.3">
      <c r="A35" s="7">
        <v>34</v>
      </c>
      <c r="B35" s="29" t="s">
        <v>143</v>
      </c>
      <c r="C35" s="29" t="s">
        <v>2663</v>
      </c>
      <c r="D35" s="91">
        <v>10226058</v>
      </c>
      <c r="E35" s="29">
        <v>45</v>
      </c>
      <c r="F35" s="7">
        <v>92</v>
      </c>
      <c r="G35" s="7">
        <v>29</v>
      </c>
      <c r="H35" s="156" t="s">
        <v>153</v>
      </c>
      <c r="I35" s="89" t="s">
        <v>154</v>
      </c>
      <c r="J35" s="7" t="s">
        <v>130</v>
      </c>
      <c r="K35" s="11">
        <v>0.64930555555555558</v>
      </c>
      <c r="L35" s="11">
        <v>0.75763888888888886</v>
      </c>
      <c r="M35" s="7" t="s">
        <v>109</v>
      </c>
      <c r="N35" s="29" t="s">
        <v>109</v>
      </c>
      <c r="O35" s="29" t="s">
        <v>61</v>
      </c>
      <c r="P35" s="7" t="s">
        <v>131</v>
      </c>
      <c r="Q35" s="7" t="s">
        <v>154</v>
      </c>
      <c r="R35" s="7" t="s">
        <v>62</v>
      </c>
      <c r="S35" s="7" t="s">
        <v>123</v>
      </c>
      <c r="T35" s="29" t="s">
        <v>121</v>
      </c>
      <c r="U35" s="108">
        <f t="shared" si="0"/>
        <v>0.64444444444444449</v>
      </c>
      <c r="V35" s="7" t="s">
        <v>1313</v>
      </c>
      <c r="W35" s="174" t="s">
        <v>3323</v>
      </c>
      <c r="X35" s="7" t="s">
        <v>109</v>
      </c>
      <c r="Y35" s="7" t="s">
        <v>109</v>
      </c>
    </row>
    <row r="36" spans="1:25" hidden="1" x14ac:dyDescent="0.3">
      <c r="A36" s="7">
        <v>35</v>
      </c>
      <c r="B36" s="29" t="s">
        <v>143</v>
      </c>
      <c r="C36" s="29" t="s">
        <v>2505</v>
      </c>
      <c r="D36" s="91">
        <v>10226045</v>
      </c>
      <c r="E36" s="29">
        <v>50</v>
      </c>
      <c r="F36" s="7">
        <v>85</v>
      </c>
      <c r="G36" s="7">
        <v>52</v>
      </c>
      <c r="H36" s="89" t="s">
        <v>222</v>
      </c>
      <c r="I36" s="173" t="s">
        <v>95</v>
      </c>
      <c r="J36" s="7" t="s">
        <v>130</v>
      </c>
      <c r="K36" s="11">
        <v>0.80069444444444449</v>
      </c>
      <c r="L36" s="11">
        <v>0.9</v>
      </c>
      <c r="M36" s="7" t="s">
        <v>109</v>
      </c>
      <c r="N36" s="29" t="s">
        <v>109</v>
      </c>
      <c r="O36" s="29" t="s">
        <v>61</v>
      </c>
      <c r="P36" s="7" t="s">
        <v>131</v>
      </c>
      <c r="Q36" s="7" t="s">
        <v>95</v>
      </c>
      <c r="R36" s="7" t="s">
        <v>62</v>
      </c>
      <c r="S36" s="7" t="s">
        <v>123</v>
      </c>
      <c r="T36" s="29" t="s">
        <v>121</v>
      </c>
      <c r="U36" s="108">
        <f t="shared" si="0"/>
        <v>1.04</v>
      </c>
      <c r="V36" s="7" t="s">
        <v>1945</v>
      </c>
      <c r="W36" s="174" t="s">
        <v>3330</v>
      </c>
      <c r="X36" s="7" t="s">
        <v>109</v>
      </c>
      <c r="Y36" s="7" t="s">
        <v>109</v>
      </c>
    </row>
    <row r="37" spans="1:25" hidden="1" x14ac:dyDescent="0.3">
      <c r="A37" s="7">
        <v>36</v>
      </c>
      <c r="B37" s="29" t="s">
        <v>143</v>
      </c>
      <c r="C37" s="29" t="s">
        <v>2506</v>
      </c>
      <c r="D37" s="91">
        <v>10226048</v>
      </c>
      <c r="E37" s="29">
        <v>75</v>
      </c>
      <c r="F37" s="7">
        <v>129</v>
      </c>
      <c r="G37" s="7">
        <v>20</v>
      </c>
      <c r="H37" s="89" t="s">
        <v>66</v>
      </c>
      <c r="I37" s="173" t="s">
        <v>209</v>
      </c>
      <c r="J37" s="7" t="s">
        <v>130</v>
      </c>
      <c r="K37" s="11">
        <v>0.72013888888888888</v>
      </c>
      <c r="L37" s="11">
        <v>0.78611111111111109</v>
      </c>
      <c r="M37" s="7" t="s">
        <v>109</v>
      </c>
      <c r="N37" s="29" t="s">
        <v>109</v>
      </c>
      <c r="O37" s="29" t="s">
        <v>61</v>
      </c>
      <c r="P37" s="7" t="s">
        <v>131</v>
      </c>
      <c r="Q37" s="7" t="s">
        <v>209</v>
      </c>
      <c r="R37" s="7" t="s">
        <v>62</v>
      </c>
      <c r="S37" s="7" t="s">
        <v>123</v>
      </c>
      <c r="T37" s="29" t="s">
        <v>121</v>
      </c>
      <c r="U37" s="108">
        <f t="shared" si="0"/>
        <v>0.26666666666666666</v>
      </c>
      <c r="V37" s="7" t="s">
        <v>152</v>
      </c>
      <c r="W37" s="174" t="s">
        <v>3345</v>
      </c>
      <c r="X37" s="7" t="s">
        <v>109</v>
      </c>
      <c r="Y37" s="7" t="s">
        <v>109</v>
      </c>
    </row>
    <row r="38" spans="1:25" hidden="1" x14ac:dyDescent="0.3">
      <c r="A38" s="7">
        <v>37</v>
      </c>
      <c r="B38" s="29" t="s">
        <v>143</v>
      </c>
      <c r="C38" s="29" t="s">
        <v>2553</v>
      </c>
      <c r="D38" s="91">
        <v>10226050</v>
      </c>
      <c r="E38" s="29">
        <v>72</v>
      </c>
      <c r="F38" s="7">
        <v>144</v>
      </c>
      <c r="G38" s="7">
        <v>63</v>
      </c>
      <c r="H38" s="7" t="s">
        <v>64</v>
      </c>
      <c r="I38" s="173" t="s">
        <v>86</v>
      </c>
      <c r="J38" s="7" t="s">
        <v>130</v>
      </c>
      <c r="K38" s="11">
        <v>0.78125</v>
      </c>
      <c r="L38" s="11">
        <v>0.81805555555555554</v>
      </c>
      <c r="M38" s="7" t="s">
        <v>109</v>
      </c>
      <c r="N38" s="29" t="s">
        <v>109</v>
      </c>
      <c r="O38" s="29" t="s">
        <v>61</v>
      </c>
      <c r="P38" s="7" t="s">
        <v>131</v>
      </c>
      <c r="Q38" s="7" t="s">
        <v>86</v>
      </c>
      <c r="R38" s="7" t="s">
        <v>62</v>
      </c>
      <c r="S38" s="7" t="s">
        <v>123</v>
      </c>
      <c r="T38" s="29" t="s">
        <v>121</v>
      </c>
      <c r="U38" s="108">
        <f t="shared" si="0"/>
        <v>0.875</v>
      </c>
      <c r="V38" s="7" t="s">
        <v>1945</v>
      </c>
      <c r="W38" s="174" t="s">
        <v>3344</v>
      </c>
      <c r="X38" s="7" t="s">
        <v>109</v>
      </c>
      <c r="Y38" s="7" t="s">
        <v>109</v>
      </c>
    </row>
    <row r="39" spans="1:25" hidden="1" x14ac:dyDescent="0.3">
      <c r="A39" s="7">
        <v>38</v>
      </c>
      <c r="B39" s="29" t="s">
        <v>143</v>
      </c>
      <c r="C39" s="29" t="s">
        <v>2610</v>
      </c>
      <c r="D39" s="91">
        <v>10226054</v>
      </c>
      <c r="E39" s="29">
        <v>66</v>
      </c>
      <c r="F39" s="7">
        <v>97</v>
      </c>
      <c r="G39" s="7">
        <v>70</v>
      </c>
      <c r="H39" s="89" t="s">
        <v>82</v>
      </c>
      <c r="I39" s="173" t="s">
        <v>209</v>
      </c>
      <c r="J39" s="7" t="s">
        <v>130</v>
      </c>
      <c r="K39" s="11">
        <v>0.69027777777777777</v>
      </c>
      <c r="L39" s="11">
        <v>0.75069444444444444</v>
      </c>
      <c r="M39" s="7" t="s">
        <v>109</v>
      </c>
      <c r="N39" s="29" t="s">
        <v>109</v>
      </c>
      <c r="O39" s="29" t="s">
        <v>61</v>
      </c>
      <c r="P39" s="7" t="s">
        <v>131</v>
      </c>
      <c r="Q39" s="7" t="s">
        <v>209</v>
      </c>
      <c r="R39" s="7" t="s">
        <v>62</v>
      </c>
      <c r="S39" s="7" t="s">
        <v>123</v>
      </c>
      <c r="T39" s="29" t="s">
        <v>121</v>
      </c>
      <c r="U39" s="108">
        <f t="shared" si="0"/>
        <v>1.0606060606060606</v>
      </c>
      <c r="V39" s="7" t="s">
        <v>1945</v>
      </c>
      <c r="W39" s="174" t="s">
        <v>3342</v>
      </c>
      <c r="X39" s="7" t="s">
        <v>109</v>
      </c>
      <c r="Y39" s="7" t="s">
        <v>109</v>
      </c>
    </row>
    <row r="40" spans="1:25" hidden="1" x14ac:dyDescent="0.3">
      <c r="A40" s="7">
        <v>39</v>
      </c>
      <c r="B40" s="29" t="s">
        <v>143</v>
      </c>
      <c r="C40" s="29" t="s">
        <v>2657</v>
      </c>
      <c r="D40" s="91">
        <v>10226057</v>
      </c>
      <c r="E40" s="29" t="s">
        <v>60</v>
      </c>
      <c r="F40" s="7">
        <v>22</v>
      </c>
      <c r="G40" s="7">
        <v>10</v>
      </c>
      <c r="H40" s="89" t="s">
        <v>214</v>
      </c>
      <c r="I40" s="155" t="s">
        <v>87</v>
      </c>
      <c r="J40" s="7" t="s">
        <v>130</v>
      </c>
      <c r="K40" s="11">
        <v>0.8208333333333333</v>
      </c>
      <c r="L40" s="11">
        <v>0.8930555555555556</v>
      </c>
      <c r="M40" s="7" t="s">
        <v>109</v>
      </c>
      <c r="N40" s="29" t="s">
        <v>109</v>
      </c>
      <c r="O40" s="29" t="s">
        <v>61</v>
      </c>
      <c r="P40" s="7" t="s">
        <v>131</v>
      </c>
      <c r="Q40" s="7" t="s">
        <v>87</v>
      </c>
      <c r="R40" s="7" t="s">
        <v>62</v>
      </c>
      <c r="S40" s="7" t="s">
        <v>123</v>
      </c>
      <c r="T40" s="29" t="s">
        <v>121</v>
      </c>
      <c r="U40" s="108" t="s">
        <v>109</v>
      </c>
      <c r="V40" s="7" t="s">
        <v>152</v>
      </c>
      <c r="W40" s="174" t="s">
        <v>3383</v>
      </c>
      <c r="X40" s="7" t="s">
        <v>109</v>
      </c>
      <c r="Y40" s="7" t="s">
        <v>109</v>
      </c>
    </row>
    <row r="41" spans="1:25" hidden="1" x14ac:dyDescent="0.3">
      <c r="A41" s="7">
        <v>40</v>
      </c>
      <c r="B41" s="29" t="s">
        <v>143</v>
      </c>
      <c r="C41" s="29" t="s">
        <v>2658</v>
      </c>
      <c r="D41" s="91">
        <v>10226056</v>
      </c>
      <c r="E41" s="29">
        <v>66</v>
      </c>
      <c r="F41" s="7">
        <v>133</v>
      </c>
      <c r="G41" s="7">
        <v>48</v>
      </c>
      <c r="H41" s="89" t="s">
        <v>68</v>
      </c>
      <c r="I41" s="173" t="s">
        <v>86</v>
      </c>
      <c r="J41" s="7" t="s">
        <v>130</v>
      </c>
      <c r="K41" s="11">
        <v>0.79791666666666672</v>
      </c>
      <c r="L41" s="11">
        <v>0.83680555555555558</v>
      </c>
      <c r="M41" s="7" t="s">
        <v>109</v>
      </c>
      <c r="N41" s="29" t="s">
        <v>109</v>
      </c>
      <c r="O41" s="29" t="s">
        <v>61</v>
      </c>
      <c r="P41" s="7" t="s">
        <v>131</v>
      </c>
      <c r="Q41" s="7" t="s">
        <v>86</v>
      </c>
      <c r="R41" s="7" t="s">
        <v>62</v>
      </c>
      <c r="S41" s="7" t="s">
        <v>123</v>
      </c>
      <c r="T41" s="29" t="s">
        <v>121</v>
      </c>
      <c r="U41" s="108">
        <f t="shared" si="0"/>
        <v>0.72727272727272729</v>
      </c>
      <c r="V41" s="7" t="s">
        <v>1313</v>
      </c>
      <c r="W41" s="174" t="s">
        <v>3343</v>
      </c>
      <c r="X41" s="7" t="s">
        <v>109</v>
      </c>
      <c r="Y41" s="7" t="s">
        <v>109</v>
      </c>
    </row>
    <row r="42" spans="1:25" hidden="1" x14ac:dyDescent="0.3">
      <c r="A42" s="7">
        <v>41</v>
      </c>
      <c r="B42" s="29" t="s">
        <v>143</v>
      </c>
      <c r="C42" s="29" t="s">
        <v>3054</v>
      </c>
      <c r="D42" s="91">
        <v>10326032</v>
      </c>
      <c r="E42" s="29">
        <v>40</v>
      </c>
      <c r="F42" s="7">
        <v>81</v>
      </c>
      <c r="G42" s="7">
        <v>29</v>
      </c>
      <c r="H42" s="89" t="s">
        <v>68</v>
      </c>
      <c r="I42" s="155" t="s">
        <v>91</v>
      </c>
      <c r="J42" s="7" t="s">
        <v>130</v>
      </c>
      <c r="K42" s="11">
        <v>0.95625000000000004</v>
      </c>
      <c r="L42" s="11">
        <v>0.98055555555555551</v>
      </c>
      <c r="M42" s="7" t="s">
        <v>109</v>
      </c>
      <c r="N42" s="29" t="s">
        <v>109</v>
      </c>
      <c r="O42" s="29" t="s">
        <v>61</v>
      </c>
      <c r="P42" s="7" t="s">
        <v>131</v>
      </c>
      <c r="Q42" s="7" t="s">
        <v>91</v>
      </c>
      <c r="R42" s="7" t="s">
        <v>62</v>
      </c>
      <c r="S42" s="7" t="s">
        <v>123</v>
      </c>
      <c r="T42" s="29" t="s">
        <v>121</v>
      </c>
      <c r="U42" s="108">
        <f t="shared" si="0"/>
        <v>0.72499999999999998</v>
      </c>
      <c r="V42" s="7" t="s">
        <v>1313</v>
      </c>
      <c r="W42" s="174" t="s">
        <v>3321</v>
      </c>
      <c r="X42" s="7" t="s">
        <v>109</v>
      </c>
      <c r="Y42" s="7" t="s">
        <v>109</v>
      </c>
    </row>
    <row r="43" spans="1:25" hidden="1" x14ac:dyDescent="0.3">
      <c r="A43" s="7">
        <v>42</v>
      </c>
      <c r="B43" s="29" t="s">
        <v>143</v>
      </c>
      <c r="C43" s="29" t="s">
        <v>2428</v>
      </c>
      <c r="D43" s="91">
        <v>10226044</v>
      </c>
      <c r="E43" s="29">
        <v>30</v>
      </c>
      <c r="F43" s="7">
        <v>51</v>
      </c>
      <c r="G43" s="7">
        <v>31</v>
      </c>
      <c r="H43" s="89" t="s">
        <v>71</v>
      </c>
      <c r="I43" s="155" t="s">
        <v>91</v>
      </c>
      <c r="J43" s="7" t="s">
        <v>130</v>
      </c>
      <c r="K43" s="11">
        <v>0.68125000000000002</v>
      </c>
      <c r="L43" s="11">
        <v>0.72777777777777775</v>
      </c>
      <c r="M43" s="7" t="s">
        <v>109</v>
      </c>
      <c r="N43" s="29" t="s">
        <v>109</v>
      </c>
      <c r="O43" s="29" t="s">
        <v>61</v>
      </c>
      <c r="P43" s="7" t="s">
        <v>131</v>
      </c>
      <c r="Q43" s="7" t="s">
        <v>91</v>
      </c>
      <c r="R43" s="7" t="s">
        <v>62</v>
      </c>
      <c r="S43" s="7" t="s">
        <v>123</v>
      </c>
      <c r="T43" s="29" t="s">
        <v>609</v>
      </c>
      <c r="U43" s="108">
        <f t="shared" si="0"/>
        <v>1.0333333333333334</v>
      </c>
      <c r="V43" s="7" t="s">
        <v>1945</v>
      </c>
      <c r="W43" s="174" t="s">
        <v>3313</v>
      </c>
      <c r="X43" s="7" t="s">
        <v>109</v>
      </c>
      <c r="Y43" s="7" t="s">
        <v>109</v>
      </c>
    </row>
    <row r="44" spans="1:25" hidden="1" x14ac:dyDescent="0.3">
      <c r="A44" s="7">
        <v>43</v>
      </c>
      <c r="B44" s="29" t="s">
        <v>143</v>
      </c>
      <c r="C44" s="29" t="s">
        <v>2256</v>
      </c>
      <c r="D44" s="91">
        <v>10226016</v>
      </c>
      <c r="E44" s="29">
        <v>118</v>
      </c>
      <c r="F44" s="7">
        <v>219</v>
      </c>
      <c r="G44" s="7">
        <v>38</v>
      </c>
      <c r="H44" s="156" t="s">
        <v>3356</v>
      </c>
      <c r="I44" s="7" t="s">
        <v>3391</v>
      </c>
      <c r="J44" s="7" t="s">
        <v>130</v>
      </c>
      <c r="K44" s="11">
        <v>0.91041666666666665</v>
      </c>
      <c r="L44" s="11">
        <v>0.93333333333333335</v>
      </c>
      <c r="M44" s="7" t="s">
        <v>109</v>
      </c>
      <c r="N44" s="29" t="s">
        <v>109</v>
      </c>
      <c r="O44" s="29" t="s">
        <v>61</v>
      </c>
      <c r="P44" s="7" t="s">
        <v>131</v>
      </c>
      <c r="Q44" s="7" t="s">
        <v>95</v>
      </c>
      <c r="R44" s="7" t="s">
        <v>62</v>
      </c>
      <c r="S44" s="7" t="s">
        <v>123</v>
      </c>
      <c r="T44" s="29" t="s">
        <v>2253</v>
      </c>
      <c r="U44" s="108">
        <f t="shared" si="0"/>
        <v>0.32203389830508472</v>
      </c>
      <c r="V44" s="7" t="s">
        <v>1313</v>
      </c>
      <c r="W44" s="174" t="s">
        <v>3357</v>
      </c>
      <c r="X44" s="7" t="s">
        <v>109</v>
      </c>
      <c r="Y44" s="7" t="s">
        <v>109</v>
      </c>
    </row>
    <row r="45" spans="1:25" hidden="1" x14ac:dyDescent="0.3">
      <c r="A45" s="7">
        <v>44</v>
      </c>
      <c r="B45" s="29" t="s">
        <v>143</v>
      </c>
      <c r="C45" s="29" t="s">
        <v>2897</v>
      </c>
      <c r="D45" s="91">
        <v>10326020</v>
      </c>
      <c r="E45" s="29">
        <v>50</v>
      </c>
      <c r="F45" s="7">
        <v>87</v>
      </c>
      <c r="G45" s="7">
        <v>47</v>
      </c>
      <c r="H45" s="89" t="s">
        <v>222</v>
      </c>
      <c r="I45" s="173" t="s">
        <v>86</v>
      </c>
      <c r="J45" s="7" t="s">
        <v>130</v>
      </c>
      <c r="K45" s="11">
        <v>0.96388888888888891</v>
      </c>
      <c r="L45" s="11">
        <v>2.7777777777777779E-3</v>
      </c>
      <c r="M45" s="7" t="s">
        <v>109</v>
      </c>
      <c r="N45" s="29" t="s">
        <v>109</v>
      </c>
      <c r="O45" s="29" t="s">
        <v>61</v>
      </c>
      <c r="P45" s="7" t="s">
        <v>131</v>
      </c>
      <c r="Q45" s="7" t="s">
        <v>109</v>
      </c>
      <c r="R45" s="7" t="s">
        <v>62</v>
      </c>
      <c r="S45" s="7" t="s">
        <v>123</v>
      </c>
      <c r="T45" s="29" t="s">
        <v>182</v>
      </c>
      <c r="U45" s="108">
        <f t="shared" si="0"/>
        <v>0.94</v>
      </c>
      <c r="V45" s="7" t="s">
        <v>1945</v>
      </c>
      <c r="W45" s="174" t="s">
        <v>3331</v>
      </c>
      <c r="X45" s="7" t="s">
        <v>3281</v>
      </c>
      <c r="Y45" s="7" t="s">
        <v>3102</v>
      </c>
    </row>
    <row r="46" spans="1:25" hidden="1" x14ac:dyDescent="0.3">
      <c r="A46" s="7">
        <v>45</v>
      </c>
      <c r="B46" s="29" t="s">
        <v>143</v>
      </c>
      <c r="C46" s="29" t="s">
        <v>2745</v>
      </c>
      <c r="D46" s="91">
        <v>10226071</v>
      </c>
      <c r="E46" s="29">
        <v>75</v>
      </c>
      <c r="F46" s="7">
        <v>61</v>
      </c>
      <c r="G46" s="7">
        <v>33</v>
      </c>
      <c r="H46" s="89" t="s">
        <v>65</v>
      </c>
      <c r="I46" s="89" t="s">
        <v>1082</v>
      </c>
      <c r="J46" s="7" t="s">
        <v>130</v>
      </c>
      <c r="K46" s="11">
        <v>0.98263888888888884</v>
      </c>
      <c r="L46" s="11">
        <v>3.8194444444444448E-2</v>
      </c>
      <c r="M46" s="7" t="s">
        <v>109</v>
      </c>
      <c r="N46" s="29" t="s">
        <v>109</v>
      </c>
      <c r="O46" s="29" t="s">
        <v>61</v>
      </c>
      <c r="P46" s="7" t="s">
        <v>131</v>
      </c>
      <c r="Q46" s="7" t="s">
        <v>3287</v>
      </c>
      <c r="R46" s="7" t="s">
        <v>62</v>
      </c>
      <c r="S46" s="7" t="s">
        <v>123</v>
      </c>
      <c r="T46" s="29" t="s">
        <v>182</v>
      </c>
      <c r="U46" s="108">
        <f t="shared" si="0"/>
        <v>0.44</v>
      </c>
      <c r="V46" s="7" t="s">
        <v>109</v>
      </c>
      <c r="W46" s="174" t="s">
        <v>3159</v>
      </c>
      <c r="X46" s="7" t="s">
        <v>3281</v>
      </c>
      <c r="Y46" s="7" t="s">
        <v>3102</v>
      </c>
    </row>
    <row r="47" spans="1:25" hidden="1" x14ac:dyDescent="0.3">
      <c r="A47" s="7">
        <v>46</v>
      </c>
      <c r="B47" s="29" t="s">
        <v>143</v>
      </c>
      <c r="C47" s="29" t="s">
        <v>2898</v>
      </c>
      <c r="D47" s="91">
        <v>10326022</v>
      </c>
      <c r="E47" s="29">
        <v>25</v>
      </c>
      <c r="F47" s="7">
        <v>43</v>
      </c>
      <c r="G47" s="7">
        <v>19</v>
      </c>
      <c r="H47" s="156" t="s">
        <v>153</v>
      </c>
      <c r="I47" s="89" t="s">
        <v>154</v>
      </c>
      <c r="J47" s="7" t="s">
        <v>130</v>
      </c>
      <c r="K47" s="11">
        <v>0.70277777777777772</v>
      </c>
      <c r="L47" s="11">
        <v>0.92847222222222225</v>
      </c>
      <c r="M47" s="7" t="s">
        <v>109</v>
      </c>
      <c r="N47" s="29" t="s">
        <v>109</v>
      </c>
      <c r="O47" s="29" t="s">
        <v>61</v>
      </c>
      <c r="P47" s="7" t="s">
        <v>131</v>
      </c>
      <c r="Q47" s="7" t="s">
        <v>154</v>
      </c>
      <c r="R47" s="7" t="s">
        <v>62</v>
      </c>
      <c r="S47" s="7" t="s">
        <v>123</v>
      </c>
      <c r="T47" s="29" t="s">
        <v>182</v>
      </c>
      <c r="U47" s="108">
        <f t="shared" si="0"/>
        <v>0.76</v>
      </c>
      <c r="V47" s="7" t="s">
        <v>152</v>
      </c>
      <c r="W47" s="174" t="s">
        <v>3312</v>
      </c>
      <c r="X47" s="7" t="s">
        <v>3387</v>
      </c>
      <c r="Y47" s="7" t="s">
        <v>3102</v>
      </c>
    </row>
    <row r="48" spans="1:25" hidden="1" x14ac:dyDescent="0.3">
      <c r="A48" s="7">
        <v>47</v>
      </c>
      <c r="B48" s="29" t="s">
        <v>143</v>
      </c>
      <c r="C48" s="29" t="s">
        <v>2899</v>
      </c>
      <c r="D48" s="91">
        <v>10326021</v>
      </c>
      <c r="E48" s="29">
        <v>128</v>
      </c>
      <c r="F48" s="7">
        <v>236</v>
      </c>
      <c r="G48" s="7">
        <v>106</v>
      </c>
      <c r="H48" s="7" t="s">
        <v>1560</v>
      </c>
      <c r="I48" s="7" t="s">
        <v>3070</v>
      </c>
      <c r="J48" s="7" t="s">
        <v>130</v>
      </c>
      <c r="K48" s="11">
        <v>0.69166666666666665</v>
      </c>
      <c r="L48" s="11">
        <v>0.77500000000000002</v>
      </c>
      <c r="M48" s="7" t="s">
        <v>109</v>
      </c>
      <c r="N48" s="29" t="s">
        <v>109</v>
      </c>
      <c r="O48" s="29" t="s">
        <v>61</v>
      </c>
      <c r="P48" s="7" t="s">
        <v>131</v>
      </c>
      <c r="Q48" s="7" t="s">
        <v>154</v>
      </c>
      <c r="R48" s="7" t="s">
        <v>62</v>
      </c>
      <c r="S48" s="7" t="s">
        <v>123</v>
      </c>
      <c r="T48" s="29" t="s">
        <v>351</v>
      </c>
      <c r="U48" s="108">
        <f t="shared" si="0"/>
        <v>0.828125</v>
      </c>
      <c r="V48" s="7" t="s">
        <v>1313</v>
      </c>
      <c r="W48" s="174" t="s">
        <v>3359</v>
      </c>
      <c r="X48" s="7" t="s">
        <v>109</v>
      </c>
      <c r="Y48" s="7" t="s">
        <v>109</v>
      </c>
    </row>
    <row r="49" spans="1:25" hidden="1" x14ac:dyDescent="0.3">
      <c r="A49" s="7">
        <v>48</v>
      </c>
      <c r="B49" s="29" t="s">
        <v>143</v>
      </c>
      <c r="C49" s="29" t="s">
        <v>779</v>
      </c>
      <c r="D49" s="91">
        <v>10126010</v>
      </c>
      <c r="E49" s="29">
        <v>150</v>
      </c>
      <c r="F49" s="7">
        <v>290</v>
      </c>
      <c r="G49" s="7">
        <v>35</v>
      </c>
      <c r="H49" s="7" t="s">
        <v>3007</v>
      </c>
      <c r="I49" s="173" t="s">
        <v>3389</v>
      </c>
      <c r="J49" s="7" t="s">
        <v>130</v>
      </c>
      <c r="K49" s="11">
        <v>0.96736111111111112</v>
      </c>
      <c r="L49" s="11">
        <v>0.98263888888888884</v>
      </c>
      <c r="M49" s="7" t="s">
        <v>109</v>
      </c>
      <c r="N49" s="29" t="s">
        <v>109</v>
      </c>
      <c r="O49" s="29" t="s">
        <v>61</v>
      </c>
      <c r="P49" s="7" t="s">
        <v>131</v>
      </c>
      <c r="Q49" s="7" t="s">
        <v>3287</v>
      </c>
      <c r="R49" s="7" t="s">
        <v>62</v>
      </c>
      <c r="S49" s="7" t="s">
        <v>123</v>
      </c>
      <c r="T49" s="29" t="s">
        <v>780</v>
      </c>
      <c r="U49" s="108">
        <f t="shared" si="0"/>
        <v>0.23333333333333334</v>
      </c>
      <c r="V49" s="7" t="s">
        <v>1313</v>
      </c>
      <c r="W49" s="174" t="s">
        <v>3362</v>
      </c>
      <c r="X49" s="7" t="s">
        <v>3282</v>
      </c>
      <c r="Y49" s="7" t="s">
        <v>3102</v>
      </c>
    </row>
    <row r="50" spans="1:25" hidden="1" x14ac:dyDescent="0.3">
      <c r="A50" s="7">
        <v>49</v>
      </c>
      <c r="B50" s="29" t="s">
        <v>23</v>
      </c>
      <c r="C50" s="29" t="s">
        <v>3196</v>
      </c>
      <c r="D50" s="29">
        <v>50326034</v>
      </c>
      <c r="E50" s="29">
        <v>65</v>
      </c>
      <c r="F50" s="7">
        <v>113</v>
      </c>
      <c r="G50" s="7">
        <v>90</v>
      </c>
      <c r="H50" s="173" t="s">
        <v>95</v>
      </c>
      <c r="I50" s="7" t="s">
        <v>109</v>
      </c>
      <c r="J50" s="7" t="s">
        <v>130</v>
      </c>
      <c r="K50" s="11">
        <v>0.70208333333333328</v>
      </c>
      <c r="L50" s="7" t="s">
        <v>109</v>
      </c>
      <c r="M50" s="7" t="s">
        <v>109</v>
      </c>
      <c r="N50" s="32" t="s">
        <v>3317</v>
      </c>
      <c r="O50" s="29" t="s">
        <v>61</v>
      </c>
      <c r="P50" s="7" t="s">
        <v>131</v>
      </c>
      <c r="Q50" s="7" t="s">
        <v>95</v>
      </c>
      <c r="R50" s="7" t="s">
        <v>62</v>
      </c>
      <c r="S50" s="7" t="s">
        <v>123</v>
      </c>
      <c r="T50" s="29" t="s">
        <v>424</v>
      </c>
      <c r="U50" s="108">
        <f t="shared" si="0"/>
        <v>1.3846153846153846</v>
      </c>
      <c r="V50" s="7" t="s">
        <v>1945</v>
      </c>
      <c r="W50" s="174" t="s">
        <v>3197</v>
      </c>
      <c r="X50" s="7" t="s">
        <v>3282</v>
      </c>
      <c r="Y50" s="7" t="s">
        <v>3101</v>
      </c>
    </row>
    <row r="51" spans="1:25" hidden="1" x14ac:dyDescent="0.3">
      <c r="A51" s="7">
        <v>50</v>
      </c>
      <c r="B51" s="29" t="s">
        <v>23</v>
      </c>
      <c r="C51" s="29" t="s">
        <v>3194</v>
      </c>
      <c r="D51" s="29">
        <v>50326035</v>
      </c>
      <c r="E51" s="29">
        <v>35</v>
      </c>
      <c r="F51" s="7">
        <v>48</v>
      </c>
      <c r="G51" s="7">
        <v>36</v>
      </c>
      <c r="H51" s="89" t="s">
        <v>241</v>
      </c>
      <c r="I51" s="7" t="s">
        <v>109</v>
      </c>
      <c r="J51" s="7" t="s">
        <v>130</v>
      </c>
      <c r="K51" s="11">
        <v>0.70486111111111116</v>
      </c>
      <c r="L51" s="7" t="s">
        <v>109</v>
      </c>
      <c r="M51" s="7" t="s">
        <v>109</v>
      </c>
      <c r="N51" s="32" t="s">
        <v>3317</v>
      </c>
      <c r="O51" s="29" t="s">
        <v>61</v>
      </c>
      <c r="P51" s="7" t="s">
        <v>131</v>
      </c>
      <c r="Q51" s="7" t="s">
        <v>241</v>
      </c>
      <c r="R51" s="7" t="s">
        <v>62</v>
      </c>
      <c r="S51" s="7" t="s">
        <v>123</v>
      </c>
      <c r="T51" s="29" t="s">
        <v>424</v>
      </c>
      <c r="U51" s="108">
        <f t="shared" si="0"/>
        <v>1.0285714285714285</v>
      </c>
      <c r="V51" s="7" t="s">
        <v>1945</v>
      </c>
      <c r="W51" s="174" t="s">
        <v>3195</v>
      </c>
      <c r="X51" s="7" t="s">
        <v>3282</v>
      </c>
      <c r="Y51" s="7" t="s">
        <v>3101</v>
      </c>
    </row>
    <row r="52" spans="1:25" hidden="1" x14ac:dyDescent="0.3">
      <c r="A52" s="7">
        <v>51</v>
      </c>
      <c r="B52" s="29" t="s">
        <v>23</v>
      </c>
      <c r="C52" s="29" t="s">
        <v>3192</v>
      </c>
      <c r="D52" s="29">
        <v>50326036</v>
      </c>
      <c r="E52" s="29">
        <v>50</v>
      </c>
      <c r="F52" s="7">
        <v>83</v>
      </c>
      <c r="G52" s="7">
        <v>61</v>
      </c>
      <c r="H52" s="89" t="s">
        <v>93</v>
      </c>
      <c r="I52" s="7" t="s">
        <v>109</v>
      </c>
      <c r="J52" s="7" t="s">
        <v>130</v>
      </c>
      <c r="K52" s="11">
        <v>0.75138888888888888</v>
      </c>
      <c r="L52" s="7" t="s">
        <v>109</v>
      </c>
      <c r="M52" s="7" t="s">
        <v>109</v>
      </c>
      <c r="N52" s="32" t="s">
        <v>3317</v>
      </c>
      <c r="O52" s="29" t="s">
        <v>61</v>
      </c>
      <c r="P52" s="7" t="s">
        <v>131</v>
      </c>
      <c r="Q52" s="7" t="s">
        <v>93</v>
      </c>
      <c r="R52" s="7" t="s">
        <v>62</v>
      </c>
      <c r="S52" s="7" t="s">
        <v>123</v>
      </c>
      <c r="T52" s="29" t="s">
        <v>424</v>
      </c>
      <c r="U52" s="108">
        <f t="shared" si="0"/>
        <v>1.22</v>
      </c>
      <c r="V52" s="7" t="s">
        <v>1945</v>
      </c>
      <c r="W52" s="174" t="s">
        <v>3193</v>
      </c>
      <c r="X52" s="7" t="s">
        <v>3282</v>
      </c>
      <c r="Y52" s="7" t="s">
        <v>3101</v>
      </c>
    </row>
    <row r="53" spans="1:25" hidden="1" x14ac:dyDescent="0.3">
      <c r="A53" s="7">
        <v>52</v>
      </c>
      <c r="B53" s="29" t="s">
        <v>23</v>
      </c>
      <c r="C53" s="29" t="s">
        <v>3190</v>
      </c>
      <c r="D53" s="29">
        <v>50326037</v>
      </c>
      <c r="E53" s="29">
        <v>100</v>
      </c>
      <c r="F53" s="7">
        <v>174</v>
      </c>
      <c r="G53" s="7">
        <v>80</v>
      </c>
      <c r="H53" s="173" t="s">
        <v>209</v>
      </c>
      <c r="I53" s="7" t="s">
        <v>109</v>
      </c>
      <c r="J53" s="7" t="s">
        <v>130</v>
      </c>
      <c r="K53" s="11">
        <v>0.74444444444444446</v>
      </c>
      <c r="L53" s="7" t="s">
        <v>109</v>
      </c>
      <c r="M53" s="7" t="s">
        <v>109</v>
      </c>
      <c r="N53" s="32" t="s">
        <v>3317</v>
      </c>
      <c r="O53" s="29" t="s">
        <v>61</v>
      </c>
      <c r="P53" s="7" t="s">
        <v>131</v>
      </c>
      <c r="Q53" s="7" t="s">
        <v>209</v>
      </c>
      <c r="R53" s="7" t="s">
        <v>62</v>
      </c>
      <c r="S53" s="7" t="s">
        <v>123</v>
      </c>
      <c r="T53" s="29" t="s">
        <v>424</v>
      </c>
      <c r="U53" s="108">
        <f t="shared" si="0"/>
        <v>0.8</v>
      </c>
      <c r="V53" s="7" t="s">
        <v>152</v>
      </c>
      <c r="W53" s="174" t="s">
        <v>3191</v>
      </c>
      <c r="X53" s="7" t="s">
        <v>3282</v>
      </c>
      <c r="Y53" s="7" t="s">
        <v>3101</v>
      </c>
    </row>
    <row r="54" spans="1:25" hidden="1" x14ac:dyDescent="0.3">
      <c r="A54" s="7">
        <v>53</v>
      </c>
      <c r="B54" s="29" t="s">
        <v>23</v>
      </c>
      <c r="C54" s="29" t="s">
        <v>3186</v>
      </c>
      <c r="D54" s="29">
        <v>50326039</v>
      </c>
      <c r="E54" s="29">
        <v>35</v>
      </c>
      <c r="F54" s="7">
        <v>36</v>
      </c>
      <c r="G54" s="7">
        <v>35</v>
      </c>
      <c r="H54" s="89" t="s">
        <v>71</v>
      </c>
      <c r="I54" s="7" t="s">
        <v>109</v>
      </c>
      <c r="J54" s="7" t="s">
        <v>130</v>
      </c>
      <c r="K54" s="11">
        <v>0.69861111111111107</v>
      </c>
      <c r="L54" s="7" t="s">
        <v>109</v>
      </c>
      <c r="M54" s="7" t="s">
        <v>109</v>
      </c>
      <c r="N54" s="32" t="s">
        <v>3317</v>
      </c>
      <c r="O54" s="29" t="s">
        <v>61</v>
      </c>
      <c r="P54" s="7" t="s">
        <v>131</v>
      </c>
      <c r="Q54" s="7" t="s">
        <v>71</v>
      </c>
      <c r="R54" s="7" t="s">
        <v>62</v>
      </c>
      <c r="S54" s="7" t="s">
        <v>123</v>
      </c>
      <c r="T54" s="29" t="s">
        <v>424</v>
      </c>
      <c r="U54" s="108">
        <f t="shared" si="0"/>
        <v>1</v>
      </c>
      <c r="V54" s="7" t="s">
        <v>1945</v>
      </c>
      <c r="W54" s="174" t="s">
        <v>3187</v>
      </c>
      <c r="X54" s="7" t="s">
        <v>3282</v>
      </c>
      <c r="Y54" s="7" t="s">
        <v>3101</v>
      </c>
    </row>
    <row r="55" spans="1:25" hidden="1" x14ac:dyDescent="0.3">
      <c r="A55" s="7">
        <v>54</v>
      </c>
      <c r="B55" s="29" t="s">
        <v>23</v>
      </c>
      <c r="C55" s="29" t="s">
        <v>3184</v>
      </c>
      <c r="D55" s="29">
        <v>50326033</v>
      </c>
      <c r="E55" s="29">
        <v>35</v>
      </c>
      <c r="F55" s="7">
        <v>62</v>
      </c>
      <c r="G55" s="7">
        <v>34</v>
      </c>
      <c r="H55" s="89" t="s">
        <v>214</v>
      </c>
      <c r="I55" s="7" t="s">
        <v>109</v>
      </c>
      <c r="J55" s="7" t="s">
        <v>130</v>
      </c>
      <c r="K55" s="11">
        <v>0.85277777777777775</v>
      </c>
      <c r="L55" s="7" t="s">
        <v>109</v>
      </c>
      <c r="M55" s="7" t="s">
        <v>109</v>
      </c>
      <c r="N55" s="32" t="s">
        <v>3317</v>
      </c>
      <c r="O55" s="29" t="s">
        <v>61</v>
      </c>
      <c r="P55" s="7" t="s">
        <v>131</v>
      </c>
      <c r="Q55" s="7" t="s">
        <v>214</v>
      </c>
      <c r="R55" s="7" t="s">
        <v>62</v>
      </c>
      <c r="S55" s="7" t="s">
        <v>123</v>
      </c>
      <c r="T55" s="29" t="s">
        <v>424</v>
      </c>
      <c r="U55" s="108">
        <f t="shared" si="0"/>
        <v>0.97142857142857142</v>
      </c>
      <c r="V55" s="7" t="s">
        <v>1945</v>
      </c>
      <c r="W55" s="174" t="s">
        <v>3185</v>
      </c>
      <c r="X55" s="7" t="s">
        <v>3282</v>
      </c>
      <c r="Y55" s="7" t="s">
        <v>3101</v>
      </c>
    </row>
    <row r="56" spans="1:25" hidden="1" x14ac:dyDescent="0.3">
      <c r="A56" s="7">
        <v>55</v>
      </c>
      <c r="B56" s="29" t="s">
        <v>23</v>
      </c>
      <c r="C56" s="29" t="s">
        <v>3176</v>
      </c>
      <c r="D56" s="29">
        <v>50326030</v>
      </c>
      <c r="E56" s="29">
        <v>45</v>
      </c>
      <c r="F56" s="7">
        <v>74</v>
      </c>
      <c r="G56" s="7">
        <v>51</v>
      </c>
      <c r="H56" s="89" t="s">
        <v>88</v>
      </c>
      <c r="I56" s="7" t="s">
        <v>109</v>
      </c>
      <c r="J56" s="7" t="s">
        <v>130</v>
      </c>
      <c r="K56" s="11">
        <v>0.87222222222222223</v>
      </c>
      <c r="L56" s="11" t="s">
        <v>109</v>
      </c>
      <c r="M56" s="7" t="s">
        <v>109</v>
      </c>
      <c r="N56" s="32" t="s">
        <v>3317</v>
      </c>
      <c r="O56" s="29" t="s">
        <v>61</v>
      </c>
      <c r="P56" s="7" t="s">
        <v>131</v>
      </c>
      <c r="Q56" s="7" t="s">
        <v>88</v>
      </c>
      <c r="R56" s="7" t="s">
        <v>62</v>
      </c>
      <c r="S56" s="7" t="s">
        <v>123</v>
      </c>
      <c r="T56" s="29" t="s">
        <v>424</v>
      </c>
      <c r="U56" s="108">
        <f t="shared" si="0"/>
        <v>1.1333333333333333</v>
      </c>
      <c r="V56" s="7" t="s">
        <v>1945</v>
      </c>
      <c r="W56" s="174" t="s">
        <v>3177</v>
      </c>
      <c r="X56" s="7" t="s">
        <v>3282</v>
      </c>
      <c r="Y56" s="7" t="s">
        <v>3101</v>
      </c>
    </row>
    <row r="57" spans="1:25" hidden="1" x14ac:dyDescent="0.3">
      <c r="A57" s="7">
        <v>56</v>
      </c>
      <c r="B57" s="29" t="s">
        <v>23</v>
      </c>
      <c r="C57" s="29" t="s">
        <v>526</v>
      </c>
      <c r="D57" s="29">
        <v>50126080</v>
      </c>
      <c r="E57" s="29">
        <v>50</v>
      </c>
      <c r="F57" s="7">
        <v>82</v>
      </c>
      <c r="G57" s="7">
        <v>35</v>
      </c>
      <c r="H57" s="173" t="s">
        <v>90</v>
      </c>
      <c r="I57" s="7" t="s">
        <v>109</v>
      </c>
      <c r="J57" s="7" t="s">
        <v>130</v>
      </c>
      <c r="K57" s="11">
        <v>0.95416666666666672</v>
      </c>
      <c r="L57" s="7" t="s">
        <v>109</v>
      </c>
      <c r="M57" s="7" t="s">
        <v>109</v>
      </c>
      <c r="N57" s="32" t="s">
        <v>3317</v>
      </c>
      <c r="O57" s="29" t="s">
        <v>61</v>
      </c>
      <c r="P57" s="7" t="s">
        <v>131</v>
      </c>
      <c r="Q57" s="7" t="s">
        <v>90</v>
      </c>
      <c r="R57" s="7" t="s">
        <v>62</v>
      </c>
      <c r="S57" s="7" t="s">
        <v>123</v>
      </c>
      <c r="T57" s="29" t="s">
        <v>424</v>
      </c>
      <c r="U57" s="108">
        <f t="shared" si="0"/>
        <v>0.7</v>
      </c>
      <c r="V57" s="7" t="s">
        <v>152</v>
      </c>
      <c r="W57" s="174" t="s">
        <v>3332</v>
      </c>
      <c r="X57" s="7" t="s">
        <v>109</v>
      </c>
      <c r="Y57" s="7" t="s">
        <v>109</v>
      </c>
    </row>
    <row r="58" spans="1:25" hidden="1" x14ac:dyDescent="0.3">
      <c r="A58" s="7">
        <v>57</v>
      </c>
      <c r="B58" s="29" t="s">
        <v>23</v>
      </c>
      <c r="C58" s="29" t="s">
        <v>932</v>
      </c>
      <c r="D58" s="29">
        <v>50126263</v>
      </c>
      <c r="E58" s="29">
        <v>95</v>
      </c>
      <c r="F58" s="7">
        <v>48</v>
      </c>
      <c r="G58" s="7">
        <v>34</v>
      </c>
      <c r="H58" s="173" t="s">
        <v>70</v>
      </c>
      <c r="I58" s="7" t="s">
        <v>109</v>
      </c>
      <c r="J58" s="7" t="s">
        <v>130</v>
      </c>
      <c r="K58" s="11">
        <v>0.8354166666666667</v>
      </c>
      <c r="L58" s="7" t="s">
        <v>109</v>
      </c>
      <c r="M58" s="7" t="s">
        <v>109</v>
      </c>
      <c r="N58" s="32" t="s">
        <v>3317</v>
      </c>
      <c r="O58" s="29" t="s">
        <v>61</v>
      </c>
      <c r="P58" s="7" t="s">
        <v>131</v>
      </c>
      <c r="Q58" s="7" t="s">
        <v>70</v>
      </c>
      <c r="R58" s="7" t="s">
        <v>62</v>
      </c>
      <c r="S58" s="7" t="s">
        <v>123</v>
      </c>
      <c r="T58" s="29" t="s">
        <v>424</v>
      </c>
      <c r="U58" s="108">
        <f t="shared" si="0"/>
        <v>0.35789473684210527</v>
      </c>
      <c r="V58" s="7" t="s">
        <v>152</v>
      </c>
      <c r="W58" s="174" t="s">
        <v>3349</v>
      </c>
      <c r="X58" s="7" t="s">
        <v>3282</v>
      </c>
      <c r="Y58" s="7" t="s">
        <v>3101</v>
      </c>
    </row>
    <row r="59" spans="1:25" hidden="1" x14ac:dyDescent="0.3">
      <c r="A59" s="7">
        <v>58</v>
      </c>
      <c r="B59" s="29" t="s">
        <v>23</v>
      </c>
      <c r="C59" s="29" t="s">
        <v>801</v>
      </c>
      <c r="D59" s="29">
        <v>50126196</v>
      </c>
      <c r="E59" s="29">
        <v>50</v>
      </c>
      <c r="F59" s="7">
        <v>109</v>
      </c>
      <c r="G59" s="7">
        <v>49</v>
      </c>
      <c r="H59" s="173" t="s">
        <v>86</v>
      </c>
      <c r="I59" s="7" t="s">
        <v>109</v>
      </c>
      <c r="J59" s="7" t="s">
        <v>130</v>
      </c>
      <c r="K59" s="11">
        <v>0.92708333333333337</v>
      </c>
      <c r="L59" s="7" t="s">
        <v>109</v>
      </c>
      <c r="M59" s="7" t="s">
        <v>109</v>
      </c>
      <c r="N59" s="29" t="s">
        <v>109</v>
      </c>
      <c r="O59" s="29" t="s">
        <v>61</v>
      </c>
      <c r="P59" s="7" t="s">
        <v>131</v>
      </c>
      <c r="Q59" s="7" t="s">
        <v>86</v>
      </c>
      <c r="R59" s="7" t="s">
        <v>62</v>
      </c>
      <c r="S59" s="7" t="s">
        <v>123</v>
      </c>
      <c r="T59" s="29" t="s">
        <v>424</v>
      </c>
      <c r="U59" s="108">
        <f t="shared" si="0"/>
        <v>0.98</v>
      </c>
      <c r="V59" s="7" t="s">
        <v>1945</v>
      </c>
      <c r="W59" s="174" t="s">
        <v>3333</v>
      </c>
      <c r="X59" s="7" t="s">
        <v>109</v>
      </c>
      <c r="Y59" s="7" t="s">
        <v>109</v>
      </c>
    </row>
    <row r="60" spans="1:25" hidden="1" x14ac:dyDescent="0.3">
      <c r="A60" s="7">
        <v>59</v>
      </c>
      <c r="B60" s="29" t="s">
        <v>23</v>
      </c>
      <c r="C60" s="29" t="s">
        <v>532</v>
      </c>
      <c r="D60" s="29">
        <v>50126057</v>
      </c>
      <c r="E60" s="29">
        <v>10</v>
      </c>
      <c r="F60" s="7">
        <v>19</v>
      </c>
      <c r="G60" s="7">
        <v>5</v>
      </c>
      <c r="H60" s="89" t="s">
        <v>88</v>
      </c>
      <c r="I60" s="7" t="s">
        <v>109</v>
      </c>
      <c r="J60" s="7" t="s">
        <v>130</v>
      </c>
      <c r="K60" s="11">
        <v>0.90486111111111112</v>
      </c>
      <c r="L60" s="7" t="s">
        <v>109</v>
      </c>
      <c r="M60" s="7" t="s">
        <v>109</v>
      </c>
      <c r="N60" s="29" t="s">
        <v>109</v>
      </c>
      <c r="O60" s="29" t="s">
        <v>61</v>
      </c>
      <c r="P60" s="7" t="s">
        <v>131</v>
      </c>
      <c r="Q60" s="7" t="s">
        <v>88</v>
      </c>
      <c r="R60" s="7" t="s">
        <v>62</v>
      </c>
      <c r="S60" s="7" t="s">
        <v>123</v>
      </c>
      <c r="T60" s="29" t="s">
        <v>424</v>
      </c>
      <c r="U60" s="108">
        <f t="shared" si="0"/>
        <v>0.5</v>
      </c>
      <c r="V60" s="7" t="s">
        <v>152</v>
      </c>
      <c r="W60" s="174" t="s">
        <v>3308</v>
      </c>
      <c r="X60" s="7" t="s">
        <v>3282</v>
      </c>
      <c r="Y60" s="7" t="s">
        <v>3101</v>
      </c>
    </row>
    <row r="61" spans="1:25" hidden="1" x14ac:dyDescent="0.3">
      <c r="A61" s="7">
        <v>60</v>
      </c>
      <c r="B61" s="29" t="s">
        <v>23</v>
      </c>
      <c r="C61" s="29" t="s">
        <v>726</v>
      </c>
      <c r="D61" s="29">
        <v>50126114</v>
      </c>
      <c r="E61" s="29">
        <v>30</v>
      </c>
      <c r="F61" s="7">
        <v>62</v>
      </c>
      <c r="G61" s="7">
        <v>36</v>
      </c>
      <c r="H61" s="89" t="s">
        <v>196</v>
      </c>
      <c r="I61" s="7" t="s">
        <v>109</v>
      </c>
      <c r="J61" s="7" t="s">
        <v>130</v>
      </c>
      <c r="K61" s="11">
        <v>0.65972222222222221</v>
      </c>
      <c r="L61" s="7" t="s">
        <v>109</v>
      </c>
      <c r="M61" s="7" t="s">
        <v>109</v>
      </c>
      <c r="N61" s="29" t="s">
        <v>109</v>
      </c>
      <c r="O61" s="29" t="s">
        <v>61</v>
      </c>
      <c r="P61" s="7" t="s">
        <v>131</v>
      </c>
      <c r="Q61" s="7" t="s">
        <v>196</v>
      </c>
      <c r="R61" s="7" t="s">
        <v>62</v>
      </c>
      <c r="S61" s="7" t="s">
        <v>123</v>
      </c>
      <c r="T61" s="29" t="s">
        <v>424</v>
      </c>
      <c r="U61" s="108">
        <f t="shared" si="0"/>
        <v>1.2</v>
      </c>
      <c r="V61" s="7" t="s">
        <v>1945</v>
      </c>
      <c r="W61" s="174" t="s">
        <v>3314</v>
      </c>
      <c r="X61" s="7" t="s">
        <v>3282</v>
      </c>
      <c r="Y61" s="7" t="s">
        <v>3101</v>
      </c>
    </row>
    <row r="62" spans="1:25" hidden="1" x14ac:dyDescent="0.3">
      <c r="A62" s="7">
        <v>61</v>
      </c>
      <c r="B62" s="29" t="s">
        <v>23</v>
      </c>
      <c r="C62" s="29" t="s">
        <v>3336</v>
      </c>
      <c r="D62" s="29">
        <v>50326046</v>
      </c>
      <c r="E62" s="29">
        <v>65</v>
      </c>
      <c r="F62" s="7">
        <v>78</v>
      </c>
      <c r="G62" s="7">
        <v>65</v>
      </c>
      <c r="H62" s="155" t="s">
        <v>91</v>
      </c>
      <c r="I62" s="7" t="s">
        <v>109</v>
      </c>
      <c r="J62" s="7" t="s">
        <v>130</v>
      </c>
      <c r="K62" s="11">
        <v>0.76249999999999996</v>
      </c>
      <c r="L62" s="7" t="s">
        <v>109</v>
      </c>
      <c r="M62" s="7" t="s">
        <v>109</v>
      </c>
      <c r="N62" s="29" t="s">
        <v>109</v>
      </c>
      <c r="O62" s="29" t="s">
        <v>61</v>
      </c>
      <c r="P62" s="7" t="s">
        <v>131</v>
      </c>
      <c r="Q62" s="7" t="s">
        <v>91</v>
      </c>
      <c r="R62" s="7" t="s">
        <v>62</v>
      </c>
      <c r="S62" s="7" t="s">
        <v>123</v>
      </c>
      <c r="T62" s="29" t="s">
        <v>424</v>
      </c>
      <c r="U62" s="108">
        <f t="shared" si="0"/>
        <v>1</v>
      </c>
      <c r="V62" s="7" t="s">
        <v>1945</v>
      </c>
      <c r="W62" s="174" t="s">
        <v>3337</v>
      </c>
      <c r="X62" s="7" t="s">
        <v>109</v>
      </c>
      <c r="Y62" s="7" t="s">
        <v>109</v>
      </c>
    </row>
    <row r="63" spans="1:25" hidden="1" x14ac:dyDescent="0.3">
      <c r="A63" s="7">
        <v>62</v>
      </c>
      <c r="B63" s="29" t="s">
        <v>23</v>
      </c>
      <c r="C63" s="29" t="s">
        <v>3338</v>
      </c>
      <c r="D63" s="29">
        <v>50326045</v>
      </c>
      <c r="E63" s="29">
        <v>65</v>
      </c>
      <c r="F63" s="7">
        <v>76</v>
      </c>
      <c r="G63" s="7">
        <v>70</v>
      </c>
      <c r="H63" s="7" t="s">
        <v>87</v>
      </c>
      <c r="I63" s="7" t="s">
        <v>109</v>
      </c>
      <c r="J63" s="7" t="s">
        <v>130</v>
      </c>
      <c r="K63" s="11">
        <v>0.94861111111111107</v>
      </c>
      <c r="L63" s="7" t="s">
        <v>109</v>
      </c>
      <c r="M63" s="7" t="s">
        <v>109</v>
      </c>
      <c r="N63" s="29" t="s">
        <v>109</v>
      </c>
      <c r="O63" s="29" t="s">
        <v>61</v>
      </c>
      <c r="P63" s="7" t="s">
        <v>131</v>
      </c>
      <c r="Q63" s="7" t="s">
        <v>87</v>
      </c>
      <c r="R63" s="7" t="s">
        <v>62</v>
      </c>
      <c r="S63" s="7" t="s">
        <v>123</v>
      </c>
      <c r="T63" s="29" t="s">
        <v>424</v>
      </c>
      <c r="U63" s="108">
        <f t="shared" si="0"/>
        <v>1.0769230769230769</v>
      </c>
      <c r="V63" s="7" t="s">
        <v>1945</v>
      </c>
      <c r="W63" s="174" t="s">
        <v>3339</v>
      </c>
      <c r="X63" s="7" t="s">
        <v>109</v>
      </c>
      <c r="Y63" s="7" t="s">
        <v>109</v>
      </c>
    </row>
    <row r="64" spans="1:25" hidden="1" x14ac:dyDescent="0.3">
      <c r="A64" s="7">
        <v>63</v>
      </c>
      <c r="B64" s="29" t="s">
        <v>23</v>
      </c>
      <c r="C64" s="29" t="s">
        <v>3310</v>
      </c>
      <c r="D64" s="29">
        <v>50326044</v>
      </c>
      <c r="E64" s="29">
        <v>20</v>
      </c>
      <c r="F64" s="7">
        <v>25</v>
      </c>
      <c r="G64" s="7">
        <v>19</v>
      </c>
      <c r="H64" s="89" t="s">
        <v>200</v>
      </c>
      <c r="I64" s="7" t="s">
        <v>109</v>
      </c>
      <c r="J64" s="7" t="s">
        <v>130</v>
      </c>
      <c r="K64" s="11">
        <v>0.81527777777777777</v>
      </c>
      <c r="L64" s="7" t="s">
        <v>109</v>
      </c>
      <c r="M64" s="7" t="s">
        <v>109</v>
      </c>
      <c r="N64" s="29" t="s">
        <v>109</v>
      </c>
      <c r="O64" s="29" t="s">
        <v>61</v>
      </c>
      <c r="P64" s="7" t="s">
        <v>131</v>
      </c>
      <c r="Q64" s="7" t="s">
        <v>200</v>
      </c>
      <c r="R64" s="7" t="s">
        <v>62</v>
      </c>
      <c r="S64" s="7" t="s">
        <v>123</v>
      </c>
      <c r="T64" s="29" t="s">
        <v>424</v>
      </c>
      <c r="U64" s="108">
        <f t="shared" si="0"/>
        <v>0.95</v>
      </c>
      <c r="V64" s="7" t="s">
        <v>1945</v>
      </c>
      <c r="W64" s="174" t="s">
        <v>3311</v>
      </c>
      <c r="X64" s="7" t="s">
        <v>109</v>
      </c>
      <c r="Y64" s="7" t="s">
        <v>109</v>
      </c>
    </row>
    <row r="65" spans="1:25" hidden="1" x14ac:dyDescent="0.3">
      <c r="A65" s="7">
        <v>64</v>
      </c>
      <c r="B65" s="29" t="s">
        <v>23</v>
      </c>
      <c r="C65" s="29" t="s">
        <v>3324</v>
      </c>
      <c r="D65" s="29">
        <v>50326047</v>
      </c>
      <c r="E65" s="29">
        <v>45</v>
      </c>
      <c r="F65" s="7">
        <v>61</v>
      </c>
      <c r="G65" s="7">
        <v>44</v>
      </c>
      <c r="H65" s="89" t="s">
        <v>154</v>
      </c>
      <c r="I65" s="7" t="s">
        <v>109</v>
      </c>
      <c r="J65" s="7" t="s">
        <v>130</v>
      </c>
      <c r="K65" s="11">
        <v>0.65763888888888888</v>
      </c>
      <c r="L65" s="7" t="s">
        <v>109</v>
      </c>
      <c r="M65" s="7" t="s">
        <v>109</v>
      </c>
      <c r="N65" s="29" t="s">
        <v>109</v>
      </c>
      <c r="O65" s="29" t="s">
        <v>61</v>
      </c>
      <c r="P65" s="7" t="s">
        <v>131</v>
      </c>
      <c r="Q65" s="7" t="s">
        <v>154</v>
      </c>
      <c r="R65" s="7" t="s">
        <v>62</v>
      </c>
      <c r="S65" s="7" t="s">
        <v>123</v>
      </c>
      <c r="T65" s="29" t="s">
        <v>424</v>
      </c>
      <c r="U65" s="108">
        <f t="shared" si="0"/>
        <v>0.97777777777777775</v>
      </c>
      <c r="V65" s="7" t="s">
        <v>1945</v>
      </c>
      <c r="W65" s="174" t="s">
        <v>3325</v>
      </c>
      <c r="X65" s="7" t="s">
        <v>109</v>
      </c>
      <c r="Y65" s="7" t="s">
        <v>109</v>
      </c>
    </row>
    <row r="66" spans="1:25" hidden="1" x14ac:dyDescent="0.3">
      <c r="A66" s="7">
        <v>65</v>
      </c>
      <c r="B66" s="29" t="s">
        <v>23</v>
      </c>
      <c r="C66" s="29" t="s">
        <v>3340</v>
      </c>
      <c r="D66" s="29">
        <v>50326048</v>
      </c>
      <c r="E66" s="29">
        <v>65</v>
      </c>
      <c r="F66" s="7">
        <v>101</v>
      </c>
      <c r="G66" s="7">
        <v>66</v>
      </c>
      <c r="H66" s="89" t="s">
        <v>1082</v>
      </c>
      <c r="I66" s="7" t="s">
        <v>109</v>
      </c>
      <c r="J66" s="7" t="s">
        <v>130</v>
      </c>
      <c r="K66" s="11">
        <v>0.79027777777777775</v>
      </c>
      <c r="L66" s="7" t="s">
        <v>109</v>
      </c>
      <c r="M66" s="7" t="s">
        <v>109</v>
      </c>
      <c r="N66" s="29" t="s">
        <v>109</v>
      </c>
      <c r="O66" s="29" t="s">
        <v>61</v>
      </c>
      <c r="P66" s="7" t="s">
        <v>131</v>
      </c>
      <c r="Q66" s="7" t="s">
        <v>3287</v>
      </c>
      <c r="R66" s="7" t="s">
        <v>62</v>
      </c>
      <c r="S66" s="7" t="s">
        <v>123</v>
      </c>
      <c r="T66" s="29" t="s">
        <v>424</v>
      </c>
      <c r="U66" s="108">
        <f t="shared" si="0"/>
        <v>1.0153846153846153</v>
      </c>
      <c r="V66" s="7" t="s">
        <v>1945</v>
      </c>
      <c r="W66" s="174" t="s">
        <v>3341</v>
      </c>
      <c r="X66" s="7" t="s">
        <v>109</v>
      </c>
      <c r="Y66" s="7" t="s">
        <v>109</v>
      </c>
    </row>
    <row r="67" spans="1:25" hidden="1" x14ac:dyDescent="0.3">
      <c r="A67" s="7">
        <v>66</v>
      </c>
      <c r="B67" s="29" t="s">
        <v>23</v>
      </c>
      <c r="C67" s="29" t="s">
        <v>2199</v>
      </c>
      <c r="D67" s="29">
        <v>50226057</v>
      </c>
      <c r="E67" s="29">
        <v>300</v>
      </c>
      <c r="F67" s="7">
        <v>685</v>
      </c>
      <c r="G67" s="7">
        <v>221</v>
      </c>
      <c r="H67" s="7" t="s">
        <v>2998</v>
      </c>
      <c r="I67" s="7" t="s">
        <v>109</v>
      </c>
      <c r="J67" s="7" t="s">
        <v>130</v>
      </c>
      <c r="K67" s="11">
        <v>0.99722222222222223</v>
      </c>
      <c r="L67" s="7" t="s">
        <v>109</v>
      </c>
      <c r="M67" s="7" t="s">
        <v>109</v>
      </c>
      <c r="N67" s="32" t="s">
        <v>1621</v>
      </c>
      <c r="O67" s="29" t="s">
        <v>61</v>
      </c>
      <c r="P67" s="7" t="s">
        <v>131</v>
      </c>
      <c r="Q67" s="7" t="s">
        <v>222</v>
      </c>
      <c r="R67" s="7" t="s">
        <v>62</v>
      </c>
      <c r="S67" s="7" t="s">
        <v>123</v>
      </c>
      <c r="T67" s="29" t="s">
        <v>289</v>
      </c>
      <c r="U67" s="108">
        <f t="shared" ref="U67:U90" si="1">G67/E67</f>
        <v>0.73666666666666669</v>
      </c>
      <c r="V67" s="7" t="s">
        <v>1313</v>
      </c>
      <c r="W67" s="174" t="s">
        <v>3259</v>
      </c>
      <c r="X67" s="7" t="s">
        <v>3282</v>
      </c>
      <c r="Y67" s="7" t="s">
        <v>3101</v>
      </c>
    </row>
    <row r="68" spans="1:25" hidden="1" x14ac:dyDescent="0.3">
      <c r="A68" s="7">
        <v>67</v>
      </c>
      <c r="B68" s="29" t="s">
        <v>23</v>
      </c>
      <c r="C68" s="29" t="s">
        <v>3278</v>
      </c>
      <c r="D68" s="29">
        <v>50326031</v>
      </c>
      <c r="E68" s="29">
        <v>100</v>
      </c>
      <c r="F68" s="7">
        <v>190</v>
      </c>
      <c r="G68" s="7">
        <v>68</v>
      </c>
      <c r="H68" s="89" t="s">
        <v>241</v>
      </c>
      <c r="I68" s="7" t="s">
        <v>109</v>
      </c>
      <c r="J68" s="7" t="s">
        <v>130</v>
      </c>
      <c r="K68" s="11">
        <v>0.77500000000000002</v>
      </c>
      <c r="L68" s="7" t="s">
        <v>109</v>
      </c>
      <c r="M68" s="7" t="s">
        <v>109</v>
      </c>
      <c r="N68" s="29" t="s">
        <v>109</v>
      </c>
      <c r="O68" s="29" t="s">
        <v>61</v>
      </c>
      <c r="P68" s="7" t="s">
        <v>131</v>
      </c>
      <c r="Q68" s="7" t="s">
        <v>241</v>
      </c>
      <c r="R68" s="7" t="s">
        <v>62</v>
      </c>
      <c r="S68" s="7" t="s">
        <v>123</v>
      </c>
      <c r="T68" s="29" t="s">
        <v>362</v>
      </c>
      <c r="U68" s="108">
        <f t="shared" si="1"/>
        <v>0.68</v>
      </c>
      <c r="V68" s="7" t="s">
        <v>1313</v>
      </c>
      <c r="W68" s="174" t="s">
        <v>3279</v>
      </c>
      <c r="X68" s="7" t="s">
        <v>109</v>
      </c>
      <c r="Y68" s="7" t="s">
        <v>109</v>
      </c>
    </row>
    <row r="69" spans="1:25" hidden="1" x14ac:dyDescent="0.3">
      <c r="A69" s="7">
        <v>68</v>
      </c>
      <c r="B69" s="29" t="s">
        <v>23</v>
      </c>
      <c r="C69" s="29" t="s">
        <v>758</v>
      </c>
      <c r="D69" s="91">
        <v>50126142</v>
      </c>
      <c r="E69" s="29">
        <v>200</v>
      </c>
      <c r="F69" s="7">
        <v>364</v>
      </c>
      <c r="G69" s="7">
        <v>63</v>
      </c>
      <c r="H69" s="89" t="s">
        <v>3024</v>
      </c>
      <c r="I69" s="7" t="s">
        <v>3390</v>
      </c>
      <c r="J69" s="7" t="s">
        <v>130</v>
      </c>
      <c r="K69" s="11">
        <v>0.8979166666666667</v>
      </c>
      <c r="L69" s="11">
        <v>0.98402777777777772</v>
      </c>
      <c r="M69" s="7" t="s">
        <v>109</v>
      </c>
      <c r="N69" s="29" t="s">
        <v>109</v>
      </c>
      <c r="O69" s="29" t="s">
        <v>61</v>
      </c>
      <c r="P69" s="7" t="s">
        <v>131</v>
      </c>
      <c r="Q69" s="7" t="s">
        <v>209</v>
      </c>
      <c r="R69" s="7" t="s">
        <v>62</v>
      </c>
      <c r="S69" s="7" t="s">
        <v>123</v>
      </c>
      <c r="T69" s="29" t="s">
        <v>480</v>
      </c>
      <c r="U69" s="108">
        <f t="shared" si="1"/>
        <v>0.315</v>
      </c>
      <c r="V69" s="7" t="s">
        <v>2391</v>
      </c>
      <c r="W69" s="174" t="s">
        <v>3268</v>
      </c>
      <c r="X69" s="7" t="s">
        <v>109</v>
      </c>
      <c r="Y69" s="7" t="s">
        <v>109</v>
      </c>
    </row>
    <row r="70" spans="1:25" hidden="1" x14ac:dyDescent="0.3">
      <c r="A70" s="7">
        <v>69</v>
      </c>
      <c r="B70" s="29" t="s">
        <v>23</v>
      </c>
      <c r="C70" s="29" t="s">
        <v>759</v>
      </c>
      <c r="D70" s="91">
        <v>50126147</v>
      </c>
      <c r="E70" s="29">
        <v>200</v>
      </c>
      <c r="F70" s="7">
        <v>341</v>
      </c>
      <c r="G70" s="7">
        <v>110</v>
      </c>
      <c r="H70" s="7" t="s">
        <v>938</v>
      </c>
      <c r="I70" s="7" t="s">
        <v>3367</v>
      </c>
      <c r="J70" s="7" t="s">
        <v>130</v>
      </c>
      <c r="K70" s="11">
        <v>0.84305555555555556</v>
      </c>
      <c r="L70" s="11">
        <v>0.91249999999999998</v>
      </c>
      <c r="M70" s="7" t="s">
        <v>109</v>
      </c>
      <c r="N70" s="29" t="s">
        <v>109</v>
      </c>
      <c r="O70" s="29" t="s">
        <v>61</v>
      </c>
      <c r="P70" s="7" t="s">
        <v>131</v>
      </c>
      <c r="Q70" s="7" t="s">
        <v>90</v>
      </c>
      <c r="R70" s="7" t="s">
        <v>62</v>
      </c>
      <c r="S70" s="7" t="s">
        <v>123</v>
      </c>
      <c r="T70" s="29" t="s">
        <v>480</v>
      </c>
      <c r="U70" s="108">
        <f t="shared" si="1"/>
        <v>0.55000000000000004</v>
      </c>
      <c r="V70" s="7" t="s">
        <v>1313</v>
      </c>
      <c r="W70" s="174" t="s">
        <v>3368</v>
      </c>
      <c r="X70" s="7" t="s">
        <v>109</v>
      </c>
      <c r="Y70" s="7" t="s">
        <v>109</v>
      </c>
    </row>
    <row r="71" spans="1:25" hidden="1" x14ac:dyDescent="0.3">
      <c r="A71" s="7">
        <v>70</v>
      </c>
      <c r="B71" s="29" t="s">
        <v>23</v>
      </c>
      <c r="C71" s="29" t="s">
        <v>1054</v>
      </c>
      <c r="D71" s="91">
        <v>50126315</v>
      </c>
      <c r="E71" s="29">
        <v>300</v>
      </c>
      <c r="F71" s="7">
        <v>475</v>
      </c>
      <c r="G71" s="7">
        <v>155</v>
      </c>
      <c r="H71" s="7" t="s">
        <v>3369</v>
      </c>
      <c r="I71" s="7" t="s">
        <v>3371</v>
      </c>
      <c r="J71" s="7" t="s">
        <v>130</v>
      </c>
      <c r="K71" s="11">
        <v>0.97361111111111109</v>
      </c>
      <c r="L71" s="11">
        <v>0.9868055555555556</v>
      </c>
      <c r="M71" s="7" t="s">
        <v>109</v>
      </c>
      <c r="N71" s="29" t="s">
        <v>109</v>
      </c>
      <c r="O71" s="29" t="s">
        <v>61</v>
      </c>
      <c r="P71" s="7" t="s">
        <v>131</v>
      </c>
      <c r="Q71" s="7" t="s">
        <v>93</v>
      </c>
      <c r="R71" s="7" t="s">
        <v>62</v>
      </c>
      <c r="S71" s="7" t="s">
        <v>123</v>
      </c>
      <c r="T71" s="29" t="s">
        <v>480</v>
      </c>
      <c r="U71" s="108">
        <f t="shared" si="1"/>
        <v>0.51666666666666672</v>
      </c>
      <c r="V71" s="7" t="s">
        <v>2391</v>
      </c>
      <c r="W71" s="174" t="s">
        <v>3273</v>
      </c>
      <c r="X71" s="7" t="s">
        <v>109</v>
      </c>
      <c r="Y71" s="7" t="s">
        <v>109</v>
      </c>
    </row>
    <row r="72" spans="1:25" hidden="1" x14ac:dyDescent="0.3">
      <c r="A72" s="7">
        <v>71</v>
      </c>
      <c r="B72" s="29" t="s">
        <v>23</v>
      </c>
      <c r="C72" s="29" t="s">
        <v>980</v>
      </c>
      <c r="D72" s="29">
        <v>50126278</v>
      </c>
      <c r="E72" s="29">
        <v>600</v>
      </c>
      <c r="F72" s="7">
        <v>990</v>
      </c>
      <c r="G72" s="7">
        <v>489</v>
      </c>
      <c r="H72" s="7" t="s">
        <v>3392</v>
      </c>
      <c r="I72" s="7" t="s">
        <v>109</v>
      </c>
      <c r="J72" s="7" t="s">
        <v>130</v>
      </c>
      <c r="K72" s="11">
        <v>0.9194444444444444</v>
      </c>
      <c r="L72" s="7" t="s">
        <v>109</v>
      </c>
      <c r="M72" s="7" t="s">
        <v>109</v>
      </c>
      <c r="N72" s="32" t="s">
        <v>1621</v>
      </c>
      <c r="O72" s="29" t="s">
        <v>61</v>
      </c>
      <c r="P72" s="7" t="s">
        <v>131</v>
      </c>
      <c r="Q72" s="7" t="s">
        <v>86</v>
      </c>
      <c r="R72" s="7" t="s">
        <v>62</v>
      </c>
      <c r="S72" s="7" t="s">
        <v>123</v>
      </c>
      <c r="T72" s="29" t="s">
        <v>334</v>
      </c>
      <c r="U72" s="108">
        <f t="shared" si="1"/>
        <v>0.81499999999999995</v>
      </c>
      <c r="V72" s="7" t="s">
        <v>1945</v>
      </c>
      <c r="W72" s="174" t="s">
        <v>3378</v>
      </c>
      <c r="X72" s="7" t="s">
        <v>109</v>
      </c>
      <c r="Y72" s="7" t="s">
        <v>109</v>
      </c>
    </row>
    <row r="73" spans="1:25" hidden="1" x14ac:dyDescent="0.3">
      <c r="A73" s="7">
        <v>72</v>
      </c>
      <c r="B73" s="29" t="s">
        <v>23</v>
      </c>
      <c r="C73" s="29" t="s">
        <v>985</v>
      </c>
      <c r="D73" s="29">
        <v>50126273</v>
      </c>
      <c r="E73" s="29">
        <v>150</v>
      </c>
      <c r="F73" s="7">
        <v>198</v>
      </c>
      <c r="G73" s="7">
        <v>165</v>
      </c>
      <c r="H73" s="7" t="s">
        <v>2131</v>
      </c>
      <c r="I73" s="7" t="s">
        <v>109</v>
      </c>
      <c r="J73" s="7" t="s">
        <v>130</v>
      </c>
      <c r="K73" s="11">
        <v>0.93819444444444444</v>
      </c>
      <c r="L73" s="7" t="s">
        <v>109</v>
      </c>
      <c r="M73" s="7" t="s">
        <v>109</v>
      </c>
      <c r="N73" s="32" t="s">
        <v>1621</v>
      </c>
      <c r="O73" s="29" t="s">
        <v>61</v>
      </c>
      <c r="P73" s="7" t="s">
        <v>131</v>
      </c>
      <c r="Q73" s="7" t="s">
        <v>274</v>
      </c>
      <c r="R73" s="7" t="s">
        <v>62</v>
      </c>
      <c r="S73" s="7" t="s">
        <v>123</v>
      </c>
      <c r="T73" s="29" t="s">
        <v>334</v>
      </c>
      <c r="U73" s="108">
        <f t="shared" si="1"/>
        <v>1.1000000000000001</v>
      </c>
      <c r="V73" s="7" t="s">
        <v>1945</v>
      </c>
      <c r="W73" s="174" t="s">
        <v>3363</v>
      </c>
      <c r="X73" s="7" t="s">
        <v>109</v>
      </c>
      <c r="Y73" s="7" t="s">
        <v>109</v>
      </c>
    </row>
    <row r="74" spans="1:25" hidden="1" x14ac:dyDescent="0.3">
      <c r="A74" s="7">
        <v>73</v>
      </c>
      <c r="B74" s="29" t="s">
        <v>23</v>
      </c>
      <c r="C74" s="29" t="s">
        <v>982</v>
      </c>
      <c r="D74" s="29">
        <v>50126277</v>
      </c>
      <c r="E74" s="29">
        <v>150</v>
      </c>
      <c r="F74" s="7">
        <v>216</v>
      </c>
      <c r="G74" s="7">
        <v>150</v>
      </c>
      <c r="H74" s="7" t="s">
        <v>938</v>
      </c>
      <c r="I74" s="7" t="s">
        <v>109</v>
      </c>
      <c r="J74" s="7" t="s">
        <v>130</v>
      </c>
      <c r="K74" s="11">
        <v>0.76458333333333328</v>
      </c>
      <c r="L74" s="7" t="s">
        <v>109</v>
      </c>
      <c r="M74" s="7" t="s">
        <v>109</v>
      </c>
      <c r="N74" s="32" t="s">
        <v>1621</v>
      </c>
      <c r="O74" s="29" t="s">
        <v>61</v>
      </c>
      <c r="P74" s="7" t="s">
        <v>131</v>
      </c>
      <c r="Q74" s="7" t="s">
        <v>69</v>
      </c>
      <c r="R74" s="7" t="s">
        <v>62</v>
      </c>
      <c r="S74" s="7" t="s">
        <v>123</v>
      </c>
      <c r="T74" s="29" t="s">
        <v>334</v>
      </c>
      <c r="U74" s="108">
        <f t="shared" si="1"/>
        <v>1</v>
      </c>
      <c r="V74" s="7" t="s">
        <v>1945</v>
      </c>
      <c r="W74" s="174" t="s">
        <v>3261</v>
      </c>
      <c r="X74" s="7" t="s">
        <v>109</v>
      </c>
      <c r="Y74" s="7" t="s">
        <v>109</v>
      </c>
    </row>
    <row r="75" spans="1:25" hidden="1" x14ac:dyDescent="0.3">
      <c r="A75" s="7">
        <v>74</v>
      </c>
      <c r="B75" s="29" t="s">
        <v>23</v>
      </c>
      <c r="C75" s="29" t="s">
        <v>2159</v>
      </c>
      <c r="D75" s="29">
        <v>50226068</v>
      </c>
      <c r="E75" s="29">
        <v>100</v>
      </c>
      <c r="F75" s="7">
        <v>179</v>
      </c>
      <c r="G75" s="7">
        <v>102</v>
      </c>
      <c r="H75" s="89" t="s">
        <v>71</v>
      </c>
      <c r="I75" s="7" t="s">
        <v>109</v>
      </c>
      <c r="J75" s="7" t="s">
        <v>130</v>
      </c>
      <c r="K75" s="11">
        <v>5.5555555555555558E-3</v>
      </c>
      <c r="L75" s="7" t="s">
        <v>109</v>
      </c>
      <c r="M75" s="7" t="s">
        <v>109</v>
      </c>
      <c r="N75" s="29" t="s">
        <v>109</v>
      </c>
      <c r="O75" s="29" t="s">
        <v>61</v>
      </c>
      <c r="P75" s="7" t="s">
        <v>131</v>
      </c>
      <c r="Q75" s="7" t="s">
        <v>71</v>
      </c>
      <c r="R75" s="7" t="s">
        <v>62</v>
      </c>
      <c r="S75" s="7" t="s">
        <v>123</v>
      </c>
      <c r="T75" s="29" t="s">
        <v>2160</v>
      </c>
      <c r="U75" s="108">
        <f t="shared" si="1"/>
        <v>1.02</v>
      </c>
      <c r="V75" s="7" t="s">
        <v>1945</v>
      </c>
      <c r="W75" s="174" t="s">
        <v>3355</v>
      </c>
      <c r="X75" s="7" t="s">
        <v>3282</v>
      </c>
      <c r="Y75" s="7" t="s">
        <v>3101</v>
      </c>
    </row>
    <row r="76" spans="1:25" hidden="1" x14ac:dyDescent="0.3">
      <c r="A76" s="7">
        <v>75</v>
      </c>
      <c r="B76" s="29" t="s">
        <v>23</v>
      </c>
      <c r="C76" s="29" t="s">
        <v>981</v>
      </c>
      <c r="D76" s="29">
        <v>50126275</v>
      </c>
      <c r="E76" s="29">
        <v>100</v>
      </c>
      <c r="F76" s="7">
        <v>128</v>
      </c>
      <c r="G76" s="7">
        <v>102</v>
      </c>
      <c r="H76" s="7" t="s">
        <v>214</v>
      </c>
      <c r="I76" s="7" t="s">
        <v>109</v>
      </c>
      <c r="J76" s="7" t="s">
        <v>130</v>
      </c>
      <c r="K76" s="11">
        <v>0.80069444444444449</v>
      </c>
      <c r="L76" s="7" t="s">
        <v>109</v>
      </c>
      <c r="M76" s="7" t="s">
        <v>109</v>
      </c>
      <c r="N76" s="29" t="s">
        <v>109</v>
      </c>
      <c r="O76" s="29" t="s">
        <v>61</v>
      </c>
      <c r="P76" s="7" t="s">
        <v>131</v>
      </c>
      <c r="Q76" s="7" t="s">
        <v>214</v>
      </c>
      <c r="R76" s="7" t="s">
        <v>62</v>
      </c>
      <c r="S76" s="7" t="s">
        <v>123</v>
      </c>
      <c r="T76" s="29" t="s">
        <v>334</v>
      </c>
      <c r="U76" s="108">
        <f t="shared" si="1"/>
        <v>1.02</v>
      </c>
      <c r="V76" s="7" t="s">
        <v>1945</v>
      </c>
      <c r="W76" s="174" t="s">
        <v>3263</v>
      </c>
      <c r="X76" s="7" t="s">
        <v>109</v>
      </c>
      <c r="Y76" s="7" t="s">
        <v>109</v>
      </c>
    </row>
    <row r="77" spans="1:25" hidden="1" x14ac:dyDescent="0.3">
      <c r="A77" s="7">
        <v>76</v>
      </c>
      <c r="B77" s="29" t="s">
        <v>23</v>
      </c>
      <c r="C77" s="29" t="s">
        <v>977</v>
      </c>
      <c r="D77" s="29">
        <v>50126274</v>
      </c>
      <c r="E77" s="29">
        <v>50</v>
      </c>
      <c r="F77" s="7">
        <v>61</v>
      </c>
      <c r="G77" s="7">
        <v>43</v>
      </c>
      <c r="H77" s="156" t="s">
        <v>84</v>
      </c>
      <c r="I77" s="7" t="s">
        <v>109</v>
      </c>
      <c r="J77" s="7" t="s">
        <v>130</v>
      </c>
      <c r="K77" s="11">
        <v>2.9861111111111113E-2</v>
      </c>
      <c r="L77" s="7" t="s">
        <v>109</v>
      </c>
      <c r="M77" s="7" t="s">
        <v>109</v>
      </c>
      <c r="N77" s="29" t="s">
        <v>109</v>
      </c>
      <c r="O77" s="29" t="s">
        <v>61</v>
      </c>
      <c r="P77" s="7" t="s">
        <v>131</v>
      </c>
      <c r="Q77" s="7" t="s">
        <v>84</v>
      </c>
      <c r="R77" s="7" t="s">
        <v>62</v>
      </c>
      <c r="S77" s="7" t="s">
        <v>123</v>
      </c>
      <c r="T77" s="29" t="s">
        <v>334</v>
      </c>
      <c r="U77" s="108">
        <f t="shared" si="1"/>
        <v>0.86</v>
      </c>
      <c r="V77" s="7" t="s">
        <v>1945</v>
      </c>
      <c r="W77" s="174" t="s">
        <v>3334</v>
      </c>
      <c r="X77" s="7" t="s">
        <v>109</v>
      </c>
      <c r="Y77" s="7" t="s">
        <v>109</v>
      </c>
    </row>
    <row r="78" spans="1:25" hidden="1" x14ac:dyDescent="0.3">
      <c r="A78" s="7">
        <v>77</v>
      </c>
      <c r="B78" s="29" t="s">
        <v>23</v>
      </c>
      <c r="C78" s="29" t="s">
        <v>978</v>
      </c>
      <c r="D78" s="29">
        <v>50126276</v>
      </c>
      <c r="E78" s="29">
        <v>50</v>
      </c>
      <c r="F78" s="7">
        <v>60</v>
      </c>
      <c r="G78" s="7">
        <v>51</v>
      </c>
      <c r="H78" s="156" t="s">
        <v>70</v>
      </c>
      <c r="I78" s="7" t="s">
        <v>109</v>
      </c>
      <c r="J78" s="7" t="s">
        <v>130</v>
      </c>
      <c r="K78" s="11">
        <v>0.71736111111111112</v>
      </c>
      <c r="L78" s="7" t="s">
        <v>109</v>
      </c>
      <c r="M78" s="7" t="s">
        <v>109</v>
      </c>
      <c r="N78" s="29" t="s">
        <v>109</v>
      </c>
      <c r="O78" s="29" t="s">
        <v>61</v>
      </c>
      <c r="P78" s="7" t="s">
        <v>131</v>
      </c>
      <c r="Q78" s="7" t="s">
        <v>70</v>
      </c>
      <c r="R78" s="7" t="s">
        <v>62</v>
      </c>
      <c r="S78" s="7" t="s">
        <v>123</v>
      </c>
      <c r="T78" s="29" t="s">
        <v>334</v>
      </c>
      <c r="U78" s="108">
        <f t="shared" si="1"/>
        <v>1.02</v>
      </c>
      <c r="V78" s="7" t="s">
        <v>1945</v>
      </c>
      <c r="W78" s="174" t="s">
        <v>3335</v>
      </c>
      <c r="X78" s="7" t="s">
        <v>109</v>
      </c>
      <c r="Y78" s="7" t="s">
        <v>109</v>
      </c>
    </row>
    <row r="79" spans="1:25" hidden="1" x14ac:dyDescent="0.3">
      <c r="A79" s="7">
        <v>78</v>
      </c>
      <c r="B79" s="29" t="s">
        <v>23</v>
      </c>
      <c r="C79" s="29" t="s">
        <v>2117</v>
      </c>
      <c r="D79" s="29">
        <v>50226054</v>
      </c>
      <c r="E79" s="29">
        <v>100</v>
      </c>
      <c r="F79" s="7">
        <v>101</v>
      </c>
      <c r="G79" s="7">
        <v>25</v>
      </c>
      <c r="H79" s="7" t="s">
        <v>70</v>
      </c>
      <c r="I79" s="7" t="s">
        <v>109</v>
      </c>
      <c r="J79" s="7" t="s">
        <v>130</v>
      </c>
      <c r="K79" s="11">
        <v>9.0277777777777769E-3</v>
      </c>
      <c r="L79" s="7" t="s">
        <v>109</v>
      </c>
      <c r="M79" s="7" t="s">
        <v>109</v>
      </c>
      <c r="N79" s="29" t="s">
        <v>109</v>
      </c>
      <c r="O79" s="29" t="s">
        <v>61</v>
      </c>
      <c r="P79" s="7" t="s">
        <v>131</v>
      </c>
      <c r="Q79" s="7" t="s">
        <v>70</v>
      </c>
      <c r="R79" s="7" t="s">
        <v>62</v>
      </c>
      <c r="S79" s="7" t="s">
        <v>123</v>
      </c>
      <c r="T79" s="29" t="s">
        <v>289</v>
      </c>
      <c r="U79" s="108">
        <f t="shared" si="1"/>
        <v>0.25</v>
      </c>
      <c r="V79" s="7" t="s">
        <v>2391</v>
      </c>
      <c r="W79" s="174" t="s">
        <v>3256</v>
      </c>
      <c r="X79" s="7" t="s">
        <v>109</v>
      </c>
      <c r="Y79" s="7" t="s">
        <v>109</v>
      </c>
    </row>
    <row r="80" spans="1:25" hidden="1" x14ac:dyDescent="0.3">
      <c r="A80" s="7">
        <v>79</v>
      </c>
      <c r="B80" s="29" t="s">
        <v>2395</v>
      </c>
      <c r="C80" s="29" t="s">
        <v>2393</v>
      </c>
      <c r="D80" s="91">
        <v>40226009</v>
      </c>
      <c r="E80" s="29">
        <v>250</v>
      </c>
      <c r="F80" s="7">
        <v>413</v>
      </c>
      <c r="G80" s="7">
        <v>76</v>
      </c>
      <c r="H80" s="7" t="s">
        <v>3369</v>
      </c>
      <c r="I80" s="7" t="s">
        <v>3370</v>
      </c>
      <c r="J80" s="7" t="s">
        <v>130</v>
      </c>
      <c r="K80" s="11">
        <v>0.85347222222222219</v>
      </c>
      <c r="L80" s="11">
        <v>0.92569444444444449</v>
      </c>
      <c r="M80" s="7" t="s">
        <v>109</v>
      </c>
      <c r="N80" s="32" t="s">
        <v>3009</v>
      </c>
      <c r="O80" s="29" t="s">
        <v>145</v>
      </c>
      <c r="P80" s="7" t="s">
        <v>131</v>
      </c>
      <c r="Q80" s="7" t="s">
        <v>154</v>
      </c>
      <c r="R80" s="7" t="s">
        <v>62</v>
      </c>
      <c r="S80" s="7" t="s">
        <v>123</v>
      </c>
      <c r="T80" s="29" t="s">
        <v>2430</v>
      </c>
      <c r="U80" s="108">
        <f t="shared" si="1"/>
        <v>0.30399999999999999</v>
      </c>
      <c r="V80" s="7" t="s">
        <v>2629</v>
      </c>
      <c r="W80" s="174" t="s">
        <v>3219</v>
      </c>
      <c r="X80" s="7" t="s">
        <v>3282</v>
      </c>
      <c r="Y80" s="7" t="s">
        <v>3102</v>
      </c>
    </row>
    <row r="81" spans="1:25" hidden="1" x14ac:dyDescent="0.3">
      <c r="A81" s="7">
        <v>80</v>
      </c>
      <c r="B81" s="89" t="s">
        <v>143</v>
      </c>
      <c r="C81" s="89" t="s">
        <v>3068</v>
      </c>
      <c r="D81" s="89">
        <v>10326031</v>
      </c>
      <c r="E81" s="89">
        <v>30</v>
      </c>
      <c r="F81" s="7">
        <v>62</v>
      </c>
      <c r="G81" s="7">
        <v>28</v>
      </c>
      <c r="H81" s="89" t="s">
        <v>184</v>
      </c>
      <c r="I81" s="173" t="s">
        <v>90</v>
      </c>
      <c r="J81" s="7" t="s">
        <v>130</v>
      </c>
      <c r="K81" s="11">
        <v>0.71180555555555558</v>
      </c>
      <c r="L81" s="11">
        <v>0.79374999999999996</v>
      </c>
      <c r="M81" s="7" t="s">
        <v>109</v>
      </c>
      <c r="N81" s="32" t="s">
        <v>3384</v>
      </c>
      <c r="O81" s="29" t="s">
        <v>61</v>
      </c>
      <c r="P81" s="7" t="s">
        <v>131</v>
      </c>
      <c r="Q81" s="7" t="s">
        <v>90</v>
      </c>
      <c r="R81" s="74" t="s">
        <v>62</v>
      </c>
      <c r="S81" s="7" t="s">
        <v>878</v>
      </c>
      <c r="T81" s="89" t="s">
        <v>398</v>
      </c>
      <c r="U81" s="108">
        <f t="shared" si="1"/>
        <v>0.93333333333333335</v>
      </c>
      <c r="V81" s="7" t="s">
        <v>1945</v>
      </c>
      <c r="W81" s="175" t="s">
        <v>3163</v>
      </c>
      <c r="X81" s="7" t="s">
        <v>3281</v>
      </c>
      <c r="Y81" s="7" t="s">
        <v>3102</v>
      </c>
    </row>
    <row r="82" spans="1:25" hidden="1" x14ac:dyDescent="0.3">
      <c r="A82" s="7">
        <v>81</v>
      </c>
      <c r="B82" s="89" t="s">
        <v>143</v>
      </c>
      <c r="C82" s="89" t="s">
        <v>2664</v>
      </c>
      <c r="D82" s="89">
        <v>10226063</v>
      </c>
      <c r="E82" s="89">
        <v>15</v>
      </c>
      <c r="F82" s="7">
        <v>57</v>
      </c>
      <c r="G82" s="7">
        <v>15</v>
      </c>
      <c r="H82" s="7" t="s">
        <v>71</v>
      </c>
      <c r="I82" s="155" t="s">
        <v>87</v>
      </c>
      <c r="J82" s="7" t="s">
        <v>130</v>
      </c>
      <c r="K82" s="11">
        <v>0.85972222222222228</v>
      </c>
      <c r="L82" s="11">
        <v>0.92569444444444449</v>
      </c>
      <c r="M82" s="7" t="s">
        <v>109</v>
      </c>
      <c r="N82" s="7" t="s">
        <v>109</v>
      </c>
      <c r="O82" s="29" t="s">
        <v>61</v>
      </c>
      <c r="P82" s="7" t="s">
        <v>131</v>
      </c>
      <c r="Q82" s="7" t="s">
        <v>603</v>
      </c>
      <c r="R82" s="74" t="s">
        <v>62</v>
      </c>
      <c r="S82" s="7" t="s">
        <v>878</v>
      </c>
      <c r="T82" s="89" t="s">
        <v>398</v>
      </c>
      <c r="U82" s="108">
        <f t="shared" si="1"/>
        <v>1</v>
      </c>
      <c r="V82" s="7" t="s">
        <v>1945</v>
      </c>
      <c r="W82" s="175" t="s">
        <v>3302</v>
      </c>
      <c r="X82" s="7" t="s">
        <v>3281</v>
      </c>
      <c r="Y82" s="7" t="s">
        <v>3102</v>
      </c>
    </row>
    <row r="83" spans="1:25" hidden="1" x14ac:dyDescent="0.3">
      <c r="A83" s="69">
        <v>82</v>
      </c>
      <c r="B83" s="69" t="s">
        <v>23</v>
      </c>
      <c r="C83" s="69" t="s">
        <v>1702</v>
      </c>
      <c r="D83" s="69">
        <v>50126360</v>
      </c>
      <c r="E83" s="69">
        <v>15</v>
      </c>
      <c r="F83" s="69">
        <v>47</v>
      </c>
      <c r="G83" s="69">
        <v>18</v>
      </c>
      <c r="H83" s="69" t="s">
        <v>200</v>
      </c>
      <c r="I83" s="69" t="s">
        <v>91</v>
      </c>
      <c r="J83" s="69" t="s">
        <v>130</v>
      </c>
      <c r="K83" s="100">
        <v>0.8354166666666667</v>
      </c>
      <c r="L83" s="100">
        <v>0.85069444444444442</v>
      </c>
      <c r="M83" s="69" t="s">
        <v>109</v>
      </c>
      <c r="N83" s="69" t="s">
        <v>3393</v>
      </c>
      <c r="O83" s="69" t="s">
        <v>145</v>
      </c>
      <c r="P83" s="69" t="s">
        <v>131</v>
      </c>
      <c r="Q83" s="69" t="s">
        <v>91</v>
      </c>
      <c r="R83" s="104" t="s">
        <v>62</v>
      </c>
      <c r="S83" s="69" t="s">
        <v>1525</v>
      </c>
      <c r="T83" s="69" t="s">
        <v>1568</v>
      </c>
      <c r="U83" s="119">
        <f t="shared" si="1"/>
        <v>1.2</v>
      </c>
      <c r="V83" s="69" t="s">
        <v>1945</v>
      </c>
      <c r="W83" s="177" t="s">
        <v>3394</v>
      </c>
      <c r="X83" s="69" t="s">
        <v>3282</v>
      </c>
      <c r="Y83" s="69" t="s">
        <v>3101</v>
      </c>
    </row>
    <row r="84" spans="1:25" hidden="1" x14ac:dyDescent="0.3">
      <c r="A84" s="7">
        <v>83</v>
      </c>
      <c r="B84" s="7" t="s">
        <v>23</v>
      </c>
      <c r="C84" s="7" t="s">
        <v>2484</v>
      </c>
      <c r="D84" s="7">
        <v>50226100</v>
      </c>
      <c r="E84" s="7">
        <v>30</v>
      </c>
      <c r="F84" s="7">
        <v>18</v>
      </c>
      <c r="G84" s="7">
        <v>1</v>
      </c>
      <c r="H84" s="89" t="s">
        <v>68</v>
      </c>
      <c r="I84" s="173" t="s">
        <v>86</v>
      </c>
      <c r="J84" s="7" t="s">
        <v>130</v>
      </c>
      <c r="K84" s="11">
        <v>0.99722222222222223</v>
      </c>
      <c r="L84" s="11">
        <v>2.0833333333333333E-3</v>
      </c>
      <c r="M84" s="7" t="s">
        <v>109</v>
      </c>
      <c r="N84" s="7" t="s">
        <v>109</v>
      </c>
      <c r="O84" s="7" t="s">
        <v>61</v>
      </c>
      <c r="P84" s="7" t="s">
        <v>131</v>
      </c>
      <c r="Q84" s="7" t="s">
        <v>86</v>
      </c>
      <c r="R84" s="73" t="s">
        <v>62</v>
      </c>
      <c r="S84" s="7" t="s">
        <v>876</v>
      </c>
      <c r="T84" s="7" t="s">
        <v>1240</v>
      </c>
      <c r="U84" s="108">
        <f t="shared" si="1"/>
        <v>3.3333333333333333E-2</v>
      </c>
      <c r="V84" s="7" t="s">
        <v>152</v>
      </c>
      <c r="W84" s="178" t="s">
        <v>3395</v>
      </c>
      <c r="X84" s="7" t="s">
        <v>109</v>
      </c>
      <c r="Y84" s="7" t="s">
        <v>109</v>
      </c>
    </row>
    <row r="85" spans="1:25" hidden="1" x14ac:dyDescent="0.3">
      <c r="A85" s="7">
        <v>84</v>
      </c>
      <c r="B85" s="179" t="s">
        <v>135</v>
      </c>
      <c r="C85" s="7" t="s">
        <v>665</v>
      </c>
      <c r="D85" s="7">
        <v>20126011</v>
      </c>
      <c r="E85" s="7">
        <v>43</v>
      </c>
      <c r="F85" s="7">
        <v>8</v>
      </c>
      <c r="G85" s="7">
        <v>2</v>
      </c>
      <c r="H85" s="89" t="s">
        <v>82</v>
      </c>
      <c r="I85" s="173" t="s">
        <v>95</v>
      </c>
      <c r="J85" s="7" t="s">
        <v>130</v>
      </c>
      <c r="K85" s="11">
        <v>0.9243055555555556</v>
      </c>
      <c r="L85" s="11">
        <v>0.93680555555555556</v>
      </c>
      <c r="M85" s="7" t="s">
        <v>109</v>
      </c>
      <c r="N85" s="7" t="s">
        <v>109</v>
      </c>
      <c r="O85" s="7" t="s">
        <v>145</v>
      </c>
      <c r="P85" s="7" t="s">
        <v>131</v>
      </c>
      <c r="Q85" s="7" t="s">
        <v>95</v>
      </c>
      <c r="R85" s="73" t="s">
        <v>62</v>
      </c>
      <c r="S85" s="7" t="s">
        <v>2690</v>
      </c>
      <c r="T85" s="73" t="s">
        <v>666</v>
      </c>
      <c r="U85" s="108">
        <f t="shared" si="1"/>
        <v>4.6511627906976744E-2</v>
      </c>
      <c r="V85" s="7" t="s">
        <v>2629</v>
      </c>
      <c r="W85" s="180" t="s">
        <v>3396</v>
      </c>
      <c r="X85" s="7" t="s">
        <v>109</v>
      </c>
      <c r="Y85" s="7" t="s">
        <v>109</v>
      </c>
    </row>
    <row r="86" spans="1:25" hidden="1" x14ac:dyDescent="0.3">
      <c r="A86" s="7">
        <v>85</v>
      </c>
      <c r="B86" s="29" t="s">
        <v>143</v>
      </c>
      <c r="C86" s="29" t="s">
        <v>1598</v>
      </c>
      <c r="D86" s="29">
        <v>10126044</v>
      </c>
      <c r="E86" s="89">
        <v>85</v>
      </c>
      <c r="F86" s="7">
        <v>158</v>
      </c>
      <c r="G86" s="7">
        <v>65</v>
      </c>
      <c r="H86" s="156" t="s">
        <v>153</v>
      </c>
      <c r="I86" s="7" t="s">
        <v>154</v>
      </c>
      <c r="J86" s="7" t="s">
        <v>130</v>
      </c>
      <c r="K86" s="11">
        <v>0.99583333333333335</v>
      </c>
      <c r="L86" s="11">
        <v>1.7361111111111112E-2</v>
      </c>
      <c r="M86" s="7" t="s">
        <v>109</v>
      </c>
      <c r="N86" s="89" t="s">
        <v>110</v>
      </c>
      <c r="O86" s="89" t="s">
        <v>61</v>
      </c>
      <c r="P86" s="7" t="s">
        <v>131</v>
      </c>
      <c r="Q86" s="7" t="s">
        <v>154</v>
      </c>
      <c r="R86" s="7" t="s">
        <v>62</v>
      </c>
      <c r="S86" s="7" t="s">
        <v>2249</v>
      </c>
      <c r="T86" s="29" t="s">
        <v>480</v>
      </c>
      <c r="U86" s="108">
        <f t="shared" si="1"/>
        <v>0.76470588235294112</v>
      </c>
      <c r="V86" s="7" t="s">
        <v>1313</v>
      </c>
      <c r="W86" s="7" t="s">
        <v>3151</v>
      </c>
      <c r="X86" s="7" t="s">
        <v>109</v>
      </c>
      <c r="Y86" s="7" t="s">
        <v>109</v>
      </c>
    </row>
    <row r="87" spans="1:25" hidden="1" x14ac:dyDescent="0.3">
      <c r="A87" s="7">
        <v>86</v>
      </c>
      <c r="B87" s="29" t="s">
        <v>143</v>
      </c>
      <c r="C87" s="29" t="s">
        <v>1599</v>
      </c>
      <c r="D87" s="29">
        <v>10126043</v>
      </c>
      <c r="E87" s="89">
        <v>66</v>
      </c>
      <c r="F87" s="7">
        <v>129</v>
      </c>
      <c r="G87" s="7">
        <v>30</v>
      </c>
      <c r="H87" s="89" t="s">
        <v>66</v>
      </c>
      <c r="I87" s="173" t="s">
        <v>86</v>
      </c>
      <c r="J87" s="7" t="s">
        <v>130</v>
      </c>
      <c r="K87" s="11">
        <v>0.98472222222222228</v>
      </c>
      <c r="L87" s="11">
        <v>0.99583333333333335</v>
      </c>
      <c r="M87" s="7" t="s">
        <v>109</v>
      </c>
      <c r="N87" s="89" t="s">
        <v>110</v>
      </c>
      <c r="O87" s="89" t="s">
        <v>61</v>
      </c>
      <c r="P87" s="7" t="s">
        <v>131</v>
      </c>
      <c r="Q87" s="7" t="s">
        <v>86</v>
      </c>
      <c r="R87" s="7" t="s">
        <v>62</v>
      </c>
      <c r="S87" s="7" t="s">
        <v>2249</v>
      </c>
      <c r="T87" s="29" t="s">
        <v>480</v>
      </c>
      <c r="U87" s="108">
        <f t="shared" si="1"/>
        <v>0.45454545454545453</v>
      </c>
      <c r="V87" s="7" t="s">
        <v>1313</v>
      </c>
      <c r="W87" s="7" t="s">
        <v>3152</v>
      </c>
      <c r="X87" s="7" t="s">
        <v>109</v>
      </c>
      <c r="Y87" s="7" t="s">
        <v>109</v>
      </c>
    </row>
    <row r="88" spans="1:25" hidden="1" x14ac:dyDescent="0.3">
      <c r="A88" s="7">
        <v>87</v>
      </c>
      <c r="B88" s="7" t="s">
        <v>23</v>
      </c>
      <c r="C88" s="90" t="s">
        <v>1702</v>
      </c>
      <c r="D88" s="181">
        <v>50126360</v>
      </c>
      <c r="E88" s="7">
        <v>20</v>
      </c>
      <c r="F88" s="7">
        <v>36</v>
      </c>
      <c r="G88" s="7">
        <v>20</v>
      </c>
      <c r="H88" s="89" t="s">
        <v>241</v>
      </c>
      <c r="I88" s="173" t="s">
        <v>109</v>
      </c>
      <c r="J88" s="7" t="s">
        <v>130</v>
      </c>
      <c r="K88" s="11">
        <v>1.2500000000000001E-2</v>
      </c>
      <c r="L88" s="7" t="s">
        <v>109</v>
      </c>
      <c r="M88" s="7" t="s">
        <v>109</v>
      </c>
      <c r="N88" s="122" t="s">
        <v>3397</v>
      </c>
      <c r="O88" s="122" t="s">
        <v>61</v>
      </c>
      <c r="P88" s="7" t="s">
        <v>131</v>
      </c>
      <c r="Q88" s="7" t="s">
        <v>241</v>
      </c>
      <c r="R88" s="7" t="s">
        <v>62</v>
      </c>
      <c r="S88" s="7" t="s">
        <v>1525</v>
      </c>
      <c r="T88" s="182" t="s">
        <v>1568</v>
      </c>
      <c r="U88" s="108">
        <f t="shared" si="1"/>
        <v>1</v>
      </c>
      <c r="V88" s="7" t="s">
        <v>1945</v>
      </c>
      <c r="W88" s="7" t="s">
        <v>3394</v>
      </c>
      <c r="X88" s="7" t="s">
        <v>109</v>
      </c>
      <c r="Y88" s="7" t="s">
        <v>109</v>
      </c>
    </row>
    <row r="89" spans="1:25" hidden="1" x14ac:dyDescent="0.3">
      <c r="A89" s="7">
        <v>88</v>
      </c>
      <c r="B89" s="7" t="s">
        <v>23</v>
      </c>
      <c r="C89" s="90" t="s">
        <v>380</v>
      </c>
      <c r="D89" s="38">
        <v>50425241</v>
      </c>
      <c r="E89" s="89">
        <v>300</v>
      </c>
      <c r="F89" s="7">
        <v>659</v>
      </c>
      <c r="G89" s="7">
        <v>25</v>
      </c>
      <c r="H89" s="7" t="s">
        <v>3398</v>
      </c>
      <c r="I89" s="7" t="s">
        <v>109</v>
      </c>
      <c r="J89" s="7" t="s">
        <v>130</v>
      </c>
      <c r="K89" s="11">
        <v>2.1527777777777778E-2</v>
      </c>
      <c r="L89" s="7" t="s">
        <v>109</v>
      </c>
      <c r="M89" s="7" t="s">
        <v>109</v>
      </c>
      <c r="N89" s="83" t="s">
        <v>631</v>
      </c>
      <c r="O89" s="7" t="s">
        <v>145</v>
      </c>
      <c r="P89" s="7" t="s">
        <v>131</v>
      </c>
      <c r="Q89" s="7" t="s">
        <v>196</v>
      </c>
      <c r="R89" s="7" t="s">
        <v>62</v>
      </c>
      <c r="S89" s="7" t="s">
        <v>1525</v>
      </c>
      <c r="T89" s="29" t="s">
        <v>379</v>
      </c>
      <c r="U89" s="108">
        <f t="shared" si="1"/>
        <v>8.3333333333333329E-2</v>
      </c>
      <c r="V89" s="7" t="s">
        <v>2629</v>
      </c>
      <c r="W89" s="7" t="s">
        <v>3130</v>
      </c>
      <c r="X89" s="69" t="s">
        <v>3282</v>
      </c>
      <c r="Y89" s="7" t="s">
        <v>3102</v>
      </c>
    </row>
    <row r="90" spans="1:25" x14ac:dyDescent="0.3">
      <c r="A90" s="7">
        <v>89</v>
      </c>
      <c r="B90" s="7" t="s">
        <v>23</v>
      </c>
      <c r="C90" s="90" t="s">
        <v>377</v>
      </c>
      <c r="D90" s="38">
        <v>50425243</v>
      </c>
      <c r="E90" s="89">
        <v>300</v>
      </c>
      <c r="F90" s="7">
        <v>263</v>
      </c>
      <c r="G90" s="7">
        <v>50</v>
      </c>
      <c r="H90" s="7" t="s">
        <v>3399</v>
      </c>
      <c r="I90" s="7" t="s">
        <v>109</v>
      </c>
      <c r="J90" s="7" t="s">
        <v>130</v>
      </c>
      <c r="K90" s="11">
        <v>4.0972222222222222E-2</v>
      </c>
      <c r="L90" s="11" t="s">
        <v>109</v>
      </c>
      <c r="M90" s="7" t="s">
        <v>109</v>
      </c>
      <c r="N90" s="83" t="s">
        <v>631</v>
      </c>
      <c r="O90" s="7" t="s">
        <v>145</v>
      </c>
      <c r="P90" s="7" t="s">
        <v>109</v>
      </c>
      <c r="Q90" s="7" t="s">
        <v>91</v>
      </c>
      <c r="R90" s="7" t="s">
        <v>62</v>
      </c>
      <c r="S90" s="7" t="s">
        <v>1525</v>
      </c>
      <c r="T90" s="29" t="s">
        <v>379</v>
      </c>
      <c r="U90" s="108">
        <f t="shared" si="1"/>
        <v>0.16666666666666666</v>
      </c>
      <c r="V90" s="7" t="s">
        <v>2629</v>
      </c>
      <c r="W90" s="7" t="s">
        <v>3132</v>
      </c>
      <c r="X90" s="69" t="s">
        <v>3282</v>
      </c>
      <c r="Y90" s="7" t="s">
        <v>3102</v>
      </c>
    </row>
  </sheetData>
  <autoFilter ref="A1:Y90" xr:uid="{51F3B227-D6B9-4F9A-B548-D3CC9F68CFD4}">
    <filterColumn colId="10">
      <filters>
        <filter val="-"/>
      </filters>
    </filterColumn>
  </autoFilter>
  <conditionalFormatting sqref="D1">
    <cfRule type="duplicateValues" dxfId="11" priority="3"/>
    <cfRule type="duplicateValues" dxfId="10" priority="4"/>
    <cfRule type="duplicateValues" dxfId="9" priority="5"/>
  </conditionalFormatting>
  <conditionalFormatting sqref="D1:D80">
    <cfRule type="duplicateValues" dxfId="8" priority="2"/>
  </conditionalFormatting>
  <conditionalFormatting sqref="D1:D85 D91:D1048576">
    <cfRule type="duplicateValues" dxfId="7" priority="1"/>
  </conditionalFormatting>
  <hyperlinks>
    <hyperlink ref="W81" r:id="rId1" xr:uid="{3ADD1711-17B6-4660-9004-60AFE4746B34}"/>
    <hyperlink ref="W3" r:id="rId2" xr:uid="{DABAB86D-FA89-4F37-AE87-4E7048EC5943}"/>
    <hyperlink ref="W83" r:id="rId3" xr:uid="{B81ED2A5-C882-47D3-9189-96FEB81A667E}"/>
    <hyperlink ref="W84" r:id="rId4" xr:uid="{1525824F-6CD3-4B09-927D-ACBE0C3CA8CF}"/>
    <hyperlink ref="W85" r:id="rId5" xr:uid="{58D233DE-7193-42FF-8CD0-7079DE02C37B}"/>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E0A84-F642-401B-9520-78DC3C3927D1}">
  <dimension ref="A1:AA92"/>
  <sheetViews>
    <sheetView topLeftCell="O1" workbookViewId="0">
      <pane ySplit="1" topLeftCell="A2" activePane="bottomLeft" state="frozen"/>
      <selection activeCell="C1" sqref="C1"/>
      <selection pane="bottomLeft" activeCell="W2" sqref="W2"/>
    </sheetView>
  </sheetViews>
  <sheetFormatPr defaultRowHeight="14.4" x14ac:dyDescent="0.3"/>
  <cols>
    <col min="1" max="2" width="8.88671875" style="31"/>
    <col min="3" max="3" width="69.21875" style="31" customWidth="1"/>
    <col min="4" max="4" width="8.88671875" style="31"/>
    <col min="5" max="5" width="27.21875" style="31" customWidth="1"/>
    <col min="6" max="7" width="18.88671875" style="31" customWidth="1"/>
    <col min="8" max="9" width="19.77734375" style="31" customWidth="1"/>
    <col min="10" max="10" width="50.21875" style="31" customWidth="1"/>
    <col min="11" max="11" width="44.6640625" style="31" customWidth="1"/>
    <col min="12" max="12" width="8.88671875" style="31"/>
    <col min="13" max="13" width="14.6640625" style="31" customWidth="1"/>
    <col min="14" max="14" width="15.33203125" style="31" customWidth="1"/>
    <col min="15" max="15" width="8.88671875" style="31" customWidth="1"/>
    <col min="16" max="16" width="17.88671875" style="31" customWidth="1"/>
    <col min="17" max="18" width="8.88671875" style="31"/>
    <col min="19" max="19" width="13" style="31" customWidth="1"/>
    <col min="20" max="23" width="8.88671875" style="31"/>
    <col min="24" max="24" width="17.21875" style="31" customWidth="1"/>
    <col min="25" max="25" width="25.77734375" style="31" customWidth="1"/>
    <col min="26" max="26" width="31.6640625" style="31" customWidth="1"/>
    <col min="27" max="27" width="38.109375" style="31" customWidth="1"/>
    <col min="28" max="16384" width="8.88671875" style="31"/>
  </cols>
  <sheetData>
    <row r="1" spans="1:27" x14ac:dyDescent="0.3">
      <c r="A1" s="1" t="s">
        <v>0</v>
      </c>
      <c r="B1" s="1" t="s">
        <v>1</v>
      </c>
      <c r="C1" s="1" t="s">
        <v>2</v>
      </c>
      <c r="D1" s="1" t="s">
        <v>3</v>
      </c>
      <c r="E1" s="1" t="s">
        <v>4</v>
      </c>
      <c r="F1" s="1" t="s">
        <v>5</v>
      </c>
      <c r="G1" s="1" t="s">
        <v>3486</v>
      </c>
      <c r="H1" s="1" t="s">
        <v>3487</v>
      </c>
      <c r="I1" s="1" t="s">
        <v>6</v>
      </c>
      <c r="J1" s="1" t="s">
        <v>7</v>
      </c>
      <c r="K1" s="1" t="s">
        <v>8</v>
      </c>
      <c r="L1" s="1" t="s">
        <v>9</v>
      </c>
      <c r="M1" s="2" t="s">
        <v>2218</v>
      </c>
      <c r="N1" s="2" t="s">
        <v>2219</v>
      </c>
      <c r="O1" s="3" t="s">
        <v>2281</v>
      </c>
      <c r="P1" s="4" t="s">
        <v>13</v>
      </c>
      <c r="Q1" s="1" t="s">
        <v>14</v>
      </c>
      <c r="R1" s="1" t="s">
        <v>15</v>
      </c>
      <c r="S1" s="1" t="s">
        <v>16</v>
      </c>
      <c r="T1" s="1" t="s">
        <v>17</v>
      </c>
      <c r="U1" s="127" t="s">
        <v>2282</v>
      </c>
      <c r="V1" s="1" t="s">
        <v>19</v>
      </c>
      <c r="W1" s="1" t="s">
        <v>20</v>
      </c>
      <c r="X1" s="1" t="s">
        <v>21</v>
      </c>
      <c r="Y1" s="161" t="s">
        <v>3125</v>
      </c>
      <c r="Z1" s="161" t="s">
        <v>3126</v>
      </c>
      <c r="AA1" s="161" t="s">
        <v>3127</v>
      </c>
    </row>
    <row r="2" spans="1:27" x14ac:dyDescent="0.3">
      <c r="A2" s="7">
        <v>69</v>
      </c>
      <c r="B2" s="29" t="s">
        <v>23</v>
      </c>
      <c r="C2" s="29" t="s">
        <v>3338</v>
      </c>
      <c r="D2" s="91">
        <v>50326045</v>
      </c>
      <c r="E2" s="29">
        <v>30</v>
      </c>
      <c r="F2" s="7">
        <v>51</v>
      </c>
      <c r="G2" s="7"/>
      <c r="H2" s="7"/>
      <c r="I2" s="7">
        <v>30</v>
      </c>
      <c r="J2" s="173" t="s">
        <v>86</v>
      </c>
      <c r="K2" s="7" t="s">
        <v>109</v>
      </c>
      <c r="L2" s="7" t="s">
        <v>130</v>
      </c>
      <c r="M2" s="11">
        <v>0.92291666666666672</v>
      </c>
      <c r="N2" s="7" t="s">
        <v>109</v>
      </c>
      <c r="O2" s="7" t="s">
        <v>109</v>
      </c>
      <c r="P2" s="32" t="s">
        <v>110</v>
      </c>
      <c r="Q2" s="29" t="s">
        <v>61</v>
      </c>
      <c r="R2" s="7" t="s">
        <v>131</v>
      </c>
      <c r="S2" s="7" t="s">
        <v>86</v>
      </c>
      <c r="T2" s="7" t="s">
        <v>62</v>
      </c>
      <c r="U2" s="7" t="s">
        <v>123</v>
      </c>
      <c r="V2" s="29" t="s">
        <v>424</v>
      </c>
      <c r="W2" s="108">
        <f>I2/E2</f>
        <v>1</v>
      </c>
      <c r="X2" s="7" t="s">
        <v>1945</v>
      </c>
      <c r="Y2" s="183" t="s">
        <v>3339</v>
      </c>
      <c r="Z2" s="7" t="s">
        <v>109</v>
      </c>
      <c r="AA2" s="7" t="s">
        <v>109</v>
      </c>
    </row>
    <row r="3" spans="1:27" x14ac:dyDescent="0.3">
      <c r="A3" s="7">
        <v>49</v>
      </c>
      <c r="B3" s="29" t="s">
        <v>143</v>
      </c>
      <c r="C3" s="29" t="s">
        <v>2704</v>
      </c>
      <c r="D3" s="91">
        <v>10226066</v>
      </c>
      <c r="E3" s="29">
        <v>25</v>
      </c>
      <c r="F3" s="7">
        <v>0</v>
      </c>
      <c r="G3" s="7"/>
      <c r="H3" s="7"/>
      <c r="I3" s="7">
        <v>0</v>
      </c>
      <c r="J3" s="89" t="s">
        <v>184</v>
      </c>
      <c r="K3" s="89" t="s">
        <v>93</v>
      </c>
      <c r="L3" s="7" t="s">
        <v>130</v>
      </c>
      <c r="M3" s="11">
        <v>0.92500000000000004</v>
      </c>
      <c r="N3" s="11">
        <v>0.94722222222222219</v>
      </c>
      <c r="O3" s="7" t="s">
        <v>109</v>
      </c>
      <c r="P3" s="29" t="s">
        <v>109</v>
      </c>
      <c r="Q3" s="29" t="s">
        <v>61</v>
      </c>
      <c r="R3" s="7" t="s">
        <v>131</v>
      </c>
      <c r="S3" s="7" t="s">
        <v>93</v>
      </c>
      <c r="T3" s="7" t="s">
        <v>62</v>
      </c>
      <c r="U3" s="7" t="s">
        <v>123</v>
      </c>
      <c r="V3" s="29" t="s">
        <v>2661</v>
      </c>
      <c r="W3" s="108">
        <f>I3/E3</f>
        <v>0</v>
      </c>
      <c r="X3" s="7" t="s">
        <v>291</v>
      </c>
      <c r="Y3" s="183" t="s">
        <v>3455</v>
      </c>
      <c r="Z3" s="7" t="s">
        <v>3281</v>
      </c>
      <c r="AA3" s="7" t="s">
        <v>3102</v>
      </c>
    </row>
    <row r="4" spans="1:27" x14ac:dyDescent="0.3">
      <c r="A4" s="7">
        <v>55</v>
      </c>
      <c r="B4" s="29" t="s">
        <v>23</v>
      </c>
      <c r="C4" s="29" t="s">
        <v>3019</v>
      </c>
      <c r="D4" s="91">
        <v>50326026</v>
      </c>
      <c r="E4" s="29">
        <v>50</v>
      </c>
      <c r="F4" s="7">
        <v>28</v>
      </c>
      <c r="G4" s="7"/>
      <c r="H4" s="7"/>
      <c r="I4" s="7">
        <v>5</v>
      </c>
      <c r="J4" s="89" t="s">
        <v>184</v>
      </c>
      <c r="K4" s="7" t="s">
        <v>109</v>
      </c>
      <c r="L4" s="7" t="s">
        <v>130</v>
      </c>
      <c r="M4" s="11">
        <v>0.9604166666666667</v>
      </c>
      <c r="N4" s="7" t="s">
        <v>109</v>
      </c>
      <c r="O4" s="7" t="s">
        <v>109</v>
      </c>
      <c r="P4" s="29" t="s">
        <v>109</v>
      </c>
      <c r="Q4" s="29" t="s">
        <v>61</v>
      </c>
      <c r="R4" s="7" t="s">
        <v>131</v>
      </c>
      <c r="S4" s="7" t="s">
        <v>86</v>
      </c>
      <c r="T4" s="7" t="s">
        <v>62</v>
      </c>
      <c r="U4" s="7" t="s">
        <v>123</v>
      </c>
      <c r="V4" s="29" t="s">
        <v>1309</v>
      </c>
      <c r="W4" s="108">
        <f>I4/E4</f>
        <v>0.1</v>
      </c>
      <c r="X4" s="7" t="s">
        <v>152</v>
      </c>
      <c r="Y4" s="183" t="s">
        <v>3457</v>
      </c>
      <c r="Z4" s="7" t="s">
        <v>109</v>
      </c>
      <c r="AA4" s="7" t="s">
        <v>109</v>
      </c>
    </row>
    <row r="5" spans="1:27" x14ac:dyDescent="0.3">
      <c r="A5" s="7">
        <v>46</v>
      </c>
      <c r="B5" s="29" t="s">
        <v>143</v>
      </c>
      <c r="C5" s="29" t="s">
        <v>1598</v>
      </c>
      <c r="D5" s="91">
        <v>10126044</v>
      </c>
      <c r="E5" s="29">
        <v>110</v>
      </c>
      <c r="F5" s="7">
        <v>226</v>
      </c>
      <c r="G5" s="7"/>
      <c r="H5" s="7"/>
      <c r="I5" s="7">
        <v>72</v>
      </c>
      <c r="J5" s="89" t="s">
        <v>941</v>
      </c>
      <c r="K5" s="7" t="s">
        <v>1549</v>
      </c>
      <c r="L5" s="7" t="s">
        <v>130</v>
      </c>
      <c r="M5" s="11">
        <v>0.82916666666666672</v>
      </c>
      <c r="N5" s="11">
        <v>6.25E-2</v>
      </c>
      <c r="O5" s="7" t="s">
        <v>109</v>
      </c>
      <c r="P5" s="29" t="s">
        <v>109</v>
      </c>
      <c r="Q5" s="29" t="s">
        <v>61</v>
      </c>
      <c r="R5" s="7" t="s">
        <v>131</v>
      </c>
      <c r="S5" s="7" t="s">
        <v>94</v>
      </c>
      <c r="T5" s="7" t="s">
        <v>62</v>
      </c>
      <c r="U5" s="7" t="s">
        <v>123</v>
      </c>
      <c r="V5" s="29" t="s">
        <v>480</v>
      </c>
      <c r="W5" s="108">
        <f>I5/E5</f>
        <v>0.65454545454545454</v>
      </c>
      <c r="X5" s="7" t="s">
        <v>3476</v>
      </c>
      <c r="Y5" s="183" t="s">
        <v>3151</v>
      </c>
      <c r="Z5" s="7" t="s">
        <v>3282</v>
      </c>
      <c r="AA5" s="7" t="s">
        <v>3101</v>
      </c>
    </row>
    <row r="6" spans="1:27" x14ac:dyDescent="0.3">
      <c r="A6" s="7">
        <v>34</v>
      </c>
      <c r="B6" s="29" t="s">
        <v>143</v>
      </c>
      <c r="C6" s="29" t="s">
        <v>2305</v>
      </c>
      <c r="D6" s="91">
        <v>10226022</v>
      </c>
      <c r="E6" s="29" t="s">
        <v>287</v>
      </c>
      <c r="F6" s="7">
        <f>115+62</f>
        <v>177</v>
      </c>
      <c r="G6" s="7"/>
      <c r="H6" s="7"/>
      <c r="I6" s="7">
        <f>30+24</f>
        <v>54</v>
      </c>
      <c r="J6" s="7" t="s">
        <v>64</v>
      </c>
      <c r="K6" s="7" t="s">
        <v>95</v>
      </c>
      <c r="L6" s="7" t="s">
        <v>130</v>
      </c>
      <c r="M6" s="11">
        <v>8.3333333333333332E-3</v>
      </c>
      <c r="N6" s="11">
        <v>4.0972222222222222E-2</v>
      </c>
      <c r="O6" s="7" t="s">
        <v>109</v>
      </c>
      <c r="P6" s="29" t="s">
        <v>109</v>
      </c>
      <c r="Q6" s="29" t="s">
        <v>607</v>
      </c>
      <c r="R6" s="7" t="s">
        <v>131</v>
      </c>
      <c r="S6" s="7" t="s">
        <v>3484</v>
      </c>
      <c r="T6" s="7" t="s">
        <v>62</v>
      </c>
      <c r="U6" s="7" t="s">
        <v>123</v>
      </c>
      <c r="V6" s="29" t="s">
        <v>402</v>
      </c>
      <c r="W6" s="108" t="s">
        <v>109</v>
      </c>
      <c r="X6" s="7" t="s">
        <v>152</v>
      </c>
      <c r="Y6" s="183" t="s">
        <v>3450</v>
      </c>
      <c r="Z6" s="7" t="s">
        <v>109</v>
      </c>
      <c r="AA6" s="7" t="s">
        <v>109</v>
      </c>
    </row>
    <row r="7" spans="1:27" x14ac:dyDescent="0.3">
      <c r="A7" s="7">
        <v>53</v>
      </c>
      <c r="B7" s="29" t="s">
        <v>143</v>
      </c>
      <c r="C7" s="29" t="s">
        <v>2937</v>
      </c>
      <c r="D7" s="91">
        <v>10326026</v>
      </c>
      <c r="E7" s="29">
        <v>22</v>
      </c>
      <c r="F7" s="7">
        <v>82</v>
      </c>
      <c r="G7" s="7"/>
      <c r="H7" s="7"/>
      <c r="I7" s="7">
        <v>15</v>
      </c>
      <c r="J7" s="155" t="s">
        <v>64</v>
      </c>
      <c r="K7" s="173" t="s">
        <v>209</v>
      </c>
      <c r="L7" s="7" t="s">
        <v>130</v>
      </c>
      <c r="M7" s="11">
        <v>0.71180555555555558</v>
      </c>
      <c r="N7" s="11">
        <v>0.78055555555555556</v>
      </c>
      <c r="O7" s="7" t="s">
        <v>109</v>
      </c>
      <c r="P7" s="29" t="s">
        <v>109</v>
      </c>
      <c r="Q7" s="29" t="s">
        <v>61</v>
      </c>
      <c r="R7" s="7" t="s">
        <v>131</v>
      </c>
      <c r="S7" s="7" t="s">
        <v>209</v>
      </c>
      <c r="T7" s="7" t="s">
        <v>62</v>
      </c>
      <c r="U7" s="7" t="s">
        <v>123</v>
      </c>
      <c r="V7" s="29" t="s">
        <v>398</v>
      </c>
      <c r="W7" s="108">
        <f t="shared" ref="W7:W15" si="0">I7/E7</f>
        <v>0.68181818181818177</v>
      </c>
      <c r="X7" s="7" t="s">
        <v>3476</v>
      </c>
      <c r="Y7" s="183" t="s">
        <v>3164</v>
      </c>
      <c r="Z7" s="7" t="s">
        <v>3281</v>
      </c>
      <c r="AA7" s="7" t="s">
        <v>3102</v>
      </c>
    </row>
    <row r="8" spans="1:27" x14ac:dyDescent="0.3">
      <c r="A8" s="7">
        <v>65</v>
      </c>
      <c r="B8" s="29" t="s">
        <v>23</v>
      </c>
      <c r="C8" s="29" t="s">
        <v>1905</v>
      </c>
      <c r="D8" s="91">
        <v>50226024</v>
      </c>
      <c r="E8" s="29">
        <v>75</v>
      </c>
      <c r="F8" s="7">
        <v>145</v>
      </c>
      <c r="G8" s="7"/>
      <c r="H8" s="7"/>
      <c r="I8" s="7">
        <v>29</v>
      </c>
      <c r="J8" s="155" t="s">
        <v>64</v>
      </c>
      <c r="K8" s="7" t="s">
        <v>86</v>
      </c>
      <c r="L8" s="7" t="s">
        <v>130</v>
      </c>
      <c r="M8" s="11">
        <v>0.67847222222222225</v>
      </c>
      <c r="N8" s="11">
        <v>0.80277777777777781</v>
      </c>
      <c r="O8" s="7" t="s">
        <v>109</v>
      </c>
      <c r="P8" s="29" t="s">
        <v>109</v>
      </c>
      <c r="Q8" s="29" t="s">
        <v>61</v>
      </c>
      <c r="R8" s="7" t="s">
        <v>131</v>
      </c>
      <c r="S8" s="7" t="s">
        <v>86</v>
      </c>
      <c r="T8" s="7" t="s">
        <v>62</v>
      </c>
      <c r="U8" s="7" t="s">
        <v>123</v>
      </c>
      <c r="V8" s="29" t="s">
        <v>480</v>
      </c>
      <c r="W8" s="108">
        <f t="shared" si="0"/>
        <v>0.38666666666666666</v>
      </c>
      <c r="X8" s="7" t="s">
        <v>3476</v>
      </c>
      <c r="Y8" s="183" t="s">
        <v>3270</v>
      </c>
      <c r="Z8" s="7" t="s">
        <v>3282</v>
      </c>
      <c r="AA8" s="7" t="s">
        <v>3102</v>
      </c>
    </row>
    <row r="9" spans="1:27" x14ac:dyDescent="0.3">
      <c r="A9" s="7">
        <v>6</v>
      </c>
      <c r="B9" s="29" t="s">
        <v>24</v>
      </c>
      <c r="C9" s="29" t="s">
        <v>1832</v>
      </c>
      <c r="D9" s="91">
        <v>60226011</v>
      </c>
      <c r="E9" s="29">
        <v>166</v>
      </c>
      <c r="F9" s="7">
        <v>267</v>
      </c>
      <c r="G9" s="7"/>
      <c r="H9" s="7"/>
      <c r="I9" s="7">
        <v>60</v>
      </c>
      <c r="J9" s="7" t="s">
        <v>3230</v>
      </c>
      <c r="K9" s="7" t="s">
        <v>2597</v>
      </c>
      <c r="L9" s="7" t="s">
        <v>130</v>
      </c>
      <c r="M9" s="11">
        <v>4.8611111111111112E-3</v>
      </c>
      <c r="N9" s="11">
        <v>1.8055555555555554E-2</v>
      </c>
      <c r="O9" s="7" t="s">
        <v>109</v>
      </c>
      <c r="P9" s="29" t="s">
        <v>109</v>
      </c>
      <c r="Q9" s="29" t="s">
        <v>61</v>
      </c>
      <c r="R9" s="7" t="s">
        <v>131</v>
      </c>
      <c r="S9" s="7" t="s">
        <v>209</v>
      </c>
      <c r="T9" s="7" t="s">
        <v>63</v>
      </c>
      <c r="U9" s="7" t="s">
        <v>123</v>
      </c>
      <c r="V9" s="29" t="s">
        <v>117</v>
      </c>
      <c r="W9" s="108">
        <f t="shared" si="0"/>
        <v>0.36144578313253012</v>
      </c>
      <c r="X9" s="7" t="s">
        <v>3476</v>
      </c>
      <c r="Y9" s="183" t="s">
        <v>3433</v>
      </c>
      <c r="Z9" s="7" t="s">
        <v>3282</v>
      </c>
      <c r="AA9" s="7" t="s">
        <v>3102</v>
      </c>
    </row>
    <row r="10" spans="1:27" x14ac:dyDescent="0.3">
      <c r="A10" s="7">
        <v>24</v>
      </c>
      <c r="B10" s="29" t="s">
        <v>23</v>
      </c>
      <c r="C10" s="29" t="s">
        <v>2519</v>
      </c>
      <c r="D10" s="91">
        <v>50226107</v>
      </c>
      <c r="E10" s="29">
        <v>130</v>
      </c>
      <c r="F10" s="7">
        <v>121</v>
      </c>
      <c r="G10" s="7"/>
      <c r="H10" s="7"/>
      <c r="I10" s="7">
        <v>3</v>
      </c>
      <c r="J10" s="155" t="s">
        <v>3230</v>
      </c>
      <c r="K10" s="7" t="s">
        <v>109</v>
      </c>
      <c r="L10" s="7" t="s">
        <v>130</v>
      </c>
      <c r="M10" s="11">
        <v>0.97013888888888888</v>
      </c>
      <c r="N10" s="7" t="s">
        <v>109</v>
      </c>
      <c r="O10" s="7" t="s">
        <v>109</v>
      </c>
      <c r="P10" s="29" t="s">
        <v>109</v>
      </c>
      <c r="Q10" s="29" t="s">
        <v>61</v>
      </c>
      <c r="R10" s="7" t="s">
        <v>131</v>
      </c>
      <c r="S10" s="7" t="s">
        <v>222</v>
      </c>
      <c r="T10" s="7" t="s">
        <v>62</v>
      </c>
      <c r="U10" s="7" t="s">
        <v>123</v>
      </c>
      <c r="V10" s="29" t="s">
        <v>122</v>
      </c>
      <c r="W10" s="108">
        <f t="shared" si="0"/>
        <v>2.3076923076923078E-2</v>
      </c>
      <c r="X10" s="7" t="s">
        <v>152</v>
      </c>
      <c r="Y10" s="183" t="s">
        <v>3140</v>
      </c>
      <c r="Z10" s="7" t="s">
        <v>109</v>
      </c>
      <c r="AA10" s="7" t="s">
        <v>109</v>
      </c>
    </row>
    <row r="11" spans="1:27" x14ac:dyDescent="0.3">
      <c r="A11" s="7">
        <v>80</v>
      </c>
      <c r="B11" s="29" t="s">
        <v>23</v>
      </c>
      <c r="C11" s="29" t="s">
        <v>833</v>
      </c>
      <c r="D11" s="91">
        <v>50126108</v>
      </c>
      <c r="E11" s="29">
        <v>30</v>
      </c>
      <c r="F11" s="7">
        <v>53</v>
      </c>
      <c r="G11" s="7"/>
      <c r="H11" s="7"/>
      <c r="I11" s="7">
        <v>37</v>
      </c>
      <c r="J11" s="173" t="s">
        <v>95</v>
      </c>
      <c r="K11" s="7" t="s">
        <v>109</v>
      </c>
      <c r="L11" s="7" t="s">
        <v>130</v>
      </c>
      <c r="M11" s="11">
        <v>0.74722222222222223</v>
      </c>
      <c r="N11" s="7" t="s">
        <v>109</v>
      </c>
      <c r="O11" s="7" t="s">
        <v>109</v>
      </c>
      <c r="P11" s="29" t="s">
        <v>109</v>
      </c>
      <c r="Q11" s="29" t="s">
        <v>61</v>
      </c>
      <c r="R11" s="7" t="s">
        <v>131</v>
      </c>
      <c r="S11" s="7" t="s">
        <v>95</v>
      </c>
      <c r="T11" s="7" t="s">
        <v>62</v>
      </c>
      <c r="U11" s="7" t="s">
        <v>123</v>
      </c>
      <c r="V11" s="29" t="s">
        <v>424</v>
      </c>
      <c r="W11" s="108">
        <f t="shared" si="0"/>
        <v>1.2333333333333334</v>
      </c>
      <c r="X11" s="7" t="s">
        <v>1945</v>
      </c>
      <c r="Y11" s="183" t="s">
        <v>3467</v>
      </c>
      <c r="Z11" s="7" t="s">
        <v>3282</v>
      </c>
      <c r="AA11" s="7" t="s">
        <v>3101</v>
      </c>
    </row>
    <row r="12" spans="1:27" x14ac:dyDescent="0.3">
      <c r="A12" s="7">
        <v>1</v>
      </c>
      <c r="B12" s="29" t="s">
        <v>25</v>
      </c>
      <c r="C12" s="29" t="s">
        <v>3401</v>
      </c>
      <c r="D12" s="91">
        <v>40226020</v>
      </c>
      <c r="E12" s="29">
        <v>21</v>
      </c>
      <c r="F12" s="7">
        <v>14</v>
      </c>
      <c r="G12" s="7"/>
      <c r="H12" s="7"/>
      <c r="I12" s="7">
        <v>5</v>
      </c>
      <c r="J12" s="89" t="s">
        <v>65</v>
      </c>
      <c r="K12" s="173" t="s">
        <v>90</v>
      </c>
      <c r="L12" s="7" t="s">
        <v>130</v>
      </c>
      <c r="M12" s="11">
        <v>0.75069444444444444</v>
      </c>
      <c r="N12" s="11">
        <v>0.75624999999999998</v>
      </c>
      <c r="O12" s="7" t="s">
        <v>109</v>
      </c>
      <c r="P12" s="29" t="s">
        <v>109</v>
      </c>
      <c r="Q12" s="29" t="s">
        <v>61</v>
      </c>
      <c r="R12" s="7" t="s">
        <v>131</v>
      </c>
      <c r="S12" s="7" t="s">
        <v>90</v>
      </c>
      <c r="T12" s="7" t="s">
        <v>63</v>
      </c>
      <c r="U12" s="7" t="s">
        <v>123</v>
      </c>
      <c r="V12" s="29" t="s">
        <v>3402</v>
      </c>
      <c r="W12" s="108">
        <f t="shared" si="0"/>
        <v>0.23809523809523808</v>
      </c>
      <c r="X12" s="7" t="s">
        <v>152</v>
      </c>
      <c r="Y12" s="183" t="s">
        <v>3430</v>
      </c>
      <c r="Z12" s="7" t="s">
        <v>3282</v>
      </c>
      <c r="AA12" s="7" t="s">
        <v>3101</v>
      </c>
    </row>
    <row r="13" spans="1:27" x14ac:dyDescent="0.3">
      <c r="A13" s="7">
        <v>59</v>
      </c>
      <c r="B13" s="29" t="s">
        <v>23</v>
      </c>
      <c r="C13" s="29" t="s">
        <v>753</v>
      </c>
      <c r="D13" s="91">
        <v>50126146</v>
      </c>
      <c r="E13" s="29">
        <v>50</v>
      </c>
      <c r="F13" s="7">
        <v>72</v>
      </c>
      <c r="G13" s="18"/>
      <c r="H13" s="18"/>
      <c r="I13" s="7">
        <v>8</v>
      </c>
      <c r="J13" s="89" t="s">
        <v>65</v>
      </c>
      <c r="K13" s="173" t="s">
        <v>90</v>
      </c>
      <c r="L13" s="7" t="s">
        <v>130</v>
      </c>
      <c r="M13" s="11">
        <v>0.9555555555555556</v>
      </c>
      <c r="N13" s="11">
        <v>0.96666666666666667</v>
      </c>
      <c r="O13" s="7" t="s">
        <v>109</v>
      </c>
      <c r="P13" s="29" t="s">
        <v>109</v>
      </c>
      <c r="Q13" s="29" t="s">
        <v>61</v>
      </c>
      <c r="R13" s="7" t="s">
        <v>131</v>
      </c>
      <c r="S13" s="7" t="s">
        <v>90</v>
      </c>
      <c r="T13" s="7" t="s">
        <v>62</v>
      </c>
      <c r="U13" s="7" t="s">
        <v>123</v>
      </c>
      <c r="V13" s="29" t="s">
        <v>480</v>
      </c>
      <c r="W13" s="108">
        <f t="shared" si="0"/>
        <v>0.16</v>
      </c>
      <c r="X13" s="7" t="s">
        <v>152</v>
      </c>
      <c r="Y13" s="183" t="s">
        <v>3265</v>
      </c>
      <c r="Z13" s="7" t="s">
        <v>109</v>
      </c>
      <c r="AA13" s="7" t="s">
        <v>109</v>
      </c>
    </row>
    <row r="14" spans="1:27" x14ac:dyDescent="0.3">
      <c r="A14" s="7">
        <v>2</v>
      </c>
      <c r="B14" s="29" t="s">
        <v>25</v>
      </c>
      <c r="C14" s="29" t="s">
        <v>2402</v>
      </c>
      <c r="D14" s="91">
        <v>40226010</v>
      </c>
      <c r="E14" s="29">
        <v>199</v>
      </c>
      <c r="F14" s="7">
        <v>387</v>
      </c>
      <c r="G14" s="18"/>
      <c r="H14" s="18"/>
      <c r="I14" s="7">
        <v>79</v>
      </c>
      <c r="J14" s="7" t="s">
        <v>3024</v>
      </c>
      <c r="K14" s="7" t="s">
        <v>1549</v>
      </c>
      <c r="L14" s="7" t="s">
        <v>130</v>
      </c>
      <c r="M14" s="11">
        <v>0.77222222222222225</v>
      </c>
      <c r="N14" s="11">
        <v>0.84375</v>
      </c>
      <c r="O14" s="7" t="s">
        <v>109</v>
      </c>
      <c r="P14" s="29" t="s">
        <v>109</v>
      </c>
      <c r="Q14" s="29" t="s">
        <v>61</v>
      </c>
      <c r="R14" s="7" t="s">
        <v>131</v>
      </c>
      <c r="S14" s="7" t="s">
        <v>90</v>
      </c>
      <c r="T14" s="7" t="s">
        <v>62</v>
      </c>
      <c r="U14" s="7" t="s">
        <v>123</v>
      </c>
      <c r="V14" s="29" t="s">
        <v>2405</v>
      </c>
      <c r="W14" s="108">
        <f t="shared" si="0"/>
        <v>0.39698492462311558</v>
      </c>
      <c r="X14" s="7" t="s">
        <v>2391</v>
      </c>
      <c r="Y14" s="183" t="s">
        <v>3431</v>
      </c>
      <c r="Z14" s="7" t="s">
        <v>109</v>
      </c>
      <c r="AA14" s="7" t="s">
        <v>109</v>
      </c>
    </row>
    <row r="15" spans="1:27" x14ac:dyDescent="0.3">
      <c r="A15" s="7">
        <v>63</v>
      </c>
      <c r="B15" s="29" t="s">
        <v>23</v>
      </c>
      <c r="C15" s="29" t="s">
        <v>758</v>
      </c>
      <c r="D15" s="91">
        <v>50126142</v>
      </c>
      <c r="E15" s="29">
        <v>125</v>
      </c>
      <c r="F15" s="7">
        <v>259</v>
      </c>
      <c r="G15" s="18"/>
      <c r="H15" s="18"/>
      <c r="I15" s="7">
        <v>56</v>
      </c>
      <c r="J15" s="89" t="s">
        <v>2974</v>
      </c>
      <c r="K15" s="7" t="s">
        <v>991</v>
      </c>
      <c r="L15" s="7" t="s">
        <v>130</v>
      </c>
      <c r="M15" s="11">
        <v>0.92222222222222228</v>
      </c>
      <c r="N15" s="11">
        <v>0.96944444444444444</v>
      </c>
      <c r="O15" s="7" t="s">
        <v>109</v>
      </c>
      <c r="P15" s="29" t="s">
        <v>109</v>
      </c>
      <c r="Q15" s="29" t="s">
        <v>61</v>
      </c>
      <c r="R15" s="7" t="s">
        <v>131</v>
      </c>
      <c r="S15" s="7" t="s">
        <v>94</v>
      </c>
      <c r="T15" s="7" t="s">
        <v>62</v>
      </c>
      <c r="U15" s="7" t="s">
        <v>123</v>
      </c>
      <c r="V15" s="29" t="s">
        <v>480</v>
      </c>
      <c r="W15" s="108">
        <f t="shared" si="0"/>
        <v>0.44800000000000001</v>
      </c>
      <c r="X15" s="7" t="s">
        <v>3476</v>
      </c>
      <c r="Y15" s="183" t="s">
        <v>3268</v>
      </c>
      <c r="Z15" s="7" t="s">
        <v>109</v>
      </c>
      <c r="AA15" s="7" t="s">
        <v>109</v>
      </c>
    </row>
    <row r="16" spans="1:27" x14ac:dyDescent="0.3">
      <c r="A16" s="7">
        <v>35</v>
      </c>
      <c r="B16" s="29" t="s">
        <v>143</v>
      </c>
      <c r="C16" s="29" t="s">
        <v>2304</v>
      </c>
      <c r="D16" s="91">
        <v>10226023</v>
      </c>
      <c r="E16" s="29" t="s">
        <v>287</v>
      </c>
      <c r="F16" s="7">
        <v>203</v>
      </c>
      <c r="G16" s="7"/>
      <c r="H16" s="7"/>
      <c r="I16" s="7">
        <v>78</v>
      </c>
      <c r="J16" s="7" t="s">
        <v>3416</v>
      </c>
      <c r="K16" s="7" t="s">
        <v>3417</v>
      </c>
      <c r="L16" s="7" t="s">
        <v>130</v>
      </c>
      <c r="M16" s="11">
        <v>0.78541666666666665</v>
      </c>
      <c r="N16" s="11">
        <v>0.83611111111111114</v>
      </c>
      <c r="O16" s="7" t="s">
        <v>109</v>
      </c>
      <c r="P16" s="29" t="s">
        <v>109</v>
      </c>
      <c r="Q16" s="29" t="s">
        <v>61</v>
      </c>
      <c r="R16" s="7" t="s">
        <v>131</v>
      </c>
      <c r="S16" s="7" t="s">
        <v>94</v>
      </c>
      <c r="T16" s="7" t="s">
        <v>62</v>
      </c>
      <c r="U16" s="7" t="s">
        <v>123</v>
      </c>
      <c r="V16" s="29" t="s">
        <v>402</v>
      </c>
      <c r="W16" s="108" t="s">
        <v>109</v>
      </c>
      <c r="X16" s="7" t="s">
        <v>152</v>
      </c>
      <c r="Y16" s="183" t="s">
        <v>3451</v>
      </c>
      <c r="Z16" s="7" t="s">
        <v>109</v>
      </c>
      <c r="AA16" s="7" t="s">
        <v>109</v>
      </c>
    </row>
    <row r="17" spans="1:27" x14ac:dyDescent="0.3">
      <c r="A17" s="7">
        <v>3</v>
      </c>
      <c r="B17" s="29" t="s">
        <v>25</v>
      </c>
      <c r="C17" s="29" t="s">
        <v>1676</v>
      </c>
      <c r="D17" s="91">
        <v>40126029</v>
      </c>
      <c r="E17" s="29">
        <v>66</v>
      </c>
      <c r="F17" s="7">
        <v>66</v>
      </c>
      <c r="G17" s="7"/>
      <c r="H17" s="7"/>
      <c r="I17" s="7">
        <v>50</v>
      </c>
      <c r="J17" s="89" t="s">
        <v>82</v>
      </c>
      <c r="K17" s="173" t="s">
        <v>95</v>
      </c>
      <c r="L17" s="7" t="s">
        <v>130</v>
      </c>
      <c r="M17" s="11">
        <v>0.66736111111111107</v>
      </c>
      <c r="N17" s="11">
        <v>0.70277777777777772</v>
      </c>
      <c r="O17" s="7" t="s">
        <v>109</v>
      </c>
      <c r="P17" s="29" t="s">
        <v>109</v>
      </c>
      <c r="Q17" s="29" t="s">
        <v>61</v>
      </c>
      <c r="R17" s="7" t="s">
        <v>131</v>
      </c>
      <c r="S17" s="7" t="s">
        <v>95</v>
      </c>
      <c r="T17" s="7" t="s">
        <v>62</v>
      </c>
      <c r="U17" s="7" t="s">
        <v>123</v>
      </c>
      <c r="V17" s="29" t="s">
        <v>1677</v>
      </c>
      <c r="W17" s="108">
        <f>I17/E17</f>
        <v>0.75757575757575757</v>
      </c>
      <c r="X17" s="7" t="s">
        <v>152</v>
      </c>
      <c r="Y17" s="183" t="s">
        <v>3432</v>
      </c>
      <c r="Z17" s="7" t="s">
        <v>109</v>
      </c>
      <c r="AA17" s="7" t="s">
        <v>109</v>
      </c>
    </row>
    <row r="18" spans="1:27" x14ac:dyDescent="0.3">
      <c r="A18" s="7">
        <v>17</v>
      </c>
      <c r="B18" s="29" t="s">
        <v>23</v>
      </c>
      <c r="C18" s="29" t="s">
        <v>1064</v>
      </c>
      <c r="D18" s="91">
        <v>50126306</v>
      </c>
      <c r="E18" s="29">
        <v>100</v>
      </c>
      <c r="F18" s="7">
        <v>196</v>
      </c>
      <c r="G18" s="7"/>
      <c r="H18" s="7"/>
      <c r="I18" s="7">
        <v>66</v>
      </c>
      <c r="J18" s="7" t="s">
        <v>82</v>
      </c>
      <c r="K18" s="7" t="s">
        <v>109</v>
      </c>
      <c r="L18" s="7" t="s">
        <v>130</v>
      </c>
      <c r="M18" s="11">
        <v>0.86736111111111114</v>
      </c>
      <c r="N18" s="7" t="s">
        <v>109</v>
      </c>
      <c r="O18" s="7" t="s">
        <v>109</v>
      </c>
      <c r="P18" s="29" t="s">
        <v>109</v>
      </c>
      <c r="Q18" s="29" t="s">
        <v>61</v>
      </c>
      <c r="R18" s="7" t="s">
        <v>131</v>
      </c>
      <c r="S18" s="7" t="s">
        <v>82</v>
      </c>
      <c r="T18" s="7" t="s">
        <v>62</v>
      </c>
      <c r="U18" s="7" t="s">
        <v>123</v>
      </c>
      <c r="V18" s="29" t="s">
        <v>1063</v>
      </c>
      <c r="W18" s="108">
        <f>I18/E18</f>
        <v>0.66</v>
      </c>
      <c r="X18" s="7" t="s">
        <v>3476</v>
      </c>
      <c r="Y18" s="183" t="s">
        <v>3442</v>
      </c>
      <c r="Z18" s="7" t="s">
        <v>109</v>
      </c>
      <c r="AA18" s="7" t="s">
        <v>109</v>
      </c>
    </row>
    <row r="19" spans="1:27" x14ac:dyDescent="0.3">
      <c r="A19" s="7">
        <v>27</v>
      </c>
      <c r="B19" s="29" t="s">
        <v>23</v>
      </c>
      <c r="C19" s="29" t="s">
        <v>1702</v>
      </c>
      <c r="D19" s="91">
        <v>50126360</v>
      </c>
      <c r="E19" s="29">
        <v>20</v>
      </c>
      <c r="F19" s="7">
        <v>2</v>
      </c>
      <c r="G19" s="7"/>
      <c r="H19" s="7"/>
      <c r="I19" s="7">
        <v>1</v>
      </c>
      <c r="J19" s="89" t="s">
        <v>82</v>
      </c>
      <c r="K19" s="7" t="s">
        <v>109</v>
      </c>
      <c r="L19" s="7" t="s">
        <v>130</v>
      </c>
      <c r="M19" s="11">
        <v>0.68055555555555558</v>
      </c>
      <c r="N19" s="7" t="s">
        <v>109</v>
      </c>
      <c r="O19" s="7" t="s">
        <v>109</v>
      </c>
      <c r="P19" s="32" t="s">
        <v>3408</v>
      </c>
      <c r="Q19" s="29" t="s">
        <v>61</v>
      </c>
      <c r="R19" s="7" t="s">
        <v>131</v>
      </c>
      <c r="S19" s="7" t="s">
        <v>82</v>
      </c>
      <c r="T19" s="7" t="s">
        <v>62</v>
      </c>
      <c r="U19" s="7" t="s">
        <v>123</v>
      </c>
      <c r="V19" s="29" t="s">
        <v>1568</v>
      </c>
      <c r="W19" s="108">
        <f>I19/E19</f>
        <v>0.05</v>
      </c>
      <c r="X19" s="7" t="s">
        <v>152</v>
      </c>
      <c r="Y19" s="183" t="s">
        <v>3394</v>
      </c>
      <c r="Z19" s="7" t="s">
        <v>3282</v>
      </c>
      <c r="AA19" s="7" t="s">
        <v>3101</v>
      </c>
    </row>
    <row r="20" spans="1:27" x14ac:dyDescent="0.3">
      <c r="A20" s="7">
        <v>50</v>
      </c>
      <c r="B20" s="29" t="s">
        <v>143</v>
      </c>
      <c r="C20" s="29" t="s">
        <v>2368</v>
      </c>
      <c r="D20" s="91">
        <v>10226036</v>
      </c>
      <c r="E20" s="29" t="s">
        <v>287</v>
      </c>
      <c r="F20" s="7">
        <v>94</v>
      </c>
      <c r="G20" s="7"/>
      <c r="H20" s="7"/>
      <c r="I20" s="7">
        <v>19</v>
      </c>
      <c r="J20" s="7" t="s">
        <v>82</v>
      </c>
      <c r="K20" s="7" t="s">
        <v>1082</v>
      </c>
      <c r="L20" s="7" t="s">
        <v>130</v>
      </c>
      <c r="M20" s="11">
        <v>0.72638888888888886</v>
      </c>
      <c r="N20" s="11">
        <v>0.78055555555555556</v>
      </c>
      <c r="O20" s="7" t="s">
        <v>109</v>
      </c>
      <c r="P20" s="29" t="s">
        <v>109</v>
      </c>
      <c r="Q20" s="29" t="s">
        <v>61</v>
      </c>
      <c r="R20" s="7" t="s">
        <v>131</v>
      </c>
      <c r="S20" s="7" t="s">
        <v>1082</v>
      </c>
      <c r="T20" s="7" t="s">
        <v>62</v>
      </c>
      <c r="U20" s="7" t="s">
        <v>123</v>
      </c>
      <c r="V20" s="29" t="s">
        <v>121</v>
      </c>
      <c r="W20" s="108" t="s">
        <v>109</v>
      </c>
      <c r="X20" s="7" t="s">
        <v>152</v>
      </c>
      <c r="Y20" s="183" t="s">
        <v>3155</v>
      </c>
      <c r="Z20" s="7" t="s">
        <v>109</v>
      </c>
      <c r="AA20" s="7" t="s">
        <v>109</v>
      </c>
    </row>
    <row r="21" spans="1:27" x14ac:dyDescent="0.3">
      <c r="A21" s="7">
        <v>77</v>
      </c>
      <c r="B21" s="29" t="s">
        <v>23</v>
      </c>
      <c r="C21" s="29" t="s">
        <v>1718</v>
      </c>
      <c r="D21" s="91">
        <v>50126401</v>
      </c>
      <c r="E21" s="29">
        <v>100</v>
      </c>
      <c r="F21" s="7">
        <v>195</v>
      </c>
      <c r="G21" s="7"/>
      <c r="H21" s="7"/>
      <c r="I21" s="7">
        <v>73</v>
      </c>
      <c r="J21" s="7" t="s">
        <v>82</v>
      </c>
      <c r="K21" s="7" t="s">
        <v>109</v>
      </c>
      <c r="L21" s="7" t="s">
        <v>130</v>
      </c>
      <c r="M21" s="11">
        <v>0.78472222222222221</v>
      </c>
      <c r="N21" s="7" t="s">
        <v>109</v>
      </c>
      <c r="O21" s="7" t="s">
        <v>109</v>
      </c>
      <c r="P21" s="32" t="s">
        <v>110</v>
      </c>
      <c r="Q21" s="29" t="s">
        <v>61</v>
      </c>
      <c r="R21" s="7" t="s">
        <v>131</v>
      </c>
      <c r="S21" s="7" t="s">
        <v>82</v>
      </c>
      <c r="T21" s="7" t="s">
        <v>62</v>
      </c>
      <c r="U21" s="7" t="s">
        <v>123</v>
      </c>
      <c r="V21" s="29" t="s">
        <v>424</v>
      </c>
      <c r="W21" s="108">
        <f>I21/E21</f>
        <v>0.73</v>
      </c>
      <c r="X21" s="7" t="s">
        <v>3476</v>
      </c>
      <c r="Y21" s="183" t="s">
        <v>3465</v>
      </c>
      <c r="Z21" s="7" t="s">
        <v>109</v>
      </c>
      <c r="AA21" s="7" t="s">
        <v>109</v>
      </c>
    </row>
    <row r="22" spans="1:27" x14ac:dyDescent="0.3">
      <c r="A22" s="7">
        <v>90</v>
      </c>
      <c r="B22" s="158" t="s">
        <v>23</v>
      </c>
      <c r="C22" s="7" t="s">
        <v>3479</v>
      </c>
      <c r="D22" s="7">
        <v>50226121</v>
      </c>
      <c r="E22" s="7">
        <v>10</v>
      </c>
      <c r="F22" s="7">
        <v>10</v>
      </c>
      <c r="G22" s="7"/>
      <c r="H22" s="7"/>
      <c r="I22" s="7">
        <v>3</v>
      </c>
      <c r="J22" s="7" t="s">
        <v>82</v>
      </c>
      <c r="K22" s="7" t="s">
        <v>109</v>
      </c>
      <c r="L22" s="7" t="s">
        <v>130</v>
      </c>
      <c r="M22" s="11">
        <v>0.91180555555555554</v>
      </c>
      <c r="N22" s="7" t="s">
        <v>109</v>
      </c>
      <c r="O22" s="7" t="s">
        <v>109</v>
      </c>
      <c r="P22" s="33" t="s">
        <v>2223</v>
      </c>
      <c r="Q22" s="7" t="s">
        <v>145</v>
      </c>
      <c r="R22" s="7" t="s">
        <v>131</v>
      </c>
      <c r="S22" s="7" t="s">
        <v>82</v>
      </c>
      <c r="T22" s="74" t="s">
        <v>62</v>
      </c>
      <c r="U22" s="7" t="s">
        <v>3481</v>
      </c>
      <c r="V22" s="74" t="s">
        <v>166</v>
      </c>
      <c r="W22" s="108">
        <f>I22/E22</f>
        <v>0.3</v>
      </c>
      <c r="X22" s="7" t="s">
        <v>2629</v>
      </c>
      <c r="Y22" s="184" t="s">
        <v>3480</v>
      </c>
      <c r="Z22" s="7" t="s">
        <v>109</v>
      </c>
      <c r="AA22" s="7" t="s">
        <v>109</v>
      </c>
    </row>
    <row r="23" spans="1:27" x14ac:dyDescent="0.3">
      <c r="A23" s="7">
        <v>18</v>
      </c>
      <c r="B23" s="29" t="s">
        <v>23</v>
      </c>
      <c r="C23" s="29" t="s">
        <v>1065</v>
      </c>
      <c r="D23" s="91">
        <v>50126305</v>
      </c>
      <c r="E23" s="29">
        <v>150</v>
      </c>
      <c r="F23" s="7">
        <v>273</v>
      </c>
      <c r="G23" s="7"/>
      <c r="H23" s="7"/>
      <c r="I23" s="7">
        <v>71</v>
      </c>
      <c r="J23" s="89" t="s">
        <v>920</v>
      </c>
      <c r="K23" s="7" t="s">
        <v>109</v>
      </c>
      <c r="L23" s="7" t="s">
        <v>130</v>
      </c>
      <c r="M23" s="11">
        <v>0.98958333333333337</v>
      </c>
      <c r="N23" s="7" t="s">
        <v>109</v>
      </c>
      <c r="O23" s="7" t="s">
        <v>109</v>
      </c>
      <c r="P23" s="29" t="s">
        <v>109</v>
      </c>
      <c r="Q23" s="29" t="s">
        <v>61</v>
      </c>
      <c r="R23" s="7" t="s">
        <v>131</v>
      </c>
      <c r="S23" s="7" t="s">
        <v>82</v>
      </c>
      <c r="T23" s="7" t="s">
        <v>62</v>
      </c>
      <c r="U23" s="7" t="s">
        <v>123</v>
      </c>
      <c r="V23" s="29" t="s">
        <v>1063</v>
      </c>
      <c r="W23" s="108">
        <f>I23/E23</f>
        <v>0.47333333333333333</v>
      </c>
      <c r="X23" s="7" t="s">
        <v>2391</v>
      </c>
      <c r="Y23" s="183" t="s">
        <v>3128</v>
      </c>
      <c r="Z23" s="7" t="s">
        <v>109</v>
      </c>
      <c r="AA23" s="7" t="s">
        <v>109</v>
      </c>
    </row>
    <row r="24" spans="1:27" x14ac:dyDescent="0.3">
      <c r="A24" s="7">
        <v>16</v>
      </c>
      <c r="B24" s="29" t="s">
        <v>23</v>
      </c>
      <c r="C24" s="29" t="s">
        <v>1062</v>
      </c>
      <c r="D24" s="91">
        <v>50126304</v>
      </c>
      <c r="E24" s="29">
        <v>100</v>
      </c>
      <c r="F24" s="7" t="s">
        <v>109</v>
      </c>
      <c r="G24" s="7"/>
      <c r="H24" s="7"/>
      <c r="I24" s="7" t="s">
        <v>109</v>
      </c>
      <c r="J24" s="7" t="s">
        <v>200</v>
      </c>
      <c r="K24" s="7" t="s">
        <v>109</v>
      </c>
      <c r="L24" s="18" t="s">
        <v>85</v>
      </c>
      <c r="M24" s="7" t="s">
        <v>109</v>
      </c>
      <c r="N24" s="7" t="s">
        <v>109</v>
      </c>
      <c r="O24" s="7" t="s">
        <v>109</v>
      </c>
      <c r="P24" s="29" t="s">
        <v>109</v>
      </c>
      <c r="Q24" s="29" t="s">
        <v>61</v>
      </c>
      <c r="R24" s="7" t="s">
        <v>109</v>
      </c>
      <c r="S24" s="7" t="s">
        <v>109</v>
      </c>
      <c r="T24" s="7" t="s">
        <v>62</v>
      </c>
      <c r="U24" s="7" t="s">
        <v>123</v>
      </c>
      <c r="V24" s="29" t="s">
        <v>1063</v>
      </c>
      <c r="W24" s="108" t="s">
        <v>109</v>
      </c>
      <c r="X24" s="7" t="s">
        <v>109</v>
      </c>
      <c r="Y24" s="183" t="s">
        <v>3351</v>
      </c>
      <c r="Z24" s="7" t="s">
        <v>109</v>
      </c>
      <c r="AA24" s="7" t="s">
        <v>109</v>
      </c>
    </row>
    <row r="25" spans="1:27" x14ac:dyDescent="0.3">
      <c r="A25" s="7">
        <v>20</v>
      </c>
      <c r="B25" s="29" t="s">
        <v>23</v>
      </c>
      <c r="C25" s="29" t="s">
        <v>990</v>
      </c>
      <c r="D25" s="91">
        <v>50126268</v>
      </c>
      <c r="E25" s="29">
        <v>20</v>
      </c>
      <c r="F25" s="7">
        <v>36</v>
      </c>
      <c r="G25" s="7"/>
      <c r="H25" s="7"/>
      <c r="I25" s="7">
        <v>23</v>
      </c>
      <c r="J25" s="89" t="s">
        <v>200</v>
      </c>
      <c r="K25" s="7" t="s">
        <v>109</v>
      </c>
      <c r="L25" s="7" t="s">
        <v>130</v>
      </c>
      <c r="M25" s="11">
        <v>0.87430555555555556</v>
      </c>
      <c r="N25" s="7" t="s">
        <v>109</v>
      </c>
      <c r="O25" s="7" t="s">
        <v>109</v>
      </c>
      <c r="P25" s="32" t="s">
        <v>3318</v>
      </c>
      <c r="Q25" s="29" t="s">
        <v>61</v>
      </c>
      <c r="R25" s="7" t="s">
        <v>131</v>
      </c>
      <c r="S25" s="7" t="s">
        <v>200</v>
      </c>
      <c r="T25" s="7" t="s">
        <v>62</v>
      </c>
      <c r="U25" s="7" t="s">
        <v>123</v>
      </c>
      <c r="V25" s="29" t="s">
        <v>402</v>
      </c>
      <c r="W25" s="108">
        <f t="shared" ref="W25:W50" si="1">I25/E25</f>
        <v>1.1499999999999999</v>
      </c>
      <c r="X25" s="7" t="s">
        <v>1945</v>
      </c>
      <c r="Y25" s="183" t="s">
        <v>3319</v>
      </c>
      <c r="Z25" s="7" t="s">
        <v>3282</v>
      </c>
      <c r="AA25" s="7" t="s">
        <v>3101</v>
      </c>
    </row>
    <row r="26" spans="1:27" x14ac:dyDescent="0.3">
      <c r="A26" s="7">
        <v>60</v>
      </c>
      <c r="B26" s="29" t="s">
        <v>23</v>
      </c>
      <c r="C26" s="29" t="s">
        <v>754</v>
      </c>
      <c r="D26" s="91">
        <v>50126148</v>
      </c>
      <c r="E26" s="29">
        <v>50</v>
      </c>
      <c r="F26" s="7">
        <v>84</v>
      </c>
      <c r="G26" s="7"/>
      <c r="H26" s="7"/>
      <c r="I26" s="7">
        <v>55</v>
      </c>
      <c r="J26" s="89" t="s">
        <v>200</v>
      </c>
      <c r="K26" s="7" t="s">
        <v>87</v>
      </c>
      <c r="L26" s="7" t="s">
        <v>130</v>
      </c>
      <c r="M26" s="11">
        <v>0.65972222222222221</v>
      </c>
      <c r="N26" s="11">
        <v>0.70347222222222228</v>
      </c>
      <c r="O26" s="7" t="s">
        <v>109</v>
      </c>
      <c r="P26" s="29" t="s">
        <v>109</v>
      </c>
      <c r="Q26" s="29" t="s">
        <v>61</v>
      </c>
      <c r="R26" s="7" t="s">
        <v>131</v>
      </c>
      <c r="S26" s="7" t="s">
        <v>87</v>
      </c>
      <c r="T26" s="7" t="s">
        <v>62</v>
      </c>
      <c r="U26" s="7" t="s">
        <v>123</v>
      </c>
      <c r="V26" s="29" t="s">
        <v>480</v>
      </c>
      <c r="W26" s="108">
        <f t="shared" si="1"/>
        <v>1.1000000000000001</v>
      </c>
      <c r="X26" s="7" t="s">
        <v>1945</v>
      </c>
      <c r="Y26" s="183" t="s">
        <v>3461</v>
      </c>
      <c r="Z26" s="7" t="s">
        <v>109</v>
      </c>
      <c r="AA26" s="7" t="s">
        <v>109</v>
      </c>
    </row>
    <row r="27" spans="1:27" x14ac:dyDescent="0.3">
      <c r="A27" s="7">
        <v>86</v>
      </c>
      <c r="B27" s="29" t="s">
        <v>26</v>
      </c>
      <c r="C27" s="29" t="s">
        <v>2465</v>
      </c>
      <c r="D27" s="29">
        <v>40226011</v>
      </c>
      <c r="E27" s="29">
        <v>68</v>
      </c>
      <c r="F27" s="7">
        <v>63</v>
      </c>
      <c r="G27" s="7"/>
      <c r="H27" s="7"/>
      <c r="I27" s="7">
        <v>21</v>
      </c>
      <c r="J27" s="7" t="s">
        <v>200</v>
      </c>
      <c r="K27" s="7" t="s">
        <v>91</v>
      </c>
      <c r="L27" s="7" t="s">
        <v>130</v>
      </c>
      <c r="M27" s="11">
        <v>0.8</v>
      </c>
      <c r="N27" s="11">
        <v>0.85763888888888884</v>
      </c>
      <c r="O27" s="7" t="s">
        <v>109</v>
      </c>
      <c r="P27" s="32" t="s">
        <v>3347</v>
      </c>
      <c r="Q27" s="29" t="s">
        <v>61</v>
      </c>
      <c r="R27" s="7" t="s">
        <v>131</v>
      </c>
      <c r="S27" s="7" t="s">
        <v>91</v>
      </c>
      <c r="T27" s="7" t="s">
        <v>62</v>
      </c>
      <c r="U27" s="7" t="s">
        <v>123</v>
      </c>
      <c r="V27" s="29" t="s">
        <v>122</v>
      </c>
      <c r="W27" s="108">
        <f t="shared" si="1"/>
        <v>0.30882352941176472</v>
      </c>
      <c r="X27" s="7" t="s">
        <v>152</v>
      </c>
      <c r="Y27" s="7" t="s">
        <v>3478</v>
      </c>
      <c r="Z27" s="7" t="s">
        <v>109</v>
      </c>
      <c r="AA27" s="7" t="s">
        <v>109</v>
      </c>
    </row>
    <row r="28" spans="1:27" x14ac:dyDescent="0.3">
      <c r="A28" s="7">
        <v>5</v>
      </c>
      <c r="B28" s="29" t="s">
        <v>24</v>
      </c>
      <c r="C28" s="29" t="s">
        <v>2867</v>
      </c>
      <c r="D28" s="91">
        <v>60326001</v>
      </c>
      <c r="E28" s="29">
        <v>288</v>
      </c>
      <c r="F28" s="7">
        <v>561</v>
      </c>
      <c r="G28" s="7"/>
      <c r="H28" s="7"/>
      <c r="I28" s="7">
        <v>172</v>
      </c>
      <c r="J28" s="7" t="s">
        <v>3404</v>
      </c>
      <c r="K28" s="7" t="s">
        <v>3405</v>
      </c>
      <c r="L28" s="7" t="s">
        <v>130</v>
      </c>
      <c r="M28" s="11">
        <v>0.98541666666666672</v>
      </c>
      <c r="N28" s="11">
        <v>8.3333333333333332E-3</v>
      </c>
      <c r="O28" s="7" t="s">
        <v>109</v>
      </c>
      <c r="P28" s="29" t="s">
        <v>109</v>
      </c>
      <c r="Q28" s="29" t="s">
        <v>61</v>
      </c>
      <c r="R28" s="7" t="s">
        <v>131</v>
      </c>
      <c r="S28" s="7" t="s">
        <v>209</v>
      </c>
      <c r="T28" s="7" t="s">
        <v>63</v>
      </c>
      <c r="U28" s="7" t="s">
        <v>123</v>
      </c>
      <c r="V28" s="29" t="s">
        <v>2870</v>
      </c>
      <c r="W28" s="108">
        <f t="shared" si="1"/>
        <v>0.59722222222222221</v>
      </c>
      <c r="X28" s="7" t="s">
        <v>3476</v>
      </c>
      <c r="Y28" s="183" t="s">
        <v>3375</v>
      </c>
      <c r="Z28" s="7" t="s">
        <v>3281</v>
      </c>
      <c r="AA28" s="7" t="s">
        <v>3102</v>
      </c>
    </row>
    <row r="29" spans="1:27" x14ac:dyDescent="0.3">
      <c r="A29" s="7">
        <v>11</v>
      </c>
      <c r="B29" s="29" t="s">
        <v>23</v>
      </c>
      <c r="C29" s="29" t="s">
        <v>2149</v>
      </c>
      <c r="D29" s="91">
        <v>50226066</v>
      </c>
      <c r="E29" s="29">
        <v>20</v>
      </c>
      <c r="F29" s="7">
        <v>38</v>
      </c>
      <c r="G29" s="7"/>
      <c r="H29" s="7"/>
      <c r="I29" s="7">
        <v>24</v>
      </c>
      <c r="J29" s="155" t="s">
        <v>1082</v>
      </c>
      <c r="K29" s="7" t="s">
        <v>109</v>
      </c>
      <c r="L29" s="7" t="s">
        <v>130</v>
      </c>
      <c r="M29" s="11">
        <v>0.7680555555555556</v>
      </c>
      <c r="N29" s="7" t="s">
        <v>109</v>
      </c>
      <c r="O29" s="7" t="s">
        <v>109</v>
      </c>
      <c r="P29" s="29" t="s">
        <v>109</v>
      </c>
      <c r="Q29" s="29" t="s">
        <v>61</v>
      </c>
      <c r="R29" s="7" t="s">
        <v>131</v>
      </c>
      <c r="S29" s="7" t="s">
        <v>1082</v>
      </c>
      <c r="T29" s="7" t="s">
        <v>62</v>
      </c>
      <c r="U29" s="7" t="s">
        <v>123</v>
      </c>
      <c r="V29" s="29" t="s">
        <v>116</v>
      </c>
      <c r="W29" s="108">
        <f t="shared" si="1"/>
        <v>1.2</v>
      </c>
      <c r="X29" s="7" t="s">
        <v>1945</v>
      </c>
      <c r="Y29" s="183" t="s">
        <v>3437</v>
      </c>
      <c r="Z29" s="7" t="s">
        <v>109</v>
      </c>
      <c r="AA29" s="7" t="s">
        <v>109</v>
      </c>
    </row>
    <row r="30" spans="1:27" x14ac:dyDescent="0.3">
      <c r="A30" s="7">
        <v>4</v>
      </c>
      <c r="B30" s="29" t="s">
        <v>292</v>
      </c>
      <c r="C30" s="29" t="s">
        <v>1883</v>
      </c>
      <c r="D30" s="91">
        <v>40126037</v>
      </c>
      <c r="E30" s="29">
        <v>40</v>
      </c>
      <c r="F30" s="7">
        <v>33</v>
      </c>
      <c r="G30" s="7"/>
      <c r="H30" s="7"/>
      <c r="I30" s="7">
        <v>7</v>
      </c>
      <c r="J30" s="89" t="s">
        <v>222</v>
      </c>
      <c r="K30" s="173" t="s">
        <v>95</v>
      </c>
      <c r="L30" s="7" t="s">
        <v>130</v>
      </c>
      <c r="M30" s="11">
        <v>0.66111111111111109</v>
      </c>
      <c r="N30" s="11">
        <v>0.70833333333333337</v>
      </c>
      <c r="O30" s="7" t="s">
        <v>109</v>
      </c>
      <c r="P30" s="32" t="s">
        <v>3403</v>
      </c>
      <c r="Q30" s="29" t="s">
        <v>61</v>
      </c>
      <c r="R30" s="7" t="s">
        <v>131</v>
      </c>
      <c r="S30" s="7" t="s">
        <v>95</v>
      </c>
      <c r="T30" s="7" t="s">
        <v>63</v>
      </c>
      <c r="U30" s="7" t="s">
        <v>123</v>
      </c>
      <c r="V30" s="29" t="s">
        <v>117</v>
      </c>
      <c r="W30" s="108">
        <f t="shared" si="1"/>
        <v>0.17499999999999999</v>
      </c>
      <c r="X30" s="7" t="s">
        <v>152</v>
      </c>
      <c r="Y30" s="183" t="s">
        <v>3303</v>
      </c>
      <c r="Z30" s="7" t="s">
        <v>109</v>
      </c>
      <c r="AA30" s="7" t="s">
        <v>109</v>
      </c>
    </row>
    <row r="31" spans="1:27" x14ac:dyDescent="0.3">
      <c r="A31" s="7">
        <v>51</v>
      </c>
      <c r="B31" s="29" t="s">
        <v>143</v>
      </c>
      <c r="C31" s="29" t="s">
        <v>2256</v>
      </c>
      <c r="D31" s="91">
        <v>10226016</v>
      </c>
      <c r="E31" s="29">
        <v>78</v>
      </c>
      <c r="F31" s="7">
        <v>116</v>
      </c>
      <c r="G31" s="7"/>
      <c r="H31" s="7"/>
      <c r="I31" s="7">
        <v>28</v>
      </c>
      <c r="J31" s="89" t="s">
        <v>222</v>
      </c>
      <c r="K31" s="173" t="s">
        <v>209</v>
      </c>
      <c r="L31" s="7" t="s">
        <v>130</v>
      </c>
      <c r="M31" s="11">
        <v>0.95486111111111116</v>
      </c>
      <c r="N31" s="11">
        <v>1.1805555555555555E-2</v>
      </c>
      <c r="O31" s="7" t="s">
        <v>109</v>
      </c>
      <c r="P31" s="29" t="s">
        <v>109</v>
      </c>
      <c r="Q31" s="29" t="s">
        <v>61</v>
      </c>
      <c r="R31" s="7" t="s">
        <v>131</v>
      </c>
      <c r="S31" s="7" t="s">
        <v>209</v>
      </c>
      <c r="T31" s="7" t="s">
        <v>62</v>
      </c>
      <c r="U31" s="7" t="s">
        <v>123</v>
      </c>
      <c r="V31" s="29" t="s">
        <v>2253</v>
      </c>
      <c r="W31" s="108">
        <f t="shared" si="1"/>
        <v>0.35897435897435898</v>
      </c>
      <c r="X31" s="7" t="s">
        <v>3476</v>
      </c>
      <c r="Y31" s="183" t="s">
        <v>3357</v>
      </c>
      <c r="Z31" s="7" t="s">
        <v>109</v>
      </c>
      <c r="AA31" s="7" t="s">
        <v>109</v>
      </c>
    </row>
    <row r="32" spans="1:27" x14ac:dyDescent="0.3">
      <c r="A32" s="7">
        <v>28</v>
      </c>
      <c r="B32" s="29" t="s">
        <v>2395</v>
      </c>
      <c r="C32" s="29" t="s">
        <v>2393</v>
      </c>
      <c r="D32" s="91">
        <v>40226009</v>
      </c>
      <c r="E32" s="29">
        <v>268</v>
      </c>
      <c r="F32" s="7">
        <v>222</v>
      </c>
      <c r="G32" s="7"/>
      <c r="H32" s="7"/>
      <c r="I32" s="7">
        <v>37</v>
      </c>
      <c r="J32" s="7" t="s">
        <v>3248</v>
      </c>
      <c r="K32" s="7" t="s">
        <v>3409</v>
      </c>
      <c r="L32" s="7" t="s">
        <v>130</v>
      </c>
      <c r="M32" s="11">
        <v>0.71180555555555558</v>
      </c>
      <c r="N32" s="11">
        <v>0.76666666666666672</v>
      </c>
      <c r="O32" s="7" t="s">
        <v>109</v>
      </c>
      <c r="P32" s="32" t="s">
        <v>3410</v>
      </c>
      <c r="Q32" s="29" t="s">
        <v>61</v>
      </c>
      <c r="R32" s="7" t="s">
        <v>131</v>
      </c>
      <c r="S32" s="7" t="s">
        <v>86</v>
      </c>
      <c r="T32" s="7" t="s">
        <v>62</v>
      </c>
      <c r="U32" s="7" t="s">
        <v>123</v>
      </c>
      <c r="V32" s="29" t="s">
        <v>2430</v>
      </c>
      <c r="W32" s="108">
        <f t="shared" si="1"/>
        <v>0.13805970149253732</v>
      </c>
      <c r="X32" s="7" t="s">
        <v>152</v>
      </c>
      <c r="Y32" s="183" t="s">
        <v>3219</v>
      </c>
      <c r="Z32" s="7" t="s">
        <v>3282</v>
      </c>
      <c r="AA32" s="7" t="s">
        <v>3102</v>
      </c>
    </row>
    <row r="33" spans="1:27" x14ac:dyDescent="0.3">
      <c r="A33" s="7">
        <v>13</v>
      </c>
      <c r="B33" s="29" t="s">
        <v>23</v>
      </c>
      <c r="C33" s="29" t="s">
        <v>1337</v>
      </c>
      <c r="D33" s="91">
        <v>50126336</v>
      </c>
      <c r="E33" s="29">
        <v>50</v>
      </c>
      <c r="F33" s="7">
        <v>101</v>
      </c>
      <c r="G33" s="7"/>
      <c r="H33" s="7"/>
      <c r="I33" s="7">
        <v>34</v>
      </c>
      <c r="J33" s="156" t="s">
        <v>84</v>
      </c>
      <c r="K33" s="7" t="s">
        <v>109</v>
      </c>
      <c r="L33" s="7" t="s">
        <v>130</v>
      </c>
      <c r="M33" s="11">
        <v>0.87083333333333335</v>
      </c>
      <c r="N33" s="7" t="s">
        <v>109</v>
      </c>
      <c r="O33" s="7" t="s">
        <v>109</v>
      </c>
      <c r="P33" s="29" t="s">
        <v>109</v>
      </c>
      <c r="Q33" s="29" t="s">
        <v>61</v>
      </c>
      <c r="R33" s="7" t="s">
        <v>131</v>
      </c>
      <c r="S33" s="7" t="s">
        <v>84</v>
      </c>
      <c r="T33" s="7" t="s">
        <v>62</v>
      </c>
      <c r="U33" s="7" t="s">
        <v>123</v>
      </c>
      <c r="V33" s="29" t="s">
        <v>1338</v>
      </c>
      <c r="W33" s="108">
        <f t="shared" si="1"/>
        <v>0.68</v>
      </c>
      <c r="X33" s="7" t="s">
        <v>3476</v>
      </c>
      <c r="Y33" s="183" t="s">
        <v>3439</v>
      </c>
      <c r="Z33" s="7" t="s">
        <v>109</v>
      </c>
      <c r="AA33" s="7" t="s">
        <v>109</v>
      </c>
    </row>
    <row r="34" spans="1:27" x14ac:dyDescent="0.3">
      <c r="A34" s="7">
        <v>41</v>
      </c>
      <c r="B34" s="29" t="s">
        <v>143</v>
      </c>
      <c r="C34" s="29" t="s">
        <v>2553</v>
      </c>
      <c r="D34" s="91">
        <v>10226050</v>
      </c>
      <c r="E34" s="29">
        <v>40</v>
      </c>
      <c r="F34" s="7">
        <v>55</v>
      </c>
      <c r="G34" s="7"/>
      <c r="H34" s="7"/>
      <c r="I34" s="7">
        <v>36</v>
      </c>
      <c r="J34" s="156" t="s">
        <v>84</v>
      </c>
      <c r="K34" s="173" t="s">
        <v>94</v>
      </c>
      <c r="L34" s="7" t="s">
        <v>130</v>
      </c>
      <c r="M34" s="11">
        <v>4.027777777777778E-2</v>
      </c>
      <c r="N34" s="11">
        <v>5.9722222222222225E-2</v>
      </c>
      <c r="O34" s="7" t="s">
        <v>109</v>
      </c>
      <c r="P34" s="29" t="s">
        <v>109</v>
      </c>
      <c r="Q34" s="29" t="s">
        <v>61</v>
      </c>
      <c r="R34" s="7" t="s">
        <v>131</v>
      </c>
      <c r="S34" s="7" t="s">
        <v>94</v>
      </c>
      <c r="T34" s="7" t="s">
        <v>62</v>
      </c>
      <c r="U34" s="7" t="s">
        <v>123</v>
      </c>
      <c r="V34" s="29" t="s">
        <v>121</v>
      </c>
      <c r="W34" s="108">
        <f t="shared" si="1"/>
        <v>0.9</v>
      </c>
      <c r="X34" s="7" t="s">
        <v>1945</v>
      </c>
      <c r="Y34" s="183" t="s">
        <v>3344</v>
      </c>
      <c r="Z34" s="7" t="s">
        <v>109</v>
      </c>
      <c r="AA34" s="7" t="s">
        <v>109</v>
      </c>
    </row>
    <row r="35" spans="1:27" x14ac:dyDescent="0.3">
      <c r="A35" s="7">
        <v>85</v>
      </c>
      <c r="B35" s="29" t="s">
        <v>26</v>
      </c>
      <c r="C35" s="29" t="s">
        <v>2462</v>
      </c>
      <c r="D35" s="29">
        <v>40226014</v>
      </c>
      <c r="E35" s="29">
        <v>250</v>
      </c>
      <c r="F35" s="7">
        <v>483</v>
      </c>
      <c r="G35" s="7"/>
      <c r="H35" s="7"/>
      <c r="I35" s="7">
        <v>116</v>
      </c>
      <c r="J35" s="7" t="s">
        <v>3471</v>
      </c>
      <c r="K35" s="7" t="s">
        <v>3474</v>
      </c>
      <c r="L35" s="11" t="s">
        <v>130</v>
      </c>
      <c r="M35" s="11">
        <v>1.3194444444444444E-2</v>
      </c>
      <c r="N35" s="11">
        <v>3.888888888888889E-2</v>
      </c>
      <c r="O35" s="7" t="s">
        <v>109</v>
      </c>
      <c r="P35" s="32" t="s">
        <v>3347</v>
      </c>
      <c r="Q35" s="29" t="s">
        <v>61</v>
      </c>
      <c r="R35" s="7" t="s">
        <v>131</v>
      </c>
      <c r="S35" s="7" t="s">
        <v>93</v>
      </c>
      <c r="T35" s="7" t="s">
        <v>62</v>
      </c>
      <c r="U35" s="7" t="s">
        <v>123</v>
      </c>
      <c r="V35" s="29" t="s">
        <v>122</v>
      </c>
      <c r="W35" s="108">
        <f t="shared" si="1"/>
        <v>0.46400000000000002</v>
      </c>
      <c r="X35" s="7" t="s">
        <v>3476</v>
      </c>
      <c r="Y35" s="7" t="s">
        <v>3245</v>
      </c>
      <c r="Z35" s="7" t="s">
        <v>109</v>
      </c>
      <c r="AA35" s="7" t="s">
        <v>109</v>
      </c>
    </row>
    <row r="36" spans="1:27" x14ac:dyDescent="0.3">
      <c r="A36" s="7">
        <v>25</v>
      </c>
      <c r="B36" s="29" t="s">
        <v>23</v>
      </c>
      <c r="C36" s="29" t="s">
        <v>2518</v>
      </c>
      <c r="D36" s="91">
        <v>50226108</v>
      </c>
      <c r="E36" s="29">
        <v>60</v>
      </c>
      <c r="F36" s="7">
        <v>61</v>
      </c>
      <c r="G36" s="7"/>
      <c r="H36" s="7"/>
      <c r="I36" s="7">
        <v>16</v>
      </c>
      <c r="J36" s="89" t="s">
        <v>241</v>
      </c>
      <c r="K36" s="7" t="s">
        <v>109</v>
      </c>
      <c r="L36" s="7" t="s">
        <v>130</v>
      </c>
      <c r="M36" s="11">
        <v>3.472222222222222E-3</v>
      </c>
      <c r="N36" s="7" t="s">
        <v>109</v>
      </c>
      <c r="O36" s="7" t="s">
        <v>109</v>
      </c>
      <c r="P36" s="29" t="s">
        <v>109</v>
      </c>
      <c r="Q36" s="29" t="s">
        <v>61</v>
      </c>
      <c r="R36" s="7" t="s">
        <v>131</v>
      </c>
      <c r="S36" s="7" t="s">
        <v>241</v>
      </c>
      <c r="T36" s="7" t="s">
        <v>62</v>
      </c>
      <c r="U36" s="7" t="s">
        <v>123</v>
      </c>
      <c r="V36" s="29" t="s">
        <v>122</v>
      </c>
      <c r="W36" s="108">
        <f t="shared" si="1"/>
        <v>0.26666666666666666</v>
      </c>
      <c r="X36" s="7" t="s">
        <v>152</v>
      </c>
      <c r="Y36" s="183" t="s">
        <v>3141</v>
      </c>
      <c r="Z36" s="7" t="s">
        <v>109</v>
      </c>
      <c r="AA36" s="7" t="s">
        <v>109</v>
      </c>
    </row>
    <row r="37" spans="1:27" x14ac:dyDescent="0.3">
      <c r="A37" s="7">
        <v>38</v>
      </c>
      <c r="B37" s="29" t="s">
        <v>143</v>
      </c>
      <c r="C37" s="29" t="s">
        <v>2663</v>
      </c>
      <c r="D37" s="91">
        <v>10226058</v>
      </c>
      <c r="E37" s="29">
        <v>40</v>
      </c>
      <c r="F37" s="7">
        <v>80</v>
      </c>
      <c r="G37" s="7"/>
      <c r="H37" s="7"/>
      <c r="I37" s="7">
        <v>16</v>
      </c>
      <c r="J37" s="89" t="s">
        <v>241</v>
      </c>
      <c r="K37" s="7" t="s">
        <v>87</v>
      </c>
      <c r="L37" s="7" t="s">
        <v>130</v>
      </c>
      <c r="M37" s="11">
        <v>0.72638888888888886</v>
      </c>
      <c r="N37" s="11">
        <v>0.7631944444444444</v>
      </c>
      <c r="O37" s="7" t="s">
        <v>109</v>
      </c>
      <c r="P37" s="29" t="s">
        <v>109</v>
      </c>
      <c r="Q37" s="29" t="s">
        <v>61</v>
      </c>
      <c r="R37" s="7" t="s">
        <v>131</v>
      </c>
      <c r="S37" s="7" t="s">
        <v>87</v>
      </c>
      <c r="T37" s="7" t="s">
        <v>62</v>
      </c>
      <c r="U37" s="7" t="s">
        <v>123</v>
      </c>
      <c r="V37" s="29" t="s">
        <v>121</v>
      </c>
      <c r="W37" s="108">
        <f t="shared" si="1"/>
        <v>0.4</v>
      </c>
      <c r="X37" s="7" t="s">
        <v>3476</v>
      </c>
      <c r="Y37" s="183" t="s">
        <v>3323</v>
      </c>
      <c r="Z37" s="7" t="s">
        <v>109</v>
      </c>
      <c r="AA37" s="7" t="s">
        <v>109</v>
      </c>
    </row>
    <row r="38" spans="1:27" x14ac:dyDescent="0.3">
      <c r="A38" s="7">
        <v>66</v>
      </c>
      <c r="B38" s="29" t="s">
        <v>23</v>
      </c>
      <c r="C38" s="29" t="s">
        <v>1056</v>
      </c>
      <c r="D38" s="91">
        <v>50126316</v>
      </c>
      <c r="E38" s="29">
        <v>200</v>
      </c>
      <c r="F38" s="7">
        <v>423</v>
      </c>
      <c r="G38" s="7"/>
      <c r="H38" s="7"/>
      <c r="I38" s="7">
        <v>141</v>
      </c>
      <c r="J38" s="7" t="s">
        <v>3423</v>
      </c>
      <c r="K38" s="7" t="s">
        <v>3424</v>
      </c>
      <c r="L38" s="7" t="s">
        <v>130</v>
      </c>
      <c r="M38" s="11">
        <v>0.77916666666666667</v>
      </c>
      <c r="N38" s="11">
        <v>0.98958333333333337</v>
      </c>
      <c r="O38" s="7" t="s">
        <v>109</v>
      </c>
      <c r="P38" s="32" t="s">
        <v>1621</v>
      </c>
      <c r="Q38" s="29" t="s">
        <v>61</v>
      </c>
      <c r="R38" s="7" t="s">
        <v>131</v>
      </c>
      <c r="S38" s="7" t="s">
        <v>94</v>
      </c>
      <c r="T38" s="7" t="s">
        <v>62</v>
      </c>
      <c r="U38" s="7" t="s">
        <v>123</v>
      </c>
      <c r="V38" s="29" t="s">
        <v>480</v>
      </c>
      <c r="W38" s="108">
        <f t="shared" si="1"/>
        <v>0.70499999999999996</v>
      </c>
      <c r="X38" s="7" t="s">
        <v>3476</v>
      </c>
      <c r="Y38" s="183" t="s">
        <v>3275</v>
      </c>
      <c r="Z38" s="7" t="s">
        <v>3282</v>
      </c>
      <c r="AA38" s="7" t="s">
        <v>3102</v>
      </c>
    </row>
    <row r="39" spans="1:27" x14ac:dyDescent="0.3">
      <c r="A39" s="7">
        <v>15</v>
      </c>
      <c r="B39" s="29" t="s">
        <v>23</v>
      </c>
      <c r="C39" s="29" t="s">
        <v>2740</v>
      </c>
      <c r="D39" s="91">
        <v>50226130</v>
      </c>
      <c r="E39" s="29">
        <v>50</v>
      </c>
      <c r="F39" s="7">
        <v>74</v>
      </c>
      <c r="G39" s="7"/>
      <c r="H39" s="7"/>
      <c r="I39" s="7">
        <v>6</v>
      </c>
      <c r="J39" s="156" t="s">
        <v>69</v>
      </c>
      <c r="K39" s="7" t="s">
        <v>109</v>
      </c>
      <c r="L39" s="7" t="s">
        <v>130</v>
      </c>
      <c r="M39" s="11">
        <v>0.65694444444444444</v>
      </c>
      <c r="N39" s="7" t="s">
        <v>109</v>
      </c>
      <c r="O39" s="7" t="s">
        <v>109</v>
      </c>
      <c r="P39" s="32" t="s">
        <v>3407</v>
      </c>
      <c r="Q39" s="29" t="s">
        <v>61</v>
      </c>
      <c r="R39" s="7" t="s">
        <v>131</v>
      </c>
      <c r="S39" s="7" t="s">
        <v>69</v>
      </c>
      <c r="T39" s="7" t="s">
        <v>62</v>
      </c>
      <c r="U39" s="7" t="s">
        <v>123</v>
      </c>
      <c r="V39" s="29" t="s">
        <v>1240</v>
      </c>
      <c r="W39" s="108">
        <f t="shared" si="1"/>
        <v>0.12</v>
      </c>
      <c r="X39" s="7" t="s">
        <v>152</v>
      </c>
      <c r="Y39" s="183" t="s">
        <v>3441</v>
      </c>
      <c r="Z39" s="7" t="s">
        <v>109</v>
      </c>
      <c r="AA39" s="7" t="s">
        <v>109</v>
      </c>
    </row>
    <row r="40" spans="1:27" x14ac:dyDescent="0.3">
      <c r="A40" s="7">
        <v>36</v>
      </c>
      <c r="B40" s="29" t="s">
        <v>143</v>
      </c>
      <c r="C40" s="29" t="s">
        <v>2838</v>
      </c>
      <c r="D40" s="91">
        <v>10326009</v>
      </c>
      <c r="E40" s="29">
        <v>35</v>
      </c>
      <c r="F40" s="7">
        <v>73</v>
      </c>
      <c r="G40" s="7"/>
      <c r="H40" s="7"/>
      <c r="I40" s="7">
        <v>13</v>
      </c>
      <c r="J40" s="156" t="s">
        <v>69</v>
      </c>
      <c r="K40" s="155" t="s">
        <v>1082</v>
      </c>
      <c r="L40" s="7" t="s">
        <v>130</v>
      </c>
      <c r="M40" s="11">
        <v>0.84930555555555554</v>
      </c>
      <c r="N40" s="11">
        <v>0.86458333333333337</v>
      </c>
      <c r="O40" s="7" t="s">
        <v>109</v>
      </c>
      <c r="P40" s="29" t="s">
        <v>109</v>
      </c>
      <c r="Q40" s="29" t="s">
        <v>61</v>
      </c>
      <c r="R40" s="7" t="s">
        <v>131</v>
      </c>
      <c r="S40" s="7" t="s">
        <v>1082</v>
      </c>
      <c r="T40" s="7" t="s">
        <v>62</v>
      </c>
      <c r="U40" s="7" t="s">
        <v>123</v>
      </c>
      <c r="V40" s="29" t="s">
        <v>121</v>
      </c>
      <c r="W40" s="108">
        <f t="shared" si="1"/>
        <v>0.37142857142857144</v>
      </c>
      <c r="X40" s="7" t="s">
        <v>3476</v>
      </c>
      <c r="Y40" s="183" t="s">
        <v>3322</v>
      </c>
      <c r="Z40" s="7" t="s">
        <v>109</v>
      </c>
      <c r="AA40" s="7" t="s">
        <v>109</v>
      </c>
    </row>
    <row r="41" spans="1:27" x14ac:dyDescent="0.3">
      <c r="A41" s="7">
        <v>23</v>
      </c>
      <c r="B41" s="29" t="s">
        <v>23</v>
      </c>
      <c r="C41" s="29" t="s">
        <v>2844</v>
      </c>
      <c r="D41" s="91">
        <v>50326004</v>
      </c>
      <c r="E41" s="29">
        <v>140</v>
      </c>
      <c r="F41" s="7">
        <v>200</v>
      </c>
      <c r="G41" s="7"/>
      <c r="H41" s="7"/>
      <c r="I41" s="7">
        <v>84</v>
      </c>
      <c r="J41" s="7" t="s">
        <v>938</v>
      </c>
      <c r="K41" s="7" t="s">
        <v>109</v>
      </c>
      <c r="L41" s="7" t="s">
        <v>130</v>
      </c>
      <c r="M41" s="11">
        <v>0.75486111111111109</v>
      </c>
      <c r="N41" s="7" t="s">
        <v>109</v>
      </c>
      <c r="O41" s="7" t="s">
        <v>109</v>
      </c>
      <c r="P41" s="32" t="s">
        <v>2223</v>
      </c>
      <c r="Q41" s="29" t="s">
        <v>61</v>
      </c>
      <c r="R41" s="7" t="s">
        <v>131</v>
      </c>
      <c r="S41" s="7" t="s">
        <v>69</v>
      </c>
      <c r="T41" s="7" t="s">
        <v>62</v>
      </c>
      <c r="U41" s="7" t="s">
        <v>123</v>
      </c>
      <c r="V41" s="29" t="s">
        <v>2841</v>
      </c>
      <c r="W41" s="108">
        <f t="shared" si="1"/>
        <v>0.6</v>
      </c>
      <c r="X41" s="7" t="s">
        <v>152</v>
      </c>
      <c r="Y41" s="183" t="s">
        <v>3139</v>
      </c>
      <c r="Z41" s="7" t="s">
        <v>3282</v>
      </c>
      <c r="AA41" s="7" t="s">
        <v>3101</v>
      </c>
    </row>
    <row r="42" spans="1:27" x14ac:dyDescent="0.3">
      <c r="A42" s="7">
        <v>29</v>
      </c>
      <c r="B42" s="29" t="s">
        <v>411</v>
      </c>
      <c r="C42" s="29" t="s">
        <v>2246</v>
      </c>
      <c r="D42" s="91">
        <v>30226011</v>
      </c>
      <c r="E42" s="29">
        <v>210</v>
      </c>
      <c r="F42" s="7">
        <v>317</v>
      </c>
      <c r="G42" s="7"/>
      <c r="H42" s="7"/>
      <c r="I42" s="7">
        <v>108</v>
      </c>
      <c r="J42" s="7" t="s">
        <v>938</v>
      </c>
      <c r="K42" s="155" t="s">
        <v>3031</v>
      </c>
      <c r="L42" s="7" t="s">
        <v>130</v>
      </c>
      <c r="M42" s="11">
        <v>0.96666666666666667</v>
      </c>
      <c r="N42" s="11">
        <v>0.9916666666666667</v>
      </c>
      <c r="O42" s="7" t="s">
        <v>109</v>
      </c>
      <c r="P42" s="29" t="s">
        <v>109</v>
      </c>
      <c r="Q42" s="29" t="s">
        <v>61</v>
      </c>
      <c r="R42" s="7" t="s">
        <v>131</v>
      </c>
      <c r="S42" s="7" t="s">
        <v>91</v>
      </c>
      <c r="T42" s="7" t="s">
        <v>63</v>
      </c>
      <c r="U42" s="7" t="s">
        <v>123</v>
      </c>
      <c r="V42" s="29" t="s">
        <v>2247</v>
      </c>
      <c r="W42" s="108">
        <f t="shared" si="1"/>
        <v>0.51428571428571423</v>
      </c>
      <c r="X42" s="7" t="s">
        <v>3476</v>
      </c>
      <c r="Y42" s="183" t="s">
        <v>3445</v>
      </c>
      <c r="Z42" s="7" t="s">
        <v>109</v>
      </c>
      <c r="AA42" s="7" t="s">
        <v>109</v>
      </c>
    </row>
    <row r="43" spans="1:27" x14ac:dyDescent="0.3">
      <c r="A43" s="7">
        <v>30</v>
      </c>
      <c r="B43" s="29" t="s">
        <v>170</v>
      </c>
      <c r="C43" s="29" t="s">
        <v>3411</v>
      </c>
      <c r="D43" s="91">
        <v>40326011</v>
      </c>
      <c r="E43" s="29">
        <v>110</v>
      </c>
      <c r="F43" s="7">
        <v>212</v>
      </c>
      <c r="G43" s="7"/>
      <c r="H43" s="7"/>
      <c r="I43" s="7">
        <v>84</v>
      </c>
      <c r="J43" s="156" t="s">
        <v>3227</v>
      </c>
      <c r="K43" s="7" t="s">
        <v>2975</v>
      </c>
      <c r="L43" s="7" t="s">
        <v>130</v>
      </c>
      <c r="M43" s="11">
        <v>0.79722222222222228</v>
      </c>
      <c r="N43" s="11">
        <v>0.83958333333333335</v>
      </c>
      <c r="O43" s="7" t="s">
        <v>109</v>
      </c>
      <c r="P43" s="29" t="s">
        <v>109</v>
      </c>
      <c r="Q43" s="29" t="s">
        <v>61</v>
      </c>
      <c r="R43" s="7" t="s">
        <v>131</v>
      </c>
      <c r="S43" s="7" t="s">
        <v>1082</v>
      </c>
      <c r="T43" s="7" t="s">
        <v>62</v>
      </c>
      <c r="U43" s="7" t="s">
        <v>123</v>
      </c>
      <c r="V43" s="29" t="s">
        <v>2561</v>
      </c>
      <c r="W43" s="108">
        <f t="shared" si="1"/>
        <v>0.76363636363636367</v>
      </c>
      <c r="X43" s="7" t="s">
        <v>3476</v>
      </c>
      <c r="Y43" s="183" t="s">
        <v>3446</v>
      </c>
      <c r="Z43" s="7" t="s">
        <v>109</v>
      </c>
      <c r="AA43" s="7" t="s">
        <v>109</v>
      </c>
    </row>
    <row r="44" spans="1:27" x14ac:dyDescent="0.3">
      <c r="A44" s="7">
        <v>68</v>
      </c>
      <c r="B44" s="29" t="s">
        <v>23</v>
      </c>
      <c r="C44" s="29" t="s">
        <v>2178</v>
      </c>
      <c r="D44" s="91">
        <v>50226073</v>
      </c>
      <c r="E44" s="29">
        <v>150</v>
      </c>
      <c r="F44" s="7">
        <v>176</v>
      </c>
      <c r="G44" s="7"/>
      <c r="H44" s="7"/>
      <c r="I44" s="7">
        <v>150</v>
      </c>
      <c r="J44" s="156" t="s">
        <v>3227</v>
      </c>
      <c r="K44" s="7" t="s">
        <v>109</v>
      </c>
      <c r="L44" s="7" t="s">
        <v>130</v>
      </c>
      <c r="M44" s="11">
        <v>0.97222222222222221</v>
      </c>
      <c r="N44" s="7" t="s">
        <v>109</v>
      </c>
      <c r="O44" s="7" t="s">
        <v>109</v>
      </c>
      <c r="P44" s="32" t="s">
        <v>3426</v>
      </c>
      <c r="Q44" s="29" t="s">
        <v>61</v>
      </c>
      <c r="R44" s="7" t="s">
        <v>131</v>
      </c>
      <c r="S44" s="7" t="s">
        <v>69</v>
      </c>
      <c r="T44" s="7" t="s">
        <v>62</v>
      </c>
      <c r="U44" s="7" t="s">
        <v>123</v>
      </c>
      <c r="V44" s="29" t="s">
        <v>424</v>
      </c>
      <c r="W44" s="108">
        <f t="shared" si="1"/>
        <v>1</v>
      </c>
      <c r="X44" s="7" t="s">
        <v>1945</v>
      </c>
      <c r="Y44" s="183" t="s">
        <v>3172</v>
      </c>
      <c r="Z44" s="7" t="s">
        <v>109</v>
      </c>
      <c r="AA44" s="7" t="s">
        <v>109</v>
      </c>
    </row>
    <row r="45" spans="1:27" x14ac:dyDescent="0.3">
      <c r="A45" s="7">
        <v>14</v>
      </c>
      <c r="B45" s="29" t="s">
        <v>23</v>
      </c>
      <c r="C45" s="29" t="s">
        <v>2737</v>
      </c>
      <c r="D45" s="91">
        <v>50226129</v>
      </c>
      <c r="E45" s="29">
        <v>15</v>
      </c>
      <c r="F45" s="7">
        <v>57</v>
      </c>
      <c r="G45" s="7"/>
      <c r="H45" s="7"/>
      <c r="I45" s="7">
        <v>14</v>
      </c>
      <c r="J45" s="89" t="s">
        <v>196</v>
      </c>
      <c r="K45" s="7" t="s">
        <v>109</v>
      </c>
      <c r="L45" s="7" t="s">
        <v>130</v>
      </c>
      <c r="M45" s="11">
        <v>0.66874999999999996</v>
      </c>
      <c r="N45" s="7" t="s">
        <v>109</v>
      </c>
      <c r="O45" s="7" t="s">
        <v>109</v>
      </c>
      <c r="P45" s="32" t="s">
        <v>3407</v>
      </c>
      <c r="Q45" s="29" t="s">
        <v>61</v>
      </c>
      <c r="R45" s="7" t="s">
        <v>131</v>
      </c>
      <c r="S45" s="7" t="s">
        <v>196</v>
      </c>
      <c r="T45" s="7" t="s">
        <v>62</v>
      </c>
      <c r="U45" s="7" t="s">
        <v>123</v>
      </c>
      <c r="V45" s="29" t="s">
        <v>1240</v>
      </c>
      <c r="W45" s="108">
        <f t="shared" si="1"/>
        <v>0.93333333333333335</v>
      </c>
      <c r="X45" s="7" t="s">
        <v>1945</v>
      </c>
      <c r="Y45" s="183" t="s">
        <v>3440</v>
      </c>
      <c r="Z45" s="7" t="s">
        <v>109</v>
      </c>
      <c r="AA45" s="7" t="s">
        <v>109</v>
      </c>
    </row>
    <row r="46" spans="1:27" x14ac:dyDescent="0.3">
      <c r="A46" s="7">
        <v>61</v>
      </c>
      <c r="B46" s="29" t="s">
        <v>23</v>
      </c>
      <c r="C46" s="29" t="s">
        <v>755</v>
      </c>
      <c r="D46" s="91">
        <v>50126149</v>
      </c>
      <c r="E46" s="29">
        <v>50</v>
      </c>
      <c r="F46" s="7">
        <v>106</v>
      </c>
      <c r="G46" s="7"/>
      <c r="H46" s="7"/>
      <c r="I46" s="7">
        <v>39</v>
      </c>
      <c r="J46" s="89" t="s">
        <v>196</v>
      </c>
      <c r="K46" s="7" t="s">
        <v>87</v>
      </c>
      <c r="L46" s="7" t="s">
        <v>130</v>
      </c>
      <c r="M46" s="11">
        <v>1.7361111111111112E-2</v>
      </c>
      <c r="N46" s="11">
        <v>5.2083333333333336E-2</v>
      </c>
      <c r="O46" s="7" t="s">
        <v>109</v>
      </c>
      <c r="P46" s="29" t="s">
        <v>109</v>
      </c>
      <c r="Q46" s="29" t="s">
        <v>61</v>
      </c>
      <c r="R46" s="7" t="s">
        <v>131</v>
      </c>
      <c r="S46" s="7" t="s">
        <v>87</v>
      </c>
      <c r="T46" s="7" t="s">
        <v>62</v>
      </c>
      <c r="U46" s="7" t="s">
        <v>123</v>
      </c>
      <c r="V46" s="29" t="s">
        <v>480</v>
      </c>
      <c r="W46" s="108">
        <f t="shared" si="1"/>
        <v>0.78</v>
      </c>
      <c r="X46" s="7" t="s">
        <v>3476</v>
      </c>
      <c r="Y46" s="183" t="s">
        <v>3462</v>
      </c>
      <c r="Z46" s="7" t="s">
        <v>109</v>
      </c>
      <c r="AA46" s="7" t="s">
        <v>109</v>
      </c>
    </row>
    <row r="47" spans="1:27" x14ac:dyDescent="0.3">
      <c r="A47" s="7">
        <v>10</v>
      </c>
      <c r="B47" s="29" t="s">
        <v>23</v>
      </c>
      <c r="C47" s="29" t="s">
        <v>2680</v>
      </c>
      <c r="D47" s="91">
        <v>50226118</v>
      </c>
      <c r="E47" s="29">
        <v>200</v>
      </c>
      <c r="F47" s="7">
        <v>313</v>
      </c>
      <c r="G47" s="7"/>
      <c r="H47" s="7"/>
      <c r="I47" s="7">
        <v>211</v>
      </c>
      <c r="J47" s="7" t="s">
        <v>922</v>
      </c>
      <c r="K47" s="7" t="s">
        <v>109</v>
      </c>
      <c r="L47" s="7" t="s">
        <v>130</v>
      </c>
      <c r="M47" s="11">
        <v>0.90069444444444446</v>
      </c>
      <c r="N47" s="7" t="s">
        <v>109</v>
      </c>
      <c r="O47" s="7" t="s">
        <v>109</v>
      </c>
      <c r="P47" s="29" t="s">
        <v>109</v>
      </c>
      <c r="Q47" s="29" t="s">
        <v>61</v>
      </c>
      <c r="R47" s="7" t="s">
        <v>131</v>
      </c>
      <c r="S47" s="7" t="s">
        <v>196</v>
      </c>
      <c r="T47" s="7" t="s">
        <v>62</v>
      </c>
      <c r="U47" s="7" t="s">
        <v>123</v>
      </c>
      <c r="V47" s="29" t="s">
        <v>116</v>
      </c>
      <c r="W47" s="108">
        <f t="shared" si="1"/>
        <v>1.0549999999999999</v>
      </c>
      <c r="X47" s="7" t="s">
        <v>1945</v>
      </c>
      <c r="Y47" s="183" t="s">
        <v>3436</v>
      </c>
      <c r="Z47" s="7" t="s">
        <v>109</v>
      </c>
      <c r="AA47" s="7" t="s">
        <v>109</v>
      </c>
    </row>
    <row r="48" spans="1:27" x14ac:dyDescent="0.3">
      <c r="A48" s="7">
        <v>89</v>
      </c>
      <c r="B48" s="29" t="s">
        <v>26</v>
      </c>
      <c r="C48" s="29" t="s">
        <v>2637</v>
      </c>
      <c r="D48" s="29">
        <v>40226019</v>
      </c>
      <c r="E48" s="29">
        <v>321</v>
      </c>
      <c r="F48" s="7">
        <v>704</v>
      </c>
      <c r="G48" s="7"/>
      <c r="H48" s="7"/>
      <c r="I48" s="7">
        <v>202</v>
      </c>
      <c r="J48" s="7" t="s">
        <v>3470</v>
      </c>
      <c r="K48" s="7" t="s">
        <v>3473</v>
      </c>
      <c r="L48" s="7" t="s">
        <v>130</v>
      </c>
      <c r="M48" s="11">
        <v>0.86111111111111116</v>
      </c>
      <c r="N48" s="11">
        <v>0.95833333333333337</v>
      </c>
      <c r="O48" s="7" t="s">
        <v>109</v>
      </c>
      <c r="P48" s="32" t="s">
        <v>3347</v>
      </c>
      <c r="Q48" s="29" t="s">
        <v>61</v>
      </c>
      <c r="R48" s="7" t="s">
        <v>131</v>
      </c>
      <c r="S48" s="7" t="s">
        <v>90</v>
      </c>
      <c r="T48" s="7" t="s">
        <v>62</v>
      </c>
      <c r="U48" s="7" t="s">
        <v>123</v>
      </c>
      <c r="V48" s="29" t="s">
        <v>2636</v>
      </c>
      <c r="W48" s="108">
        <f t="shared" si="1"/>
        <v>0.62928348909657317</v>
      </c>
      <c r="X48" s="7" t="s">
        <v>2391</v>
      </c>
      <c r="Y48" s="7" t="s">
        <v>3253</v>
      </c>
      <c r="Z48" s="7" t="s">
        <v>109</v>
      </c>
      <c r="AA48" s="7" t="s">
        <v>109</v>
      </c>
    </row>
    <row r="49" spans="1:27" x14ac:dyDescent="0.3">
      <c r="A49" s="7">
        <v>79</v>
      </c>
      <c r="B49" s="29" t="s">
        <v>23</v>
      </c>
      <c r="C49" s="29" t="s">
        <v>907</v>
      </c>
      <c r="D49" s="91">
        <v>50126250</v>
      </c>
      <c r="E49" s="29">
        <v>20</v>
      </c>
      <c r="F49" s="7">
        <v>34</v>
      </c>
      <c r="G49" s="7"/>
      <c r="H49" s="7"/>
      <c r="I49" s="7">
        <v>26</v>
      </c>
      <c r="J49" s="89" t="s">
        <v>88</v>
      </c>
      <c r="K49" s="7" t="s">
        <v>109</v>
      </c>
      <c r="L49" s="7" t="s">
        <v>130</v>
      </c>
      <c r="M49" s="11">
        <v>0.74513888888888891</v>
      </c>
      <c r="N49" s="7" t="s">
        <v>109</v>
      </c>
      <c r="O49" s="7" t="s">
        <v>109</v>
      </c>
      <c r="P49" s="29" t="s">
        <v>109</v>
      </c>
      <c r="Q49" s="29" t="s">
        <v>61</v>
      </c>
      <c r="R49" s="7" t="s">
        <v>131</v>
      </c>
      <c r="S49" s="7" t="s">
        <v>88</v>
      </c>
      <c r="T49" s="7" t="s">
        <v>62</v>
      </c>
      <c r="U49" s="7" t="s">
        <v>123</v>
      </c>
      <c r="V49" s="29" t="s">
        <v>424</v>
      </c>
      <c r="W49" s="108">
        <f t="shared" si="1"/>
        <v>1.3</v>
      </c>
      <c r="X49" s="7" t="s">
        <v>1945</v>
      </c>
      <c r="Y49" s="183" t="s">
        <v>3466</v>
      </c>
      <c r="Z49" s="7" t="s">
        <v>109</v>
      </c>
      <c r="AA49" s="7" t="s">
        <v>109</v>
      </c>
    </row>
    <row r="50" spans="1:27" x14ac:dyDescent="0.3">
      <c r="A50" s="7">
        <v>33</v>
      </c>
      <c r="B50" s="29" t="s">
        <v>170</v>
      </c>
      <c r="C50" s="29" t="s">
        <v>3415</v>
      </c>
      <c r="D50" s="91">
        <v>40326009</v>
      </c>
      <c r="E50" s="29">
        <v>89</v>
      </c>
      <c r="F50" s="7">
        <v>80</v>
      </c>
      <c r="G50" s="7"/>
      <c r="H50" s="7"/>
      <c r="I50" s="7">
        <v>37</v>
      </c>
      <c r="J50" s="89" t="s">
        <v>66</v>
      </c>
      <c r="K50" s="7" t="s">
        <v>88</v>
      </c>
      <c r="L50" s="7" t="s">
        <v>130</v>
      </c>
      <c r="M50" s="11">
        <v>0.94236111111111109</v>
      </c>
      <c r="N50" s="11">
        <v>0.95694444444444449</v>
      </c>
      <c r="O50" s="7" t="s">
        <v>109</v>
      </c>
      <c r="P50" s="29" t="s">
        <v>109</v>
      </c>
      <c r="Q50" s="29" t="s">
        <v>61</v>
      </c>
      <c r="R50" s="7" t="s">
        <v>131</v>
      </c>
      <c r="S50" s="7" t="s">
        <v>88</v>
      </c>
      <c r="T50" s="7" t="s">
        <v>62</v>
      </c>
      <c r="U50" s="7" t="s">
        <v>123</v>
      </c>
      <c r="V50" s="29" t="s">
        <v>2561</v>
      </c>
      <c r="W50" s="108">
        <f t="shared" si="1"/>
        <v>0.4157303370786517</v>
      </c>
      <c r="X50" s="7" t="s">
        <v>152</v>
      </c>
      <c r="Y50" s="183" t="s">
        <v>3449</v>
      </c>
      <c r="Z50" s="7" t="s">
        <v>109</v>
      </c>
      <c r="AA50" s="7" t="s">
        <v>109</v>
      </c>
    </row>
    <row r="51" spans="1:27" x14ac:dyDescent="0.3">
      <c r="A51" s="7">
        <v>37</v>
      </c>
      <c r="B51" s="29" t="s">
        <v>143</v>
      </c>
      <c r="C51" s="29" t="s">
        <v>2839</v>
      </c>
      <c r="D51" s="91">
        <v>10326010</v>
      </c>
      <c r="E51" s="29" t="s">
        <v>287</v>
      </c>
      <c r="F51" s="7">
        <v>29</v>
      </c>
      <c r="G51" s="7"/>
      <c r="H51" s="7"/>
      <c r="I51" s="7">
        <v>4</v>
      </c>
      <c r="J51" s="89" t="s">
        <v>66</v>
      </c>
      <c r="K51" s="173" t="s">
        <v>86</v>
      </c>
      <c r="L51" s="7" t="s">
        <v>130</v>
      </c>
      <c r="M51" s="11">
        <v>0.99305555555555558</v>
      </c>
      <c r="N51" s="11">
        <v>1.8749999999999999E-2</v>
      </c>
      <c r="O51" s="7" t="s">
        <v>109</v>
      </c>
      <c r="P51" s="29" t="s">
        <v>109</v>
      </c>
      <c r="Q51" s="29" t="s">
        <v>61</v>
      </c>
      <c r="R51" s="7" t="s">
        <v>131</v>
      </c>
      <c r="S51" s="7" t="s">
        <v>86</v>
      </c>
      <c r="T51" s="7" t="s">
        <v>62</v>
      </c>
      <c r="U51" s="7" t="s">
        <v>123</v>
      </c>
      <c r="V51" s="29" t="s">
        <v>121</v>
      </c>
      <c r="W51" s="108" t="s">
        <v>109</v>
      </c>
      <c r="X51" s="7" t="s">
        <v>152</v>
      </c>
      <c r="Y51" s="183" t="s">
        <v>3452</v>
      </c>
      <c r="Z51" s="7" t="s">
        <v>109</v>
      </c>
      <c r="AA51" s="7" t="s">
        <v>109</v>
      </c>
    </row>
    <row r="52" spans="1:27" x14ac:dyDescent="0.3">
      <c r="A52" s="7">
        <v>58</v>
      </c>
      <c r="B52" s="29" t="s">
        <v>23</v>
      </c>
      <c r="C52" s="29" t="s">
        <v>752</v>
      </c>
      <c r="D52" s="91">
        <v>50126141</v>
      </c>
      <c r="E52" s="29">
        <v>40</v>
      </c>
      <c r="F52" s="7">
        <v>59</v>
      </c>
      <c r="G52" s="7"/>
      <c r="H52" s="7"/>
      <c r="I52" s="7">
        <v>18</v>
      </c>
      <c r="J52" s="89" t="s">
        <v>66</v>
      </c>
      <c r="K52" s="89" t="s">
        <v>88</v>
      </c>
      <c r="L52" s="7" t="s">
        <v>130</v>
      </c>
      <c r="M52" s="11">
        <v>0.66111111111111109</v>
      </c>
      <c r="N52" s="11">
        <v>0.90069444444444446</v>
      </c>
      <c r="O52" s="7" t="s">
        <v>109</v>
      </c>
      <c r="P52" s="29" t="s">
        <v>109</v>
      </c>
      <c r="Q52" s="29" t="s">
        <v>61</v>
      </c>
      <c r="R52" s="7" t="s">
        <v>131</v>
      </c>
      <c r="S52" s="7" t="s">
        <v>88</v>
      </c>
      <c r="T52" s="7" t="s">
        <v>62</v>
      </c>
      <c r="U52" s="7" t="s">
        <v>123</v>
      </c>
      <c r="V52" s="29" t="s">
        <v>480</v>
      </c>
      <c r="W52" s="108">
        <f t="shared" ref="W52:W59" si="2">I52/E52</f>
        <v>0.45</v>
      </c>
      <c r="X52" s="7" t="s">
        <v>152</v>
      </c>
      <c r="Y52" s="183" t="s">
        <v>3460</v>
      </c>
      <c r="Z52" s="7" t="s">
        <v>109</v>
      </c>
      <c r="AA52" s="7" t="s">
        <v>109</v>
      </c>
    </row>
    <row r="53" spans="1:27" x14ac:dyDescent="0.3">
      <c r="A53" s="7">
        <v>78</v>
      </c>
      <c r="B53" s="29" t="s">
        <v>23</v>
      </c>
      <c r="C53" s="29" t="s">
        <v>534</v>
      </c>
      <c r="D53" s="91">
        <v>50126079</v>
      </c>
      <c r="E53" s="29">
        <v>100</v>
      </c>
      <c r="F53" s="7">
        <v>114</v>
      </c>
      <c r="G53" s="7"/>
      <c r="H53" s="7"/>
      <c r="I53" s="7">
        <v>108</v>
      </c>
      <c r="J53" s="89" t="s">
        <v>66</v>
      </c>
      <c r="K53" s="7" t="s">
        <v>109</v>
      </c>
      <c r="L53" s="7" t="s">
        <v>130</v>
      </c>
      <c r="M53" s="11">
        <v>0.70277777777777772</v>
      </c>
      <c r="N53" s="7" t="s">
        <v>109</v>
      </c>
      <c r="O53" s="7" t="s">
        <v>109</v>
      </c>
      <c r="P53" s="32" t="s">
        <v>3429</v>
      </c>
      <c r="Q53" s="29" t="s">
        <v>61</v>
      </c>
      <c r="R53" s="7" t="s">
        <v>131</v>
      </c>
      <c r="S53" s="7" t="s">
        <v>66</v>
      </c>
      <c r="T53" s="7" t="s">
        <v>62</v>
      </c>
      <c r="U53" s="7" t="s">
        <v>123</v>
      </c>
      <c r="V53" s="29" t="s">
        <v>424</v>
      </c>
      <c r="W53" s="108">
        <f t="shared" si="2"/>
        <v>1.08</v>
      </c>
      <c r="X53" s="7" t="s">
        <v>1945</v>
      </c>
      <c r="Y53" s="183" t="s">
        <v>3202</v>
      </c>
      <c r="Z53" s="7" t="s">
        <v>109</v>
      </c>
      <c r="AA53" s="7" t="s">
        <v>109</v>
      </c>
    </row>
    <row r="54" spans="1:27" x14ac:dyDescent="0.3">
      <c r="A54" s="7">
        <v>57</v>
      </c>
      <c r="B54" s="29" t="s">
        <v>23</v>
      </c>
      <c r="C54" s="29" t="s">
        <v>2442</v>
      </c>
      <c r="D54" s="91">
        <v>50226099</v>
      </c>
      <c r="E54" s="29">
        <v>200</v>
      </c>
      <c r="F54" s="7">
        <v>160</v>
      </c>
      <c r="G54" s="7"/>
      <c r="H54" s="7"/>
      <c r="I54" s="7">
        <v>14</v>
      </c>
      <c r="J54" s="7" t="s">
        <v>2782</v>
      </c>
      <c r="K54" s="7" t="s">
        <v>109</v>
      </c>
      <c r="L54" s="7" t="s">
        <v>130</v>
      </c>
      <c r="M54" s="11">
        <v>0.93611111111111112</v>
      </c>
      <c r="N54" s="7" t="s">
        <v>109</v>
      </c>
      <c r="O54" s="7" t="s">
        <v>109</v>
      </c>
      <c r="P54" s="32" t="s">
        <v>1621</v>
      </c>
      <c r="Q54" s="29" t="s">
        <v>61</v>
      </c>
      <c r="R54" s="7" t="s">
        <v>131</v>
      </c>
      <c r="S54" s="7" t="s">
        <v>214</v>
      </c>
      <c r="T54" s="7" t="s">
        <v>62</v>
      </c>
      <c r="U54" s="7" t="s">
        <v>123</v>
      </c>
      <c r="V54" s="29" t="s">
        <v>2446</v>
      </c>
      <c r="W54" s="108">
        <f t="shared" si="2"/>
        <v>7.0000000000000007E-2</v>
      </c>
      <c r="X54" s="7" t="s">
        <v>3482</v>
      </c>
      <c r="Y54" s="183" t="s">
        <v>3459</v>
      </c>
      <c r="Z54" s="7" t="s">
        <v>109</v>
      </c>
      <c r="AA54" s="7" t="s">
        <v>109</v>
      </c>
    </row>
    <row r="55" spans="1:27" x14ac:dyDescent="0.3">
      <c r="A55" s="7">
        <v>87</v>
      </c>
      <c r="B55" s="29" t="s">
        <v>26</v>
      </c>
      <c r="C55" s="29" t="s">
        <v>2468</v>
      </c>
      <c r="D55" s="29">
        <v>40226012</v>
      </c>
      <c r="E55" s="29">
        <v>433</v>
      </c>
      <c r="F55" s="7">
        <v>1003</v>
      </c>
      <c r="G55" s="7"/>
      <c r="H55" s="7"/>
      <c r="I55" s="7">
        <v>298</v>
      </c>
      <c r="J55" s="7" t="s">
        <v>3472</v>
      </c>
      <c r="K55" s="7" t="s">
        <v>3475</v>
      </c>
      <c r="L55" s="7" t="s">
        <v>130</v>
      </c>
      <c r="M55" s="11">
        <v>0.94861111111111107</v>
      </c>
      <c r="N55" s="11">
        <v>0.96736111111111112</v>
      </c>
      <c r="O55" s="7" t="s">
        <v>109</v>
      </c>
      <c r="P55" s="32" t="s">
        <v>3347</v>
      </c>
      <c r="Q55" s="29" t="s">
        <v>61</v>
      </c>
      <c r="R55" s="7" t="s">
        <v>131</v>
      </c>
      <c r="S55" s="7" t="s">
        <v>86</v>
      </c>
      <c r="T55" s="7" t="s">
        <v>62</v>
      </c>
      <c r="U55" s="7" t="s">
        <v>123</v>
      </c>
      <c r="V55" s="29" t="s">
        <v>122</v>
      </c>
      <c r="W55" s="108">
        <f t="shared" si="2"/>
        <v>0.68822170900692836</v>
      </c>
      <c r="X55" s="7" t="s">
        <v>2391</v>
      </c>
      <c r="Y55" s="7" t="s">
        <v>3247</v>
      </c>
      <c r="Z55" s="7" t="s">
        <v>109</v>
      </c>
      <c r="AA55" s="7" t="s">
        <v>109</v>
      </c>
    </row>
    <row r="56" spans="1:27" x14ac:dyDescent="0.3">
      <c r="A56" s="7">
        <v>82</v>
      </c>
      <c r="B56" s="29" t="s">
        <v>23</v>
      </c>
      <c r="C56" s="29" t="s">
        <v>1716</v>
      </c>
      <c r="D56" s="91">
        <v>50126402</v>
      </c>
      <c r="E56" s="29">
        <v>65</v>
      </c>
      <c r="F56" s="7">
        <v>104</v>
      </c>
      <c r="G56" s="7"/>
      <c r="H56" s="7"/>
      <c r="I56" s="7">
        <v>64</v>
      </c>
      <c r="J56" s="89" t="s">
        <v>93</v>
      </c>
      <c r="K56" s="7" t="s">
        <v>109</v>
      </c>
      <c r="L56" s="7" t="s">
        <v>130</v>
      </c>
      <c r="M56" s="11">
        <v>0.69722222222222219</v>
      </c>
      <c r="N56" s="7" t="s">
        <v>109</v>
      </c>
      <c r="O56" s="7" t="s">
        <v>109</v>
      </c>
      <c r="P56" s="29" t="s">
        <v>109</v>
      </c>
      <c r="Q56" s="29" t="s">
        <v>61</v>
      </c>
      <c r="R56" s="7" t="s">
        <v>131</v>
      </c>
      <c r="S56" s="7" t="s">
        <v>93</v>
      </c>
      <c r="T56" s="7" t="s">
        <v>62</v>
      </c>
      <c r="U56" s="7" t="s">
        <v>123</v>
      </c>
      <c r="V56" s="29" t="s">
        <v>424</v>
      </c>
      <c r="W56" s="108">
        <f t="shared" si="2"/>
        <v>0.98461538461538467</v>
      </c>
      <c r="X56" s="7" t="s">
        <v>1945</v>
      </c>
      <c r="Y56" s="183" t="s">
        <v>3469</v>
      </c>
      <c r="Z56" s="7" t="s">
        <v>109</v>
      </c>
      <c r="AA56" s="7" t="s">
        <v>109</v>
      </c>
    </row>
    <row r="57" spans="1:27" x14ac:dyDescent="0.3">
      <c r="A57" s="7">
        <v>72</v>
      </c>
      <c r="B57" s="29" t="s">
        <v>23</v>
      </c>
      <c r="C57" s="29" t="s">
        <v>928</v>
      </c>
      <c r="D57" s="91">
        <v>50126264</v>
      </c>
      <c r="E57" s="29">
        <v>200</v>
      </c>
      <c r="F57" s="7">
        <v>122</v>
      </c>
      <c r="G57" s="7"/>
      <c r="H57" s="7"/>
      <c r="I57" s="7">
        <v>81</v>
      </c>
      <c r="J57" s="7" t="s">
        <v>1004</v>
      </c>
      <c r="K57" s="7" t="s">
        <v>109</v>
      </c>
      <c r="L57" s="7" t="s">
        <v>130</v>
      </c>
      <c r="M57" s="11">
        <v>0.72013888888888888</v>
      </c>
      <c r="N57" s="7" t="s">
        <v>109</v>
      </c>
      <c r="O57" s="7" t="s">
        <v>109</v>
      </c>
      <c r="P57" s="32" t="s">
        <v>110</v>
      </c>
      <c r="Q57" s="29" t="s">
        <v>61</v>
      </c>
      <c r="R57" s="7" t="s">
        <v>131</v>
      </c>
      <c r="S57" s="7" t="s">
        <v>88</v>
      </c>
      <c r="T57" s="7" t="s">
        <v>62</v>
      </c>
      <c r="U57" s="7" t="s">
        <v>123</v>
      </c>
      <c r="V57" s="29" t="s">
        <v>424</v>
      </c>
      <c r="W57" s="108">
        <f t="shared" si="2"/>
        <v>0.40500000000000003</v>
      </c>
      <c r="X57" s="7" t="s">
        <v>152</v>
      </c>
      <c r="Y57" s="183" t="s">
        <v>3175</v>
      </c>
      <c r="Z57" s="7" t="s">
        <v>3282</v>
      </c>
      <c r="AA57" s="7" t="s">
        <v>3101</v>
      </c>
    </row>
    <row r="58" spans="1:27" x14ac:dyDescent="0.3">
      <c r="A58" s="7">
        <v>19</v>
      </c>
      <c r="B58" s="29" t="s">
        <v>23</v>
      </c>
      <c r="C58" s="29" t="s">
        <v>479</v>
      </c>
      <c r="D58" s="91">
        <v>50126013</v>
      </c>
      <c r="E58" s="29">
        <v>100</v>
      </c>
      <c r="F58" s="7">
        <v>155</v>
      </c>
      <c r="G58" s="7"/>
      <c r="H58" s="7"/>
      <c r="I58" s="7">
        <v>51</v>
      </c>
      <c r="J58" s="77" t="s">
        <v>153</v>
      </c>
      <c r="K58" s="7" t="s">
        <v>93</v>
      </c>
      <c r="L58" s="7" t="s">
        <v>130</v>
      </c>
      <c r="M58" s="11">
        <v>0.70972222222222225</v>
      </c>
      <c r="N58" s="11">
        <v>0.73472222222222228</v>
      </c>
      <c r="O58" s="7" t="s">
        <v>109</v>
      </c>
      <c r="P58" s="29" t="s">
        <v>109</v>
      </c>
      <c r="Q58" s="29" t="s">
        <v>61</v>
      </c>
      <c r="R58" s="7" t="s">
        <v>131</v>
      </c>
      <c r="S58" s="7" t="s">
        <v>93</v>
      </c>
      <c r="T58" s="7" t="s">
        <v>62</v>
      </c>
      <c r="U58" s="7" t="s">
        <v>123</v>
      </c>
      <c r="V58" s="29" t="s">
        <v>480</v>
      </c>
      <c r="W58" s="108">
        <f t="shared" si="2"/>
        <v>0.51</v>
      </c>
      <c r="X58" s="7" t="s">
        <v>152</v>
      </c>
      <c r="Y58" s="183" t="s">
        <v>3443</v>
      </c>
      <c r="Z58" s="7" t="s">
        <v>3282</v>
      </c>
      <c r="AA58" s="7" t="s">
        <v>3102</v>
      </c>
    </row>
    <row r="59" spans="1:27" x14ac:dyDescent="0.3">
      <c r="A59" s="7">
        <v>39</v>
      </c>
      <c r="B59" s="29" t="s">
        <v>143</v>
      </c>
      <c r="C59" s="29" t="s">
        <v>2505</v>
      </c>
      <c r="D59" s="91">
        <v>10226045</v>
      </c>
      <c r="E59" s="29">
        <v>40</v>
      </c>
      <c r="F59" s="7">
        <v>81</v>
      </c>
      <c r="G59" s="7"/>
      <c r="H59" s="7"/>
      <c r="I59" s="7">
        <v>41</v>
      </c>
      <c r="J59" s="77" t="s">
        <v>153</v>
      </c>
      <c r="K59" s="173" t="s">
        <v>95</v>
      </c>
      <c r="L59" s="7" t="s">
        <v>130</v>
      </c>
      <c r="M59" s="11">
        <v>0.64513888888888893</v>
      </c>
      <c r="N59" s="11">
        <v>0.68958333333333333</v>
      </c>
      <c r="O59" s="7" t="s">
        <v>109</v>
      </c>
      <c r="P59" s="29" t="s">
        <v>109</v>
      </c>
      <c r="Q59" s="29" t="s">
        <v>61</v>
      </c>
      <c r="R59" s="7" t="s">
        <v>131</v>
      </c>
      <c r="S59" s="7" t="s">
        <v>95</v>
      </c>
      <c r="T59" s="7" t="s">
        <v>62</v>
      </c>
      <c r="U59" s="7" t="s">
        <v>123</v>
      </c>
      <c r="V59" s="29" t="s">
        <v>121</v>
      </c>
      <c r="W59" s="108">
        <f t="shared" si="2"/>
        <v>1.0249999999999999</v>
      </c>
      <c r="X59" s="7" t="s">
        <v>1945</v>
      </c>
      <c r="Y59" s="183" t="s">
        <v>3330</v>
      </c>
      <c r="Z59" s="7" t="s">
        <v>109</v>
      </c>
      <c r="AA59" s="7" t="s">
        <v>109</v>
      </c>
    </row>
    <row r="60" spans="1:27" x14ac:dyDescent="0.3">
      <c r="A60" s="7">
        <v>48</v>
      </c>
      <c r="B60" s="29" t="s">
        <v>143</v>
      </c>
      <c r="C60" s="29" t="s">
        <v>2703</v>
      </c>
      <c r="D60" s="91">
        <v>10226065</v>
      </c>
      <c r="E60" s="29" t="s">
        <v>287</v>
      </c>
      <c r="F60" s="7">
        <v>70</v>
      </c>
      <c r="G60" s="7"/>
      <c r="H60" s="7"/>
      <c r="I60" s="7">
        <v>16</v>
      </c>
      <c r="J60" s="77" t="s">
        <v>153</v>
      </c>
      <c r="K60" s="89" t="s">
        <v>88</v>
      </c>
      <c r="L60" s="7" t="s">
        <v>130</v>
      </c>
      <c r="M60" s="11">
        <v>0.73402777777777772</v>
      </c>
      <c r="N60" s="11">
        <v>0.8</v>
      </c>
      <c r="O60" s="7" t="s">
        <v>109</v>
      </c>
      <c r="P60" s="29" t="s">
        <v>109</v>
      </c>
      <c r="Q60" s="29" t="s">
        <v>61</v>
      </c>
      <c r="R60" s="7" t="s">
        <v>131</v>
      </c>
      <c r="S60" s="7" t="s">
        <v>88</v>
      </c>
      <c r="T60" s="7" t="s">
        <v>62</v>
      </c>
      <c r="U60" s="7" t="s">
        <v>123</v>
      </c>
      <c r="V60" s="29" t="s">
        <v>2661</v>
      </c>
      <c r="W60" s="108" t="s">
        <v>109</v>
      </c>
      <c r="X60" s="7" t="s">
        <v>152</v>
      </c>
      <c r="Y60" s="183" t="s">
        <v>3454</v>
      </c>
      <c r="Z60" s="7" t="s">
        <v>3281</v>
      </c>
      <c r="AA60" s="7" t="s">
        <v>3102</v>
      </c>
    </row>
    <row r="61" spans="1:27" x14ac:dyDescent="0.3">
      <c r="A61" s="7">
        <v>22</v>
      </c>
      <c r="B61" s="29" t="s">
        <v>23</v>
      </c>
      <c r="C61" s="29" t="s">
        <v>3364</v>
      </c>
      <c r="D61" s="91">
        <v>50326040</v>
      </c>
      <c r="E61" s="29">
        <v>175</v>
      </c>
      <c r="F61" s="7">
        <v>254</v>
      </c>
      <c r="G61" s="7"/>
      <c r="H61" s="7"/>
      <c r="I61" s="7">
        <v>179</v>
      </c>
      <c r="J61" s="7" t="s">
        <v>3063</v>
      </c>
      <c r="K61" s="7" t="s">
        <v>109</v>
      </c>
      <c r="L61" s="7" t="s">
        <v>130</v>
      </c>
      <c r="M61" s="11">
        <v>0.84930555555555554</v>
      </c>
      <c r="N61" s="7" t="s">
        <v>109</v>
      </c>
      <c r="O61" s="7" t="s">
        <v>109</v>
      </c>
      <c r="P61" s="29" t="s">
        <v>109</v>
      </c>
      <c r="Q61" s="29" t="s">
        <v>61</v>
      </c>
      <c r="R61" s="7" t="s">
        <v>131</v>
      </c>
      <c r="S61" s="7" t="s">
        <v>153</v>
      </c>
      <c r="T61" s="7" t="s">
        <v>62</v>
      </c>
      <c r="U61" s="7" t="s">
        <v>123</v>
      </c>
      <c r="V61" s="29" t="s">
        <v>1433</v>
      </c>
      <c r="W61" s="108">
        <f t="shared" ref="W61:W78" si="3">I61/E61</f>
        <v>1.0228571428571429</v>
      </c>
      <c r="X61" s="7" t="s">
        <v>1945</v>
      </c>
      <c r="Y61" s="183" t="s">
        <v>3365</v>
      </c>
      <c r="Z61" s="7" t="s">
        <v>109</v>
      </c>
      <c r="AA61" s="7" t="s">
        <v>109</v>
      </c>
    </row>
    <row r="62" spans="1:27" x14ac:dyDescent="0.3">
      <c r="A62" s="7">
        <v>40</v>
      </c>
      <c r="B62" s="29" t="s">
        <v>143</v>
      </c>
      <c r="C62" s="29" t="s">
        <v>2506</v>
      </c>
      <c r="D62" s="91">
        <v>10226048</v>
      </c>
      <c r="E62" s="29">
        <v>40</v>
      </c>
      <c r="F62" s="7">
        <v>82</v>
      </c>
      <c r="G62" s="7"/>
      <c r="H62" s="7"/>
      <c r="I62" s="7">
        <v>6</v>
      </c>
      <c r="J62" s="89" t="s">
        <v>214</v>
      </c>
      <c r="K62" s="155" t="s">
        <v>91</v>
      </c>
      <c r="L62" s="7" t="s">
        <v>130</v>
      </c>
      <c r="M62" s="11">
        <v>0.99861111111111112</v>
      </c>
      <c r="N62" s="11">
        <v>2.0833333333333332E-2</v>
      </c>
      <c r="O62" s="7" t="s">
        <v>109</v>
      </c>
      <c r="P62" s="29" t="s">
        <v>109</v>
      </c>
      <c r="Q62" s="29" t="s">
        <v>61</v>
      </c>
      <c r="R62" s="7" t="s">
        <v>131</v>
      </c>
      <c r="S62" s="7" t="s">
        <v>91</v>
      </c>
      <c r="T62" s="7" t="s">
        <v>62</v>
      </c>
      <c r="U62" s="7" t="s">
        <v>123</v>
      </c>
      <c r="V62" s="29" t="s">
        <v>121</v>
      </c>
      <c r="W62" s="108">
        <f t="shared" si="3"/>
        <v>0.15</v>
      </c>
      <c r="X62" s="7" t="s">
        <v>3476</v>
      </c>
      <c r="Y62" s="183" t="s">
        <v>3345</v>
      </c>
      <c r="Z62" s="7" t="s">
        <v>109</v>
      </c>
      <c r="AA62" s="7" t="s">
        <v>109</v>
      </c>
    </row>
    <row r="63" spans="1:27" x14ac:dyDescent="0.3">
      <c r="A63" s="7">
        <v>62</v>
      </c>
      <c r="B63" s="29" t="s">
        <v>23</v>
      </c>
      <c r="C63" s="29" t="s">
        <v>756</v>
      </c>
      <c r="D63" s="91">
        <v>50126144</v>
      </c>
      <c r="E63" s="29">
        <v>50</v>
      </c>
      <c r="F63" s="7">
        <v>78</v>
      </c>
      <c r="G63" s="7"/>
      <c r="H63" s="7"/>
      <c r="I63" s="7">
        <v>14</v>
      </c>
      <c r="J63" s="89" t="s">
        <v>214</v>
      </c>
      <c r="K63" s="155" t="s">
        <v>91</v>
      </c>
      <c r="L63" s="7" t="s">
        <v>130</v>
      </c>
      <c r="M63" s="11">
        <v>0.6791666666666667</v>
      </c>
      <c r="N63" s="11">
        <v>0.84236111111111112</v>
      </c>
      <c r="O63" s="7" t="s">
        <v>109</v>
      </c>
      <c r="P63" s="32" t="s">
        <v>2013</v>
      </c>
      <c r="Q63" s="29" t="s">
        <v>145</v>
      </c>
      <c r="R63" s="7" t="s">
        <v>131</v>
      </c>
      <c r="S63" s="7" t="s">
        <v>91</v>
      </c>
      <c r="T63" s="7" t="s">
        <v>62</v>
      </c>
      <c r="U63" s="7" t="s">
        <v>123</v>
      </c>
      <c r="V63" s="29" t="s">
        <v>480</v>
      </c>
      <c r="W63" s="108">
        <f t="shared" si="3"/>
        <v>0.28000000000000003</v>
      </c>
      <c r="X63" s="7" t="s">
        <v>2629</v>
      </c>
      <c r="Y63" s="183" t="s">
        <v>3266</v>
      </c>
      <c r="Z63" s="7" t="s">
        <v>109</v>
      </c>
      <c r="AA63" s="7" t="s">
        <v>109</v>
      </c>
    </row>
    <row r="64" spans="1:27" x14ac:dyDescent="0.3">
      <c r="A64" s="7">
        <v>8</v>
      </c>
      <c r="B64" s="29" t="s">
        <v>24</v>
      </c>
      <c r="C64" s="29" t="s">
        <v>49</v>
      </c>
      <c r="D64" s="91">
        <v>61225008</v>
      </c>
      <c r="E64" s="29">
        <v>199</v>
      </c>
      <c r="F64" s="7">
        <v>442</v>
      </c>
      <c r="G64" s="7"/>
      <c r="H64" s="7"/>
      <c r="I64" s="7">
        <v>93</v>
      </c>
      <c r="J64" s="7" t="s">
        <v>3406</v>
      </c>
      <c r="K64" s="7" t="s">
        <v>970</v>
      </c>
      <c r="L64" s="7" t="s">
        <v>130</v>
      </c>
      <c r="M64" s="11">
        <v>0.91180555555555554</v>
      </c>
      <c r="N64" s="11">
        <v>6.3194444444444442E-2</v>
      </c>
      <c r="O64" s="7" t="s">
        <v>109</v>
      </c>
      <c r="P64" s="29" t="s">
        <v>109</v>
      </c>
      <c r="Q64" s="29" t="s">
        <v>607</v>
      </c>
      <c r="R64" s="7" t="s">
        <v>131</v>
      </c>
      <c r="S64" s="7" t="s">
        <v>3485</v>
      </c>
      <c r="T64" s="7" t="s">
        <v>63</v>
      </c>
      <c r="U64" s="7" t="s">
        <v>123</v>
      </c>
      <c r="V64" s="29" t="s">
        <v>120</v>
      </c>
      <c r="W64" s="108">
        <f t="shared" si="3"/>
        <v>0.46733668341708545</v>
      </c>
      <c r="X64" s="7" t="s">
        <v>2391</v>
      </c>
      <c r="Y64" s="183" t="s">
        <v>3434</v>
      </c>
      <c r="Z64" s="7" t="s">
        <v>109</v>
      </c>
      <c r="AA64" s="7" t="s">
        <v>109</v>
      </c>
    </row>
    <row r="65" spans="1:27" x14ac:dyDescent="0.3">
      <c r="A65" s="7">
        <v>84</v>
      </c>
      <c r="B65" s="29" t="s">
        <v>26</v>
      </c>
      <c r="C65" s="29" t="s">
        <v>2460</v>
      </c>
      <c r="D65" s="29">
        <v>40226013</v>
      </c>
      <c r="E65" s="29">
        <v>106</v>
      </c>
      <c r="F65" s="7">
        <v>104</v>
      </c>
      <c r="G65" s="7"/>
      <c r="H65" s="7"/>
      <c r="I65" s="7">
        <v>10</v>
      </c>
      <c r="J65" s="7" t="s">
        <v>3406</v>
      </c>
      <c r="K65" s="7" t="s">
        <v>1783</v>
      </c>
      <c r="L65" s="7" t="s">
        <v>130</v>
      </c>
      <c r="M65" s="11">
        <v>0.81666666666666665</v>
      </c>
      <c r="N65" s="11">
        <v>0.83819444444444446</v>
      </c>
      <c r="O65" s="7" t="s">
        <v>109</v>
      </c>
      <c r="P65" s="32" t="s">
        <v>3347</v>
      </c>
      <c r="Q65" s="29" t="s">
        <v>61</v>
      </c>
      <c r="R65" s="7" t="s">
        <v>131</v>
      </c>
      <c r="S65" s="7" t="s">
        <v>87</v>
      </c>
      <c r="T65" s="7" t="s">
        <v>62</v>
      </c>
      <c r="U65" s="7" t="s">
        <v>123</v>
      </c>
      <c r="V65" s="29" t="s">
        <v>122</v>
      </c>
      <c r="W65" s="108">
        <f t="shared" si="3"/>
        <v>9.4339622641509441E-2</v>
      </c>
      <c r="X65" s="7" t="s">
        <v>152</v>
      </c>
      <c r="Y65" s="7" t="s">
        <v>3242</v>
      </c>
      <c r="Z65" s="7" t="s">
        <v>109</v>
      </c>
      <c r="AA65" s="7" t="s">
        <v>109</v>
      </c>
    </row>
    <row r="66" spans="1:27" x14ac:dyDescent="0.3">
      <c r="A66" s="7">
        <v>88</v>
      </c>
      <c r="B66" s="29" t="s">
        <v>26</v>
      </c>
      <c r="C66" s="29" t="s">
        <v>2632</v>
      </c>
      <c r="D66" s="29">
        <v>40226018</v>
      </c>
      <c r="E66" s="29">
        <v>201</v>
      </c>
      <c r="F66" s="7">
        <v>119</v>
      </c>
      <c r="G66" s="7"/>
      <c r="H66" s="7"/>
      <c r="I66" s="7">
        <v>55</v>
      </c>
      <c r="J66" s="7" t="s">
        <v>2979</v>
      </c>
      <c r="K66" s="7" t="s">
        <v>3477</v>
      </c>
      <c r="L66" s="7" t="s">
        <v>130</v>
      </c>
      <c r="M66" s="11">
        <v>0.81597222222222221</v>
      </c>
      <c r="N66" s="11">
        <v>5.1388888888888887E-2</v>
      </c>
      <c r="O66" s="7" t="s">
        <v>109</v>
      </c>
      <c r="P66" s="32" t="s">
        <v>3347</v>
      </c>
      <c r="Q66" s="29" t="s">
        <v>61</v>
      </c>
      <c r="R66" s="7" t="s">
        <v>131</v>
      </c>
      <c r="S66" s="7" t="s">
        <v>209</v>
      </c>
      <c r="T66" s="7" t="s">
        <v>62</v>
      </c>
      <c r="U66" s="7" t="s">
        <v>123</v>
      </c>
      <c r="V66" s="29" t="s">
        <v>2636</v>
      </c>
      <c r="W66" s="108">
        <f t="shared" si="3"/>
        <v>0.27363184079601988</v>
      </c>
      <c r="X66" s="7" t="s">
        <v>152</v>
      </c>
      <c r="Y66" s="7" t="s">
        <v>3250</v>
      </c>
      <c r="Z66" s="7" t="s">
        <v>109</v>
      </c>
      <c r="AA66" s="7" t="s">
        <v>109</v>
      </c>
    </row>
    <row r="67" spans="1:27" x14ac:dyDescent="0.3">
      <c r="A67" s="7">
        <v>67</v>
      </c>
      <c r="B67" s="29" t="s">
        <v>23</v>
      </c>
      <c r="C67" s="29" t="s">
        <v>1909</v>
      </c>
      <c r="D67" s="91">
        <v>50226025</v>
      </c>
      <c r="E67" s="29">
        <v>300</v>
      </c>
      <c r="F67" s="7">
        <v>612</v>
      </c>
      <c r="G67" s="7"/>
      <c r="H67" s="7"/>
      <c r="I67" s="7">
        <v>189</v>
      </c>
      <c r="J67" s="7" t="s">
        <v>3153</v>
      </c>
      <c r="K67" s="7" t="s">
        <v>3425</v>
      </c>
      <c r="L67" s="7" t="s">
        <v>130</v>
      </c>
      <c r="M67" s="11">
        <v>0.98819444444444449</v>
      </c>
      <c r="N67" s="11">
        <v>2.013888888888889E-2</v>
      </c>
      <c r="O67" s="7" t="s">
        <v>109</v>
      </c>
      <c r="P67" s="32" t="s">
        <v>1621</v>
      </c>
      <c r="Q67" s="29" t="s">
        <v>61</v>
      </c>
      <c r="R67" s="7" t="s">
        <v>131</v>
      </c>
      <c r="S67" s="7" t="s">
        <v>93</v>
      </c>
      <c r="T67" s="7" t="s">
        <v>62</v>
      </c>
      <c r="U67" s="7" t="s">
        <v>123</v>
      </c>
      <c r="V67" s="29" t="s">
        <v>480</v>
      </c>
      <c r="W67" s="108">
        <f t="shared" si="3"/>
        <v>0.63</v>
      </c>
      <c r="X67" s="7" t="s">
        <v>3476</v>
      </c>
      <c r="Y67" s="183" t="s">
        <v>3463</v>
      </c>
      <c r="Z67" s="7" t="s">
        <v>3282</v>
      </c>
      <c r="AA67" s="7" t="s">
        <v>3102</v>
      </c>
    </row>
    <row r="68" spans="1:27" x14ac:dyDescent="0.3">
      <c r="A68" s="7">
        <v>9</v>
      </c>
      <c r="B68" s="29" t="s">
        <v>23</v>
      </c>
      <c r="C68" s="29" t="s">
        <v>2678</v>
      </c>
      <c r="D68" s="91">
        <v>50226117</v>
      </c>
      <c r="E68" s="29">
        <v>50</v>
      </c>
      <c r="F68" s="7">
        <v>69</v>
      </c>
      <c r="G68" s="7"/>
      <c r="H68" s="7"/>
      <c r="I68" s="7">
        <v>58</v>
      </c>
      <c r="J68" s="77" t="s">
        <v>274</v>
      </c>
      <c r="K68" s="7" t="s">
        <v>109</v>
      </c>
      <c r="L68" s="7" t="s">
        <v>130</v>
      </c>
      <c r="M68" s="11">
        <v>0.9145833333333333</v>
      </c>
      <c r="N68" s="7" t="s">
        <v>109</v>
      </c>
      <c r="O68" s="7" t="s">
        <v>109</v>
      </c>
      <c r="P68" s="29" t="s">
        <v>109</v>
      </c>
      <c r="Q68" s="29" t="s">
        <v>61</v>
      </c>
      <c r="R68" s="7" t="s">
        <v>131</v>
      </c>
      <c r="S68" s="7" t="s">
        <v>274</v>
      </c>
      <c r="T68" s="7" t="s">
        <v>62</v>
      </c>
      <c r="U68" s="7" t="s">
        <v>123</v>
      </c>
      <c r="V68" s="29" t="s">
        <v>116</v>
      </c>
      <c r="W68" s="108">
        <f t="shared" si="3"/>
        <v>1.1599999999999999</v>
      </c>
      <c r="X68" s="7" t="s">
        <v>1945</v>
      </c>
      <c r="Y68" s="183" t="s">
        <v>3435</v>
      </c>
      <c r="Z68" s="7" t="s">
        <v>109</v>
      </c>
      <c r="AA68" s="7" t="s">
        <v>109</v>
      </c>
    </row>
    <row r="69" spans="1:27" x14ac:dyDescent="0.3">
      <c r="A69" s="7">
        <v>32</v>
      </c>
      <c r="B69" s="29" t="s">
        <v>170</v>
      </c>
      <c r="C69" s="29" t="s">
        <v>3414</v>
      </c>
      <c r="D69" s="91">
        <v>40326010</v>
      </c>
      <c r="E69" s="29">
        <v>87</v>
      </c>
      <c r="F69" s="7">
        <v>154</v>
      </c>
      <c r="G69" s="7"/>
      <c r="H69" s="7"/>
      <c r="I69" s="7">
        <v>89</v>
      </c>
      <c r="J69" s="77" t="s">
        <v>274</v>
      </c>
      <c r="K69" s="7" t="s">
        <v>88</v>
      </c>
      <c r="L69" s="7" t="s">
        <v>130</v>
      </c>
      <c r="M69" s="11">
        <v>0.86041666666666672</v>
      </c>
      <c r="N69" s="11">
        <v>0.89027777777777772</v>
      </c>
      <c r="O69" s="7" t="s">
        <v>109</v>
      </c>
      <c r="P69" s="29" t="s">
        <v>109</v>
      </c>
      <c r="Q69" s="29" t="s">
        <v>61</v>
      </c>
      <c r="R69" s="7" t="s">
        <v>131</v>
      </c>
      <c r="S69" s="7" t="s">
        <v>88</v>
      </c>
      <c r="T69" s="7" t="s">
        <v>62</v>
      </c>
      <c r="U69" s="7" t="s">
        <v>123</v>
      </c>
      <c r="V69" s="29" t="s">
        <v>2561</v>
      </c>
      <c r="W69" s="108">
        <f t="shared" si="3"/>
        <v>1.0229885057471264</v>
      </c>
      <c r="X69" s="7" t="s">
        <v>1945</v>
      </c>
      <c r="Y69" s="183" t="s">
        <v>3448</v>
      </c>
      <c r="Z69" s="7" t="s">
        <v>109</v>
      </c>
      <c r="AA69" s="7" t="s">
        <v>109</v>
      </c>
    </row>
    <row r="70" spans="1:27" x14ac:dyDescent="0.3">
      <c r="A70" s="7">
        <v>43</v>
      </c>
      <c r="B70" s="29" t="s">
        <v>143</v>
      </c>
      <c r="C70" s="29" t="s">
        <v>2658</v>
      </c>
      <c r="D70" s="91">
        <v>10226056</v>
      </c>
      <c r="E70" s="29">
        <v>40</v>
      </c>
      <c r="F70" s="7">
        <v>71</v>
      </c>
      <c r="G70" s="7"/>
      <c r="H70" s="7"/>
      <c r="I70" s="7">
        <v>55</v>
      </c>
      <c r="J70" s="77" t="s">
        <v>274</v>
      </c>
      <c r="K70" s="7" t="s">
        <v>93</v>
      </c>
      <c r="L70" s="7" t="s">
        <v>130</v>
      </c>
      <c r="M70" s="11">
        <v>0.8208333333333333</v>
      </c>
      <c r="N70" s="11">
        <v>0.84236111111111112</v>
      </c>
      <c r="O70" s="7" t="s">
        <v>109</v>
      </c>
      <c r="P70" s="29" t="s">
        <v>109</v>
      </c>
      <c r="Q70" s="29" t="s">
        <v>61</v>
      </c>
      <c r="R70" s="7" t="s">
        <v>131</v>
      </c>
      <c r="S70" s="7" t="s">
        <v>93</v>
      </c>
      <c r="T70" s="7" t="s">
        <v>62</v>
      </c>
      <c r="U70" s="7" t="s">
        <v>123</v>
      </c>
      <c r="V70" s="29" t="s">
        <v>121</v>
      </c>
      <c r="W70" s="108">
        <f t="shared" si="3"/>
        <v>1.375</v>
      </c>
      <c r="X70" s="7" t="s">
        <v>1945</v>
      </c>
      <c r="Y70" s="183" t="s">
        <v>3343</v>
      </c>
      <c r="Z70" s="7" t="s">
        <v>109</v>
      </c>
      <c r="AA70" s="7" t="s">
        <v>109</v>
      </c>
    </row>
    <row r="71" spans="1:27" x14ac:dyDescent="0.3">
      <c r="A71" s="7">
        <v>83</v>
      </c>
      <c r="B71" s="29" t="s">
        <v>23</v>
      </c>
      <c r="C71" s="29" t="s">
        <v>1173</v>
      </c>
      <c r="D71" s="91">
        <v>50126327</v>
      </c>
      <c r="E71" s="29">
        <v>30</v>
      </c>
      <c r="F71" s="7">
        <v>43</v>
      </c>
      <c r="G71" s="7"/>
      <c r="H71" s="7"/>
      <c r="I71" s="7">
        <v>30</v>
      </c>
      <c r="J71" s="155" t="s">
        <v>91</v>
      </c>
      <c r="K71" s="7" t="s">
        <v>109</v>
      </c>
      <c r="L71" s="7" t="s">
        <v>130</v>
      </c>
      <c r="M71" s="11">
        <v>0.72013888888888888</v>
      </c>
      <c r="N71" s="7" t="s">
        <v>109</v>
      </c>
      <c r="O71" s="7" t="s">
        <v>109</v>
      </c>
      <c r="P71" s="29" t="s">
        <v>109</v>
      </c>
      <c r="Q71" s="29" t="s">
        <v>61</v>
      </c>
      <c r="R71" s="7" t="s">
        <v>131</v>
      </c>
      <c r="S71" s="7" t="s">
        <v>91</v>
      </c>
      <c r="T71" s="7" t="s">
        <v>62</v>
      </c>
      <c r="U71" s="7" t="s">
        <v>123</v>
      </c>
      <c r="V71" s="29" t="s">
        <v>424</v>
      </c>
      <c r="W71" s="108">
        <f t="shared" si="3"/>
        <v>1</v>
      </c>
      <c r="X71" s="7" t="s">
        <v>1945</v>
      </c>
      <c r="Y71" s="183" t="s">
        <v>3198</v>
      </c>
      <c r="Z71" s="7" t="s">
        <v>3282</v>
      </c>
      <c r="AA71" s="7" t="s">
        <v>3101</v>
      </c>
    </row>
    <row r="72" spans="1:27" x14ac:dyDescent="0.3">
      <c r="A72" s="7">
        <v>12</v>
      </c>
      <c r="B72" s="29" t="s">
        <v>23</v>
      </c>
      <c r="C72" s="29" t="s">
        <v>2150</v>
      </c>
      <c r="D72" s="91">
        <v>50226067</v>
      </c>
      <c r="E72" s="29">
        <v>50</v>
      </c>
      <c r="F72" s="7">
        <v>110</v>
      </c>
      <c r="G72" s="7"/>
      <c r="H72" s="7"/>
      <c r="I72" s="7">
        <v>52</v>
      </c>
      <c r="J72" s="156" t="s">
        <v>70</v>
      </c>
      <c r="K72" s="7" t="s">
        <v>109</v>
      </c>
      <c r="L72" s="7" t="s">
        <v>130</v>
      </c>
      <c r="M72" s="11">
        <v>0.95902777777777781</v>
      </c>
      <c r="N72" s="7" t="s">
        <v>109</v>
      </c>
      <c r="O72" s="7" t="s">
        <v>109</v>
      </c>
      <c r="P72" s="29" t="s">
        <v>109</v>
      </c>
      <c r="Q72" s="29" t="s">
        <v>61</v>
      </c>
      <c r="R72" s="7" t="s">
        <v>131</v>
      </c>
      <c r="S72" s="7" t="s">
        <v>70</v>
      </c>
      <c r="T72" s="7" t="s">
        <v>62</v>
      </c>
      <c r="U72" s="7" t="s">
        <v>123</v>
      </c>
      <c r="V72" s="29" t="s">
        <v>116</v>
      </c>
      <c r="W72" s="108">
        <f t="shared" si="3"/>
        <v>1.04</v>
      </c>
      <c r="X72" s="7" t="s">
        <v>1945</v>
      </c>
      <c r="Y72" s="183" t="s">
        <v>3438</v>
      </c>
      <c r="Z72" s="7" t="s">
        <v>109</v>
      </c>
      <c r="AA72" s="7" t="s">
        <v>109</v>
      </c>
    </row>
    <row r="73" spans="1:27" x14ac:dyDescent="0.3">
      <c r="A73" s="7">
        <v>54</v>
      </c>
      <c r="B73" s="29" t="s">
        <v>143</v>
      </c>
      <c r="C73" s="29" t="s">
        <v>3420</v>
      </c>
      <c r="D73" s="91">
        <v>10326044</v>
      </c>
      <c r="E73" s="29">
        <v>75</v>
      </c>
      <c r="F73" s="7">
        <v>92</v>
      </c>
      <c r="G73" s="7"/>
      <c r="H73" s="7"/>
      <c r="I73" s="7">
        <v>72</v>
      </c>
      <c r="J73" s="156" t="s">
        <v>70</v>
      </c>
      <c r="K73" s="173" t="s">
        <v>94</v>
      </c>
      <c r="L73" s="7" t="s">
        <v>130</v>
      </c>
      <c r="M73" s="11">
        <v>0.86597222222222225</v>
      </c>
      <c r="N73" s="11">
        <v>0.92013888888888884</v>
      </c>
      <c r="O73" s="7" t="s">
        <v>109</v>
      </c>
      <c r="P73" s="29" t="s">
        <v>109</v>
      </c>
      <c r="Q73" s="29" t="s">
        <v>61</v>
      </c>
      <c r="R73" s="7" t="s">
        <v>131</v>
      </c>
      <c r="S73" s="7" t="s">
        <v>94</v>
      </c>
      <c r="T73" s="7" t="s">
        <v>62</v>
      </c>
      <c r="U73" s="7" t="s">
        <v>123</v>
      </c>
      <c r="V73" s="29" t="s">
        <v>182</v>
      </c>
      <c r="W73" s="108">
        <f t="shared" si="3"/>
        <v>0.96</v>
      </c>
      <c r="X73" s="7" t="s">
        <v>1945</v>
      </c>
      <c r="Y73" s="183" t="s">
        <v>3456</v>
      </c>
      <c r="Z73" s="7" t="s">
        <v>109</v>
      </c>
      <c r="AA73" s="7" t="s">
        <v>109</v>
      </c>
    </row>
    <row r="74" spans="1:27" x14ac:dyDescent="0.3">
      <c r="A74" s="7">
        <v>31</v>
      </c>
      <c r="B74" s="29" t="s">
        <v>170</v>
      </c>
      <c r="C74" s="29" t="s">
        <v>3412</v>
      </c>
      <c r="D74" s="91">
        <v>40326012</v>
      </c>
      <c r="E74" s="29">
        <v>130</v>
      </c>
      <c r="F74" s="7">
        <v>293</v>
      </c>
      <c r="G74" s="7"/>
      <c r="H74" s="7"/>
      <c r="I74" s="7">
        <v>93</v>
      </c>
      <c r="J74" s="7" t="s">
        <v>3413</v>
      </c>
      <c r="K74" s="7" t="s">
        <v>2946</v>
      </c>
      <c r="L74" s="7" t="s">
        <v>130</v>
      </c>
      <c r="M74" s="11">
        <v>0.75902777777777775</v>
      </c>
      <c r="N74" s="11">
        <v>0.98333333333333328</v>
      </c>
      <c r="O74" s="7" t="s">
        <v>109</v>
      </c>
      <c r="P74" s="29" t="s">
        <v>109</v>
      </c>
      <c r="Q74" s="29" t="s">
        <v>61</v>
      </c>
      <c r="R74" s="7" t="s">
        <v>131</v>
      </c>
      <c r="S74" s="7" t="s">
        <v>90</v>
      </c>
      <c r="T74" s="7" t="s">
        <v>62</v>
      </c>
      <c r="U74" s="7" t="s">
        <v>123</v>
      </c>
      <c r="V74" s="29" t="s">
        <v>2561</v>
      </c>
      <c r="W74" s="108">
        <f t="shared" si="3"/>
        <v>0.7153846153846154</v>
      </c>
      <c r="X74" s="7" t="s">
        <v>3476</v>
      </c>
      <c r="Y74" s="183" t="s">
        <v>3447</v>
      </c>
      <c r="Z74" s="7" t="s">
        <v>109</v>
      </c>
      <c r="AA74" s="7" t="s">
        <v>109</v>
      </c>
    </row>
    <row r="75" spans="1:27" x14ac:dyDescent="0.3">
      <c r="A75" s="7">
        <v>7</v>
      </c>
      <c r="B75" s="29" t="s">
        <v>24</v>
      </c>
      <c r="C75" s="29" t="s">
        <v>1834</v>
      </c>
      <c r="D75" s="91">
        <v>60226012</v>
      </c>
      <c r="E75" s="29">
        <v>205</v>
      </c>
      <c r="F75" s="7">
        <v>264</v>
      </c>
      <c r="G75" s="7"/>
      <c r="H75" s="7"/>
      <c r="I75" s="7">
        <v>69</v>
      </c>
      <c r="J75" s="7" t="s">
        <v>2131</v>
      </c>
      <c r="K75" s="7" t="s">
        <v>3036</v>
      </c>
      <c r="L75" s="7" t="s">
        <v>130</v>
      </c>
      <c r="M75" s="11">
        <v>0.73124999999999996</v>
      </c>
      <c r="N75" s="11">
        <v>0.81180555555555556</v>
      </c>
      <c r="O75" s="7" t="s">
        <v>109</v>
      </c>
      <c r="P75" s="32" t="s">
        <v>3403</v>
      </c>
      <c r="Q75" s="29" t="s">
        <v>61</v>
      </c>
      <c r="R75" s="7" t="s">
        <v>131</v>
      </c>
      <c r="S75" s="7" t="s">
        <v>94</v>
      </c>
      <c r="T75" s="7" t="s">
        <v>63</v>
      </c>
      <c r="U75" s="7" t="s">
        <v>123</v>
      </c>
      <c r="V75" s="29" t="s">
        <v>117</v>
      </c>
      <c r="W75" s="108">
        <f t="shared" si="3"/>
        <v>0.33658536585365856</v>
      </c>
      <c r="X75" s="7" t="s">
        <v>2391</v>
      </c>
      <c r="Y75" s="183" t="s">
        <v>3292</v>
      </c>
      <c r="Z75" s="7" t="s">
        <v>3282</v>
      </c>
      <c r="AA75" s="7" t="s">
        <v>3102</v>
      </c>
    </row>
    <row r="76" spans="1:27" x14ac:dyDescent="0.3">
      <c r="A76" s="7">
        <v>71</v>
      </c>
      <c r="B76" s="29" t="s">
        <v>23</v>
      </c>
      <c r="C76" s="29" t="s">
        <v>3340</v>
      </c>
      <c r="D76" s="91">
        <v>50326048</v>
      </c>
      <c r="E76" s="29">
        <v>30</v>
      </c>
      <c r="F76" s="7">
        <v>67</v>
      </c>
      <c r="G76" s="7"/>
      <c r="H76" s="7"/>
      <c r="I76" s="7">
        <v>36</v>
      </c>
      <c r="J76" s="173" t="s">
        <v>209</v>
      </c>
      <c r="K76" s="7" t="s">
        <v>109</v>
      </c>
      <c r="L76" s="7" t="s">
        <v>130</v>
      </c>
      <c r="M76" s="11">
        <v>0.69930555555555551</v>
      </c>
      <c r="N76" s="7" t="s">
        <v>109</v>
      </c>
      <c r="O76" s="7" t="s">
        <v>109</v>
      </c>
      <c r="P76" s="32" t="s">
        <v>110</v>
      </c>
      <c r="Q76" s="29" t="s">
        <v>61</v>
      </c>
      <c r="R76" s="7" t="s">
        <v>131</v>
      </c>
      <c r="S76" s="7" t="s">
        <v>209</v>
      </c>
      <c r="T76" s="7" t="s">
        <v>62</v>
      </c>
      <c r="U76" s="7" t="s">
        <v>123</v>
      </c>
      <c r="V76" s="29" t="s">
        <v>424</v>
      </c>
      <c r="W76" s="108">
        <f t="shared" si="3"/>
        <v>1.2</v>
      </c>
      <c r="X76" s="7" t="s">
        <v>1945</v>
      </c>
      <c r="Y76" s="183" t="s">
        <v>3341</v>
      </c>
      <c r="Z76" s="7" t="s">
        <v>109</v>
      </c>
      <c r="AA76" s="7" t="s">
        <v>109</v>
      </c>
    </row>
    <row r="77" spans="1:27" x14ac:dyDescent="0.3">
      <c r="A77" s="7">
        <v>47</v>
      </c>
      <c r="B77" s="29" t="s">
        <v>143</v>
      </c>
      <c r="C77" s="29" t="s">
        <v>1599</v>
      </c>
      <c r="D77" s="91">
        <v>10126043</v>
      </c>
      <c r="E77" s="29">
        <v>81</v>
      </c>
      <c r="F77" s="7">
        <v>100</v>
      </c>
      <c r="G77" s="7"/>
      <c r="H77" s="7"/>
      <c r="I77" s="7">
        <v>40</v>
      </c>
      <c r="J77" s="7" t="s">
        <v>1828</v>
      </c>
      <c r="K77" s="7" t="s">
        <v>109</v>
      </c>
      <c r="L77" s="7" t="s">
        <v>130</v>
      </c>
      <c r="M77" s="11">
        <v>6.458333333333334E-2</v>
      </c>
      <c r="N77" s="7" t="s">
        <v>109</v>
      </c>
      <c r="O77" s="7" t="s">
        <v>109</v>
      </c>
      <c r="P77" s="29" t="s">
        <v>109</v>
      </c>
      <c r="Q77" s="29" t="s">
        <v>61</v>
      </c>
      <c r="R77" s="7" t="s">
        <v>131</v>
      </c>
      <c r="S77" s="7" t="s">
        <v>209</v>
      </c>
      <c r="T77" s="7" t="s">
        <v>62</v>
      </c>
      <c r="U77" s="7" t="s">
        <v>123</v>
      </c>
      <c r="V77" s="29" t="s">
        <v>480</v>
      </c>
      <c r="W77" s="108">
        <f t="shared" si="3"/>
        <v>0.49382716049382713</v>
      </c>
      <c r="X77" s="7" t="s">
        <v>152</v>
      </c>
      <c r="Y77" s="183" t="s">
        <v>3152</v>
      </c>
      <c r="Z77" s="7" t="s">
        <v>3282</v>
      </c>
      <c r="AA77" s="7" t="s">
        <v>3101</v>
      </c>
    </row>
    <row r="78" spans="1:27" x14ac:dyDescent="0.3">
      <c r="A78" s="7">
        <v>81</v>
      </c>
      <c r="B78" s="29" t="s">
        <v>23</v>
      </c>
      <c r="C78" s="29" t="s">
        <v>425</v>
      </c>
      <c r="D78" s="91">
        <v>50126025</v>
      </c>
      <c r="E78" s="29">
        <v>30</v>
      </c>
      <c r="F78" s="7">
        <v>33</v>
      </c>
      <c r="G78" s="7"/>
      <c r="H78" s="7"/>
      <c r="I78" s="7">
        <v>31</v>
      </c>
      <c r="J78" s="155" t="s">
        <v>87</v>
      </c>
      <c r="K78" s="7" t="s">
        <v>109</v>
      </c>
      <c r="L78" s="7" t="s">
        <v>130</v>
      </c>
      <c r="M78" s="11">
        <v>0.74444444444444446</v>
      </c>
      <c r="N78" s="7" t="s">
        <v>109</v>
      </c>
      <c r="O78" s="7" t="s">
        <v>109</v>
      </c>
      <c r="P78" s="29" t="s">
        <v>109</v>
      </c>
      <c r="Q78" s="29" t="s">
        <v>61</v>
      </c>
      <c r="R78" s="7" t="s">
        <v>131</v>
      </c>
      <c r="S78" s="7" t="s">
        <v>87</v>
      </c>
      <c r="T78" s="7" t="s">
        <v>62</v>
      </c>
      <c r="U78" s="7" t="s">
        <v>123</v>
      </c>
      <c r="V78" s="29" t="s">
        <v>424</v>
      </c>
      <c r="W78" s="108">
        <f t="shared" si="3"/>
        <v>1.0333333333333334</v>
      </c>
      <c r="X78" s="7" t="s">
        <v>1945</v>
      </c>
      <c r="Y78" s="183" t="s">
        <v>3468</v>
      </c>
      <c r="Z78" s="7" t="s">
        <v>109</v>
      </c>
      <c r="AA78" s="7" t="s">
        <v>109</v>
      </c>
    </row>
    <row r="79" spans="1:27" x14ac:dyDescent="0.3">
      <c r="A79" s="7">
        <v>91</v>
      </c>
      <c r="B79" s="7" t="s">
        <v>143</v>
      </c>
      <c r="C79" s="7" t="s">
        <v>2936</v>
      </c>
      <c r="D79" s="7">
        <v>10326024</v>
      </c>
      <c r="E79" s="7" t="s">
        <v>60</v>
      </c>
      <c r="F79" s="7">
        <v>78</v>
      </c>
      <c r="G79" s="7"/>
      <c r="H79" s="7"/>
      <c r="I79" s="7">
        <v>34</v>
      </c>
      <c r="J79" s="7" t="s">
        <v>3483</v>
      </c>
      <c r="K79" s="7" t="s">
        <v>109</v>
      </c>
      <c r="L79" s="7" t="s">
        <v>130</v>
      </c>
      <c r="M79" s="11">
        <v>6.5277777777777782E-2</v>
      </c>
      <c r="N79" s="7" t="s">
        <v>109</v>
      </c>
      <c r="O79" s="7" t="s">
        <v>109</v>
      </c>
      <c r="P79" s="7" t="s">
        <v>109</v>
      </c>
      <c r="Q79" s="7" t="s">
        <v>61</v>
      </c>
      <c r="R79" s="7" t="s">
        <v>131</v>
      </c>
      <c r="S79" s="7" t="s">
        <v>603</v>
      </c>
      <c r="T79" s="74" t="s">
        <v>62</v>
      </c>
      <c r="U79" s="7" t="s">
        <v>878</v>
      </c>
      <c r="V79" s="38" t="s">
        <v>182</v>
      </c>
      <c r="W79" s="108" t="s">
        <v>109</v>
      </c>
      <c r="X79" s="7" t="s">
        <v>152</v>
      </c>
      <c r="Y79" s="184" t="s">
        <v>3158</v>
      </c>
      <c r="Z79" s="7" t="s">
        <v>109</v>
      </c>
      <c r="AA79" s="7" t="s">
        <v>109</v>
      </c>
    </row>
    <row r="80" spans="1:27" x14ac:dyDescent="0.3">
      <c r="A80" s="7">
        <v>74</v>
      </c>
      <c r="B80" s="29" t="s">
        <v>23</v>
      </c>
      <c r="C80" s="29" t="s">
        <v>849</v>
      </c>
      <c r="D80" s="91">
        <v>50126213</v>
      </c>
      <c r="E80" s="29">
        <v>500</v>
      </c>
      <c r="F80" s="7" t="s">
        <v>109</v>
      </c>
      <c r="G80" s="7"/>
      <c r="H80" s="7"/>
      <c r="I80" s="7" t="s">
        <v>109</v>
      </c>
      <c r="J80" s="7" t="s">
        <v>3427</v>
      </c>
      <c r="K80" s="7" t="s">
        <v>109</v>
      </c>
      <c r="L80" s="18" t="s">
        <v>85</v>
      </c>
      <c r="M80" s="18" t="s">
        <v>109</v>
      </c>
      <c r="N80" s="7" t="s">
        <v>109</v>
      </c>
      <c r="O80" s="7" t="s">
        <v>109</v>
      </c>
      <c r="P80" s="32" t="s">
        <v>110</v>
      </c>
      <c r="Q80" s="29" t="s">
        <v>61</v>
      </c>
      <c r="R80" s="7" t="s">
        <v>109</v>
      </c>
      <c r="S80" s="7" t="s">
        <v>109</v>
      </c>
      <c r="T80" s="7" t="s">
        <v>62</v>
      </c>
      <c r="U80" s="7" t="s">
        <v>123</v>
      </c>
      <c r="V80" s="29" t="s">
        <v>424</v>
      </c>
      <c r="W80" s="108" t="s">
        <v>109</v>
      </c>
      <c r="X80" s="7" t="s">
        <v>109</v>
      </c>
      <c r="Y80" s="183" t="s">
        <v>3181</v>
      </c>
      <c r="Z80" s="7" t="s">
        <v>109</v>
      </c>
      <c r="AA80" s="7" t="s">
        <v>109</v>
      </c>
    </row>
    <row r="81" spans="1:27" x14ac:dyDescent="0.3">
      <c r="A81" s="7">
        <v>21</v>
      </c>
      <c r="B81" s="29" t="s">
        <v>23</v>
      </c>
      <c r="C81" s="29" t="s">
        <v>992</v>
      </c>
      <c r="D81" s="91">
        <v>50126269</v>
      </c>
      <c r="E81" s="29">
        <v>40</v>
      </c>
      <c r="F81" s="7">
        <v>82</v>
      </c>
      <c r="G81" s="7"/>
      <c r="H81" s="7"/>
      <c r="I81" s="7">
        <v>37</v>
      </c>
      <c r="J81" s="89" t="s">
        <v>71</v>
      </c>
      <c r="K81" s="7" t="s">
        <v>109</v>
      </c>
      <c r="L81" s="7" t="s">
        <v>130</v>
      </c>
      <c r="M81" s="11">
        <v>0.70625000000000004</v>
      </c>
      <c r="N81" s="7" t="s">
        <v>109</v>
      </c>
      <c r="O81" s="7" t="s">
        <v>109</v>
      </c>
      <c r="P81" s="32" t="s">
        <v>3318</v>
      </c>
      <c r="Q81" s="29" t="s">
        <v>61</v>
      </c>
      <c r="R81" s="7" t="s">
        <v>131</v>
      </c>
      <c r="S81" s="7" t="s">
        <v>71</v>
      </c>
      <c r="T81" s="7" t="s">
        <v>62</v>
      </c>
      <c r="U81" s="7" t="s">
        <v>123</v>
      </c>
      <c r="V81" s="29" t="s">
        <v>402</v>
      </c>
      <c r="W81" s="108">
        <f>I81/E81</f>
        <v>0.92500000000000004</v>
      </c>
      <c r="X81" s="7" t="s">
        <v>3476</v>
      </c>
      <c r="Y81" s="183" t="s">
        <v>3444</v>
      </c>
      <c r="Z81" s="7" t="s">
        <v>3282</v>
      </c>
      <c r="AA81" s="7" t="s">
        <v>3101</v>
      </c>
    </row>
    <row r="82" spans="1:27" x14ac:dyDescent="0.3">
      <c r="A82" s="7">
        <v>42</v>
      </c>
      <c r="B82" s="29" t="s">
        <v>143</v>
      </c>
      <c r="C82" s="29" t="s">
        <v>2610</v>
      </c>
      <c r="D82" s="91">
        <v>10226054</v>
      </c>
      <c r="E82" s="29">
        <v>65</v>
      </c>
      <c r="F82" s="7">
        <v>90</v>
      </c>
      <c r="G82" s="7"/>
      <c r="H82" s="7"/>
      <c r="I82" s="7">
        <v>65</v>
      </c>
      <c r="J82" s="89" t="s">
        <v>71</v>
      </c>
      <c r="K82" s="155" t="s">
        <v>91</v>
      </c>
      <c r="L82" s="7" t="s">
        <v>130</v>
      </c>
      <c r="M82" s="11">
        <v>0.74305555555555558</v>
      </c>
      <c r="N82" s="11">
        <v>0.76458333333333328</v>
      </c>
      <c r="O82" s="7" t="s">
        <v>109</v>
      </c>
      <c r="P82" s="29" t="s">
        <v>109</v>
      </c>
      <c r="Q82" s="29" t="s">
        <v>61</v>
      </c>
      <c r="R82" s="7" t="s">
        <v>131</v>
      </c>
      <c r="S82" s="7" t="s">
        <v>91</v>
      </c>
      <c r="T82" s="7" t="s">
        <v>62</v>
      </c>
      <c r="U82" s="7" t="s">
        <v>123</v>
      </c>
      <c r="V82" s="29" t="s">
        <v>121</v>
      </c>
      <c r="W82" s="108">
        <f>I82/E82</f>
        <v>1</v>
      </c>
      <c r="X82" s="7" t="s">
        <v>1945</v>
      </c>
      <c r="Y82" s="183" t="s">
        <v>3342</v>
      </c>
      <c r="Z82" s="7" t="s">
        <v>109</v>
      </c>
      <c r="AA82" s="7" t="s">
        <v>109</v>
      </c>
    </row>
    <row r="83" spans="1:27" x14ac:dyDescent="0.3">
      <c r="A83" s="7">
        <v>56</v>
      </c>
      <c r="B83" s="29" t="s">
        <v>23</v>
      </c>
      <c r="C83" s="29" t="s">
        <v>3421</v>
      </c>
      <c r="D83" s="91">
        <v>50326049</v>
      </c>
      <c r="E83" s="29">
        <v>200</v>
      </c>
      <c r="F83" s="7">
        <v>377</v>
      </c>
      <c r="G83" s="7"/>
      <c r="H83" s="7"/>
      <c r="I83" s="7">
        <v>160</v>
      </c>
      <c r="J83" s="7" t="s">
        <v>3422</v>
      </c>
      <c r="K83" s="7" t="s">
        <v>109</v>
      </c>
      <c r="L83" s="7" t="s">
        <v>130</v>
      </c>
      <c r="M83" s="11">
        <v>0.87916666666666665</v>
      </c>
      <c r="N83" s="7" t="s">
        <v>109</v>
      </c>
      <c r="O83" s="7" t="s">
        <v>109</v>
      </c>
      <c r="P83" s="32" t="s">
        <v>1621</v>
      </c>
      <c r="Q83" s="29" t="s">
        <v>61</v>
      </c>
      <c r="R83" s="7" t="s">
        <v>131</v>
      </c>
      <c r="S83" s="7" t="s">
        <v>64</v>
      </c>
      <c r="T83" s="7" t="s">
        <v>62</v>
      </c>
      <c r="U83" s="7" t="s">
        <v>123</v>
      </c>
      <c r="V83" s="29" t="s">
        <v>2264</v>
      </c>
      <c r="W83" s="108">
        <f>I83/E83</f>
        <v>0.8</v>
      </c>
      <c r="X83" s="7" t="s">
        <v>3476</v>
      </c>
      <c r="Y83" s="183" t="s">
        <v>3458</v>
      </c>
      <c r="Z83" s="7" t="s">
        <v>3282</v>
      </c>
      <c r="AA83" s="7" t="s">
        <v>3101</v>
      </c>
    </row>
    <row r="84" spans="1:27" x14ac:dyDescent="0.3">
      <c r="A84" s="7">
        <v>26</v>
      </c>
      <c r="B84" s="29" t="s">
        <v>23</v>
      </c>
      <c r="C84" s="29" t="s">
        <v>2983</v>
      </c>
      <c r="D84" s="91">
        <v>50326023</v>
      </c>
      <c r="E84" s="29">
        <v>130</v>
      </c>
      <c r="F84" s="7">
        <v>235</v>
      </c>
      <c r="G84" s="7"/>
      <c r="H84" s="7"/>
      <c r="I84" s="7">
        <v>63</v>
      </c>
      <c r="J84" s="77" t="s">
        <v>1552</v>
      </c>
      <c r="K84" s="7" t="s">
        <v>109</v>
      </c>
      <c r="L84" s="7" t="s">
        <v>130</v>
      </c>
      <c r="M84" s="11">
        <v>0.97916666666666663</v>
      </c>
      <c r="N84" s="7" t="s">
        <v>109</v>
      </c>
      <c r="O84" s="7" t="s">
        <v>109</v>
      </c>
      <c r="P84" s="29" t="s">
        <v>109</v>
      </c>
      <c r="Q84" s="29" t="s">
        <v>61</v>
      </c>
      <c r="R84" s="7" t="s">
        <v>131</v>
      </c>
      <c r="S84" s="7" t="s">
        <v>71</v>
      </c>
      <c r="T84" s="7" t="s">
        <v>62</v>
      </c>
      <c r="U84" s="7" t="s">
        <v>123</v>
      </c>
      <c r="V84" s="29" t="s">
        <v>121</v>
      </c>
      <c r="W84" s="108">
        <f>I84/E84</f>
        <v>0.48461538461538461</v>
      </c>
      <c r="X84" s="7" t="s">
        <v>3476</v>
      </c>
      <c r="Y84" s="183" t="s">
        <v>3142</v>
      </c>
      <c r="Z84" s="7" t="s">
        <v>109</v>
      </c>
      <c r="AA84" s="7" t="s">
        <v>109</v>
      </c>
    </row>
    <row r="85" spans="1:27" x14ac:dyDescent="0.3">
      <c r="A85" s="7">
        <v>45</v>
      </c>
      <c r="B85" s="29" t="s">
        <v>143</v>
      </c>
      <c r="C85" s="29" t="s">
        <v>3006</v>
      </c>
      <c r="D85" s="91">
        <v>10326029</v>
      </c>
      <c r="E85" s="29" t="s">
        <v>287</v>
      </c>
      <c r="F85" s="7">
        <v>9</v>
      </c>
      <c r="G85" s="7"/>
      <c r="H85" s="7"/>
      <c r="I85" s="7">
        <v>3</v>
      </c>
      <c r="J85" s="7" t="s">
        <v>3418</v>
      </c>
      <c r="K85" s="7" t="s">
        <v>3419</v>
      </c>
      <c r="L85" s="7" t="s">
        <v>130</v>
      </c>
      <c r="M85" s="11">
        <v>4.8611111111111112E-3</v>
      </c>
      <c r="N85" s="11">
        <v>1.3194444444444444E-2</v>
      </c>
      <c r="O85" s="7" t="s">
        <v>109</v>
      </c>
      <c r="P85" s="29" t="s">
        <v>109</v>
      </c>
      <c r="Q85" s="29" t="s">
        <v>61</v>
      </c>
      <c r="R85" s="7" t="s">
        <v>131</v>
      </c>
      <c r="S85" s="7" t="s">
        <v>86</v>
      </c>
      <c r="T85" s="7" t="s">
        <v>62</v>
      </c>
      <c r="U85" s="7" t="s">
        <v>123</v>
      </c>
      <c r="V85" s="29" t="s">
        <v>121</v>
      </c>
      <c r="W85" s="108" t="s">
        <v>109</v>
      </c>
      <c r="X85" s="7" t="s">
        <v>152</v>
      </c>
      <c r="Y85" s="183" t="s">
        <v>3149</v>
      </c>
      <c r="Z85" s="7" t="s">
        <v>109</v>
      </c>
      <c r="AA85" s="7" t="s">
        <v>109</v>
      </c>
    </row>
    <row r="86" spans="1:27" x14ac:dyDescent="0.3">
      <c r="A86" s="7">
        <v>44</v>
      </c>
      <c r="B86" s="29" t="s">
        <v>143</v>
      </c>
      <c r="C86" s="29" t="s">
        <v>2366</v>
      </c>
      <c r="D86" s="91">
        <v>10226040</v>
      </c>
      <c r="E86" s="29">
        <v>70</v>
      </c>
      <c r="F86" s="7">
        <v>140</v>
      </c>
      <c r="G86" s="7"/>
      <c r="H86" s="7"/>
      <c r="I86" s="7">
        <v>44</v>
      </c>
      <c r="J86" s="89" t="s">
        <v>68</v>
      </c>
      <c r="K86" s="173" t="s">
        <v>209</v>
      </c>
      <c r="L86" s="7" t="s">
        <v>130</v>
      </c>
      <c r="M86" s="11">
        <v>0.86736111111111114</v>
      </c>
      <c r="N86" s="11">
        <v>0.87708333333333333</v>
      </c>
      <c r="O86" s="7" t="s">
        <v>109</v>
      </c>
      <c r="P86" s="29" t="s">
        <v>109</v>
      </c>
      <c r="Q86" s="29" t="s">
        <v>61</v>
      </c>
      <c r="R86" s="7" t="s">
        <v>131</v>
      </c>
      <c r="S86" s="7" t="s">
        <v>209</v>
      </c>
      <c r="T86" s="7" t="s">
        <v>62</v>
      </c>
      <c r="U86" s="7" t="s">
        <v>123</v>
      </c>
      <c r="V86" s="29" t="s">
        <v>334</v>
      </c>
      <c r="W86" s="108">
        <f t="shared" ref="W86:W92" si="4">I86/E86</f>
        <v>0.62857142857142856</v>
      </c>
      <c r="X86" s="7" t="s">
        <v>3476</v>
      </c>
      <c r="Y86" s="183" t="s">
        <v>3453</v>
      </c>
      <c r="Z86" s="7" t="s">
        <v>109</v>
      </c>
      <c r="AA86" s="7" t="s">
        <v>109</v>
      </c>
    </row>
    <row r="87" spans="1:27" x14ac:dyDescent="0.3">
      <c r="A87" s="7">
        <v>52</v>
      </c>
      <c r="B87" s="29" t="s">
        <v>143</v>
      </c>
      <c r="C87" s="29" t="s">
        <v>2611</v>
      </c>
      <c r="D87" s="91">
        <v>10226052</v>
      </c>
      <c r="E87" s="29">
        <v>30</v>
      </c>
      <c r="F87" s="7">
        <v>69</v>
      </c>
      <c r="G87" s="7"/>
      <c r="H87" s="7"/>
      <c r="I87" s="7">
        <v>29</v>
      </c>
      <c r="J87" s="89" t="s">
        <v>68</v>
      </c>
      <c r="K87" s="7" t="s">
        <v>86</v>
      </c>
      <c r="L87" s="7" t="s">
        <v>130</v>
      </c>
      <c r="M87" s="11">
        <v>0.99652777777777779</v>
      </c>
      <c r="N87" s="11">
        <v>8.3333333333333332E-3</v>
      </c>
      <c r="O87" s="7" t="s">
        <v>109</v>
      </c>
      <c r="P87" s="29" t="s">
        <v>109</v>
      </c>
      <c r="Q87" s="29" t="s">
        <v>61</v>
      </c>
      <c r="R87" s="7" t="s">
        <v>131</v>
      </c>
      <c r="S87" s="7" t="s">
        <v>86</v>
      </c>
      <c r="T87" s="7" t="s">
        <v>62</v>
      </c>
      <c r="U87" s="7" t="s">
        <v>123</v>
      </c>
      <c r="V87" s="29" t="s">
        <v>2612</v>
      </c>
      <c r="W87" s="108">
        <f t="shared" si="4"/>
        <v>0.96666666666666667</v>
      </c>
      <c r="X87" s="7" t="s">
        <v>1945</v>
      </c>
      <c r="Y87" s="183" t="s">
        <v>3160</v>
      </c>
      <c r="Z87" s="7" t="s">
        <v>3282</v>
      </c>
      <c r="AA87" s="7" t="s">
        <v>3101</v>
      </c>
    </row>
    <row r="88" spans="1:27" x14ac:dyDescent="0.3">
      <c r="A88" s="7">
        <v>64</v>
      </c>
      <c r="B88" s="29" t="s">
        <v>23</v>
      </c>
      <c r="C88" s="29" t="s">
        <v>1053</v>
      </c>
      <c r="D88" s="91">
        <v>50126314</v>
      </c>
      <c r="E88" s="29">
        <v>100</v>
      </c>
      <c r="F88" s="7">
        <v>170</v>
      </c>
      <c r="G88" s="7"/>
      <c r="H88" s="7"/>
      <c r="I88" s="7">
        <v>16</v>
      </c>
      <c r="J88" s="89" t="s">
        <v>68</v>
      </c>
      <c r="K88" s="7" t="s">
        <v>95</v>
      </c>
      <c r="L88" s="7" t="s">
        <v>130</v>
      </c>
      <c r="M88" s="11">
        <v>0.74791666666666667</v>
      </c>
      <c r="N88" s="11">
        <v>0.75416666666666665</v>
      </c>
      <c r="O88" s="7" t="s">
        <v>109</v>
      </c>
      <c r="P88" s="29" t="s">
        <v>109</v>
      </c>
      <c r="Q88" s="29" t="s">
        <v>61</v>
      </c>
      <c r="R88" s="7" t="s">
        <v>131</v>
      </c>
      <c r="S88" s="7" t="s">
        <v>95</v>
      </c>
      <c r="T88" s="7" t="s">
        <v>62</v>
      </c>
      <c r="U88" s="7" t="s">
        <v>123</v>
      </c>
      <c r="V88" s="29" t="s">
        <v>480</v>
      </c>
      <c r="W88" s="108">
        <f t="shared" si="4"/>
        <v>0.16</v>
      </c>
      <c r="X88" s="7" t="s">
        <v>2391</v>
      </c>
      <c r="Y88" s="183" t="s">
        <v>3269</v>
      </c>
      <c r="Z88" s="7" t="s">
        <v>3282</v>
      </c>
      <c r="AA88" s="7" t="s">
        <v>3102</v>
      </c>
    </row>
    <row r="89" spans="1:27" x14ac:dyDescent="0.3">
      <c r="A89" s="7">
        <v>73</v>
      </c>
      <c r="B89" s="29" t="s">
        <v>23</v>
      </c>
      <c r="C89" s="29" t="s">
        <v>1664</v>
      </c>
      <c r="D89" s="91">
        <v>50126367</v>
      </c>
      <c r="E89" s="29">
        <v>100</v>
      </c>
      <c r="F89" s="7">
        <v>185</v>
      </c>
      <c r="G89" s="7"/>
      <c r="H89" s="7"/>
      <c r="I89" s="7">
        <v>98</v>
      </c>
      <c r="J89" s="89" t="s">
        <v>68</v>
      </c>
      <c r="K89" s="7" t="s">
        <v>109</v>
      </c>
      <c r="L89" s="7" t="s">
        <v>130</v>
      </c>
      <c r="M89" s="11">
        <v>0.7055555555555556</v>
      </c>
      <c r="N89" s="7" t="s">
        <v>109</v>
      </c>
      <c r="O89" s="7" t="s">
        <v>109</v>
      </c>
      <c r="P89" s="32" t="s">
        <v>110</v>
      </c>
      <c r="Q89" s="29" t="s">
        <v>61</v>
      </c>
      <c r="R89" s="7" t="s">
        <v>131</v>
      </c>
      <c r="S89" s="7" t="s">
        <v>68</v>
      </c>
      <c r="T89" s="7" t="s">
        <v>62</v>
      </c>
      <c r="U89" s="7" t="s">
        <v>123</v>
      </c>
      <c r="V89" s="29" t="s">
        <v>424</v>
      </c>
      <c r="W89" s="108">
        <f t="shared" si="4"/>
        <v>0.98</v>
      </c>
      <c r="X89" s="7" t="s">
        <v>1945</v>
      </c>
      <c r="Y89" s="183" t="s">
        <v>3179</v>
      </c>
      <c r="Z89" s="7" t="s">
        <v>3282</v>
      </c>
      <c r="AA89" s="7" t="s">
        <v>3101</v>
      </c>
    </row>
    <row r="90" spans="1:27" x14ac:dyDescent="0.3">
      <c r="A90" s="7">
        <v>70</v>
      </c>
      <c r="B90" s="29" t="s">
        <v>23</v>
      </c>
      <c r="C90" s="29" t="s">
        <v>3336</v>
      </c>
      <c r="D90" s="91">
        <v>50326046</v>
      </c>
      <c r="E90" s="29">
        <v>55</v>
      </c>
      <c r="F90" s="7">
        <v>82</v>
      </c>
      <c r="G90" s="7"/>
      <c r="H90" s="7"/>
      <c r="I90" s="7">
        <v>59</v>
      </c>
      <c r="J90" s="173" t="s">
        <v>90</v>
      </c>
      <c r="K90" s="7" t="s">
        <v>109</v>
      </c>
      <c r="L90" s="7" t="s">
        <v>130</v>
      </c>
      <c r="M90" s="11">
        <v>0.78472222222222221</v>
      </c>
      <c r="N90" s="7" t="s">
        <v>109</v>
      </c>
      <c r="O90" s="7" t="s">
        <v>109</v>
      </c>
      <c r="P90" s="32" t="s">
        <v>110</v>
      </c>
      <c r="Q90" s="29" t="s">
        <v>61</v>
      </c>
      <c r="R90" s="7" t="s">
        <v>131</v>
      </c>
      <c r="S90" s="7" t="s">
        <v>90</v>
      </c>
      <c r="T90" s="7" t="s">
        <v>62</v>
      </c>
      <c r="U90" s="7" t="s">
        <v>123</v>
      </c>
      <c r="V90" s="29" t="s">
        <v>424</v>
      </c>
      <c r="W90" s="108">
        <f t="shared" si="4"/>
        <v>1.0727272727272728</v>
      </c>
      <c r="X90" s="7" t="s">
        <v>1945</v>
      </c>
      <c r="Y90" s="183" t="s">
        <v>3337</v>
      </c>
      <c r="Z90" s="7" t="s">
        <v>109</v>
      </c>
      <c r="AA90" s="7" t="s">
        <v>109</v>
      </c>
    </row>
    <row r="91" spans="1:27" x14ac:dyDescent="0.3">
      <c r="A91" s="7">
        <v>75</v>
      </c>
      <c r="B91" s="29" t="s">
        <v>23</v>
      </c>
      <c r="C91" s="29" t="s">
        <v>940</v>
      </c>
      <c r="D91" s="91">
        <v>50126249</v>
      </c>
      <c r="E91" s="29">
        <v>300</v>
      </c>
      <c r="F91" s="7">
        <v>357</v>
      </c>
      <c r="G91" s="7"/>
      <c r="H91" s="7"/>
      <c r="I91" s="7">
        <v>341</v>
      </c>
      <c r="J91" s="7" t="s">
        <v>3428</v>
      </c>
      <c r="K91" s="7" t="s">
        <v>109</v>
      </c>
      <c r="L91" s="7" t="s">
        <v>130</v>
      </c>
      <c r="M91" s="11">
        <v>5.0694444444444445E-2</v>
      </c>
      <c r="N91" s="7" t="s">
        <v>109</v>
      </c>
      <c r="O91" s="7" t="s">
        <v>109</v>
      </c>
      <c r="P91" s="32" t="s">
        <v>110</v>
      </c>
      <c r="Q91" s="29" t="s">
        <v>61</v>
      </c>
      <c r="R91" s="7" t="s">
        <v>131</v>
      </c>
      <c r="S91" s="7" t="s">
        <v>94</v>
      </c>
      <c r="T91" s="7" t="s">
        <v>62</v>
      </c>
      <c r="U91" s="7" t="s">
        <v>123</v>
      </c>
      <c r="V91" s="29" t="s">
        <v>424</v>
      </c>
      <c r="W91" s="108">
        <f t="shared" si="4"/>
        <v>1.1366666666666667</v>
      </c>
      <c r="X91" s="7" t="s">
        <v>1945</v>
      </c>
      <c r="Y91" s="183" t="s">
        <v>3183</v>
      </c>
      <c r="Z91" s="7" t="s">
        <v>109</v>
      </c>
      <c r="AA91" s="7" t="s">
        <v>109</v>
      </c>
    </row>
    <row r="92" spans="1:27" x14ac:dyDescent="0.3">
      <c r="A92" s="7">
        <v>76</v>
      </c>
      <c r="B92" s="29" t="s">
        <v>23</v>
      </c>
      <c r="C92" s="29" t="s">
        <v>1464</v>
      </c>
      <c r="D92" s="91">
        <v>50126352</v>
      </c>
      <c r="E92" s="29">
        <v>55</v>
      </c>
      <c r="F92" s="7">
        <v>185</v>
      </c>
      <c r="G92" s="7"/>
      <c r="H92" s="7"/>
      <c r="I92" s="7">
        <v>61</v>
      </c>
      <c r="J92" s="173" t="s">
        <v>94</v>
      </c>
      <c r="K92" s="7" t="s">
        <v>109</v>
      </c>
      <c r="L92" s="7" t="s">
        <v>130</v>
      </c>
      <c r="M92" s="11">
        <v>0.78888888888888886</v>
      </c>
      <c r="N92" s="7" t="s">
        <v>109</v>
      </c>
      <c r="O92" s="7" t="s">
        <v>109</v>
      </c>
      <c r="P92" s="32" t="s">
        <v>110</v>
      </c>
      <c r="Q92" s="29" t="s">
        <v>61</v>
      </c>
      <c r="R92" s="7" t="s">
        <v>131</v>
      </c>
      <c r="S92" s="7" t="s">
        <v>94</v>
      </c>
      <c r="T92" s="185" t="s">
        <v>62</v>
      </c>
      <c r="U92" s="7" t="s">
        <v>123</v>
      </c>
      <c r="V92" s="29" t="s">
        <v>424</v>
      </c>
      <c r="W92" s="108">
        <f t="shared" si="4"/>
        <v>1.1090909090909091</v>
      </c>
      <c r="X92" s="7" t="s">
        <v>1945</v>
      </c>
      <c r="Y92" s="186" t="s">
        <v>3464</v>
      </c>
      <c r="Z92" s="7" t="s">
        <v>3282</v>
      </c>
      <c r="AA92" s="7" t="s">
        <v>3101</v>
      </c>
    </row>
  </sheetData>
  <conditionalFormatting sqref="D1">
    <cfRule type="duplicateValues" dxfId="6" priority="3"/>
  </conditionalFormatting>
  <conditionalFormatting sqref="D1:D1048576">
    <cfRule type="duplicateValues" dxfId="5" priority="1"/>
  </conditionalFormatting>
  <conditionalFormatting sqref="D91:D1048576 D1:D84">
    <cfRule type="duplicateValues" dxfId="4" priority="2"/>
  </conditionalFormatting>
  <hyperlinks>
    <hyperlink ref="Y22" r:id="rId1" xr:uid="{09051E72-203A-463F-B2A9-83D145E0EA76}"/>
    <hyperlink ref="Y79" r:id="rId2" xr:uid="{772D1724-2D3D-43B9-842B-62A25018486D}"/>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0EA4F-877B-46A2-B848-7EE3F1D6D00D}">
  <dimension ref="A1:Y155"/>
  <sheetViews>
    <sheetView tabSelected="1" workbookViewId="0">
      <pane ySplit="1" topLeftCell="A2" activePane="bottomLeft" state="frozen"/>
      <selection activeCell="I1" sqref="I1"/>
      <selection pane="bottomLeft" activeCell="B1" sqref="B1"/>
    </sheetView>
  </sheetViews>
  <sheetFormatPr defaultRowHeight="14.4" x14ac:dyDescent="0.3"/>
  <cols>
    <col min="1" max="2" width="8.88671875" style="31"/>
    <col min="3" max="3" width="18.21875" style="31" customWidth="1"/>
    <col min="4" max="7" width="8.88671875" style="31"/>
    <col min="8" max="8" width="49.33203125" style="31" customWidth="1"/>
    <col min="9" max="9" width="44.6640625" style="31" customWidth="1"/>
    <col min="10" max="10" width="8.88671875" style="31"/>
    <col min="11" max="11" width="12.77734375" style="31" customWidth="1"/>
    <col min="12" max="12" width="13.21875" style="31" customWidth="1"/>
    <col min="13" max="21" width="8.88671875" style="31"/>
    <col min="22" max="22" width="18.44140625" style="31" customWidth="1"/>
    <col min="23" max="16384" width="8.88671875" style="31"/>
  </cols>
  <sheetData>
    <row r="1" spans="1:25" x14ac:dyDescent="0.3">
      <c r="A1" s="187" t="s">
        <v>0</v>
      </c>
      <c r="B1" s="187" t="s">
        <v>1</v>
      </c>
      <c r="C1" s="187" t="s">
        <v>2</v>
      </c>
      <c r="D1" s="187" t="s">
        <v>3</v>
      </c>
      <c r="E1" s="187" t="s">
        <v>4</v>
      </c>
      <c r="F1" s="187" t="s">
        <v>5</v>
      </c>
      <c r="G1" s="187" t="s">
        <v>6</v>
      </c>
      <c r="H1" s="187" t="s">
        <v>7</v>
      </c>
      <c r="I1" s="187" t="s">
        <v>8</v>
      </c>
      <c r="J1" s="187" t="s">
        <v>9</v>
      </c>
      <c r="K1" s="188" t="s">
        <v>2218</v>
      </c>
      <c r="L1" s="188" t="s">
        <v>2219</v>
      </c>
      <c r="M1" s="189" t="s">
        <v>2281</v>
      </c>
      <c r="N1" s="190" t="s">
        <v>13</v>
      </c>
      <c r="O1" s="187" t="s">
        <v>14</v>
      </c>
      <c r="P1" s="187" t="s">
        <v>15</v>
      </c>
      <c r="Q1" s="187" t="s">
        <v>16</v>
      </c>
      <c r="R1" s="187" t="s">
        <v>17</v>
      </c>
      <c r="S1" s="191" t="s">
        <v>2282</v>
      </c>
      <c r="T1" s="187" t="s">
        <v>19</v>
      </c>
      <c r="U1" s="187" t="s">
        <v>20</v>
      </c>
      <c r="V1" s="187" t="s">
        <v>21</v>
      </c>
      <c r="W1" s="192" t="s">
        <v>3125</v>
      </c>
      <c r="X1" s="192" t="s">
        <v>3126</v>
      </c>
      <c r="Y1" s="192" t="s">
        <v>3127</v>
      </c>
    </row>
    <row r="2" spans="1:25" x14ac:dyDescent="0.3">
      <c r="A2" s="193">
        <v>1</v>
      </c>
      <c r="B2" s="194" t="s">
        <v>24</v>
      </c>
      <c r="C2" s="194" t="s">
        <v>1832</v>
      </c>
      <c r="D2" s="208">
        <v>60226011</v>
      </c>
      <c r="E2" s="194">
        <v>198</v>
      </c>
      <c r="F2" s="193">
        <v>330</v>
      </c>
      <c r="G2" s="193">
        <v>187</v>
      </c>
      <c r="H2" s="193" t="s">
        <v>3014</v>
      </c>
      <c r="I2" s="193" t="s">
        <v>3488</v>
      </c>
      <c r="J2" s="193" t="s">
        <v>130</v>
      </c>
      <c r="K2" s="198">
        <v>0.77708333333333335</v>
      </c>
      <c r="L2" s="198">
        <v>0.83402777777777781</v>
      </c>
      <c r="M2" s="193" t="s">
        <v>109</v>
      </c>
      <c r="N2" s="209" t="s">
        <v>2339</v>
      </c>
      <c r="O2" s="194" t="s">
        <v>61</v>
      </c>
      <c r="P2" s="193" t="s">
        <v>131</v>
      </c>
      <c r="Q2" s="193" t="s">
        <v>1082</v>
      </c>
      <c r="R2" s="193" t="s">
        <v>63</v>
      </c>
      <c r="S2" s="193" t="s">
        <v>123</v>
      </c>
      <c r="T2" s="194" t="s">
        <v>117</v>
      </c>
      <c r="U2" s="197">
        <f>G2/E2</f>
        <v>0.94444444444444442</v>
      </c>
      <c r="V2" s="193" t="s">
        <v>1945</v>
      </c>
      <c r="W2" s="193" t="s">
        <v>3433</v>
      </c>
      <c r="X2" s="193" t="s">
        <v>3281</v>
      </c>
      <c r="Y2" s="193" t="s">
        <v>3102</v>
      </c>
    </row>
    <row r="3" spans="1:25" x14ac:dyDescent="0.3">
      <c r="A3" s="193">
        <v>2</v>
      </c>
      <c r="B3" s="194" t="s">
        <v>24</v>
      </c>
      <c r="C3" s="194" t="s">
        <v>1834</v>
      </c>
      <c r="D3" s="208">
        <v>60226012</v>
      </c>
      <c r="E3" s="194">
        <v>224</v>
      </c>
      <c r="F3" s="193">
        <v>170</v>
      </c>
      <c r="G3" s="193">
        <v>40</v>
      </c>
      <c r="H3" s="210" t="s">
        <v>3489</v>
      </c>
      <c r="I3" s="193" t="s">
        <v>3490</v>
      </c>
      <c r="J3" s="193" t="s">
        <v>130</v>
      </c>
      <c r="K3" s="198">
        <v>0.7944444444444444</v>
      </c>
      <c r="L3" s="198">
        <v>0.8354166666666667</v>
      </c>
      <c r="M3" s="193" t="s">
        <v>109</v>
      </c>
      <c r="N3" s="209" t="s">
        <v>2339</v>
      </c>
      <c r="O3" s="194" t="s">
        <v>61</v>
      </c>
      <c r="P3" s="193" t="s">
        <v>131</v>
      </c>
      <c r="Q3" s="193" t="s">
        <v>88</v>
      </c>
      <c r="R3" s="193" t="s">
        <v>63</v>
      </c>
      <c r="S3" s="193" t="s">
        <v>123</v>
      </c>
      <c r="T3" s="194" t="s">
        <v>117</v>
      </c>
      <c r="U3" s="197">
        <f t="shared" ref="U3:U66" si="0">G3/E3</f>
        <v>0.17857142857142858</v>
      </c>
      <c r="V3" s="193" t="s">
        <v>152</v>
      </c>
      <c r="W3" s="193" t="s">
        <v>3292</v>
      </c>
      <c r="X3" s="193" t="s">
        <v>3281</v>
      </c>
      <c r="Y3" s="193" t="s">
        <v>3102</v>
      </c>
    </row>
    <row r="4" spans="1:25" x14ac:dyDescent="0.3">
      <c r="A4" s="193">
        <v>3</v>
      </c>
      <c r="B4" s="194" t="s">
        <v>26</v>
      </c>
      <c r="C4" s="194" t="s">
        <v>2462</v>
      </c>
      <c r="D4" s="208">
        <v>40226014</v>
      </c>
      <c r="E4" s="194">
        <v>60</v>
      </c>
      <c r="F4" s="193">
        <v>78</v>
      </c>
      <c r="G4" s="193">
        <v>20</v>
      </c>
      <c r="H4" s="193" t="s">
        <v>68</v>
      </c>
      <c r="I4" s="211" t="s">
        <v>209</v>
      </c>
      <c r="J4" s="193" t="s">
        <v>130</v>
      </c>
      <c r="K4" s="198">
        <v>0.69861111111111107</v>
      </c>
      <c r="L4" s="193" t="s">
        <v>109</v>
      </c>
      <c r="M4" s="193" t="s">
        <v>109</v>
      </c>
      <c r="N4" s="209" t="s">
        <v>3347</v>
      </c>
      <c r="O4" s="194" t="s">
        <v>61</v>
      </c>
      <c r="P4" s="193" t="s">
        <v>131</v>
      </c>
      <c r="Q4" s="193" t="s">
        <v>209</v>
      </c>
      <c r="R4" s="193" t="s">
        <v>62</v>
      </c>
      <c r="S4" s="193" t="s">
        <v>123</v>
      </c>
      <c r="T4" s="194" t="s">
        <v>122</v>
      </c>
      <c r="U4" s="197">
        <f t="shared" si="0"/>
        <v>0.33333333333333331</v>
      </c>
      <c r="V4" s="193" t="s">
        <v>152</v>
      </c>
      <c r="W4" s="193" t="s">
        <v>3245</v>
      </c>
      <c r="X4" s="193" t="s">
        <v>109</v>
      </c>
      <c r="Y4" s="193" t="s">
        <v>109</v>
      </c>
    </row>
    <row r="5" spans="1:25" x14ac:dyDescent="0.3">
      <c r="A5" s="193">
        <v>4</v>
      </c>
      <c r="B5" s="194" t="s">
        <v>26</v>
      </c>
      <c r="C5" s="194" t="s">
        <v>2465</v>
      </c>
      <c r="D5" s="208">
        <v>40226011</v>
      </c>
      <c r="E5" s="194">
        <v>26</v>
      </c>
      <c r="F5" s="193">
        <v>20</v>
      </c>
      <c r="G5" s="193">
        <v>5</v>
      </c>
      <c r="H5" s="193" t="s">
        <v>84</v>
      </c>
      <c r="I5" s="211" t="s">
        <v>90</v>
      </c>
      <c r="J5" s="193" t="s">
        <v>130</v>
      </c>
      <c r="K5" s="198">
        <v>0.83472222222222225</v>
      </c>
      <c r="L5" s="198">
        <v>0.83750000000000002</v>
      </c>
      <c r="M5" s="193" t="s">
        <v>109</v>
      </c>
      <c r="N5" s="209" t="s">
        <v>3347</v>
      </c>
      <c r="O5" s="194" t="s">
        <v>61</v>
      </c>
      <c r="P5" s="193" t="s">
        <v>131</v>
      </c>
      <c r="Q5" s="193" t="s">
        <v>90</v>
      </c>
      <c r="R5" s="193" t="s">
        <v>62</v>
      </c>
      <c r="S5" s="193" t="s">
        <v>123</v>
      </c>
      <c r="T5" s="194" t="s">
        <v>122</v>
      </c>
      <c r="U5" s="197">
        <f t="shared" si="0"/>
        <v>0.19230769230769232</v>
      </c>
      <c r="V5" s="193" t="s">
        <v>152</v>
      </c>
      <c r="W5" s="193" t="s">
        <v>3478</v>
      </c>
      <c r="X5" s="193" t="s">
        <v>109</v>
      </c>
      <c r="Y5" s="193" t="s">
        <v>109</v>
      </c>
    </row>
    <row r="6" spans="1:25" x14ac:dyDescent="0.3">
      <c r="A6" s="193">
        <v>5</v>
      </c>
      <c r="B6" s="194" t="s">
        <v>26</v>
      </c>
      <c r="C6" s="194" t="s">
        <v>2468</v>
      </c>
      <c r="D6" s="208">
        <v>40226012</v>
      </c>
      <c r="E6" s="194">
        <v>624</v>
      </c>
      <c r="F6" s="193">
        <v>1242</v>
      </c>
      <c r="G6" s="193">
        <v>251</v>
      </c>
      <c r="H6" s="193" t="s">
        <v>3491</v>
      </c>
      <c r="I6" s="193" t="s">
        <v>3492</v>
      </c>
      <c r="J6" s="193" t="s">
        <v>130</v>
      </c>
      <c r="K6" s="198">
        <v>0.85277777777777775</v>
      </c>
      <c r="L6" s="198">
        <v>0.90208333333333335</v>
      </c>
      <c r="M6" s="193" t="s">
        <v>109</v>
      </c>
      <c r="N6" s="209" t="s">
        <v>3347</v>
      </c>
      <c r="O6" s="194" t="s">
        <v>61</v>
      </c>
      <c r="P6" s="193" t="s">
        <v>131</v>
      </c>
      <c r="Q6" s="193" t="s">
        <v>2946</v>
      </c>
      <c r="R6" s="193" t="s">
        <v>62</v>
      </c>
      <c r="S6" s="193" t="s">
        <v>123</v>
      </c>
      <c r="T6" s="194" t="s">
        <v>122</v>
      </c>
      <c r="U6" s="197">
        <f t="shared" si="0"/>
        <v>0.40224358974358976</v>
      </c>
      <c r="V6" s="193" t="s">
        <v>152</v>
      </c>
      <c r="W6" s="193" t="s">
        <v>3247</v>
      </c>
      <c r="X6" s="193" t="s">
        <v>109</v>
      </c>
      <c r="Y6" s="193" t="s">
        <v>109</v>
      </c>
    </row>
    <row r="7" spans="1:25" x14ac:dyDescent="0.3">
      <c r="A7" s="193">
        <v>6</v>
      </c>
      <c r="B7" s="194" t="s">
        <v>24</v>
      </c>
      <c r="C7" s="194" t="s">
        <v>2767</v>
      </c>
      <c r="D7" s="208">
        <v>60226028</v>
      </c>
      <c r="E7" s="194">
        <v>45</v>
      </c>
      <c r="F7" s="193">
        <v>90</v>
      </c>
      <c r="G7" s="193">
        <v>17</v>
      </c>
      <c r="H7" s="196" t="s">
        <v>66</v>
      </c>
      <c r="I7" s="212" t="s">
        <v>154</v>
      </c>
      <c r="J7" s="193" t="s">
        <v>130</v>
      </c>
      <c r="K7" s="198">
        <v>0.84375</v>
      </c>
      <c r="L7" s="198">
        <v>0.88958333333333328</v>
      </c>
      <c r="M7" s="193" t="s">
        <v>109</v>
      </c>
      <c r="N7" s="194" t="s">
        <v>109</v>
      </c>
      <c r="O7" s="194" t="s">
        <v>61</v>
      </c>
      <c r="P7" s="193" t="s">
        <v>131</v>
      </c>
      <c r="Q7" s="193" t="s">
        <v>154</v>
      </c>
      <c r="R7" s="193" t="s">
        <v>63</v>
      </c>
      <c r="S7" s="193" t="s">
        <v>123</v>
      </c>
      <c r="T7" s="194" t="s">
        <v>2769</v>
      </c>
      <c r="U7" s="197">
        <f t="shared" si="0"/>
        <v>0.37777777777777777</v>
      </c>
      <c r="V7" s="193" t="s">
        <v>1313</v>
      </c>
      <c r="W7" s="193" t="s">
        <v>3493</v>
      </c>
      <c r="X7" s="193" t="s">
        <v>109</v>
      </c>
      <c r="Y7" s="193" t="s">
        <v>109</v>
      </c>
    </row>
    <row r="8" spans="1:25" x14ac:dyDescent="0.3">
      <c r="A8" s="193">
        <v>7</v>
      </c>
      <c r="B8" s="194" t="s">
        <v>24</v>
      </c>
      <c r="C8" s="194" t="s">
        <v>2770</v>
      </c>
      <c r="D8" s="208">
        <v>60226029</v>
      </c>
      <c r="E8" s="194">
        <v>161</v>
      </c>
      <c r="F8" s="193">
        <v>266</v>
      </c>
      <c r="G8" s="193">
        <v>112</v>
      </c>
      <c r="H8" s="193" t="s">
        <v>1282</v>
      </c>
      <c r="I8" s="193" t="s">
        <v>2953</v>
      </c>
      <c r="J8" s="193" t="s">
        <v>130</v>
      </c>
      <c r="K8" s="198">
        <v>0.86111111111111116</v>
      </c>
      <c r="L8" s="198">
        <v>0.96180555555555558</v>
      </c>
      <c r="M8" s="193" t="s">
        <v>109</v>
      </c>
      <c r="N8" s="194" t="s">
        <v>109</v>
      </c>
      <c r="O8" s="194" t="s">
        <v>61</v>
      </c>
      <c r="P8" s="193" t="s">
        <v>131</v>
      </c>
      <c r="Q8" s="193" t="s">
        <v>91</v>
      </c>
      <c r="R8" s="193" t="s">
        <v>63</v>
      </c>
      <c r="S8" s="193" t="s">
        <v>123</v>
      </c>
      <c r="T8" s="194" t="s">
        <v>2769</v>
      </c>
      <c r="U8" s="197">
        <f t="shared" si="0"/>
        <v>0.69565217391304346</v>
      </c>
      <c r="V8" s="193" t="s">
        <v>1313</v>
      </c>
      <c r="W8" s="193" t="s">
        <v>3494</v>
      </c>
      <c r="X8" s="193" t="s">
        <v>109</v>
      </c>
      <c r="Y8" s="193" t="s">
        <v>109</v>
      </c>
    </row>
    <row r="9" spans="1:25" x14ac:dyDescent="0.3">
      <c r="A9" s="193">
        <v>8</v>
      </c>
      <c r="B9" s="194" t="s">
        <v>26</v>
      </c>
      <c r="C9" s="194" t="s">
        <v>2637</v>
      </c>
      <c r="D9" s="208">
        <v>40226019</v>
      </c>
      <c r="E9" s="194">
        <v>299</v>
      </c>
      <c r="F9" s="193">
        <v>596</v>
      </c>
      <c r="G9" s="193">
        <v>236</v>
      </c>
      <c r="H9" s="193" t="s">
        <v>3495</v>
      </c>
      <c r="I9" s="193" t="s">
        <v>3496</v>
      </c>
      <c r="J9" s="193" t="s">
        <v>130</v>
      </c>
      <c r="K9" s="198">
        <v>0.81874999999999998</v>
      </c>
      <c r="L9" s="198">
        <v>0.89513888888888893</v>
      </c>
      <c r="M9" s="193" t="s">
        <v>109</v>
      </c>
      <c r="N9" s="209" t="s">
        <v>3347</v>
      </c>
      <c r="O9" s="194" t="s">
        <v>61</v>
      </c>
      <c r="P9" s="193" t="s">
        <v>131</v>
      </c>
      <c r="Q9" s="193" t="s">
        <v>87</v>
      </c>
      <c r="R9" s="193" t="s">
        <v>62</v>
      </c>
      <c r="S9" s="193" t="s">
        <v>123</v>
      </c>
      <c r="T9" s="194" t="s">
        <v>2636</v>
      </c>
      <c r="U9" s="197">
        <f t="shared" si="0"/>
        <v>0.78929765886287628</v>
      </c>
      <c r="V9" s="193" t="s">
        <v>1313</v>
      </c>
      <c r="W9" s="193" t="s">
        <v>3253</v>
      </c>
      <c r="X9" s="193" t="s">
        <v>109</v>
      </c>
      <c r="Y9" s="193" t="s">
        <v>109</v>
      </c>
    </row>
    <row r="10" spans="1:25" x14ac:dyDescent="0.3">
      <c r="A10" s="193">
        <v>9</v>
      </c>
      <c r="B10" s="194" t="s">
        <v>26</v>
      </c>
      <c r="C10" s="194" t="s">
        <v>766</v>
      </c>
      <c r="D10" s="208">
        <v>40126004</v>
      </c>
      <c r="E10" s="194">
        <v>51</v>
      </c>
      <c r="F10" s="193">
        <v>115</v>
      </c>
      <c r="G10" s="193">
        <v>29</v>
      </c>
      <c r="H10" s="196" t="s">
        <v>82</v>
      </c>
      <c r="I10" s="212" t="s">
        <v>91</v>
      </c>
      <c r="J10" s="193" t="s">
        <v>130</v>
      </c>
      <c r="K10" s="198">
        <v>0.90833333333333333</v>
      </c>
      <c r="L10" s="198">
        <v>0.99652777777777779</v>
      </c>
      <c r="M10" s="193" t="s">
        <v>109</v>
      </c>
      <c r="N10" s="194" t="s">
        <v>109</v>
      </c>
      <c r="O10" s="194" t="s">
        <v>61</v>
      </c>
      <c r="P10" s="193" t="s">
        <v>131</v>
      </c>
      <c r="Q10" s="193" t="s">
        <v>91</v>
      </c>
      <c r="R10" s="193" t="s">
        <v>63</v>
      </c>
      <c r="S10" s="193" t="s">
        <v>123</v>
      </c>
      <c r="T10" s="194" t="s">
        <v>767</v>
      </c>
      <c r="U10" s="197">
        <f t="shared" si="0"/>
        <v>0.56862745098039214</v>
      </c>
      <c r="V10" s="193" t="s">
        <v>1313</v>
      </c>
      <c r="W10" s="193" t="s">
        <v>3497</v>
      </c>
      <c r="X10" s="193" t="s">
        <v>109</v>
      </c>
      <c r="Y10" s="193" t="s">
        <v>109</v>
      </c>
    </row>
    <row r="11" spans="1:25" x14ac:dyDescent="0.3">
      <c r="A11" s="193">
        <v>10</v>
      </c>
      <c r="B11" s="194" t="s">
        <v>26</v>
      </c>
      <c r="C11" s="194" t="s">
        <v>770</v>
      </c>
      <c r="D11" s="208">
        <v>40126003</v>
      </c>
      <c r="E11" s="194">
        <v>224</v>
      </c>
      <c r="F11" s="193">
        <v>400</v>
      </c>
      <c r="G11" s="193">
        <v>58</v>
      </c>
      <c r="H11" s="193" t="s">
        <v>3498</v>
      </c>
      <c r="I11" s="212" t="s">
        <v>3499</v>
      </c>
      <c r="J11" s="193" t="s">
        <v>130</v>
      </c>
      <c r="K11" s="198">
        <v>0.91597222222222219</v>
      </c>
      <c r="L11" s="198">
        <v>6.9444444444444441E-3</v>
      </c>
      <c r="M11" s="193" t="s">
        <v>109</v>
      </c>
      <c r="N11" s="194" t="s">
        <v>109</v>
      </c>
      <c r="O11" s="194" t="s">
        <v>61</v>
      </c>
      <c r="P11" s="193" t="s">
        <v>131</v>
      </c>
      <c r="Q11" s="193" t="s">
        <v>91</v>
      </c>
      <c r="R11" s="193" t="s">
        <v>63</v>
      </c>
      <c r="S11" s="193" t="s">
        <v>123</v>
      </c>
      <c r="T11" s="194" t="s">
        <v>767</v>
      </c>
      <c r="U11" s="197">
        <f t="shared" si="0"/>
        <v>0.25892857142857145</v>
      </c>
      <c r="V11" s="193" t="s">
        <v>1313</v>
      </c>
      <c r="W11" s="193" t="s">
        <v>3500</v>
      </c>
      <c r="X11" s="193" t="s">
        <v>109</v>
      </c>
      <c r="Y11" s="193" t="s">
        <v>109</v>
      </c>
    </row>
    <row r="12" spans="1:25" x14ac:dyDescent="0.3">
      <c r="A12" s="193">
        <v>11</v>
      </c>
      <c r="B12" s="194" t="s">
        <v>26</v>
      </c>
      <c r="C12" s="194" t="s">
        <v>773</v>
      </c>
      <c r="D12" s="208">
        <v>40126002</v>
      </c>
      <c r="E12" s="194">
        <v>111</v>
      </c>
      <c r="F12" s="193">
        <v>250</v>
      </c>
      <c r="G12" s="193">
        <v>88</v>
      </c>
      <c r="H12" s="193" t="s">
        <v>2131</v>
      </c>
      <c r="I12" s="193" t="s">
        <v>3501</v>
      </c>
      <c r="J12" s="193" t="s">
        <v>130</v>
      </c>
      <c r="K12" s="198">
        <v>0.91666666666666663</v>
      </c>
      <c r="L12" s="198">
        <v>0.94166666666666665</v>
      </c>
      <c r="M12" s="193" t="s">
        <v>109</v>
      </c>
      <c r="N12" s="194" t="s">
        <v>109</v>
      </c>
      <c r="O12" s="194" t="s">
        <v>61</v>
      </c>
      <c r="P12" s="193" t="s">
        <v>131</v>
      </c>
      <c r="Q12" s="193" t="s">
        <v>93</v>
      </c>
      <c r="R12" s="193" t="s">
        <v>63</v>
      </c>
      <c r="S12" s="193" t="s">
        <v>123</v>
      </c>
      <c r="T12" s="194" t="s">
        <v>767</v>
      </c>
      <c r="U12" s="197">
        <f t="shared" si="0"/>
        <v>0.7927927927927928</v>
      </c>
      <c r="V12" s="193" t="s">
        <v>1313</v>
      </c>
      <c r="W12" s="193" t="s">
        <v>3502</v>
      </c>
      <c r="X12" s="193" t="s">
        <v>109</v>
      </c>
      <c r="Y12" s="193" t="s">
        <v>109</v>
      </c>
    </row>
    <row r="13" spans="1:25" x14ac:dyDescent="0.3">
      <c r="A13" s="193">
        <v>12</v>
      </c>
      <c r="B13" s="194" t="s">
        <v>26</v>
      </c>
      <c r="C13" s="194" t="s">
        <v>774</v>
      </c>
      <c r="D13" s="208">
        <v>40126001</v>
      </c>
      <c r="E13" s="194">
        <v>181</v>
      </c>
      <c r="F13" s="193">
        <v>282</v>
      </c>
      <c r="G13" s="193">
        <v>26</v>
      </c>
      <c r="H13" s="193" t="s">
        <v>2358</v>
      </c>
      <c r="I13" s="211" t="s">
        <v>2367</v>
      </c>
      <c r="J13" s="193" t="s">
        <v>130</v>
      </c>
      <c r="K13" s="198">
        <v>0.8569444444444444</v>
      </c>
      <c r="L13" s="198">
        <v>0.9506944444444444</v>
      </c>
      <c r="M13" s="193" t="s">
        <v>109</v>
      </c>
      <c r="N13" s="194" t="s">
        <v>109</v>
      </c>
      <c r="O13" s="194" t="s">
        <v>61</v>
      </c>
      <c r="P13" s="193" t="s">
        <v>131</v>
      </c>
      <c r="Q13" s="193" t="s">
        <v>209</v>
      </c>
      <c r="R13" s="193" t="s">
        <v>63</v>
      </c>
      <c r="S13" s="193" t="s">
        <v>123</v>
      </c>
      <c r="T13" s="194" t="s">
        <v>767</v>
      </c>
      <c r="U13" s="197">
        <f t="shared" si="0"/>
        <v>0.143646408839779</v>
      </c>
      <c r="V13" s="193" t="s">
        <v>2391</v>
      </c>
      <c r="W13" s="193" t="s">
        <v>3503</v>
      </c>
      <c r="X13" s="193" t="s">
        <v>109</v>
      </c>
      <c r="Y13" s="193" t="s">
        <v>109</v>
      </c>
    </row>
    <row r="14" spans="1:25" x14ac:dyDescent="0.3">
      <c r="A14" s="193">
        <v>13</v>
      </c>
      <c r="B14" s="194" t="s">
        <v>26</v>
      </c>
      <c r="C14" s="194" t="s">
        <v>2875</v>
      </c>
      <c r="D14" s="208">
        <v>40326001</v>
      </c>
      <c r="E14" s="194">
        <v>95</v>
      </c>
      <c r="F14" s="193">
        <v>160</v>
      </c>
      <c r="G14" s="193">
        <v>101</v>
      </c>
      <c r="H14" s="199" t="s">
        <v>70</v>
      </c>
      <c r="I14" s="211" t="s">
        <v>90</v>
      </c>
      <c r="J14" s="193" t="s">
        <v>130</v>
      </c>
      <c r="K14" s="198">
        <v>0.97361111111111109</v>
      </c>
      <c r="L14" s="198">
        <v>0.9868055555555556</v>
      </c>
      <c r="M14" s="193" t="s">
        <v>109</v>
      </c>
      <c r="N14" s="194" t="s">
        <v>109</v>
      </c>
      <c r="O14" s="194" t="s">
        <v>61</v>
      </c>
      <c r="P14" s="193" t="s">
        <v>131</v>
      </c>
      <c r="Q14" s="193" t="s">
        <v>90</v>
      </c>
      <c r="R14" s="193" t="s">
        <v>62</v>
      </c>
      <c r="S14" s="193" t="s">
        <v>123</v>
      </c>
      <c r="T14" s="194" t="s">
        <v>1397</v>
      </c>
      <c r="U14" s="197">
        <f t="shared" si="0"/>
        <v>1.0631578947368421</v>
      </c>
      <c r="V14" s="193" t="s">
        <v>1945</v>
      </c>
      <c r="W14" s="193" t="s">
        <v>3504</v>
      </c>
      <c r="X14" s="193" t="s">
        <v>3282</v>
      </c>
      <c r="Y14" s="193" t="s">
        <v>3101</v>
      </c>
    </row>
    <row r="15" spans="1:25" x14ac:dyDescent="0.3">
      <c r="A15" s="193">
        <v>14</v>
      </c>
      <c r="B15" s="194" t="s">
        <v>26</v>
      </c>
      <c r="C15" s="194" t="s">
        <v>1394</v>
      </c>
      <c r="D15" s="208">
        <v>40126021</v>
      </c>
      <c r="E15" s="194">
        <v>88</v>
      </c>
      <c r="F15" s="193">
        <v>140</v>
      </c>
      <c r="G15" s="193">
        <v>79</v>
      </c>
      <c r="H15" s="199" t="s">
        <v>84</v>
      </c>
      <c r="I15" s="212" t="s">
        <v>1082</v>
      </c>
      <c r="J15" s="193" t="s">
        <v>130</v>
      </c>
      <c r="K15" s="198">
        <v>0.95902777777777781</v>
      </c>
      <c r="L15" s="198">
        <v>1.1111111111111112E-2</v>
      </c>
      <c r="M15" s="193" t="s">
        <v>109</v>
      </c>
      <c r="N15" s="194" t="s">
        <v>109</v>
      </c>
      <c r="O15" s="194" t="s">
        <v>61</v>
      </c>
      <c r="P15" s="193" t="s">
        <v>131</v>
      </c>
      <c r="Q15" s="193" t="s">
        <v>1082</v>
      </c>
      <c r="R15" s="193" t="s">
        <v>62</v>
      </c>
      <c r="S15" s="193" t="s">
        <v>123</v>
      </c>
      <c r="T15" s="194" t="s">
        <v>1397</v>
      </c>
      <c r="U15" s="197">
        <f t="shared" si="0"/>
        <v>0.89772727272727271</v>
      </c>
      <c r="V15" s="193" t="s">
        <v>1945</v>
      </c>
      <c r="W15" s="193" t="s">
        <v>3505</v>
      </c>
      <c r="X15" s="193" t="s">
        <v>3282</v>
      </c>
      <c r="Y15" s="193" t="s">
        <v>3101</v>
      </c>
    </row>
    <row r="16" spans="1:25" x14ac:dyDescent="0.3">
      <c r="A16" s="193">
        <v>15</v>
      </c>
      <c r="B16" s="194" t="s">
        <v>23</v>
      </c>
      <c r="C16" s="194" t="s">
        <v>2844</v>
      </c>
      <c r="D16" s="194">
        <v>50326004</v>
      </c>
      <c r="E16" s="194">
        <v>110</v>
      </c>
      <c r="F16" s="193">
        <v>91</v>
      </c>
      <c r="G16" s="193">
        <v>27</v>
      </c>
      <c r="H16" s="199" t="s">
        <v>3506</v>
      </c>
      <c r="I16" s="193" t="s">
        <v>109</v>
      </c>
      <c r="J16" s="193" t="s">
        <v>130</v>
      </c>
      <c r="K16" s="198">
        <v>1.3888888888888889E-3</v>
      </c>
      <c r="L16" s="193" t="s">
        <v>109</v>
      </c>
      <c r="M16" s="193" t="s">
        <v>109</v>
      </c>
      <c r="N16" s="196" t="s">
        <v>109</v>
      </c>
      <c r="O16" s="194" t="s">
        <v>61</v>
      </c>
      <c r="P16" s="193" t="s">
        <v>131</v>
      </c>
      <c r="Q16" s="193" t="s">
        <v>67</v>
      </c>
      <c r="R16" s="193" t="s">
        <v>62</v>
      </c>
      <c r="S16" s="193" t="s">
        <v>123</v>
      </c>
      <c r="T16" s="194" t="s">
        <v>2841</v>
      </c>
      <c r="U16" s="197">
        <f t="shared" si="0"/>
        <v>0.24545454545454545</v>
      </c>
      <c r="V16" s="193" t="s">
        <v>152</v>
      </c>
      <c r="W16" s="193" t="s">
        <v>3139</v>
      </c>
      <c r="X16" s="193" t="s">
        <v>109</v>
      </c>
      <c r="Y16" s="193" t="s">
        <v>109</v>
      </c>
    </row>
    <row r="17" spans="1:25" x14ac:dyDescent="0.3">
      <c r="A17" s="193">
        <v>16</v>
      </c>
      <c r="B17" s="194" t="s">
        <v>23</v>
      </c>
      <c r="C17" s="194" t="s">
        <v>2519</v>
      </c>
      <c r="D17" s="194">
        <v>50226107</v>
      </c>
      <c r="E17" s="194">
        <v>160</v>
      </c>
      <c r="F17" s="193">
        <v>222</v>
      </c>
      <c r="G17" s="193">
        <v>20</v>
      </c>
      <c r="H17" s="193" t="s">
        <v>1289</v>
      </c>
      <c r="I17" s="193" t="s">
        <v>109</v>
      </c>
      <c r="J17" s="193" t="s">
        <v>130</v>
      </c>
      <c r="K17" s="198">
        <v>0.8305555555555556</v>
      </c>
      <c r="L17" s="193" t="s">
        <v>109</v>
      </c>
      <c r="M17" s="193" t="s">
        <v>109</v>
      </c>
      <c r="N17" s="213" t="s">
        <v>2223</v>
      </c>
      <c r="O17" s="194" t="s">
        <v>61</v>
      </c>
      <c r="P17" s="193" t="s">
        <v>131</v>
      </c>
      <c r="Q17" s="193" t="s">
        <v>67</v>
      </c>
      <c r="R17" s="193" t="s">
        <v>62</v>
      </c>
      <c r="S17" s="193" t="s">
        <v>123</v>
      </c>
      <c r="T17" s="194" t="s">
        <v>122</v>
      </c>
      <c r="U17" s="197">
        <f t="shared" si="0"/>
        <v>0.125</v>
      </c>
      <c r="V17" s="193" t="s">
        <v>2391</v>
      </c>
      <c r="W17" s="193" t="s">
        <v>3140</v>
      </c>
      <c r="X17" s="193" t="s">
        <v>109</v>
      </c>
      <c r="Y17" s="193" t="s">
        <v>109</v>
      </c>
    </row>
    <row r="18" spans="1:25" x14ac:dyDescent="0.3">
      <c r="A18" s="193">
        <v>17</v>
      </c>
      <c r="B18" s="194" t="s">
        <v>23</v>
      </c>
      <c r="C18" s="194" t="s">
        <v>2518</v>
      </c>
      <c r="D18" s="194">
        <v>50226108</v>
      </c>
      <c r="E18" s="194">
        <v>70</v>
      </c>
      <c r="F18" s="193">
        <v>31</v>
      </c>
      <c r="G18" s="193">
        <v>10</v>
      </c>
      <c r="H18" s="199" t="s">
        <v>69</v>
      </c>
      <c r="I18" s="193" t="s">
        <v>109</v>
      </c>
      <c r="J18" s="193" t="s">
        <v>130</v>
      </c>
      <c r="K18" s="198">
        <v>0.97638888888888886</v>
      </c>
      <c r="L18" s="193" t="s">
        <v>109</v>
      </c>
      <c r="M18" s="193" t="s">
        <v>109</v>
      </c>
      <c r="N18" s="213" t="s">
        <v>2223</v>
      </c>
      <c r="O18" s="194" t="s">
        <v>61</v>
      </c>
      <c r="P18" s="193" t="s">
        <v>131</v>
      </c>
      <c r="Q18" s="193" t="s">
        <v>69</v>
      </c>
      <c r="R18" s="193" t="s">
        <v>62</v>
      </c>
      <c r="S18" s="193" t="s">
        <v>123</v>
      </c>
      <c r="T18" s="194" t="s">
        <v>122</v>
      </c>
      <c r="U18" s="197">
        <f t="shared" si="0"/>
        <v>0.14285714285714285</v>
      </c>
      <c r="V18" s="193" t="s">
        <v>152</v>
      </c>
      <c r="W18" s="193" t="s">
        <v>3141</v>
      </c>
      <c r="X18" s="193" t="s">
        <v>109</v>
      </c>
      <c r="Y18" s="193" t="s">
        <v>109</v>
      </c>
    </row>
    <row r="19" spans="1:25" x14ac:dyDescent="0.3">
      <c r="A19" s="193">
        <v>18</v>
      </c>
      <c r="B19" s="194" t="s">
        <v>23</v>
      </c>
      <c r="C19" s="194" t="s">
        <v>2983</v>
      </c>
      <c r="D19" s="194">
        <v>50326023</v>
      </c>
      <c r="E19" s="194">
        <v>140</v>
      </c>
      <c r="F19" s="193">
        <v>268</v>
      </c>
      <c r="G19" s="193">
        <v>43</v>
      </c>
      <c r="H19" s="193" t="s">
        <v>3507</v>
      </c>
      <c r="I19" s="193" t="s">
        <v>109</v>
      </c>
      <c r="J19" s="193" t="s">
        <v>130</v>
      </c>
      <c r="K19" s="198">
        <v>0.82777777777777772</v>
      </c>
      <c r="L19" s="193" t="s">
        <v>109</v>
      </c>
      <c r="M19" s="193" t="s">
        <v>109</v>
      </c>
      <c r="N19" s="213" t="s">
        <v>2223</v>
      </c>
      <c r="O19" s="194" t="s">
        <v>61</v>
      </c>
      <c r="P19" s="193" t="s">
        <v>131</v>
      </c>
      <c r="Q19" s="193" t="s">
        <v>82</v>
      </c>
      <c r="R19" s="193" t="s">
        <v>62</v>
      </c>
      <c r="S19" s="193" t="s">
        <v>123</v>
      </c>
      <c r="T19" s="194" t="s">
        <v>121</v>
      </c>
      <c r="U19" s="197">
        <f t="shared" si="0"/>
        <v>0.30714285714285716</v>
      </c>
      <c r="V19" s="193" t="s">
        <v>2391</v>
      </c>
      <c r="W19" s="193" t="s">
        <v>3142</v>
      </c>
      <c r="X19" s="193" t="s">
        <v>109</v>
      </c>
      <c r="Y19" s="193" t="s">
        <v>109</v>
      </c>
    </row>
    <row r="20" spans="1:25" x14ac:dyDescent="0.3">
      <c r="A20" s="193">
        <v>19</v>
      </c>
      <c r="B20" s="194" t="s">
        <v>23</v>
      </c>
      <c r="C20" s="194" t="s">
        <v>3508</v>
      </c>
      <c r="D20" s="194">
        <v>50326083</v>
      </c>
      <c r="E20" s="194">
        <v>130</v>
      </c>
      <c r="F20" s="193">
        <v>170</v>
      </c>
      <c r="G20" s="193">
        <v>83</v>
      </c>
      <c r="H20" s="212" t="s">
        <v>3230</v>
      </c>
      <c r="I20" s="193" t="s">
        <v>109</v>
      </c>
      <c r="J20" s="193" t="s">
        <v>130</v>
      </c>
      <c r="K20" s="198">
        <v>0.95694444444444449</v>
      </c>
      <c r="L20" s="193" t="s">
        <v>109</v>
      </c>
      <c r="M20" s="193" t="s">
        <v>109</v>
      </c>
      <c r="N20" s="196" t="s">
        <v>109</v>
      </c>
      <c r="O20" s="194" t="s">
        <v>61</v>
      </c>
      <c r="P20" s="193" t="s">
        <v>131</v>
      </c>
      <c r="Q20" s="193" t="s">
        <v>222</v>
      </c>
      <c r="R20" s="193" t="s">
        <v>62</v>
      </c>
      <c r="S20" s="193" t="s">
        <v>123</v>
      </c>
      <c r="T20" s="194" t="s">
        <v>218</v>
      </c>
      <c r="U20" s="197">
        <f t="shared" si="0"/>
        <v>0.63846153846153841</v>
      </c>
      <c r="V20" s="193" t="s">
        <v>152</v>
      </c>
      <c r="W20" s="193" t="s">
        <v>3509</v>
      </c>
      <c r="X20" s="193" t="s">
        <v>109</v>
      </c>
      <c r="Y20" s="193" t="s">
        <v>109</v>
      </c>
    </row>
    <row r="21" spans="1:25" x14ac:dyDescent="0.3">
      <c r="A21" s="193">
        <v>20</v>
      </c>
      <c r="B21" s="194" t="s">
        <v>23</v>
      </c>
      <c r="C21" s="194" t="s">
        <v>3510</v>
      </c>
      <c r="D21" s="194">
        <v>50326084</v>
      </c>
      <c r="E21" s="194">
        <v>130</v>
      </c>
      <c r="F21" s="193">
        <v>192</v>
      </c>
      <c r="G21" s="193">
        <v>42</v>
      </c>
      <c r="H21" s="193" t="s">
        <v>3511</v>
      </c>
      <c r="I21" s="193" t="s">
        <v>109</v>
      </c>
      <c r="J21" s="193" t="s">
        <v>130</v>
      </c>
      <c r="K21" s="198">
        <v>0.95972222222222225</v>
      </c>
      <c r="L21" s="193" t="s">
        <v>109</v>
      </c>
      <c r="M21" s="193" t="s">
        <v>109</v>
      </c>
      <c r="N21" s="196" t="s">
        <v>109</v>
      </c>
      <c r="O21" s="194" t="s">
        <v>61</v>
      </c>
      <c r="P21" s="193" t="s">
        <v>131</v>
      </c>
      <c r="Q21" s="193" t="s">
        <v>200</v>
      </c>
      <c r="R21" s="193" t="s">
        <v>62</v>
      </c>
      <c r="S21" s="193" t="s">
        <v>123</v>
      </c>
      <c r="T21" s="194" t="s">
        <v>218</v>
      </c>
      <c r="U21" s="197">
        <f t="shared" si="0"/>
        <v>0.32307692307692309</v>
      </c>
      <c r="V21" s="193" t="s">
        <v>2391</v>
      </c>
      <c r="W21" s="193" t="s">
        <v>3512</v>
      </c>
      <c r="X21" s="193" t="s">
        <v>109</v>
      </c>
      <c r="Y21" s="193" t="s">
        <v>109</v>
      </c>
    </row>
    <row r="22" spans="1:25" x14ac:dyDescent="0.3">
      <c r="A22" s="193">
        <v>21</v>
      </c>
      <c r="B22" s="194" t="s">
        <v>23</v>
      </c>
      <c r="C22" s="194" t="s">
        <v>3513</v>
      </c>
      <c r="D22" s="194">
        <v>50326085</v>
      </c>
      <c r="E22" s="194">
        <v>60</v>
      </c>
      <c r="F22" s="193">
        <v>90</v>
      </c>
      <c r="G22" s="193">
        <v>63</v>
      </c>
      <c r="H22" s="196" t="s">
        <v>214</v>
      </c>
      <c r="I22" s="193" t="s">
        <v>109</v>
      </c>
      <c r="J22" s="193" t="s">
        <v>130</v>
      </c>
      <c r="K22" s="198">
        <v>0.95208333333333328</v>
      </c>
      <c r="L22" s="193" t="s">
        <v>109</v>
      </c>
      <c r="M22" s="193" t="s">
        <v>109</v>
      </c>
      <c r="N22" s="196" t="s">
        <v>109</v>
      </c>
      <c r="O22" s="194" t="s">
        <v>61</v>
      </c>
      <c r="P22" s="193" t="s">
        <v>131</v>
      </c>
      <c r="Q22" s="193" t="s">
        <v>214</v>
      </c>
      <c r="R22" s="193" t="s">
        <v>62</v>
      </c>
      <c r="S22" s="193" t="s">
        <v>123</v>
      </c>
      <c r="T22" s="194" t="s">
        <v>218</v>
      </c>
      <c r="U22" s="197">
        <f t="shared" si="0"/>
        <v>1.05</v>
      </c>
      <c r="V22" s="193" t="s">
        <v>1945</v>
      </c>
      <c r="W22" s="193" t="s">
        <v>3514</v>
      </c>
      <c r="X22" s="193" t="s">
        <v>109</v>
      </c>
      <c r="Y22" s="193" t="s">
        <v>109</v>
      </c>
    </row>
    <row r="23" spans="1:25" x14ac:dyDescent="0.3">
      <c r="A23" s="193">
        <v>22</v>
      </c>
      <c r="B23" s="194" t="s">
        <v>23</v>
      </c>
      <c r="C23" s="194" t="s">
        <v>2478</v>
      </c>
      <c r="D23" s="194">
        <v>50226101</v>
      </c>
      <c r="E23" s="195">
        <v>150</v>
      </c>
      <c r="F23" s="193">
        <v>213</v>
      </c>
      <c r="G23" s="193">
        <v>25</v>
      </c>
      <c r="H23" s="212" t="s">
        <v>3230</v>
      </c>
      <c r="I23" s="193" t="s">
        <v>109</v>
      </c>
      <c r="J23" s="193" t="s">
        <v>130</v>
      </c>
      <c r="K23" s="198">
        <v>4.8611111111111112E-2</v>
      </c>
      <c r="L23" s="193" t="s">
        <v>109</v>
      </c>
      <c r="M23" s="193" t="s">
        <v>109</v>
      </c>
      <c r="N23" s="195" t="s">
        <v>109</v>
      </c>
      <c r="O23" s="194" t="s">
        <v>61</v>
      </c>
      <c r="P23" s="193" t="s">
        <v>131</v>
      </c>
      <c r="Q23" s="193" t="s">
        <v>64</v>
      </c>
      <c r="R23" s="193" t="s">
        <v>62</v>
      </c>
      <c r="S23" s="193" t="s">
        <v>123</v>
      </c>
      <c r="T23" s="194" t="s">
        <v>2473</v>
      </c>
      <c r="U23" s="197">
        <f t="shared" si="0"/>
        <v>0.16666666666666666</v>
      </c>
      <c r="V23" s="193" t="s">
        <v>1313</v>
      </c>
      <c r="W23" s="193" t="s">
        <v>3515</v>
      </c>
      <c r="X23" s="193" t="s">
        <v>109</v>
      </c>
      <c r="Y23" s="193" t="s">
        <v>109</v>
      </c>
    </row>
    <row r="24" spans="1:25" x14ac:dyDescent="0.3">
      <c r="A24" s="193">
        <v>23</v>
      </c>
      <c r="B24" s="194" t="s">
        <v>23</v>
      </c>
      <c r="C24" s="194" t="s">
        <v>2481</v>
      </c>
      <c r="D24" s="194">
        <v>50226096</v>
      </c>
      <c r="E24" s="195">
        <v>50</v>
      </c>
      <c r="F24" s="193">
        <v>67</v>
      </c>
      <c r="G24" s="193">
        <v>23</v>
      </c>
      <c r="H24" s="196" t="s">
        <v>184</v>
      </c>
      <c r="I24" s="193" t="s">
        <v>109</v>
      </c>
      <c r="J24" s="193" t="s">
        <v>130</v>
      </c>
      <c r="K24" s="198">
        <v>1.8749999999999999E-2</v>
      </c>
      <c r="L24" s="193" t="s">
        <v>109</v>
      </c>
      <c r="M24" s="193" t="s">
        <v>109</v>
      </c>
      <c r="N24" s="195" t="s">
        <v>109</v>
      </c>
      <c r="O24" s="194" t="s">
        <v>61</v>
      </c>
      <c r="P24" s="193" t="s">
        <v>131</v>
      </c>
      <c r="Q24" s="193" t="s">
        <v>184</v>
      </c>
      <c r="R24" s="193" t="s">
        <v>62</v>
      </c>
      <c r="S24" s="193" t="s">
        <v>123</v>
      </c>
      <c r="T24" s="194" t="s">
        <v>2473</v>
      </c>
      <c r="U24" s="197">
        <f t="shared" si="0"/>
        <v>0.46</v>
      </c>
      <c r="V24" s="193" t="s">
        <v>152</v>
      </c>
      <c r="W24" s="193" t="s">
        <v>3516</v>
      </c>
      <c r="X24" s="193" t="s">
        <v>109</v>
      </c>
      <c r="Y24" s="193" t="s">
        <v>109</v>
      </c>
    </row>
    <row r="25" spans="1:25" x14ac:dyDescent="0.3">
      <c r="A25" s="193">
        <v>24</v>
      </c>
      <c r="B25" s="194" t="s">
        <v>23</v>
      </c>
      <c r="C25" s="194" t="s">
        <v>2327</v>
      </c>
      <c r="D25" s="194">
        <v>50226080</v>
      </c>
      <c r="E25" s="195">
        <v>50</v>
      </c>
      <c r="F25" s="193">
        <v>108</v>
      </c>
      <c r="G25" s="193">
        <v>13</v>
      </c>
      <c r="H25" s="196" t="s">
        <v>65</v>
      </c>
      <c r="I25" s="193" t="s">
        <v>109</v>
      </c>
      <c r="J25" s="193" t="s">
        <v>130</v>
      </c>
      <c r="K25" s="198">
        <v>0.99791666666666667</v>
      </c>
      <c r="L25" s="193" t="s">
        <v>109</v>
      </c>
      <c r="M25" s="193" t="s">
        <v>109</v>
      </c>
      <c r="N25" s="195" t="s">
        <v>109</v>
      </c>
      <c r="O25" s="194" t="s">
        <v>61</v>
      </c>
      <c r="P25" s="193" t="s">
        <v>131</v>
      </c>
      <c r="Q25" s="193" t="s">
        <v>65</v>
      </c>
      <c r="R25" s="193" t="s">
        <v>62</v>
      </c>
      <c r="S25" s="193" t="s">
        <v>123</v>
      </c>
      <c r="T25" s="194" t="s">
        <v>252</v>
      </c>
      <c r="U25" s="197">
        <f t="shared" si="0"/>
        <v>0.26</v>
      </c>
      <c r="V25" s="193" t="s">
        <v>1313</v>
      </c>
      <c r="W25" s="193" t="s">
        <v>3517</v>
      </c>
      <c r="X25" s="193" t="s">
        <v>109</v>
      </c>
      <c r="Y25" s="193" t="s">
        <v>109</v>
      </c>
    </row>
    <row r="26" spans="1:25" x14ac:dyDescent="0.3">
      <c r="A26" s="193">
        <v>25</v>
      </c>
      <c r="B26" s="194" t="s">
        <v>23</v>
      </c>
      <c r="C26" s="194" t="s">
        <v>2328</v>
      </c>
      <c r="D26" s="194">
        <v>50226079</v>
      </c>
      <c r="E26" s="195">
        <v>50</v>
      </c>
      <c r="F26" s="193">
        <v>68</v>
      </c>
      <c r="G26" s="193">
        <v>51</v>
      </c>
      <c r="H26" s="196" t="s">
        <v>222</v>
      </c>
      <c r="I26" s="193" t="s">
        <v>109</v>
      </c>
      <c r="J26" s="193" t="s">
        <v>130</v>
      </c>
      <c r="K26" s="198">
        <v>0.70138888888888884</v>
      </c>
      <c r="L26" s="193" t="s">
        <v>109</v>
      </c>
      <c r="M26" s="193" t="s">
        <v>109</v>
      </c>
      <c r="N26" s="195" t="s">
        <v>109</v>
      </c>
      <c r="O26" s="194" t="s">
        <v>61</v>
      </c>
      <c r="P26" s="193" t="s">
        <v>131</v>
      </c>
      <c r="Q26" s="193" t="s">
        <v>222</v>
      </c>
      <c r="R26" s="193" t="s">
        <v>62</v>
      </c>
      <c r="S26" s="193" t="s">
        <v>123</v>
      </c>
      <c r="T26" s="194" t="s">
        <v>252</v>
      </c>
      <c r="U26" s="197">
        <f t="shared" si="0"/>
        <v>1.02</v>
      </c>
      <c r="V26" s="193" t="s">
        <v>1945</v>
      </c>
      <c r="W26" s="193" t="s">
        <v>3518</v>
      </c>
      <c r="X26" s="193" t="s">
        <v>109</v>
      </c>
      <c r="Y26" s="193" t="s">
        <v>109</v>
      </c>
    </row>
    <row r="27" spans="1:25" x14ac:dyDescent="0.3">
      <c r="A27" s="193">
        <v>26</v>
      </c>
      <c r="B27" s="194" t="s">
        <v>23</v>
      </c>
      <c r="C27" s="194" t="s">
        <v>3360</v>
      </c>
      <c r="D27" s="194">
        <v>50326043</v>
      </c>
      <c r="E27" s="195">
        <v>200</v>
      </c>
      <c r="F27" s="193">
        <v>356</v>
      </c>
      <c r="G27" s="193">
        <v>160</v>
      </c>
      <c r="H27" s="210" t="s">
        <v>2980</v>
      </c>
      <c r="I27" s="193" t="s">
        <v>109</v>
      </c>
      <c r="J27" s="193" t="s">
        <v>130</v>
      </c>
      <c r="K27" s="198">
        <v>0.87777777777777777</v>
      </c>
      <c r="L27" s="193" t="s">
        <v>109</v>
      </c>
      <c r="M27" s="193" t="s">
        <v>109</v>
      </c>
      <c r="N27" s="195" t="s">
        <v>109</v>
      </c>
      <c r="O27" s="194" t="s">
        <v>61</v>
      </c>
      <c r="P27" s="193" t="s">
        <v>131</v>
      </c>
      <c r="Q27" s="193" t="s">
        <v>67</v>
      </c>
      <c r="R27" s="193" t="s">
        <v>62</v>
      </c>
      <c r="S27" s="193" t="s">
        <v>123</v>
      </c>
      <c r="T27" s="194" t="s">
        <v>266</v>
      </c>
      <c r="U27" s="197">
        <f t="shared" si="0"/>
        <v>0.8</v>
      </c>
      <c r="V27" s="193" t="s">
        <v>1313</v>
      </c>
      <c r="W27" s="193" t="s">
        <v>3361</v>
      </c>
      <c r="X27" s="193" t="s">
        <v>109</v>
      </c>
      <c r="Y27" s="193" t="s">
        <v>109</v>
      </c>
    </row>
    <row r="28" spans="1:25" x14ac:dyDescent="0.3">
      <c r="A28" s="193">
        <v>27</v>
      </c>
      <c r="B28" s="194" t="s">
        <v>23</v>
      </c>
      <c r="C28" s="194" t="s">
        <v>852</v>
      </c>
      <c r="D28" s="194">
        <v>50126207</v>
      </c>
      <c r="E28" s="195">
        <v>75</v>
      </c>
      <c r="F28" s="193">
        <v>101</v>
      </c>
      <c r="G28" s="193">
        <v>17</v>
      </c>
      <c r="H28" s="199" t="s">
        <v>70</v>
      </c>
      <c r="I28" s="193" t="s">
        <v>109</v>
      </c>
      <c r="J28" s="193" t="s">
        <v>130</v>
      </c>
      <c r="K28" s="198">
        <v>0.67222222222222228</v>
      </c>
      <c r="L28" s="193" t="s">
        <v>109</v>
      </c>
      <c r="M28" s="193" t="s">
        <v>109</v>
      </c>
      <c r="N28" s="195" t="s">
        <v>109</v>
      </c>
      <c r="O28" s="194" t="s">
        <v>61</v>
      </c>
      <c r="P28" s="193" t="s">
        <v>131</v>
      </c>
      <c r="Q28" s="193" t="s">
        <v>70</v>
      </c>
      <c r="R28" s="193" t="s">
        <v>62</v>
      </c>
      <c r="S28" s="193" t="s">
        <v>123</v>
      </c>
      <c r="T28" s="194" t="s">
        <v>853</v>
      </c>
      <c r="U28" s="197">
        <f t="shared" si="0"/>
        <v>0.22666666666666666</v>
      </c>
      <c r="V28" s="193" t="s">
        <v>152</v>
      </c>
      <c r="W28" s="193" t="s">
        <v>3519</v>
      </c>
      <c r="X28" s="193" t="s">
        <v>109</v>
      </c>
      <c r="Y28" s="193" t="s">
        <v>109</v>
      </c>
    </row>
    <row r="29" spans="1:25" x14ac:dyDescent="0.3">
      <c r="A29" s="193">
        <v>28</v>
      </c>
      <c r="B29" s="194" t="s">
        <v>23</v>
      </c>
      <c r="C29" s="194" t="s">
        <v>1858</v>
      </c>
      <c r="D29" s="194">
        <v>50226006</v>
      </c>
      <c r="E29" s="195">
        <v>10</v>
      </c>
      <c r="F29" s="193">
        <v>15</v>
      </c>
      <c r="G29" s="193">
        <v>5</v>
      </c>
      <c r="H29" s="210" t="s">
        <v>67</v>
      </c>
      <c r="I29" s="193" t="s">
        <v>109</v>
      </c>
      <c r="J29" s="193" t="s">
        <v>130</v>
      </c>
      <c r="K29" s="198">
        <v>0.9555555555555556</v>
      </c>
      <c r="L29" s="193" t="s">
        <v>109</v>
      </c>
      <c r="M29" s="193" t="s">
        <v>109</v>
      </c>
      <c r="N29" s="195" t="s">
        <v>109</v>
      </c>
      <c r="O29" s="194" t="s">
        <v>61</v>
      </c>
      <c r="P29" s="193" t="s">
        <v>131</v>
      </c>
      <c r="Q29" s="193" t="s">
        <v>67</v>
      </c>
      <c r="R29" s="193" t="s">
        <v>62</v>
      </c>
      <c r="S29" s="193" t="s">
        <v>123</v>
      </c>
      <c r="T29" s="194" t="s">
        <v>1859</v>
      </c>
      <c r="U29" s="197">
        <f t="shared" si="0"/>
        <v>0.5</v>
      </c>
      <c r="V29" s="193" t="s">
        <v>152</v>
      </c>
      <c r="W29" s="193" t="s">
        <v>3520</v>
      </c>
      <c r="X29" s="193" t="s">
        <v>109</v>
      </c>
      <c r="Y29" s="193" t="s">
        <v>109</v>
      </c>
    </row>
    <row r="30" spans="1:25" x14ac:dyDescent="0.3">
      <c r="A30" s="193">
        <v>29</v>
      </c>
      <c r="B30" s="194" t="s">
        <v>23</v>
      </c>
      <c r="C30" s="194" t="s">
        <v>647</v>
      </c>
      <c r="D30" s="208">
        <v>50126033</v>
      </c>
      <c r="E30" s="195">
        <v>45</v>
      </c>
      <c r="F30" s="193">
        <v>100</v>
      </c>
      <c r="G30" s="193">
        <v>14</v>
      </c>
      <c r="H30" s="210" t="s">
        <v>153</v>
      </c>
      <c r="I30" s="212" t="s">
        <v>154</v>
      </c>
      <c r="J30" s="193" t="s">
        <v>130</v>
      </c>
      <c r="K30" s="198">
        <v>0.8354166666666667</v>
      </c>
      <c r="L30" s="198">
        <v>0.89930555555555558</v>
      </c>
      <c r="M30" s="193" t="s">
        <v>109</v>
      </c>
      <c r="N30" s="195" t="s">
        <v>109</v>
      </c>
      <c r="O30" s="194" t="s">
        <v>61</v>
      </c>
      <c r="P30" s="193" t="s">
        <v>131</v>
      </c>
      <c r="Q30" s="193" t="s">
        <v>154</v>
      </c>
      <c r="R30" s="193" t="s">
        <v>62</v>
      </c>
      <c r="S30" s="193" t="s">
        <v>123</v>
      </c>
      <c r="T30" s="194" t="s">
        <v>480</v>
      </c>
      <c r="U30" s="197">
        <f t="shared" si="0"/>
        <v>0.31111111111111112</v>
      </c>
      <c r="V30" s="193" t="s">
        <v>1313</v>
      </c>
      <c r="W30" s="193" t="s">
        <v>3521</v>
      </c>
      <c r="X30" s="193" t="s">
        <v>3281</v>
      </c>
      <c r="Y30" s="193" t="s">
        <v>3102</v>
      </c>
    </row>
    <row r="31" spans="1:25" x14ac:dyDescent="0.3">
      <c r="A31" s="193">
        <v>30</v>
      </c>
      <c r="B31" s="194" t="s">
        <v>23</v>
      </c>
      <c r="C31" s="194" t="s">
        <v>648</v>
      </c>
      <c r="D31" s="208">
        <v>50126036</v>
      </c>
      <c r="E31" s="195">
        <v>100</v>
      </c>
      <c r="F31" s="193">
        <v>128</v>
      </c>
      <c r="G31" s="193">
        <v>94</v>
      </c>
      <c r="H31" s="196" t="s">
        <v>82</v>
      </c>
      <c r="I31" s="211" t="s">
        <v>86</v>
      </c>
      <c r="J31" s="193" t="s">
        <v>130</v>
      </c>
      <c r="K31" s="198">
        <v>0.9506944444444444</v>
      </c>
      <c r="L31" s="198">
        <v>0.98472222222222228</v>
      </c>
      <c r="M31" s="193" t="s">
        <v>109</v>
      </c>
      <c r="N31" s="195" t="s">
        <v>109</v>
      </c>
      <c r="O31" s="194" t="s">
        <v>61</v>
      </c>
      <c r="P31" s="193" t="s">
        <v>131</v>
      </c>
      <c r="Q31" s="193" t="s">
        <v>86</v>
      </c>
      <c r="R31" s="193" t="s">
        <v>62</v>
      </c>
      <c r="S31" s="193" t="s">
        <v>123</v>
      </c>
      <c r="T31" s="194" t="s">
        <v>480</v>
      </c>
      <c r="U31" s="197">
        <f t="shared" si="0"/>
        <v>0.94</v>
      </c>
      <c r="V31" s="193" t="s">
        <v>1945</v>
      </c>
      <c r="W31" s="193" t="s">
        <v>3522</v>
      </c>
      <c r="X31" s="193" t="s">
        <v>3281</v>
      </c>
      <c r="Y31" s="193" t="s">
        <v>3102</v>
      </c>
    </row>
    <row r="32" spans="1:25" x14ac:dyDescent="0.3">
      <c r="A32" s="193">
        <v>31</v>
      </c>
      <c r="B32" s="194" t="s">
        <v>23</v>
      </c>
      <c r="C32" s="194" t="s">
        <v>650</v>
      </c>
      <c r="D32" s="208">
        <v>50126035</v>
      </c>
      <c r="E32" s="195">
        <v>200</v>
      </c>
      <c r="F32" s="193">
        <v>312</v>
      </c>
      <c r="G32" s="193">
        <v>74</v>
      </c>
      <c r="H32" s="193" t="s">
        <v>3063</v>
      </c>
      <c r="I32" s="193" t="s">
        <v>979</v>
      </c>
      <c r="J32" s="193" t="s">
        <v>130</v>
      </c>
      <c r="K32" s="198">
        <v>0.98472222222222228</v>
      </c>
      <c r="L32" s="198">
        <v>1.3888888888888889E-3</v>
      </c>
      <c r="M32" s="193" t="s">
        <v>109</v>
      </c>
      <c r="N32" s="195" t="s">
        <v>109</v>
      </c>
      <c r="O32" s="194" t="s">
        <v>61</v>
      </c>
      <c r="P32" s="193" t="s">
        <v>131</v>
      </c>
      <c r="Q32" s="193" t="s">
        <v>154</v>
      </c>
      <c r="R32" s="193" t="s">
        <v>62</v>
      </c>
      <c r="S32" s="193" t="s">
        <v>123</v>
      </c>
      <c r="T32" s="194" t="s">
        <v>480</v>
      </c>
      <c r="U32" s="197">
        <f t="shared" si="0"/>
        <v>0.37</v>
      </c>
      <c r="V32" s="193" t="s">
        <v>2391</v>
      </c>
      <c r="W32" s="193" t="s">
        <v>3523</v>
      </c>
      <c r="X32" s="193" t="s">
        <v>3281</v>
      </c>
      <c r="Y32" s="193" t="s">
        <v>3102</v>
      </c>
    </row>
    <row r="33" spans="1:25" x14ac:dyDescent="0.3">
      <c r="A33" s="193">
        <v>32</v>
      </c>
      <c r="B33" s="194" t="s">
        <v>23</v>
      </c>
      <c r="C33" s="194" t="s">
        <v>651</v>
      </c>
      <c r="D33" s="208">
        <v>50126034</v>
      </c>
      <c r="E33" s="195">
        <v>150</v>
      </c>
      <c r="F33" s="193">
        <v>304</v>
      </c>
      <c r="G33" s="193">
        <v>125</v>
      </c>
      <c r="H33" s="193" t="s">
        <v>3524</v>
      </c>
      <c r="I33" s="212" t="s">
        <v>3367</v>
      </c>
      <c r="J33" s="193" t="s">
        <v>130</v>
      </c>
      <c r="K33" s="198">
        <v>0.93958333333333333</v>
      </c>
      <c r="L33" s="198">
        <v>2.013888888888889E-2</v>
      </c>
      <c r="M33" s="193" t="s">
        <v>109</v>
      </c>
      <c r="N33" s="195" t="s">
        <v>109</v>
      </c>
      <c r="O33" s="194" t="s">
        <v>61</v>
      </c>
      <c r="P33" s="193" t="s">
        <v>131</v>
      </c>
      <c r="Q33" s="193" t="s">
        <v>90</v>
      </c>
      <c r="R33" s="193" t="s">
        <v>62</v>
      </c>
      <c r="S33" s="193" t="s">
        <v>123</v>
      </c>
      <c r="T33" s="194" t="s">
        <v>480</v>
      </c>
      <c r="U33" s="197">
        <f t="shared" si="0"/>
        <v>0.83333333333333337</v>
      </c>
      <c r="V33" s="193" t="s">
        <v>1313</v>
      </c>
      <c r="W33" s="193" t="s">
        <v>3525</v>
      </c>
      <c r="X33" s="193" t="s">
        <v>3281</v>
      </c>
      <c r="Y33" s="193" t="s">
        <v>3102</v>
      </c>
    </row>
    <row r="34" spans="1:25" x14ac:dyDescent="0.3">
      <c r="A34" s="193">
        <v>33</v>
      </c>
      <c r="B34" s="194" t="s">
        <v>23</v>
      </c>
      <c r="C34" s="194" t="s">
        <v>653</v>
      </c>
      <c r="D34" s="208">
        <v>50126029</v>
      </c>
      <c r="E34" s="195">
        <v>15</v>
      </c>
      <c r="F34" s="193">
        <v>16</v>
      </c>
      <c r="G34" s="193">
        <v>9</v>
      </c>
      <c r="H34" s="210" t="s">
        <v>274</v>
      </c>
      <c r="I34" s="212" t="s">
        <v>154</v>
      </c>
      <c r="J34" s="193" t="s">
        <v>130</v>
      </c>
      <c r="K34" s="198">
        <v>0.96250000000000002</v>
      </c>
      <c r="L34" s="198">
        <v>0.97638888888888886</v>
      </c>
      <c r="M34" s="193" t="s">
        <v>109</v>
      </c>
      <c r="N34" s="195" t="s">
        <v>109</v>
      </c>
      <c r="O34" s="194" t="s">
        <v>61</v>
      </c>
      <c r="P34" s="193" t="s">
        <v>131</v>
      </c>
      <c r="Q34" s="193" t="s">
        <v>154</v>
      </c>
      <c r="R34" s="193" t="s">
        <v>62</v>
      </c>
      <c r="S34" s="193" t="s">
        <v>123</v>
      </c>
      <c r="T34" s="194" t="s">
        <v>480</v>
      </c>
      <c r="U34" s="197">
        <f t="shared" si="0"/>
        <v>0.6</v>
      </c>
      <c r="V34" s="193" t="s">
        <v>152</v>
      </c>
      <c r="W34" s="193" t="s">
        <v>3526</v>
      </c>
      <c r="X34" s="193" t="s">
        <v>3281</v>
      </c>
      <c r="Y34" s="193" t="s">
        <v>3102</v>
      </c>
    </row>
    <row r="35" spans="1:25" x14ac:dyDescent="0.3">
      <c r="A35" s="193">
        <v>34</v>
      </c>
      <c r="B35" s="194" t="s">
        <v>23</v>
      </c>
      <c r="C35" s="194" t="s">
        <v>654</v>
      </c>
      <c r="D35" s="208">
        <v>50126032</v>
      </c>
      <c r="E35" s="195">
        <v>110</v>
      </c>
      <c r="F35" s="193">
        <v>214</v>
      </c>
      <c r="G35" s="193">
        <v>37</v>
      </c>
      <c r="H35" s="193" t="s">
        <v>2974</v>
      </c>
      <c r="I35" s="193" t="s">
        <v>1549</v>
      </c>
      <c r="J35" s="193" t="s">
        <v>130</v>
      </c>
      <c r="K35" s="198">
        <v>0.92777777777777781</v>
      </c>
      <c r="L35" s="198">
        <v>0.95763888888888893</v>
      </c>
      <c r="M35" s="193" t="s">
        <v>109</v>
      </c>
      <c r="N35" s="195" t="s">
        <v>109</v>
      </c>
      <c r="O35" s="194" t="s">
        <v>61</v>
      </c>
      <c r="P35" s="193" t="s">
        <v>131</v>
      </c>
      <c r="Q35" s="193" t="s">
        <v>94</v>
      </c>
      <c r="R35" s="193" t="s">
        <v>62</v>
      </c>
      <c r="S35" s="193" t="s">
        <v>123</v>
      </c>
      <c r="T35" s="194" t="s">
        <v>480</v>
      </c>
      <c r="U35" s="197">
        <f t="shared" si="0"/>
        <v>0.33636363636363636</v>
      </c>
      <c r="V35" s="193" t="s">
        <v>1313</v>
      </c>
      <c r="W35" s="193" t="s">
        <v>3527</v>
      </c>
      <c r="X35" s="193" t="s">
        <v>3281</v>
      </c>
      <c r="Y35" s="193" t="s">
        <v>3102</v>
      </c>
    </row>
    <row r="36" spans="1:25" x14ac:dyDescent="0.3">
      <c r="A36" s="193">
        <v>35</v>
      </c>
      <c r="B36" s="194" t="s">
        <v>23</v>
      </c>
      <c r="C36" s="194" t="s">
        <v>656</v>
      </c>
      <c r="D36" s="208">
        <v>50126031</v>
      </c>
      <c r="E36" s="195">
        <v>175</v>
      </c>
      <c r="F36" s="193">
        <v>311</v>
      </c>
      <c r="G36" s="193">
        <v>88</v>
      </c>
      <c r="H36" s="193" t="s">
        <v>3528</v>
      </c>
      <c r="I36" s="211" t="s">
        <v>2800</v>
      </c>
      <c r="J36" s="193" t="s">
        <v>130</v>
      </c>
      <c r="K36" s="198">
        <v>0.88680555555555551</v>
      </c>
      <c r="L36" s="198">
        <v>0.92569444444444449</v>
      </c>
      <c r="M36" s="193" t="s">
        <v>109</v>
      </c>
      <c r="N36" s="195" t="s">
        <v>109</v>
      </c>
      <c r="O36" s="194" t="s">
        <v>61</v>
      </c>
      <c r="P36" s="193" t="s">
        <v>131</v>
      </c>
      <c r="Q36" s="193" t="s">
        <v>94</v>
      </c>
      <c r="R36" s="193" t="s">
        <v>62</v>
      </c>
      <c r="S36" s="193" t="s">
        <v>123</v>
      </c>
      <c r="T36" s="194" t="s">
        <v>480</v>
      </c>
      <c r="U36" s="197">
        <f t="shared" si="0"/>
        <v>0.50285714285714289</v>
      </c>
      <c r="V36" s="193" t="s">
        <v>1313</v>
      </c>
      <c r="W36" s="193" t="s">
        <v>3529</v>
      </c>
      <c r="X36" s="193" t="s">
        <v>3281</v>
      </c>
      <c r="Y36" s="193" t="s">
        <v>3102</v>
      </c>
    </row>
    <row r="37" spans="1:25" x14ac:dyDescent="0.3">
      <c r="A37" s="193">
        <v>36</v>
      </c>
      <c r="B37" s="194" t="s">
        <v>23</v>
      </c>
      <c r="C37" s="194" t="s">
        <v>657</v>
      </c>
      <c r="D37" s="208">
        <v>50126030</v>
      </c>
      <c r="E37" s="195">
        <v>125</v>
      </c>
      <c r="F37" s="193">
        <v>235</v>
      </c>
      <c r="G37" s="193">
        <v>70</v>
      </c>
      <c r="H37" s="193" t="s">
        <v>2974</v>
      </c>
      <c r="I37" s="193" t="s">
        <v>3530</v>
      </c>
      <c r="J37" s="193" t="s">
        <v>130</v>
      </c>
      <c r="K37" s="198">
        <v>0.86527777777777781</v>
      </c>
      <c r="L37" s="198">
        <v>0.90555555555555556</v>
      </c>
      <c r="M37" s="193" t="s">
        <v>109</v>
      </c>
      <c r="N37" s="195" t="s">
        <v>109</v>
      </c>
      <c r="O37" s="194" t="s">
        <v>61</v>
      </c>
      <c r="P37" s="193" t="s">
        <v>131</v>
      </c>
      <c r="Q37" s="193" t="s">
        <v>1082</v>
      </c>
      <c r="R37" s="193" t="s">
        <v>62</v>
      </c>
      <c r="S37" s="193" t="s">
        <v>123</v>
      </c>
      <c r="T37" s="194" t="s">
        <v>480</v>
      </c>
      <c r="U37" s="197">
        <f t="shared" si="0"/>
        <v>0.56000000000000005</v>
      </c>
      <c r="V37" s="193" t="s">
        <v>1313</v>
      </c>
      <c r="W37" s="193" t="s">
        <v>3531</v>
      </c>
      <c r="X37" s="193" t="s">
        <v>3281</v>
      </c>
      <c r="Y37" s="193" t="s">
        <v>3102</v>
      </c>
    </row>
    <row r="38" spans="1:25" x14ac:dyDescent="0.3">
      <c r="A38" s="193">
        <v>37</v>
      </c>
      <c r="B38" s="194" t="s">
        <v>23</v>
      </c>
      <c r="C38" s="194" t="s">
        <v>2482</v>
      </c>
      <c r="D38" s="194">
        <v>50226085</v>
      </c>
      <c r="E38" s="195">
        <v>100</v>
      </c>
      <c r="F38" s="193">
        <v>137</v>
      </c>
      <c r="G38" s="193">
        <v>96</v>
      </c>
      <c r="H38" s="196" t="s">
        <v>214</v>
      </c>
      <c r="I38" s="193" t="s">
        <v>109</v>
      </c>
      <c r="J38" s="193" t="s">
        <v>130</v>
      </c>
      <c r="K38" s="198">
        <v>0.9</v>
      </c>
      <c r="L38" s="193" t="s">
        <v>109</v>
      </c>
      <c r="M38" s="193" t="s">
        <v>109</v>
      </c>
      <c r="N38" s="195" t="s">
        <v>109</v>
      </c>
      <c r="O38" s="194" t="s">
        <v>61</v>
      </c>
      <c r="P38" s="193" t="s">
        <v>131</v>
      </c>
      <c r="Q38" s="193" t="s">
        <v>214</v>
      </c>
      <c r="R38" s="193" t="s">
        <v>62</v>
      </c>
      <c r="S38" s="193" t="s">
        <v>123</v>
      </c>
      <c r="T38" s="194" t="s">
        <v>250</v>
      </c>
      <c r="U38" s="197">
        <f t="shared" si="0"/>
        <v>0.96</v>
      </c>
      <c r="V38" s="193" t="s">
        <v>1945</v>
      </c>
      <c r="W38" s="193" t="s">
        <v>3532</v>
      </c>
      <c r="X38" s="193" t="s">
        <v>3282</v>
      </c>
      <c r="Y38" s="193" t="s">
        <v>3101</v>
      </c>
    </row>
    <row r="39" spans="1:25" x14ac:dyDescent="0.3">
      <c r="A39" s="193">
        <v>38</v>
      </c>
      <c r="B39" s="194" t="s">
        <v>23</v>
      </c>
      <c r="C39" s="194" t="s">
        <v>2483</v>
      </c>
      <c r="D39" s="194">
        <v>50226086</v>
      </c>
      <c r="E39" s="195">
        <v>100</v>
      </c>
      <c r="F39" s="193">
        <v>101</v>
      </c>
      <c r="G39" s="193">
        <v>14</v>
      </c>
      <c r="H39" s="196" t="s">
        <v>71</v>
      </c>
      <c r="I39" s="193" t="s">
        <v>109</v>
      </c>
      <c r="J39" s="193" t="s">
        <v>130</v>
      </c>
      <c r="K39" s="198">
        <v>6.5972222222222224E-2</v>
      </c>
      <c r="L39" s="193" t="s">
        <v>109</v>
      </c>
      <c r="M39" s="193" t="s">
        <v>109</v>
      </c>
      <c r="N39" s="195" t="s">
        <v>109</v>
      </c>
      <c r="O39" s="194" t="s">
        <v>61</v>
      </c>
      <c r="P39" s="193" t="s">
        <v>131</v>
      </c>
      <c r="Q39" s="193" t="s">
        <v>71</v>
      </c>
      <c r="R39" s="193" t="s">
        <v>62</v>
      </c>
      <c r="S39" s="193" t="s">
        <v>123</v>
      </c>
      <c r="T39" s="194" t="s">
        <v>250</v>
      </c>
      <c r="U39" s="197">
        <f t="shared" si="0"/>
        <v>0.14000000000000001</v>
      </c>
      <c r="V39" s="193" t="s">
        <v>2391</v>
      </c>
      <c r="W39" s="193" t="s">
        <v>3533</v>
      </c>
      <c r="X39" s="193" t="s">
        <v>3282</v>
      </c>
      <c r="Y39" s="193" t="s">
        <v>3101</v>
      </c>
    </row>
    <row r="40" spans="1:25" x14ac:dyDescent="0.3">
      <c r="A40" s="193">
        <v>39</v>
      </c>
      <c r="B40" s="194" t="s">
        <v>23</v>
      </c>
      <c r="C40" s="194" t="s">
        <v>3534</v>
      </c>
      <c r="D40" s="194">
        <v>50326091</v>
      </c>
      <c r="E40" s="195">
        <v>250</v>
      </c>
      <c r="F40" s="193">
        <v>372</v>
      </c>
      <c r="G40" s="193">
        <v>256</v>
      </c>
      <c r="H40" s="193" t="s">
        <v>3535</v>
      </c>
      <c r="I40" s="193" t="s">
        <v>109</v>
      </c>
      <c r="J40" s="193" t="s">
        <v>130</v>
      </c>
      <c r="K40" s="198">
        <v>4.1666666666666664E-2</v>
      </c>
      <c r="L40" s="193" t="s">
        <v>109</v>
      </c>
      <c r="M40" s="193" t="s">
        <v>109</v>
      </c>
      <c r="N40" s="195" t="s">
        <v>109</v>
      </c>
      <c r="O40" s="194" t="s">
        <v>61</v>
      </c>
      <c r="P40" s="193" t="s">
        <v>131</v>
      </c>
      <c r="Q40" s="193" t="s">
        <v>71</v>
      </c>
      <c r="R40" s="193" t="s">
        <v>62</v>
      </c>
      <c r="S40" s="193" t="s">
        <v>123</v>
      </c>
      <c r="T40" s="194" t="s">
        <v>1859</v>
      </c>
      <c r="U40" s="197">
        <f t="shared" si="0"/>
        <v>1.024</v>
      </c>
      <c r="V40" s="193" t="s">
        <v>1945</v>
      </c>
      <c r="W40" s="193" t="s">
        <v>3536</v>
      </c>
      <c r="X40" s="193" t="s">
        <v>109</v>
      </c>
      <c r="Y40" s="193" t="s">
        <v>109</v>
      </c>
    </row>
    <row r="41" spans="1:25" x14ac:dyDescent="0.3">
      <c r="A41" s="193">
        <v>40</v>
      </c>
      <c r="B41" s="194" t="s">
        <v>23</v>
      </c>
      <c r="C41" s="194" t="s">
        <v>2418</v>
      </c>
      <c r="D41" s="194">
        <v>50226093</v>
      </c>
      <c r="E41" s="194">
        <v>20</v>
      </c>
      <c r="F41" s="193">
        <v>49</v>
      </c>
      <c r="G41" s="193">
        <v>6</v>
      </c>
      <c r="H41" s="196" t="s">
        <v>65</v>
      </c>
      <c r="I41" s="193" t="s">
        <v>109</v>
      </c>
      <c r="J41" s="193" t="s">
        <v>130</v>
      </c>
      <c r="K41" s="198">
        <v>0.92986111111111114</v>
      </c>
      <c r="L41" s="193" t="s">
        <v>109</v>
      </c>
      <c r="M41" s="193" t="s">
        <v>109</v>
      </c>
      <c r="N41" s="195" t="s">
        <v>109</v>
      </c>
      <c r="O41" s="195" t="s">
        <v>61</v>
      </c>
      <c r="P41" s="193" t="s">
        <v>131</v>
      </c>
      <c r="Q41" s="193" t="s">
        <v>65</v>
      </c>
      <c r="R41" s="193" t="s">
        <v>62</v>
      </c>
      <c r="S41" s="193" t="s">
        <v>123</v>
      </c>
      <c r="T41" s="194" t="s">
        <v>275</v>
      </c>
      <c r="U41" s="197">
        <f t="shared" si="0"/>
        <v>0.3</v>
      </c>
      <c r="V41" s="193" t="s">
        <v>152</v>
      </c>
      <c r="W41" s="193" t="s">
        <v>3537</v>
      </c>
      <c r="X41" s="193" t="s">
        <v>109</v>
      </c>
      <c r="Y41" s="193" t="s">
        <v>109</v>
      </c>
    </row>
    <row r="42" spans="1:25" x14ac:dyDescent="0.3">
      <c r="A42" s="193">
        <v>41</v>
      </c>
      <c r="B42" s="194" t="s">
        <v>23</v>
      </c>
      <c r="C42" s="194" t="s">
        <v>1095</v>
      </c>
      <c r="D42" s="194">
        <v>50126318</v>
      </c>
      <c r="E42" s="194">
        <v>100</v>
      </c>
      <c r="F42" s="193">
        <v>120</v>
      </c>
      <c r="G42" s="193">
        <v>22</v>
      </c>
      <c r="H42" s="196" t="s">
        <v>241</v>
      </c>
      <c r="I42" s="193" t="s">
        <v>109</v>
      </c>
      <c r="J42" s="193" t="s">
        <v>130</v>
      </c>
      <c r="K42" s="198">
        <v>0.8520833333333333</v>
      </c>
      <c r="L42" s="193" t="s">
        <v>109</v>
      </c>
      <c r="M42" s="193" t="s">
        <v>109</v>
      </c>
      <c r="N42" s="195" t="s">
        <v>109</v>
      </c>
      <c r="O42" s="195" t="s">
        <v>61</v>
      </c>
      <c r="P42" s="193" t="s">
        <v>131</v>
      </c>
      <c r="Q42" s="193" t="s">
        <v>241</v>
      </c>
      <c r="R42" s="193" t="s">
        <v>62</v>
      </c>
      <c r="S42" s="193" t="s">
        <v>123</v>
      </c>
      <c r="T42" s="194" t="s">
        <v>1096</v>
      </c>
      <c r="U42" s="197">
        <f t="shared" si="0"/>
        <v>0.22</v>
      </c>
      <c r="V42" s="193" t="s">
        <v>2391</v>
      </c>
      <c r="W42" s="193" t="s">
        <v>3538</v>
      </c>
      <c r="X42" s="193" t="s">
        <v>109</v>
      </c>
      <c r="Y42" s="193" t="s">
        <v>109</v>
      </c>
    </row>
    <row r="43" spans="1:25" x14ac:dyDescent="0.3">
      <c r="A43" s="193">
        <v>42</v>
      </c>
      <c r="B43" s="194" t="s">
        <v>23</v>
      </c>
      <c r="C43" s="194" t="s">
        <v>487</v>
      </c>
      <c r="D43" s="208">
        <v>50126038</v>
      </c>
      <c r="E43" s="194">
        <v>100</v>
      </c>
      <c r="F43" s="193">
        <v>190</v>
      </c>
      <c r="G43" s="193">
        <v>35</v>
      </c>
      <c r="H43" s="196" t="s">
        <v>68</v>
      </c>
      <c r="I43" s="211" t="s">
        <v>95</v>
      </c>
      <c r="J43" s="193" t="s">
        <v>130</v>
      </c>
      <c r="K43" s="198">
        <v>0.80208333333333337</v>
      </c>
      <c r="L43" s="198">
        <v>0.80833333333333335</v>
      </c>
      <c r="M43" s="193" t="s">
        <v>109</v>
      </c>
      <c r="N43" s="195" t="s">
        <v>109</v>
      </c>
      <c r="O43" s="195" t="s">
        <v>61</v>
      </c>
      <c r="P43" s="193" t="s">
        <v>131</v>
      </c>
      <c r="Q43" s="193" t="s">
        <v>95</v>
      </c>
      <c r="R43" s="193" t="s">
        <v>62</v>
      </c>
      <c r="S43" s="193" t="s">
        <v>123</v>
      </c>
      <c r="T43" s="194" t="s">
        <v>480</v>
      </c>
      <c r="U43" s="197">
        <f t="shared" si="0"/>
        <v>0.35</v>
      </c>
      <c r="V43" s="193" t="s">
        <v>2391</v>
      </c>
      <c r="W43" s="193" t="s">
        <v>3539</v>
      </c>
      <c r="X43" s="193" t="s">
        <v>3281</v>
      </c>
      <c r="Y43" s="193" t="s">
        <v>3102</v>
      </c>
    </row>
    <row r="44" spans="1:25" x14ac:dyDescent="0.3">
      <c r="A44" s="193">
        <v>43</v>
      </c>
      <c r="B44" s="194" t="s">
        <v>23</v>
      </c>
      <c r="C44" s="194" t="s">
        <v>482</v>
      </c>
      <c r="D44" s="208">
        <v>50126010</v>
      </c>
      <c r="E44" s="194">
        <v>50</v>
      </c>
      <c r="F44" s="193">
        <v>11</v>
      </c>
      <c r="G44" s="193">
        <v>4</v>
      </c>
      <c r="H44" s="212" t="s">
        <v>64</v>
      </c>
      <c r="I44" s="211" t="s">
        <v>209</v>
      </c>
      <c r="J44" s="193" t="s">
        <v>130</v>
      </c>
      <c r="K44" s="198">
        <v>0.98055555555555551</v>
      </c>
      <c r="L44" s="198">
        <v>0.9868055555555556</v>
      </c>
      <c r="M44" s="193" t="s">
        <v>109</v>
      </c>
      <c r="N44" s="195" t="s">
        <v>109</v>
      </c>
      <c r="O44" s="195" t="s">
        <v>61</v>
      </c>
      <c r="P44" s="193" t="s">
        <v>131</v>
      </c>
      <c r="Q44" s="193" t="s">
        <v>209</v>
      </c>
      <c r="R44" s="193" t="s">
        <v>62</v>
      </c>
      <c r="S44" s="193" t="s">
        <v>123</v>
      </c>
      <c r="T44" s="194" t="s">
        <v>480</v>
      </c>
      <c r="U44" s="197">
        <f t="shared" si="0"/>
        <v>0.08</v>
      </c>
      <c r="V44" s="193" t="s">
        <v>152</v>
      </c>
      <c r="W44" s="193" t="s">
        <v>3540</v>
      </c>
      <c r="X44" s="193" t="s">
        <v>3281</v>
      </c>
      <c r="Y44" s="193" t="s">
        <v>3102</v>
      </c>
    </row>
    <row r="45" spans="1:25" x14ac:dyDescent="0.3">
      <c r="A45" s="193">
        <v>44</v>
      </c>
      <c r="B45" s="194" t="s">
        <v>23</v>
      </c>
      <c r="C45" s="194" t="s">
        <v>2415</v>
      </c>
      <c r="D45" s="194">
        <v>50226091</v>
      </c>
      <c r="E45" s="194">
        <v>100</v>
      </c>
      <c r="F45" s="193">
        <v>85</v>
      </c>
      <c r="G45" s="193">
        <v>37</v>
      </c>
      <c r="H45" s="196" t="s">
        <v>196</v>
      </c>
      <c r="I45" s="193" t="s">
        <v>109</v>
      </c>
      <c r="J45" s="193" t="s">
        <v>130</v>
      </c>
      <c r="K45" s="198">
        <v>6.25E-2</v>
      </c>
      <c r="L45" s="193" t="s">
        <v>109</v>
      </c>
      <c r="M45" s="193" t="s">
        <v>109</v>
      </c>
      <c r="N45" s="195" t="s">
        <v>109</v>
      </c>
      <c r="O45" s="195" t="s">
        <v>61</v>
      </c>
      <c r="P45" s="193" t="s">
        <v>131</v>
      </c>
      <c r="Q45" s="193" t="s">
        <v>196</v>
      </c>
      <c r="R45" s="193" t="s">
        <v>62</v>
      </c>
      <c r="S45" s="193" t="s">
        <v>123</v>
      </c>
      <c r="T45" s="194" t="s">
        <v>278</v>
      </c>
      <c r="U45" s="197">
        <f t="shared" si="0"/>
        <v>0.37</v>
      </c>
      <c r="V45" s="193" t="s">
        <v>152</v>
      </c>
      <c r="W45" s="193" t="s">
        <v>3541</v>
      </c>
      <c r="X45" s="193" t="s">
        <v>109</v>
      </c>
      <c r="Y45" s="193" t="s">
        <v>109</v>
      </c>
    </row>
    <row r="46" spans="1:25" x14ac:dyDescent="0.3">
      <c r="A46" s="193">
        <v>45</v>
      </c>
      <c r="B46" s="194" t="s">
        <v>23</v>
      </c>
      <c r="C46" s="194" t="s">
        <v>743</v>
      </c>
      <c r="D46" s="194">
        <v>50126124</v>
      </c>
      <c r="E46" s="194">
        <v>30</v>
      </c>
      <c r="F46" s="193">
        <v>17</v>
      </c>
      <c r="G46" s="193">
        <v>4</v>
      </c>
      <c r="H46" s="196" t="s">
        <v>71</v>
      </c>
      <c r="I46" s="193" t="s">
        <v>109</v>
      </c>
      <c r="J46" s="193" t="s">
        <v>130</v>
      </c>
      <c r="K46" s="198">
        <v>0.70208333333333328</v>
      </c>
      <c r="L46" s="193" t="s">
        <v>109</v>
      </c>
      <c r="M46" s="193" t="s">
        <v>109</v>
      </c>
      <c r="N46" s="195" t="s">
        <v>109</v>
      </c>
      <c r="O46" s="195" t="s">
        <v>61</v>
      </c>
      <c r="P46" s="193" t="s">
        <v>131</v>
      </c>
      <c r="Q46" s="193" t="s">
        <v>71</v>
      </c>
      <c r="R46" s="193" t="s">
        <v>62</v>
      </c>
      <c r="S46" s="193" t="s">
        <v>123</v>
      </c>
      <c r="T46" s="194" t="s">
        <v>278</v>
      </c>
      <c r="U46" s="197">
        <f t="shared" si="0"/>
        <v>0.13333333333333333</v>
      </c>
      <c r="V46" s="193" t="s">
        <v>152</v>
      </c>
      <c r="W46" s="193" t="s">
        <v>3542</v>
      </c>
      <c r="X46" s="193" t="s">
        <v>109</v>
      </c>
      <c r="Y46" s="193" t="s">
        <v>109</v>
      </c>
    </row>
    <row r="47" spans="1:25" x14ac:dyDescent="0.3">
      <c r="A47" s="193">
        <v>46</v>
      </c>
      <c r="B47" s="194" t="s">
        <v>23</v>
      </c>
      <c r="C47" s="194" t="s">
        <v>581</v>
      </c>
      <c r="D47" s="194">
        <v>51125193</v>
      </c>
      <c r="E47" s="194">
        <v>75</v>
      </c>
      <c r="F47" s="193">
        <v>85</v>
      </c>
      <c r="G47" s="193">
        <v>30</v>
      </c>
      <c r="H47" s="210" t="s">
        <v>274</v>
      </c>
      <c r="I47" s="193" t="s">
        <v>109</v>
      </c>
      <c r="J47" s="193" t="s">
        <v>130</v>
      </c>
      <c r="K47" s="198">
        <v>3.6111111111111108E-2</v>
      </c>
      <c r="L47" s="193" t="s">
        <v>109</v>
      </c>
      <c r="M47" s="193" t="s">
        <v>109</v>
      </c>
      <c r="N47" s="195" t="s">
        <v>109</v>
      </c>
      <c r="O47" s="195" t="s">
        <v>61</v>
      </c>
      <c r="P47" s="193" t="s">
        <v>131</v>
      </c>
      <c r="Q47" s="193" t="s">
        <v>274</v>
      </c>
      <c r="R47" s="193" t="s">
        <v>62</v>
      </c>
      <c r="S47" s="193" t="s">
        <v>123</v>
      </c>
      <c r="T47" s="194" t="s">
        <v>278</v>
      </c>
      <c r="U47" s="197">
        <f t="shared" si="0"/>
        <v>0.4</v>
      </c>
      <c r="V47" s="193" t="s">
        <v>152</v>
      </c>
      <c r="W47" s="193" t="s">
        <v>3543</v>
      </c>
      <c r="X47" s="193" t="s">
        <v>109</v>
      </c>
      <c r="Y47" s="193" t="s">
        <v>109</v>
      </c>
    </row>
    <row r="48" spans="1:25" x14ac:dyDescent="0.3">
      <c r="A48" s="193">
        <v>47</v>
      </c>
      <c r="B48" s="194" t="s">
        <v>23</v>
      </c>
      <c r="C48" s="194" t="s">
        <v>280</v>
      </c>
      <c r="D48" s="194">
        <v>51125192</v>
      </c>
      <c r="E48" s="194">
        <v>100</v>
      </c>
      <c r="F48" s="193">
        <v>203</v>
      </c>
      <c r="G48" s="193">
        <v>57</v>
      </c>
      <c r="H48" s="196" t="s">
        <v>200</v>
      </c>
      <c r="I48" s="193" t="s">
        <v>109</v>
      </c>
      <c r="J48" s="193" t="s">
        <v>130</v>
      </c>
      <c r="K48" s="198">
        <v>2.7777777777777779E-3</v>
      </c>
      <c r="L48" s="193" t="s">
        <v>109</v>
      </c>
      <c r="M48" s="193" t="s">
        <v>109</v>
      </c>
      <c r="N48" s="195" t="s">
        <v>109</v>
      </c>
      <c r="O48" s="195" t="s">
        <v>61</v>
      </c>
      <c r="P48" s="193" t="s">
        <v>131</v>
      </c>
      <c r="Q48" s="193" t="s">
        <v>200</v>
      </c>
      <c r="R48" s="193" t="s">
        <v>62</v>
      </c>
      <c r="S48" s="193" t="s">
        <v>123</v>
      </c>
      <c r="T48" s="194" t="s">
        <v>278</v>
      </c>
      <c r="U48" s="197">
        <f t="shared" si="0"/>
        <v>0.56999999999999995</v>
      </c>
      <c r="V48" s="193" t="s">
        <v>1313</v>
      </c>
      <c r="W48" s="193" t="s">
        <v>3352</v>
      </c>
      <c r="X48" s="193" t="s">
        <v>109</v>
      </c>
      <c r="Y48" s="193" t="s">
        <v>109</v>
      </c>
    </row>
    <row r="49" spans="1:25" x14ac:dyDescent="0.3">
      <c r="A49" s="193">
        <v>48</v>
      </c>
      <c r="B49" s="194" t="s">
        <v>23</v>
      </c>
      <c r="C49" s="194" t="s">
        <v>3544</v>
      </c>
      <c r="D49" s="194">
        <v>50126403</v>
      </c>
      <c r="E49" s="194">
        <v>75</v>
      </c>
      <c r="F49" s="193">
        <v>8</v>
      </c>
      <c r="G49" s="193">
        <v>1</v>
      </c>
      <c r="H49" s="196" t="s">
        <v>66</v>
      </c>
      <c r="I49" s="193" t="s">
        <v>109</v>
      </c>
      <c r="J49" s="193" t="s">
        <v>130</v>
      </c>
      <c r="K49" s="198">
        <v>9.7222222222222224E-3</v>
      </c>
      <c r="L49" s="193" t="s">
        <v>109</v>
      </c>
      <c r="M49" s="193" t="s">
        <v>109</v>
      </c>
      <c r="N49" s="195" t="s">
        <v>109</v>
      </c>
      <c r="O49" s="195" t="s">
        <v>61</v>
      </c>
      <c r="P49" s="193" t="s">
        <v>131</v>
      </c>
      <c r="Q49" s="193" t="s">
        <v>66</v>
      </c>
      <c r="R49" s="193" t="s">
        <v>62</v>
      </c>
      <c r="S49" s="193" t="s">
        <v>123</v>
      </c>
      <c r="T49" s="194" t="s">
        <v>278</v>
      </c>
      <c r="U49" s="197">
        <f t="shared" si="0"/>
        <v>1.3333333333333334E-2</v>
      </c>
      <c r="V49" s="193" t="s">
        <v>152</v>
      </c>
      <c r="W49" s="193" t="s">
        <v>3545</v>
      </c>
      <c r="X49" s="193" t="s">
        <v>109</v>
      </c>
      <c r="Y49" s="193" t="s">
        <v>109</v>
      </c>
    </row>
    <row r="50" spans="1:25" x14ac:dyDescent="0.3">
      <c r="A50" s="193">
        <v>49</v>
      </c>
      <c r="B50" s="194" t="s">
        <v>23</v>
      </c>
      <c r="C50" s="194" t="s">
        <v>3353</v>
      </c>
      <c r="D50" s="194">
        <v>50126404</v>
      </c>
      <c r="E50" s="194">
        <v>75</v>
      </c>
      <c r="F50" s="193">
        <v>100</v>
      </c>
      <c r="G50" s="193">
        <v>21</v>
      </c>
      <c r="H50" s="210" t="s">
        <v>153</v>
      </c>
      <c r="I50" s="193" t="s">
        <v>109</v>
      </c>
      <c r="J50" s="193" t="s">
        <v>130</v>
      </c>
      <c r="K50" s="198">
        <v>2.361111111111111E-2</v>
      </c>
      <c r="L50" s="193" t="s">
        <v>109</v>
      </c>
      <c r="M50" s="193" t="s">
        <v>109</v>
      </c>
      <c r="N50" s="195" t="s">
        <v>109</v>
      </c>
      <c r="O50" s="195" t="s">
        <v>61</v>
      </c>
      <c r="P50" s="193" t="s">
        <v>131</v>
      </c>
      <c r="Q50" s="193" t="s">
        <v>153</v>
      </c>
      <c r="R50" s="193" t="s">
        <v>62</v>
      </c>
      <c r="S50" s="193" t="s">
        <v>123</v>
      </c>
      <c r="T50" s="194" t="s">
        <v>278</v>
      </c>
      <c r="U50" s="197">
        <f t="shared" si="0"/>
        <v>0.28000000000000003</v>
      </c>
      <c r="V50" s="193" t="s">
        <v>2391</v>
      </c>
      <c r="W50" s="193" t="s">
        <v>3354</v>
      </c>
      <c r="X50" s="193" t="s">
        <v>109</v>
      </c>
      <c r="Y50" s="193" t="s">
        <v>109</v>
      </c>
    </row>
    <row r="51" spans="1:25" x14ac:dyDescent="0.3">
      <c r="A51" s="193">
        <v>50</v>
      </c>
      <c r="B51" s="194" t="s">
        <v>23</v>
      </c>
      <c r="C51" s="194" t="s">
        <v>1839</v>
      </c>
      <c r="D51" s="194">
        <v>50226015</v>
      </c>
      <c r="E51" s="194">
        <v>75</v>
      </c>
      <c r="F51" s="193">
        <v>95</v>
      </c>
      <c r="G51" s="193">
        <v>1</v>
      </c>
      <c r="H51" s="196" t="s">
        <v>71</v>
      </c>
      <c r="I51" s="193" t="s">
        <v>109</v>
      </c>
      <c r="J51" s="193" t="s">
        <v>130</v>
      </c>
      <c r="K51" s="198">
        <v>0.82708333333333328</v>
      </c>
      <c r="L51" s="193" t="s">
        <v>109</v>
      </c>
      <c r="M51" s="193" t="s">
        <v>109</v>
      </c>
      <c r="N51" s="195" t="s">
        <v>109</v>
      </c>
      <c r="O51" s="195" t="s">
        <v>61</v>
      </c>
      <c r="P51" s="193" t="s">
        <v>131</v>
      </c>
      <c r="Q51" s="193" t="s">
        <v>71</v>
      </c>
      <c r="R51" s="193" t="s">
        <v>62</v>
      </c>
      <c r="S51" s="193" t="s">
        <v>123</v>
      </c>
      <c r="T51" s="194" t="s">
        <v>278</v>
      </c>
      <c r="U51" s="197">
        <f t="shared" si="0"/>
        <v>1.3333333333333334E-2</v>
      </c>
      <c r="V51" s="193" t="s">
        <v>152</v>
      </c>
      <c r="W51" s="193" t="s">
        <v>3546</v>
      </c>
      <c r="X51" s="193" t="s">
        <v>109</v>
      </c>
      <c r="Y51" s="193" t="s">
        <v>109</v>
      </c>
    </row>
    <row r="52" spans="1:25" x14ac:dyDescent="0.3">
      <c r="A52" s="193">
        <v>51</v>
      </c>
      <c r="B52" s="194" t="s">
        <v>1550</v>
      </c>
      <c r="C52" s="194" t="s">
        <v>1551</v>
      </c>
      <c r="D52" s="208">
        <v>40126035</v>
      </c>
      <c r="E52" s="194">
        <v>110</v>
      </c>
      <c r="F52" s="193">
        <v>187</v>
      </c>
      <c r="G52" s="193">
        <v>67</v>
      </c>
      <c r="H52" s="193" t="s">
        <v>3230</v>
      </c>
      <c r="I52" s="193" t="s">
        <v>2597</v>
      </c>
      <c r="J52" s="193" t="s">
        <v>130</v>
      </c>
      <c r="K52" s="198">
        <v>4.8611111111111112E-2</v>
      </c>
      <c r="L52" s="198">
        <v>5.5555555555555552E-2</v>
      </c>
      <c r="M52" s="193" t="s">
        <v>109</v>
      </c>
      <c r="N52" s="209" t="s">
        <v>3547</v>
      </c>
      <c r="O52" s="194" t="s">
        <v>61</v>
      </c>
      <c r="P52" s="193" t="s">
        <v>131</v>
      </c>
      <c r="Q52" s="193" t="s">
        <v>109</v>
      </c>
      <c r="R52" s="193" t="s">
        <v>1640</v>
      </c>
      <c r="S52" s="193" t="s">
        <v>123</v>
      </c>
      <c r="T52" s="194" t="s">
        <v>1554</v>
      </c>
      <c r="U52" s="197">
        <f t="shared" si="0"/>
        <v>0.60909090909090913</v>
      </c>
      <c r="V52" s="193" t="s">
        <v>152</v>
      </c>
      <c r="W52" s="193" t="s">
        <v>3548</v>
      </c>
      <c r="X52" s="193" t="s">
        <v>109</v>
      </c>
      <c r="Y52" s="193" t="s">
        <v>109</v>
      </c>
    </row>
    <row r="53" spans="1:25" x14ac:dyDescent="0.3">
      <c r="A53" s="193">
        <v>52</v>
      </c>
      <c r="B53" s="194" t="s">
        <v>1550</v>
      </c>
      <c r="C53" s="194" t="s">
        <v>1556</v>
      </c>
      <c r="D53" s="208">
        <v>40126034</v>
      </c>
      <c r="E53" s="194">
        <v>155</v>
      </c>
      <c r="F53" s="193">
        <v>295</v>
      </c>
      <c r="G53" s="193">
        <v>67</v>
      </c>
      <c r="H53" s="193" t="s">
        <v>3549</v>
      </c>
      <c r="I53" s="193" t="s">
        <v>3550</v>
      </c>
      <c r="J53" s="193" t="s">
        <v>130</v>
      </c>
      <c r="K53" s="198">
        <v>0.86944444444444446</v>
      </c>
      <c r="L53" s="198">
        <v>4.1666666666666666E-3</v>
      </c>
      <c r="M53" s="193" t="s">
        <v>109</v>
      </c>
      <c r="N53" s="209" t="s">
        <v>3547</v>
      </c>
      <c r="O53" s="194" t="s">
        <v>61</v>
      </c>
      <c r="P53" s="193" t="s">
        <v>131</v>
      </c>
      <c r="Q53" s="193" t="s">
        <v>90</v>
      </c>
      <c r="R53" s="193" t="s">
        <v>1640</v>
      </c>
      <c r="S53" s="193" t="s">
        <v>123</v>
      </c>
      <c r="T53" s="194" t="s">
        <v>1554</v>
      </c>
      <c r="U53" s="197">
        <f t="shared" si="0"/>
        <v>0.43225806451612903</v>
      </c>
      <c r="V53" s="193" t="s">
        <v>1313</v>
      </c>
      <c r="W53" s="193" t="s">
        <v>3551</v>
      </c>
      <c r="X53" s="193" t="s">
        <v>109</v>
      </c>
      <c r="Y53" s="193" t="s">
        <v>109</v>
      </c>
    </row>
    <row r="54" spans="1:25" x14ac:dyDescent="0.3">
      <c r="A54" s="193">
        <v>53</v>
      </c>
      <c r="B54" s="194" t="s">
        <v>411</v>
      </c>
      <c r="C54" s="194" t="s">
        <v>2246</v>
      </c>
      <c r="D54" s="208">
        <v>30226011</v>
      </c>
      <c r="E54" s="194">
        <v>110</v>
      </c>
      <c r="F54" s="193">
        <v>37</v>
      </c>
      <c r="G54" s="193">
        <v>14</v>
      </c>
      <c r="H54" s="193" t="s">
        <v>3552</v>
      </c>
      <c r="I54" s="211" t="s">
        <v>3553</v>
      </c>
      <c r="J54" s="193" t="s">
        <v>130</v>
      </c>
      <c r="K54" s="198">
        <v>3.0555555555555555E-2</v>
      </c>
      <c r="L54" s="198">
        <v>3.3333333333333333E-2</v>
      </c>
      <c r="M54" s="193" t="s">
        <v>109</v>
      </c>
      <c r="N54" s="194" t="s">
        <v>109</v>
      </c>
      <c r="O54" s="194" t="s">
        <v>61</v>
      </c>
      <c r="P54" s="193" t="s">
        <v>131</v>
      </c>
      <c r="Q54" s="193" t="s">
        <v>154</v>
      </c>
      <c r="R54" s="193" t="s">
        <v>63</v>
      </c>
      <c r="S54" s="193" t="s">
        <v>123</v>
      </c>
      <c r="T54" s="194" t="s">
        <v>2247</v>
      </c>
      <c r="U54" s="197">
        <f t="shared" si="0"/>
        <v>0.12727272727272726</v>
      </c>
      <c r="V54" s="193" t="s">
        <v>152</v>
      </c>
      <c r="W54" s="193" t="s">
        <v>3445</v>
      </c>
      <c r="X54" s="193" t="s">
        <v>109</v>
      </c>
      <c r="Y54" s="193" t="s">
        <v>109</v>
      </c>
    </row>
    <row r="55" spans="1:25" x14ac:dyDescent="0.3">
      <c r="A55" s="193">
        <v>54</v>
      </c>
      <c r="B55" s="194" t="s">
        <v>411</v>
      </c>
      <c r="C55" s="194" t="s">
        <v>2625</v>
      </c>
      <c r="D55" s="208">
        <v>30226020</v>
      </c>
      <c r="E55" s="194">
        <v>150</v>
      </c>
      <c r="F55" s="193">
        <v>236</v>
      </c>
      <c r="G55" s="193">
        <v>116</v>
      </c>
      <c r="H55" s="193" t="s">
        <v>3554</v>
      </c>
      <c r="I55" s="193" t="s">
        <v>3555</v>
      </c>
      <c r="J55" s="193" t="s">
        <v>130</v>
      </c>
      <c r="K55" s="198">
        <v>0.98819444444444449</v>
      </c>
      <c r="L55" s="198">
        <v>3.1944444444444442E-2</v>
      </c>
      <c r="M55" s="193" t="s">
        <v>109</v>
      </c>
      <c r="N55" s="209" t="s">
        <v>3556</v>
      </c>
      <c r="O55" s="194" t="s">
        <v>61</v>
      </c>
      <c r="P55" s="193" t="s">
        <v>131</v>
      </c>
      <c r="Q55" s="193" t="s">
        <v>88</v>
      </c>
      <c r="R55" s="193" t="s">
        <v>62</v>
      </c>
      <c r="S55" s="193" t="s">
        <v>123</v>
      </c>
      <c r="T55" s="194" t="s">
        <v>1562</v>
      </c>
      <c r="U55" s="197">
        <f t="shared" si="0"/>
        <v>0.77333333333333332</v>
      </c>
      <c r="V55" s="193" t="s">
        <v>1313</v>
      </c>
      <c r="W55" s="193" t="s">
        <v>3557</v>
      </c>
      <c r="X55" s="193" t="s">
        <v>109</v>
      </c>
      <c r="Y55" s="193" t="s">
        <v>109</v>
      </c>
    </row>
    <row r="56" spans="1:25" x14ac:dyDescent="0.3">
      <c r="A56" s="193">
        <v>55</v>
      </c>
      <c r="B56" s="194" t="s">
        <v>411</v>
      </c>
      <c r="C56" s="194" t="s">
        <v>3558</v>
      </c>
      <c r="D56" s="208">
        <v>30226021</v>
      </c>
      <c r="E56" s="194">
        <v>150</v>
      </c>
      <c r="F56" s="193">
        <v>169</v>
      </c>
      <c r="G56" s="193">
        <v>34</v>
      </c>
      <c r="H56" s="193" t="s">
        <v>3559</v>
      </c>
      <c r="I56" s="193" t="s">
        <v>3228</v>
      </c>
      <c r="J56" s="193" t="s">
        <v>130</v>
      </c>
      <c r="K56" s="198">
        <v>0.74305555555555558</v>
      </c>
      <c r="L56" s="198">
        <v>0.76736111111111116</v>
      </c>
      <c r="M56" s="193" t="s">
        <v>109</v>
      </c>
      <c r="N56" s="209" t="s">
        <v>3556</v>
      </c>
      <c r="O56" s="194" t="s">
        <v>61</v>
      </c>
      <c r="P56" s="193" t="s">
        <v>131</v>
      </c>
      <c r="Q56" s="193" t="s">
        <v>154</v>
      </c>
      <c r="R56" s="193" t="s">
        <v>62</v>
      </c>
      <c r="S56" s="193" t="s">
        <v>123</v>
      </c>
      <c r="T56" s="194" t="s">
        <v>1562</v>
      </c>
      <c r="U56" s="197">
        <f t="shared" si="0"/>
        <v>0.22666666666666666</v>
      </c>
      <c r="V56" s="193" t="s">
        <v>152</v>
      </c>
      <c r="W56" s="193" t="s">
        <v>3560</v>
      </c>
      <c r="X56" s="193" t="s">
        <v>109</v>
      </c>
      <c r="Y56" s="193" t="s">
        <v>109</v>
      </c>
    </row>
    <row r="57" spans="1:25" x14ac:dyDescent="0.3">
      <c r="A57" s="193">
        <v>56</v>
      </c>
      <c r="B57" s="194" t="s">
        <v>143</v>
      </c>
      <c r="C57" s="194" t="s">
        <v>3055</v>
      </c>
      <c r="D57" s="208">
        <v>10326041</v>
      </c>
      <c r="E57" s="194" t="s">
        <v>60</v>
      </c>
      <c r="F57" s="193">
        <v>422</v>
      </c>
      <c r="G57" s="193">
        <v>4</v>
      </c>
      <c r="H57" s="196" t="s">
        <v>3535</v>
      </c>
      <c r="I57" s="193" t="s">
        <v>3561</v>
      </c>
      <c r="J57" s="193" t="s">
        <v>130</v>
      </c>
      <c r="K57" s="198">
        <v>0.75555555555555554</v>
      </c>
      <c r="L57" s="198">
        <v>0.82777777777777772</v>
      </c>
      <c r="M57" s="193" t="s">
        <v>109</v>
      </c>
      <c r="N57" s="196" t="s">
        <v>109</v>
      </c>
      <c r="O57" s="194" t="s">
        <v>61</v>
      </c>
      <c r="P57" s="193" t="s">
        <v>131</v>
      </c>
      <c r="Q57" s="193" t="s">
        <v>87</v>
      </c>
      <c r="R57" s="193" t="s">
        <v>62</v>
      </c>
      <c r="S57" s="193" t="s">
        <v>123</v>
      </c>
      <c r="T57" s="194" t="s">
        <v>121</v>
      </c>
      <c r="U57" s="197" t="s">
        <v>109</v>
      </c>
      <c r="V57" s="193" t="s">
        <v>152</v>
      </c>
      <c r="W57" s="193" t="s">
        <v>3562</v>
      </c>
      <c r="X57" s="193" t="s">
        <v>109</v>
      </c>
      <c r="Y57" s="193" t="s">
        <v>109</v>
      </c>
    </row>
    <row r="58" spans="1:25" x14ac:dyDescent="0.3">
      <c r="A58" s="193">
        <v>57</v>
      </c>
      <c r="B58" s="194" t="s">
        <v>143</v>
      </c>
      <c r="C58" s="194" t="s">
        <v>3058</v>
      </c>
      <c r="D58" s="208">
        <v>10326039</v>
      </c>
      <c r="E58" s="194" t="s">
        <v>60</v>
      </c>
      <c r="F58" s="193">
        <v>308</v>
      </c>
      <c r="G58" s="193">
        <v>116</v>
      </c>
      <c r="H58" s="193" t="s">
        <v>2943</v>
      </c>
      <c r="I58" s="212" t="s">
        <v>3563</v>
      </c>
      <c r="J58" s="193" t="s">
        <v>130</v>
      </c>
      <c r="K58" s="198">
        <v>0.84930555555555554</v>
      </c>
      <c r="L58" s="198">
        <v>0.91805555555555551</v>
      </c>
      <c r="M58" s="193" t="s">
        <v>109</v>
      </c>
      <c r="N58" s="196" t="s">
        <v>109</v>
      </c>
      <c r="O58" s="194" t="s">
        <v>61</v>
      </c>
      <c r="P58" s="193" t="s">
        <v>131</v>
      </c>
      <c r="Q58" s="193" t="s">
        <v>91</v>
      </c>
      <c r="R58" s="193" t="s">
        <v>62</v>
      </c>
      <c r="S58" s="193" t="s">
        <v>123</v>
      </c>
      <c r="T58" s="194" t="s">
        <v>121</v>
      </c>
      <c r="U58" s="197" t="s">
        <v>109</v>
      </c>
      <c r="V58" s="193" t="s">
        <v>152</v>
      </c>
      <c r="W58" s="193" t="s">
        <v>3564</v>
      </c>
      <c r="X58" s="193" t="s">
        <v>109</v>
      </c>
      <c r="Y58" s="193" t="s">
        <v>109</v>
      </c>
    </row>
    <row r="59" spans="1:25" x14ac:dyDescent="0.3">
      <c r="A59" s="193">
        <v>58</v>
      </c>
      <c r="B59" s="194" t="s">
        <v>143</v>
      </c>
      <c r="C59" s="194" t="s">
        <v>3565</v>
      </c>
      <c r="D59" s="212">
        <v>10326045</v>
      </c>
      <c r="E59" s="194">
        <v>70</v>
      </c>
      <c r="F59" s="193">
        <v>87</v>
      </c>
      <c r="G59" s="193">
        <v>54</v>
      </c>
      <c r="H59" s="199" t="s">
        <v>84</v>
      </c>
      <c r="I59" s="211" t="s">
        <v>94</v>
      </c>
      <c r="J59" s="193" t="s">
        <v>130</v>
      </c>
      <c r="K59" s="198">
        <v>1.4583333333333334E-2</v>
      </c>
      <c r="L59" s="193" t="s">
        <v>109</v>
      </c>
      <c r="M59" s="193" t="s">
        <v>109</v>
      </c>
      <c r="N59" s="196" t="s">
        <v>109</v>
      </c>
      <c r="O59" s="194" t="s">
        <v>61</v>
      </c>
      <c r="P59" s="193" t="s">
        <v>131</v>
      </c>
      <c r="Q59" s="193" t="s">
        <v>84</v>
      </c>
      <c r="R59" s="193" t="s">
        <v>62</v>
      </c>
      <c r="S59" s="193" t="s">
        <v>123</v>
      </c>
      <c r="T59" s="194" t="s">
        <v>121</v>
      </c>
      <c r="U59" s="197">
        <f t="shared" si="0"/>
        <v>0.77142857142857146</v>
      </c>
      <c r="V59" s="193" t="s">
        <v>152</v>
      </c>
      <c r="W59" s="193" t="s">
        <v>3566</v>
      </c>
      <c r="X59" s="193" t="s">
        <v>109</v>
      </c>
      <c r="Y59" s="193" t="s">
        <v>109</v>
      </c>
    </row>
    <row r="60" spans="1:25" x14ac:dyDescent="0.3">
      <c r="A60" s="193">
        <v>59</v>
      </c>
      <c r="B60" s="194" t="s">
        <v>143</v>
      </c>
      <c r="C60" s="194" t="s">
        <v>3059</v>
      </c>
      <c r="D60" s="214">
        <v>10326038</v>
      </c>
      <c r="E60" s="194" t="s">
        <v>60</v>
      </c>
      <c r="F60" s="193">
        <v>41</v>
      </c>
      <c r="G60" s="193">
        <v>5</v>
      </c>
      <c r="H60" s="196" t="s">
        <v>68</v>
      </c>
      <c r="I60" s="211" t="s">
        <v>86</v>
      </c>
      <c r="J60" s="193" t="s">
        <v>130</v>
      </c>
      <c r="K60" s="198">
        <v>0.79861111111111116</v>
      </c>
      <c r="L60" s="198">
        <v>0.82013888888888886</v>
      </c>
      <c r="M60" s="193" t="s">
        <v>109</v>
      </c>
      <c r="N60" s="196" t="s">
        <v>109</v>
      </c>
      <c r="O60" s="194" t="s">
        <v>61</v>
      </c>
      <c r="P60" s="193" t="s">
        <v>131</v>
      </c>
      <c r="Q60" s="193" t="s">
        <v>86</v>
      </c>
      <c r="R60" s="193" t="s">
        <v>62</v>
      </c>
      <c r="S60" s="193" t="s">
        <v>123</v>
      </c>
      <c r="T60" s="194" t="s">
        <v>121</v>
      </c>
      <c r="U60" s="197" t="s">
        <v>109</v>
      </c>
      <c r="V60" s="193" t="s">
        <v>152</v>
      </c>
      <c r="W60" s="193" t="s">
        <v>3567</v>
      </c>
      <c r="X60" s="193" t="s">
        <v>109</v>
      </c>
      <c r="Y60" s="193" t="s">
        <v>109</v>
      </c>
    </row>
    <row r="61" spans="1:25" x14ac:dyDescent="0.3">
      <c r="A61" s="193">
        <v>60</v>
      </c>
      <c r="B61" s="194" t="s">
        <v>143</v>
      </c>
      <c r="C61" s="194" t="s">
        <v>3060</v>
      </c>
      <c r="D61" s="208">
        <v>10326036</v>
      </c>
      <c r="E61" s="194" t="s">
        <v>60</v>
      </c>
      <c r="F61" s="193">
        <v>133</v>
      </c>
      <c r="G61" s="193">
        <v>55</v>
      </c>
      <c r="H61" s="196" t="s">
        <v>196</v>
      </c>
      <c r="I61" s="193" t="s">
        <v>87</v>
      </c>
      <c r="J61" s="193" t="s">
        <v>130</v>
      </c>
      <c r="K61" s="198">
        <v>1.0416666666666666E-2</v>
      </c>
      <c r="L61" s="198">
        <v>4.3055555555555555E-2</v>
      </c>
      <c r="M61" s="193" t="s">
        <v>109</v>
      </c>
      <c r="N61" s="196" t="s">
        <v>109</v>
      </c>
      <c r="O61" s="194" t="s">
        <v>61</v>
      </c>
      <c r="P61" s="193" t="s">
        <v>131</v>
      </c>
      <c r="Q61" s="193" t="s">
        <v>87</v>
      </c>
      <c r="R61" s="193" t="s">
        <v>62</v>
      </c>
      <c r="S61" s="193" t="s">
        <v>123</v>
      </c>
      <c r="T61" s="194" t="s">
        <v>121</v>
      </c>
      <c r="U61" s="197" t="s">
        <v>109</v>
      </c>
      <c r="V61" s="193" t="s">
        <v>152</v>
      </c>
      <c r="W61" s="193" t="s">
        <v>3568</v>
      </c>
      <c r="X61" s="193" t="s">
        <v>109</v>
      </c>
      <c r="Y61" s="193" t="s">
        <v>109</v>
      </c>
    </row>
    <row r="62" spans="1:25" x14ac:dyDescent="0.3">
      <c r="A62" s="193">
        <v>61</v>
      </c>
      <c r="B62" s="194" t="s">
        <v>143</v>
      </c>
      <c r="C62" s="194" t="s">
        <v>2506</v>
      </c>
      <c r="D62" s="208">
        <v>10226048</v>
      </c>
      <c r="E62" s="194">
        <v>45</v>
      </c>
      <c r="F62" s="193">
        <v>83</v>
      </c>
      <c r="G62" s="193">
        <v>25</v>
      </c>
      <c r="H62" s="210" t="s">
        <v>67</v>
      </c>
      <c r="I62" s="212" t="s">
        <v>154</v>
      </c>
      <c r="J62" s="193" t="s">
        <v>130</v>
      </c>
      <c r="K62" s="198">
        <v>0.94791666666666663</v>
      </c>
      <c r="L62" s="198">
        <v>0.97013888888888888</v>
      </c>
      <c r="M62" s="193" t="s">
        <v>109</v>
      </c>
      <c r="N62" s="196" t="s">
        <v>109</v>
      </c>
      <c r="O62" s="194" t="s">
        <v>61</v>
      </c>
      <c r="P62" s="193" t="s">
        <v>131</v>
      </c>
      <c r="Q62" s="193" t="s">
        <v>154</v>
      </c>
      <c r="R62" s="193" t="s">
        <v>62</v>
      </c>
      <c r="S62" s="193" t="s">
        <v>123</v>
      </c>
      <c r="T62" s="194" t="s">
        <v>121</v>
      </c>
      <c r="U62" s="197">
        <f t="shared" si="0"/>
        <v>0.55555555555555558</v>
      </c>
      <c r="V62" s="193" t="s">
        <v>1313</v>
      </c>
      <c r="W62" s="193" t="s">
        <v>3345</v>
      </c>
      <c r="X62" s="193" t="s">
        <v>109</v>
      </c>
      <c r="Y62" s="193" t="s">
        <v>109</v>
      </c>
    </row>
    <row r="63" spans="1:25" x14ac:dyDescent="0.3">
      <c r="A63" s="193">
        <v>62</v>
      </c>
      <c r="B63" s="194" t="s">
        <v>143</v>
      </c>
      <c r="C63" s="194" t="s">
        <v>2553</v>
      </c>
      <c r="D63" s="208">
        <v>10226050</v>
      </c>
      <c r="E63" s="194">
        <v>50</v>
      </c>
      <c r="F63" s="193">
        <v>100</v>
      </c>
      <c r="G63" s="193">
        <v>28</v>
      </c>
      <c r="H63" s="196" t="s">
        <v>68</v>
      </c>
      <c r="I63" s="211" t="s">
        <v>86</v>
      </c>
      <c r="J63" s="193" t="s">
        <v>130</v>
      </c>
      <c r="K63" s="198">
        <v>0.96319444444444446</v>
      </c>
      <c r="L63" s="198">
        <v>0.05</v>
      </c>
      <c r="M63" s="193" t="s">
        <v>109</v>
      </c>
      <c r="N63" s="196" t="s">
        <v>109</v>
      </c>
      <c r="O63" s="194" t="s">
        <v>61</v>
      </c>
      <c r="P63" s="193" t="s">
        <v>131</v>
      </c>
      <c r="Q63" s="193" t="s">
        <v>86</v>
      </c>
      <c r="R63" s="193" t="s">
        <v>62</v>
      </c>
      <c r="S63" s="193" t="s">
        <v>123</v>
      </c>
      <c r="T63" s="194" t="s">
        <v>121</v>
      </c>
      <c r="U63" s="197">
        <f t="shared" si="0"/>
        <v>0.56000000000000005</v>
      </c>
      <c r="V63" s="193" t="s">
        <v>1313</v>
      </c>
      <c r="W63" s="193" t="s">
        <v>3344</v>
      </c>
      <c r="X63" s="193" t="s">
        <v>109</v>
      </c>
      <c r="Y63" s="193" t="s">
        <v>109</v>
      </c>
    </row>
    <row r="64" spans="1:25" x14ac:dyDescent="0.3">
      <c r="A64" s="193">
        <v>63</v>
      </c>
      <c r="B64" s="194" t="s">
        <v>143</v>
      </c>
      <c r="C64" s="194" t="s">
        <v>2610</v>
      </c>
      <c r="D64" s="208">
        <v>10226054</v>
      </c>
      <c r="E64" s="194">
        <v>44</v>
      </c>
      <c r="F64" s="193">
        <v>103</v>
      </c>
      <c r="G64" s="193">
        <v>28</v>
      </c>
      <c r="H64" s="210" t="s">
        <v>153</v>
      </c>
      <c r="I64" s="212" t="s">
        <v>93</v>
      </c>
      <c r="J64" s="193" t="s">
        <v>130</v>
      </c>
      <c r="K64" s="198">
        <v>0.7416666666666667</v>
      </c>
      <c r="L64" s="198">
        <v>0.77847222222222223</v>
      </c>
      <c r="M64" s="193" t="s">
        <v>109</v>
      </c>
      <c r="N64" s="196" t="s">
        <v>109</v>
      </c>
      <c r="O64" s="194" t="s">
        <v>61</v>
      </c>
      <c r="P64" s="193" t="s">
        <v>131</v>
      </c>
      <c r="Q64" s="193" t="s">
        <v>93</v>
      </c>
      <c r="R64" s="193" t="s">
        <v>62</v>
      </c>
      <c r="S64" s="193" t="s">
        <v>123</v>
      </c>
      <c r="T64" s="194" t="s">
        <v>121</v>
      </c>
      <c r="U64" s="197">
        <f t="shared" si="0"/>
        <v>0.63636363636363635</v>
      </c>
      <c r="V64" s="193" t="s">
        <v>1313</v>
      </c>
      <c r="W64" s="193" t="s">
        <v>3342</v>
      </c>
      <c r="X64" s="193" t="s">
        <v>109</v>
      </c>
      <c r="Y64" s="193" t="s">
        <v>109</v>
      </c>
    </row>
    <row r="65" spans="1:25" x14ac:dyDescent="0.3">
      <c r="A65" s="193">
        <v>64</v>
      </c>
      <c r="B65" s="194" t="s">
        <v>143</v>
      </c>
      <c r="C65" s="194" t="s">
        <v>2658</v>
      </c>
      <c r="D65" s="208">
        <v>10226056</v>
      </c>
      <c r="E65" s="194">
        <v>44</v>
      </c>
      <c r="F65" s="193">
        <v>76</v>
      </c>
      <c r="G65" s="193">
        <v>41</v>
      </c>
      <c r="H65" s="196" t="s">
        <v>66</v>
      </c>
      <c r="I65" s="212" t="s">
        <v>88</v>
      </c>
      <c r="J65" s="193" t="s">
        <v>130</v>
      </c>
      <c r="K65" s="198">
        <v>0.7055555555555556</v>
      </c>
      <c r="L65" s="198">
        <v>0.75208333333333333</v>
      </c>
      <c r="M65" s="193" t="s">
        <v>109</v>
      </c>
      <c r="N65" s="196" t="s">
        <v>109</v>
      </c>
      <c r="O65" s="194" t="s">
        <v>61</v>
      </c>
      <c r="P65" s="193" t="s">
        <v>131</v>
      </c>
      <c r="Q65" s="193" t="s">
        <v>88</v>
      </c>
      <c r="R65" s="193" t="s">
        <v>62</v>
      </c>
      <c r="S65" s="193" t="s">
        <v>123</v>
      </c>
      <c r="T65" s="194" t="s">
        <v>121</v>
      </c>
      <c r="U65" s="197">
        <f t="shared" si="0"/>
        <v>0.93181818181818177</v>
      </c>
      <c r="V65" s="193" t="s">
        <v>1945</v>
      </c>
      <c r="W65" s="193" t="s">
        <v>3343</v>
      </c>
      <c r="X65" s="193" t="s">
        <v>109</v>
      </c>
      <c r="Y65" s="193" t="s">
        <v>109</v>
      </c>
    </row>
    <row r="66" spans="1:25" x14ac:dyDescent="0.3">
      <c r="A66" s="193">
        <v>65</v>
      </c>
      <c r="B66" s="194" t="s">
        <v>143</v>
      </c>
      <c r="C66" s="194" t="s">
        <v>2366</v>
      </c>
      <c r="D66" s="208">
        <v>10226040</v>
      </c>
      <c r="E66" s="194">
        <v>65</v>
      </c>
      <c r="F66" s="193">
        <v>125</v>
      </c>
      <c r="G66" s="193">
        <v>45</v>
      </c>
      <c r="H66" s="196" t="s">
        <v>65</v>
      </c>
      <c r="I66" s="211" t="s">
        <v>94</v>
      </c>
      <c r="J66" s="193" t="s">
        <v>130</v>
      </c>
      <c r="K66" s="198">
        <v>0.99027777777777781</v>
      </c>
      <c r="L66" s="198">
        <v>0.05</v>
      </c>
      <c r="M66" s="193" t="s">
        <v>109</v>
      </c>
      <c r="N66" s="196" t="s">
        <v>109</v>
      </c>
      <c r="O66" s="194" t="s">
        <v>61</v>
      </c>
      <c r="P66" s="193" t="s">
        <v>131</v>
      </c>
      <c r="Q66" s="193" t="s">
        <v>94</v>
      </c>
      <c r="R66" s="193" t="s">
        <v>62</v>
      </c>
      <c r="S66" s="193" t="s">
        <v>123</v>
      </c>
      <c r="T66" s="194" t="s">
        <v>334</v>
      </c>
      <c r="U66" s="197">
        <f t="shared" si="0"/>
        <v>0.69230769230769229</v>
      </c>
      <c r="V66" s="193" t="s">
        <v>1313</v>
      </c>
      <c r="W66" s="193" t="s">
        <v>3453</v>
      </c>
      <c r="X66" s="193" t="s">
        <v>109</v>
      </c>
      <c r="Y66" s="193" t="s">
        <v>109</v>
      </c>
    </row>
    <row r="67" spans="1:25" x14ac:dyDescent="0.3">
      <c r="A67" s="193">
        <v>66</v>
      </c>
      <c r="B67" s="194" t="s">
        <v>143</v>
      </c>
      <c r="C67" s="194" t="s">
        <v>1598</v>
      </c>
      <c r="D67" s="208">
        <v>10126044</v>
      </c>
      <c r="E67" s="194">
        <v>100</v>
      </c>
      <c r="F67" s="193">
        <v>158</v>
      </c>
      <c r="G67" s="193">
        <v>48</v>
      </c>
      <c r="H67" s="212" t="s">
        <v>64</v>
      </c>
      <c r="I67" s="211" t="s">
        <v>209</v>
      </c>
      <c r="J67" s="193" t="s">
        <v>130</v>
      </c>
      <c r="K67" s="198">
        <v>0.93472222222222223</v>
      </c>
      <c r="L67" s="198">
        <v>0.96319444444444446</v>
      </c>
      <c r="M67" s="193" t="s">
        <v>109</v>
      </c>
      <c r="N67" s="196" t="s">
        <v>109</v>
      </c>
      <c r="O67" s="194" t="s">
        <v>61</v>
      </c>
      <c r="P67" s="193" t="s">
        <v>131</v>
      </c>
      <c r="Q67" s="193" t="s">
        <v>209</v>
      </c>
      <c r="R67" s="193" t="s">
        <v>62</v>
      </c>
      <c r="S67" s="193" t="s">
        <v>123</v>
      </c>
      <c r="T67" s="194" t="s">
        <v>480</v>
      </c>
      <c r="U67" s="197">
        <f t="shared" ref="U67:U130" si="1">G67/E67</f>
        <v>0.48</v>
      </c>
      <c r="V67" s="193" t="s">
        <v>2391</v>
      </c>
      <c r="W67" s="193" t="s">
        <v>3151</v>
      </c>
      <c r="X67" s="193" t="s">
        <v>109</v>
      </c>
      <c r="Y67" s="193" t="s">
        <v>109</v>
      </c>
    </row>
    <row r="68" spans="1:25" x14ac:dyDescent="0.3">
      <c r="A68" s="193">
        <v>67</v>
      </c>
      <c r="B68" s="194" t="s">
        <v>143</v>
      </c>
      <c r="C68" s="194" t="s">
        <v>2256</v>
      </c>
      <c r="D68" s="208">
        <v>10226016</v>
      </c>
      <c r="E68" s="194">
        <v>50</v>
      </c>
      <c r="F68" s="193">
        <v>91</v>
      </c>
      <c r="G68" s="193">
        <v>14</v>
      </c>
      <c r="H68" s="196" t="s">
        <v>66</v>
      </c>
      <c r="I68" s="212" t="s">
        <v>93</v>
      </c>
      <c r="J68" s="193" t="s">
        <v>130</v>
      </c>
      <c r="K68" s="198">
        <v>0.77500000000000002</v>
      </c>
      <c r="L68" s="198">
        <v>0.83888888888888891</v>
      </c>
      <c r="M68" s="193" t="s">
        <v>109</v>
      </c>
      <c r="N68" s="196" t="s">
        <v>109</v>
      </c>
      <c r="O68" s="194" t="s">
        <v>61</v>
      </c>
      <c r="P68" s="193" t="s">
        <v>131</v>
      </c>
      <c r="Q68" s="193" t="s">
        <v>93</v>
      </c>
      <c r="R68" s="193" t="s">
        <v>62</v>
      </c>
      <c r="S68" s="193" t="s">
        <v>123</v>
      </c>
      <c r="T68" s="194" t="s">
        <v>2253</v>
      </c>
      <c r="U68" s="197">
        <f t="shared" si="1"/>
        <v>0.28000000000000003</v>
      </c>
      <c r="V68" s="193" t="s">
        <v>2391</v>
      </c>
      <c r="W68" s="193" t="s">
        <v>3357</v>
      </c>
      <c r="X68" s="193" t="s">
        <v>109</v>
      </c>
      <c r="Y68" s="193" t="s">
        <v>109</v>
      </c>
    </row>
    <row r="69" spans="1:25" x14ac:dyDescent="0.3">
      <c r="A69" s="193">
        <v>68</v>
      </c>
      <c r="B69" s="194" t="s">
        <v>143</v>
      </c>
      <c r="C69" s="194" t="s">
        <v>2936</v>
      </c>
      <c r="D69" s="208">
        <v>10326024</v>
      </c>
      <c r="E69" s="194">
        <v>50</v>
      </c>
      <c r="F69" s="193">
        <v>53</v>
      </c>
      <c r="G69" s="193">
        <v>7</v>
      </c>
      <c r="H69" s="196" t="s">
        <v>71</v>
      </c>
      <c r="I69" s="193" t="s">
        <v>87</v>
      </c>
      <c r="J69" s="193" t="s">
        <v>130</v>
      </c>
      <c r="K69" s="198">
        <v>0.89861111111111114</v>
      </c>
      <c r="L69" s="198">
        <v>0.99444444444444446</v>
      </c>
      <c r="M69" s="193" t="s">
        <v>109</v>
      </c>
      <c r="N69" s="196" t="s">
        <v>109</v>
      </c>
      <c r="O69" s="194" t="s">
        <v>61</v>
      </c>
      <c r="P69" s="193" t="s">
        <v>131</v>
      </c>
      <c r="Q69" s="193" t="s">
        <v>87</v>
      </c>
      <c r="R69" s="193" t="s">
        <v>62</v>
      </c>
      <c r="S69" s="193" t="s">
        <v>123</v>
      </c>
      <c r="T69" s="194" t="s">
        <v>182</v>
      </c>
      <c r="U69" s="197">
        <f t="shared" si="1"/>
        <v>0.14000000000000001</v>
      </c>
      <c r="V69" s="193" t="s">
        <v>152</v>
      </c>
      <c r="W69" s="193" t="s">
        <v>3158</v>
      </c>
      <c r="X69" s="193" t="s">
        <v>3281</v>
      </c>
      <c r="Y69" s="193" t="s">
        <v>3102</v>
      </c>
    </row>
    <row r="70" spans="1:25" x14ac:dyDescent="0.3">
      <c r="A70" s="193">
        <v>69</v>
      </c>
      <c r="B70" s="194" t="s">
        <v>143</v>
      </c>
      <c r="C70" s="194" t="s">
        <v>2611</v>
      </c>
      <c r="D70" s="208">
        <v>10226052</v>
      </c>
      <c r="E70" s="194">
        <v>150</v>
      </c>
      <c r="F70" s="193">
        <v>290</v>
      </c>
      <c r="G70" s="193">
        <v>55</v>
      </c>
      <c r="H70" s="193" t="s">
        <v>2595</v>
      </c>
      <c r="I70" s="211" t="s">
        <v>2597</v>
      </c>
      <c r="J70" s="193" t="s">
        <v>130</v>
      </c>
      <c r="K70" s="198">
        <v>0.91527777777777775</v>
      </c>
      <c r="L70" s="198">
        <v>0.92708333333333337</v>
      </c>
      <c r="M70" s="193" t="s">
        <v>109</v>
      </c>
      <c r="N70" s="196" t="s">
        <v>109</v>
      </c>
      <c r="O70" s="194" t="s">
        <v>61</v>
      </c>
      <c r="P70" s="193" t="s">
        <v>131</v>
      </c>
      <c r="Q70" s="193" t="s">
        <v>95</v>
      </c>
      <c r="R70" s="193" t="s">
        <v>62</v>
      </c>
      <c r="S70" s="193" t="s">
        <v>123</v>
      </c>
      <c r="T70" s="194" t="s">
        <v>2612</v>
      </c>
      <c r="U70" s="197">
        <f t="shared" si="1"/>
        <v>0.36666666666666664</v>
      </c>
      <c r="V70" s="193" t="s">
        <v>1313</v>
      </c>
      <c r="W70" s="193" t="s">
        <v>3160</v>
      </c>
      <c r="X70" s="193" t="s">
        <v>109</v>
      </c>
      <c r="Y70" s="193" t="s">
        <v>109</v>
      </c>
    </row>
    <row r="71" spans="1:25" x14ac:dyDescent="0.3">
      <c r="A71" s="193">
        <v>70</v>
      </c>
      <c r="B71" s="194" t="s">
        <v>143</v>
      </c>
      <c r="C71" s="194" t="s">
        <v>2428</v>
      </c>
      <c r="D71" s="208">
        <v>10226044</v>
      </c>
      <c r="E71" s="194">
        <v>60</v>
      </c>
      <c r="F71" s="193">
        <v>81</v>
      </c>
      <c r="G71" s="193">
        <v>58</v>
      </c>
      <c r="H71" s="210" t="s">
        <v>67</v>
      </c>
      <c r="I71" s="212" t="s">
        <v>88</v>
      </c>
      <c r="J71" s="193" t="s">
        <v>130</v>
      </c>
      <c r="K71" s="198">
        <v>0.90625</v>
      </c>
      <c r="L71" s="198">
        <v>0.9916666666666667</v>
      </c>
      <c r="M71" s="193" t="s">
        <v>109</v>
      </c>
      <c r="N71" s="196" t="s">
        <v>109</v>
      </c>
      <c r="O71" s="194" t="s">
        <v>61</v>
      </c>
      <c r="P71" s="193" t="s">
        <v>131</v>
      </c>
      <c r="Q71" s="193" t="s">
        <v>88</v>
      </c>
      <c r="R71" s="193" t="s">
        <v>62</v>
      </c>
      <c r="S71" s="193" t="s">
        <v>123</v>
      </c>
      <c r="T71" s="194" t="s">
        <v>609</v>
      </c>
      <c r="U71" s="197">
        <f t="shared" si="1"/>
        <v>0.96666666666666667</v>
      </c>
      <c r="V71" s="193" t="s">
        <v>1945</v>
      </c>
      <c r="W71" s="193" t="s">
        <v>3313</v>
      </c>
      <c r="X71" s="193" t="s">
        <v>109</v>
      </c>
      <c r="Y71" s="193" t="s">
        <v>109</v>
      </c>
    </row>
    <row r="72" spans="1:25" x14ac:dyDescent="0.3">
      <c r="A72" s="193">
        <v>71</v>
      </c>
      <c r="B72" s="194" t="s">
        <v>143</v>
      </c>
      <c r="C72" s="194" t="s">
        <v>3066</v>
      </c>
      <c r="D72" s="208">
        <v>10326034</v>
      </c>
      <c r="E72" s="194">
        <v>50</v>
      </c>
      <c r="F72" s="193">
        <v>117</v>
      </c>
      <c r="G72" s="193">
        <v>3</v>
      </c>
      <c r="H72" s="196" t="s">
        <v>68</v>
      </c>
      <c r="I72" s="211" t="s">
        <v>95</v>
      </c>
      <c r="J72" s="193" t="s">
        <v>130</v>
      </c>
      <c r="K72" s="198">
        <v>0.93472222222222223</v>
      </c>
      <c r="L72" s="198">
        <v>0.97430555555555554</v>
      </c>
      <c r="M72" s="193" t="s">
        <v>109</v>
      </c>
      <c r="N72" s="196" t="s">
        <v>109</v>
      </c>
      <c r="O72" s="194" t="s">
        <v>61</v>
      </c>
      <c r="P72" s="193" t="s">
        <v>131</v>
      </c>
      <c r="Q72" s="193" t="s">
        <v>95</v>
      </c>
      <c r="R72" s="193" t="s">
        <v>62</v>
      </c>
      <c r="S72" s="193" t="s">
        <v>123</v>
      </c>
      <c r="T72" s="194" t="s">
        <v>182</v>
      </c>
      <c r="U72" s="197">
        <f t="shared" si="1"/>
        <v>0.06</v>
      </c>
      <c r="V72" s="193" t="s">
        <v>1313</v>
      </c>
      <c r="W72" s="193" t="s">
        <v>3569</v>
      </c>
      <c r="X72" s="193" t="s">
        <v>3281</v>
      </c>
      <c r="Y72" s="193" t="s">
        <v>3102</v>
      </c>
    </row>
    <row r="73" spans="1:25" x14ac:dyDescent="0.3">
      <c r="A73" s="193">
        <v>72</v>
      </c>
      <c r="B73" s="194" t="s">
        <v>143</v>
      </c>
      <c r="C73" s="194" t="s">
        <v>2745</v>
      </c>
      <c r="D73" s="208">
        <v>10226071</v>
      </c>
      <c r="E73" s="194">
        <v>25</v>
      </c>
      <c r="F73" s="193">
        <v>65</v>
      </c>
      <c r="G73" s="193">
        <v>22</v>
      </c>
      <c r="H73" s="196" t="s">
        <v>184</v>
      </c>
      <c r="I73" s="211" t="s">
        <v>94</v>
      </c>
      <c r="J73" s="193" t="s">
        <v>130</v>
      </c>
      <c r="K73" s="198">
        <v>5.2777777777777778E-2</v>
      </c>
      <c r="L73" s="193" t="s">
        <v>109</v>
      </c>
      <c r="M73" s="193" t="s">
        <v>109</v>
      </c>
      <c r="N73" s="196" t="s">
        <v>109</v>
      </c>
      <c r="O73" s="194" t="s">
        <v>61</v>
      </c>
      <c r="P73" s="193" t="s">
        <v>131</v>
      </c>
      <c r="Q73" s="193" t="s">
        <v>94</v>
      </c>
      <c r="R73" s="193" t="s">
        <v>62</v>
      </c>
      <c r="S73" s="193" t="s">
        <v>123</v>
      </c>
      <c r="T73" s="194" t="s">
        <v>182</v>
      </c>
      <c r="U73" s="197">
        <f t="shared" si="1"/>
        <v>0.88</v>
      </c>
      <c r="V73" s="193" t="s">
        <v>1945</v>
      </c>
      <c r="W73" s="193" t="s">
        <v>3159</v>
      </c>
      <c r="X73" s="193" t="s">
        <v>3281</v>
      </c>
      <c r="Y73" s="193" t="s">
        <v>3102</v>
      </c>
    </row>
    <row r="74" spans="1:25" x14ac:dyDescent="0.3">
      <c r="A74" s="193">
        <v>73</v>
      </c>
      <c r="B74" s="194" t="s">
        <v>143</v>
      </c>
      <c r="C74" s="194" t="s">
        <v>2613</v>
      </c>
      <c r="D74" s="208">
        <v>10226053</v>
      </c>
      <c r="E74" s="194">
        <v>150</v>
      </c>
      <c r="F74" s="193">
        <v>179</v>
      </c>
      <c r="G74" s="193">
        <v>51</v>
      </c>
      <c r="H74" s="193" t="s">
        <v>3016</v>
      </c>
      <c r="I74" s="193" t="s">
        <v>3570</v>
      </c>
      <c r="J74" s="193" t="s">
        <v>130</v>
      </c>
      <c r="K74" s="198">
        <v>0.92152777777777772</v>
      </c>
      <c r="L74" s="198">
        <v>0.94166666666666665</v>
      </c>
      <c r="M74" s="193" t="s">
        <v>109</v>
      </c>
      <c r="N74" s="196" t="s">
        <v>109</v>
      </c>
      <c r="O74" s="194" t="s">
        <v>61</v>
      </c>
      <c r="P74" s="193" t="s">
        <v>131</v>
      </c>
      <c r="Q74" s="193" t="s">
        <v>86</v>
      </c>
      <c r="R74" s="193" t="s">
        <v>62</v>
      </c>
      <c r="S74" s="193" t="s">
        <v>123</v>
      </c>
      <c r="T74" s="194" t="s">
        <v>2612</v>
      </c>
      <c r="U74" s="197">
        <f t="shared" si="1"/>
        <v>0.34</v>
      </c>
      <c r="V74" s="193" t="s">
        <v>152</v>
      </c>
      <c r="W74" s="193" t="s">
        <v>3571</v>
      </c>
      <c r="X74" s="193" t="s">
        <v>109</v>
      </c>
      <c r="Y74" s="193" t="s">
        <v>109</v>
      </c>
    </row>
    <row r="75" spans="1:25" x14ac:dyDescent="0.3">
      <c r="A75" s="193">
        <v>74</v>
      </c>
      <c r="B75" s="194" t="s">
        <v>143</v>
      </c>
      <c r="C75" s="194" t="s">
        <v>779</v>
      </c>
      <c r="D75" s="208">
        <v>10126010</v>
      </c>
      <c r="E75" s="194">
        <v>30</v>
      </c>
      <c r="F75" s="193">
        <v>61</v>
      </c>
      <c r="G75" s="193">
        <v>28</v>
      </c>
      <c r="H75" s="196" t="s">
        <v>196</v>
      </c>
      <c r="I75" s="212" t="s">
        <v>87</v>
      </c>
      <c r="J75" s="193" t="s">
        <v>130</v>
      </c>
      <c r="K75" s="198">
        <v>0.76944444444444449</v>
      </c>
      <c r="L75" s="198">
        <v>0.84444444444444444</v>
      </c>
      <c r="M75" s="193" t="s">
        <v>109</v>
      </c>
      <c r="N75" s="196" t="s">
        <v>109</v>
      </c>
      <c r="O75" s="194" t="s">
        <v>61</v>
      </c>
      <c r="P75" s="193" t="s">
        <v>131</v>
      </c>
      <c r="Q75" s="193" t="s">
        <v>87</v>
      </c>
      <c r="R75" s="193" t="s">
        <v>62</v>
      </c>
      <c r="S75" s="193" t="s">
        <v>123</v>
      </c>
      <c r="T75" s="194" t="s">
        <v>780</v>
      </c>
      <c r="U75" s="197">
        <f t="shared" si="1"/>
        <v>0.93333333333333335</v>
      </c>
      <c r="V75" s="193" t="s">
        <v>1945</v>
      </c>
      <c r="W75" s="193" t="s">
        <v>3362</v>
      </c>
      <c r="X75" s="193" t="s">
        <v>3282</v>
      </c>
      <c r="Y75" s="193" t="s">
        <v>3102</v>
      </c>
    </row>
    <row r="76" spans="1:25" x14ac:dyDescent="0.3">
      <c r="A76" s="193">
        <v>75</v>
      </c>
      <c r="B76" s="194" t="s">
        <v>143</v>
      </c>
      <c r="C76" s="194" t="s">
        <v>2790</v>
      </c>
      <c r="D76" s="208">
        <v>10326001</v>
      </c>
      <c r="E76" s="194">
        <v>80</v>
      </c>
      <c r="F76" s="193">
        <v>109</v>
      </c>
      <c r="G76" s="193">
        <v>58</v>
      </c>
      <c r="H76" s="199" t="s">
        <v>84</v>
      </c>
      <c r="I76" s="211" t="s">
        <v>90</v>
      </c>
      <c r="J76" s="193" t="s">
        <v>130</v>
      </c>
      <c r="K76" s="198">
        <v>0.9916666666666667</v>
      </c>
      <c r="L76" s="198">
        <v>4.791666666666667E-2</v>
      </c>
      <c r="M76" s="193" t="s">
        <v>109</v>
      </c>
      <c r="N76" s="196" t="s">
        <v>109</v>
      </c>
      <c r="O76" s="194" t="s">
        <v>61</v>
      </c>
      <c r="P76" s="193" t="s">
        <v>131</v>
      </c>
      <c r="Q76" s="193" t="s">
        <v>90</v>
      </c>
      <c r="R76" s="193" t="s">
        <v>62</v>
      </c>
      <c r="S76" s="193" t="s">
        <v>123</v>
      </c>
      <c r="T76" s="194" t="s">
        <v>398</v>
      </c>
      <c r="U76" s="197">
        <f t="shared" si="1"/>
        <v>0.72499999999999998</v>
      </c>
      <c r="V76" s="193" t="s">
        <v>1313</v>
      </c>
      <c r="W76" s="193" t="s">
        <v>3572</v>
      </c>
      <c r="X76" s="193" t="s">
        <v>109</v>
      </c>
      <c r="Y76" s="193" t="s">
        <v>109</v>
      </c>
    </row>
    <row r="77" spans="1:25" x14ac:dyDescent="0.3">
      <c r="A77" s="193">
        <v>76</v>
      </c>
      <c r="B77" s="194" t="s">
        <v>143</v>
      </c>
      <c r="C77" s="194" t="s">
        <v>3573</v>
      </c>
      <c r="D77" s="208">
        <v>10326049</v>
      </c>
      <c r="E77" s="194">
        <v>40</v>
      </c>
      <c r="F77" s="193">
        <v>90</v>
      </c>
      <c r="G77" s="193">
        <v>40</v>
      </c>
      <c r="H77" s="196" t="s">
        <v>82</v>
      </c>
      <c r="I77" s="211" t="s">
        <v>95</v>
      </c>
      <c r="J77" s="193" t="s">
        <v>130</v>
      </c>
      <c r="K77" s="198">
        <v>0.6694444444444444</v>
      </c>
      <c r="L77" s="198">
        <v>0.67986111111111114</v>
      </c>
      <c r="M77" s="193" t="s">
        <v>109</v>
      </c>
      <c r="N77" s="196" t="s">
        <v>109</v>
      </c>
      <c r="O77" s="194" t="s">
        <v>61</v>
      </c>
      <c r="P77" s="193" t="s">
        <v>131</v>
      </c>
      <c r="Q77" s="193" t="s">
        <v>95</v>
      </c>
      <c r="R77" s="193" t="s">
        <v>62</v>
      </c>
      <c r="S77" s="193" t="s">
        <v>123</v>
      </c>
      <c r="T77" s="194" t="s">
        <v>2612</v>
      </c>
      <c r="U77" s="197">
        <f t="shared" si="1"/>
        <v>1</v>
      </c>
      <c r="V77" s="193" t="s">
        <v>1945</v>
      </c>
      <c r="W77" s="193" t="s">
        <v>3574</v>
      </c>
      <c r="X77" s="193" t="s">
        <v>109</v>
      </c>
      <c r="Y77" s="193" t="s">
        <v>109</v>
      </c>
    </row>
    <row r="78" spans="1:25" x14ac:dyDescent="0.3">
      <c r="A78" s="193">
        <v>77</v>
      </c>
      <c r="B78" s="194" t="s">
        <v>143</v>
      </c>
      <c r="C78" s="194" t="s">
        <v>3575</v>
      </c>
      <c r="D78" s="208">
        <v>10326046</v>
      </c>
      <c r="E78" s="194">
        <v>60</v>
      </c>
      <c r="F78" s="193">
        <v>35</v>
      </c>
      <c r="G78" s="193">
        <v>0</v>
      </c>
      <c r="H78" s="196" t="s">
        <v>214</v>
      </c>
      <c r="I78" s="212" t="s">
        <v>91</v>
      </c>
      <c r="J78" s="193" t="s">
        <v>130</v>
      </c>
      <c r="K78" s="198">
        <v>5.4166666666666669E-2</v>
      </c>
      <c r="L78" s="198">
        <v>5.7638888888888892E-2</v>
      </c>
      <c r="M78" s="193" t="s">
        <v>109</v>
      </c>
      <c r="N78" s="196" t="s">
        <v>109</v>
      </c>
      <c r="O78" s="194" t="s">
        <v>61</v>
      </c>
      <c r="P78" s="193" t="s">
        <v>131</v>
      </c>
      <c r="Q78" s="193" t="s">
        <v>91</v>
      </c>
      <c r="R78" s="193" t="s">
        <v>62</v>
      </c>
      <c r="S78" s="193" t="s">
        <v>123</v>
      </c>
      <c r="T78" s="194" t="s">
        <v>2612</v>
      </c>
      <c r="U78" s="197">
        <f t="shared" si="1"/>
        <v>0</v>
      </c>
      <c r="V78" s="193" t="s">
        <v>152</v>
      </c>
      <c r="W78" s="193" t="s">
        <v>3576</v>
      </c>
      <c r="X78" s="193" t="s">
        <v>109</v>
      </c>
      <c r="Y78" s="193" t="s">
        <v>109</v>
      </c>
    </row>
    <row r="79" spans="1:25" x14ac:dyDescent="0.3">
      <c r="A79" s="193">
        <v>78</v>
      </c>
      <c r="B79" s="194" t="s">
        <v>143</v>
      </c>
      <c r="C79" s="194" t="s">
        <v>3577</v>
      </c>
      <c r="D79" s="208">
        <v>10326047</v>
      </c>
      <c r="E79" s="194">
        <v>40</v>
      </c>
      <c r="F79" s="193">
        <v>2</v>
      </c>
      <c r="G79" s="193">
        <v>1</v>
      </c>
      <c r="H79" s="196" t="s">
        <v>222</v>
      </c>
      <c r="I79" s="212" t="s">
        <v>1082</v>
      </c>
      <c r="J79" s="193" t="s">
        <v>130</v>
      </c>
      <c r="K79" s="198">
        <v>1.8749999999999999E-2</v>
      </c>
      <c r="L79" s="198">
        <v>2.9166666666666667E-2</v>
      </c>
      <c r="M79" s="193" t="s">
        <v>109</v>
      </c>
      <c r="N79" s="196" t="s">
        <v>109</v>
      </c>
      <c r="O79" s="194" t="s">
        <v>61</v>
      </c>
      <c r="P79" s="193" t="s">
        <v>131</v>
      </c>
      <c r="Q79" s="193" t="s">
        <v>1082</v>
      </c>
      <c r="R79" s="193" t="s">
        <v>62</v>
      </c>
      <c r="S79" s="193" t="s">
        <v>123</v>
      </c>
      <c r="T79" s="194" t="s">
        <v>2612</v>
      </c>
      <c r="U79" s="197">
        <f t="shared" si="1"/>
        <v>2.5000000000000001E-2</v>
      </c>
      <c r="V79" s="193" t="s">
        <v>152</v>
      </c>
      <c r="W79" s="193" t="s">
        <v>3578</v>
      </c>
      <c r="X79" s="193" t="s">
        <v>109</v>
      </c>
      <c r="Y79" s="193" t="s">
        <v>109</v>
      </c>
    </row>
    <row r="80" spans="1:25" x14ac:dyDescent="0.3">
      <c r="A80" s="193">
        <v>79</v>
      </c>
      <c r="B80" s="194" t="s">
        <v>143</v>
      </c>
      <c r="C80" s="194" t="s">
        <v>3579</v>
      </c>
      <c r="D80" s="208">
        <v>10326051</v>
      </c>
      <c r="E80" s="194">
        <v>35</v>
      </c>
      <c r="F80" s="193">
        <v>12</v>
      </c>
      <c r="G80" s="193">
        <v>1</v>
      </c>
      <c r="H80" s="212" t="s">
        <v>64</v>
      </c>
      <c r="I80" s="211" t="s">
        <v>95</v>
      </c>
      <c r="J80" s="193" t="s">
        <v>130</v>
      </c>
      <c r="K80" s="198">
        <v>0.97222222222222221</v>
      </c>
      <c r="L80" s="198">
        <v>0.99861111111111112</v>
      </c>
      <c r="M80" s="193" t="s">
        <v>109</v>
      </c>
      <c r="N80" s="196" t="s">
        <v>109</v>
      </c>
      <c r="O80" s="194" t="s">
        <v>61</v>
      </c>
      <c r="P80" s="193" t="s">
        <v>131</v>
      </c>
      <c r="Q80" s="193" t="s">
        <v>95</v>
      </c>
      <c r="R80" s="193" t="s">
        <v>62</v>
      </c>
      <c r="S80" s="193" t="s">
        <v>123</v>
      </c>
      <c r="T80" s="194" t="s">
        <v>2612</v>
      </c>
      <c r="U80" s="197">
        <f t="shared" si="1"/>
        <v>2.8571428571428571E-2</v>
      </c>
      <c r="V80" s="193" t="s">
        <v>152</v>
      </c>
      <c r="W80" s="193" t="s">
        <v>3580</v>
      </c>
      <c r="X80" s="193" t="s">
        <v>109</v>
      </c>
      <c r="Y80" s="193" t="s">
        <v>109</v>
      </c>
    </row>
    <row r="81" spans="1:25" x14ac:dyDescent="0.3">
      <c r="A81" s="193">
        <v>80</v>
      </c>
      <c r="B81" s="194" t="s">
        <v>143</v>
      </c>
      <c r="C81" s="194" t="s">
        <v>3581</v>
      </c>
      <c r="D81" s="208">
        <v>10326050</v>
      </c>
      <c r="E81" s="194">
        <v>30</v>
      </c>
      <c r="F81" s="193">
        <v>75</v>
      </c>
      <c r="G81" s="193">
        <v>34</v>
      </c>
      <c r="H81" s="196" t="s">
        <v>214</v>
      </c>
      <c r="I81" s="212" t="s">
        <v>87</v>
      </c>
      <c r="J81" s="193" t="s">
        <v>130</v>
      </c>
      <c r="K81" s="198">
        <v>0.67222222222222228</v>
      </c>
      <c r="L81" s="198">
        <v>0.73055555555555551</v>
      </c>
      <c r="M81" s="193" t="s">
        <v>109</v>
      </c>
      <c r="N81" s="196" t="s">
        <v>109</v>
      </c>
      <c r="O81" s="194" t="s">
        <v>61</v>
      </c>
      <c r="P81" s="193" t="s">
        <v>131</v>
      </c>
      <c r="Q81" s="193" t="s">
        <v>87</v>
      </c>
      <c r="R81" s="193" t="s">
        <v>62</v>
      </c>
      <c r="S81" s="193" t="s">
        <v>123</v>
      </c>
      <c r="T81" s="194" t="s">
        <v>2612</v>
      </c>
      <c r="U81" s="197">
        <f t="shared" si="1"/>
        <v>1.1333333333333333</v>
      </c>
      <c r="V81" s="193" t="s">
        <v>1945</v>
      </c>
      <c r="W81" s="193" t="s">
        <v>3582</v>
      </c>
      <c r="X81" s="193" t="s">
        <v>109</v>
      </c>
      <c r="Y81" s="193" t="s">
        <v>109</v>
      </c>
    </row>
    <row r="82" spans="1:25" x14ac:dyDescent="0.3">
      <c r="A82" s="193">
        <v>81</v>
      </c>
      <c r="B82" s="194" t="s">
        <v>143</v>
      </c>
      <c r="C82" s="194" t="s">
        <v>3583</v>
      </c>
      <c r="D82" s="208">
        <v>10326052</v>
      </c>
      <c r="E82" s="194">
        <v>55</v>
      </c>
      <c r="F82" s="193">
        <v>73</v>
      </c>
      <c r="G82" s="193">
        <v>31</v>
      </c>
      <c r="H82" s="196" t="s">
        <v>200</v>
      </c>
      <c r="I82" s="212" t="s">
        <v>91</v>
      </c>
      <c r="J82" s="193" t="s">
        <v>130</v>
      </c>
      <c r="K82" s="198">
        <v>0.88055555555555554</v>
      </c>
      <c r="L82" s="198">
        <v>0.97777777777777775</v>
      </c>
      <c r="M82" s="193" t="s">
        <v>109</v>
      </c>
      <c r="N82" s="196" t="s">
        <v>109</v>
      </c>
      <c r="O82" s="194" t="s">
        <v>61</v>
      </c>
      <c r="P82" s="193" t="s">
        <v>131</v>
      </c>
      <c r="Q82" s="193" t="s">
        <v>91</v>
      </c>
      <c r="R82" s="193" t="s">
        <v>62</v>
      </c>
      <c r="S82" s="193" t="s">
        <v>123</v>
      </c>
      <c r="T82" s="194" t="s">
        <v>398</v>
      </c>
      <c r="U82" s="197">
        <f t="shared" si="1"/>
        <v>0.5636363636363636</v>
      </c>
      <c r="V82" s="193" t="s">
        <v>152</v>
      </c>
      <c r="W82" s="193" t="s">
        <v>3584</v>
      </c>
      <c r="X82" s="193" t="s">
        <v>109</v>
      </c>
      <c r="Y82" s="193" t="s">
        <v>109</v>
      </c>
    </row>
    <row r="83" spans="1:25" x14ac:dyDescent="0.3">
      <c r="A83" s="193">
        <v>82</v>
      </c>
      <c r="B83" s="194" t="s">
        <v>143</v>
      </c>
      <c r="C83" s="194" t="s">
        <v>3585</v>
      </c>
      <c r="D83" s="208">
        <v>10326048</v>
      </c>
      <c r="E83" s="194">
        <v>35</v>
      </c>
      <c r="F83" s="193">
        <v>60</v>
      </c>
      <c r="G83" s="193">
        <v>30</v>
      </c>
      <c r="H83" s="196" t="s">
        <v>66</v>
      </c>
      <c r="I83" s="212" t="s">
        <v>93</v>
      </c>
      <c r="J83" s="193" t="s">
        <v>130</v>
      </c>
      <c r="K83" s="198">
        <v>0.93263888888888891</v>
      </c>
      <c r="L83" s="198">
        <v>3.472222222222222E-3</v>
      </c>
      <c r="M83" s="193" t="s">
        <v>109</v>
      </c>
      <c r="N83" s="196" t="s">
        <v>109</v>
      </c>
      <c r="O83" s="194" t="s">
        <v>61</v>
      </c>
      <c r="P83" s="193" t="s">
        <v>131</v>
      </c>
      <c r="Q83" s="193" t="s">
        <v>93</v>
      </c>
      <c r="R83" s="193" t="s">
        <v>62</v>
      </c>
      <c r="S83" s="193" t="s">
        <v>123</v>
      </c>
      <c r="T83" s="194" t="s">
        <v>398</v>
      </c>
      <c r="U83" s="197">
        <f t="shared" si="1"/>
        <v>0.8571428571428571</v>
      </c>
      <c r="V83" s="193" t="s">
        <v>1313</v>
      </c>
      <c r="W83" s="193" t="s">
        <v>3586</v>
      </c>
      <c r="X83" s="193" t="s">
        <v>3281</v>
      </c>
      <c r="Y83" s="193" t="s">
        <v>3102</v>
      </c>
    </row>
    <row r="84" spans="1:25" x14ac:dyDescent="0.3">
      <c r="A84" s="193">
        <v>83</v>
      </c>
      <c r="B84" s="194" t="s">
        <v>143</v>
      </c>
      <c r="C84" s="194" t="s">
        <v>3587</v>
      </c>
      <c r="D84" s="208">
        <v>10326053</v>
      </c>
      <c r="E84" s="194">
        <v>100</v>
      </c>
      <c r="F84" s="193">
        <v>67</v>
      </c>
      <c r="G84" s="193">
        <v>0</v>
      </c>
      <c r="H84" s="210" t="s">
        <v>3588</v>
      </c>
      <c r="I84" s="193" t="s">
        <v>3589</v>
      </c>
      <c r="J84" s="193" t="s">
        <v>130</v>
      </c>
      <c r="K84" s="198">
        <v>0.8</v>
      </c>
      <c r="L84" s="198">
        <v>4.1666666666666666E-3</v>
      </c>
      <c r="M84" s="193" t="s">
        <v>109</v>
      </c>
      <c r="N84" s="196" t="s">
        <v>109</v>
      </c>
      <c r="O84" s="194" t="s">
        <v>61</v>
      </c>
      <c r="P84" s="193" t="s">
        <v>131</v>
      </c>
      <c r="Q84" s="193" t="s">
        <v>88</v>
      </c>
      <c r="R84" s="193" t="s">
        <v>62</v>
      </c>
      <c r="S84" s="193" t="s">
        <v>123</v>
      </c>
      <c r="T84" s="194" t="s">
        <v>182</v>
      </c>
      <c r="U84" s="197">
        <f t="shared" si="1"/>
        <v>0</v>
      </c>
      <c r="V84" s="193" t="s">
        <v>152</v>
      </c>
      <c r="W84" s="193" t="s">
        <v>3590</v>
      </c>
      <c r="X84" s="193" t="s">
        <v>3281</v>
      </c>
      <c r="Y84" s="193" t="s">
        <v>3102</v>
      </c>
    </row>
    <row r="85" spans="1:25" x14ac:dyDescent="0.3">
      <c r="A85" s="193">
        <v>84</v>
      </c>
      <c r="B85" s="194" t="s">
        <v>23</v>
      </c>
      <c r="C85" s="194" t="s">
        <v>3591</v>
      </c>
      <c r="D85" s="194">
        <v>50326062</v>
      </c>
      <c r="E85" s="194">
        <v>65</v>
      </c>
      <c r="F85" s="193">
        <v>98</v>
      </c>
      <c r="G85" s="193">
        <v>48</v>
      </c>
      <c r="H85" s="196" t="s">
        <v>184</v>
      </c>
      <c r="I85" s="193" t="s">
        <v>109</v>
      </c>
      <c r="J85" s="193" t="s">
        <v>130</v>
      </c>
      <c r="K85" s="198">
        <v>0.82361111111111107</v>
      </c>
      <c r="L85" s="193" t="s">
        <v>109</v>
      </c>
      <c r="M85" s="193" t="s">
        <v>109</v>
      </c>
      <c r="N85" s="209" t="s">
        <v>110</v>
      </c>
      <c r="O85" s="194" t="s">
        <v>61</v>
      </c>
      <c r="P85" s="193" t="s">
        <v>131</v>
      </c>
      <c r="Q85" s="193" t="s">
        <v>184</v>
      </c>
      <c r="R85" s="193" t="s">
        <v>62</v>
      </c>
      <c r="S85" s="193" t="s">
        <v>123</v>
      </c>
      <c r="T85" s="194" t="s">
        <v>424</v>
      </c>
      <c r="U85" s="197">
        <f t="shared" si="1"/>
        <v>0.7384615384615385</v>
      </c>
      <c r="V85" s="193" t="s">
        <v>152</v>
      </c>
      <c r="W85" s="193" t="s">
        <v>3592</v>
      </c>
      <c r="X85" s="193" t="s">
        <v>109</v>
      </c>
      <c r="Y85" s="193" t="s">
        <v>109</v>
      </c>
    </row>
    <row r="86" spans="1:25" x14ac:dyDescent="0.3">
      <c r="A86" s="193">
        <v>85</v>
      </c>
      <c r="B86" s="194" t="s">
        <v>23</v>
      </c>
      <c r="C86" s="194" t="s">
        <v>3593</v>
      </c>
      <c r="D86" s="194">
        <v>50326061</v>
      </c>
      <c r="E86" s="194">
        <v>60</v>
      </c>
      <c r="F86" s="193">
        <v>83</v>
      </c>
      <c r="G86" s="193">
        <v>43</v>
      </c>
      <c r="H86" s="196" t="s">
        <v>71</v>
      </c>
      <c r="I86" s="193" t="s">
        <v>109</v>
      </c>
      <c r="J86" s="193" t="s">
        <v>130</v>
      </c>
      <c r="K86" s="198">
        <v>0.68541666666666667</v>
      </c>
      <c r="L86" s="193" t="s">
        <v>109</v>
      </c>
      <c r="M86" s="193" t="s">
        <v>109</v>
      </c>
      <c r="N86" s="209" t="s">
        <v>110</v>
      </c>
      <c r="O86" s="194" t="s">
        <v>61</v>
      </c>
      <c r="P86" s="193" t="s">
        <v>131</v>
      </c>
      <c r="Q86" s="193" t="s">
        <v>71</v>
      </c>
      <c r="R86" s="193" t="s">
        <v>62</v>
      </c>
      <c r="S86" s="193" t="s">
        <v>123</v>
      </c>
      <c r="T86" s="194" t="s">
        <v>424</v>
      </c>
      <c r="U86" s="197">
        <f t="shared" si="1"/>
        <v>0.71666666666666667</v>
      </c>
      <c r="V86" s="193" t="s">
        <v>152</v>
      </c>
      <c r="W86" s="193" t="s">
        <v>3594</v>
      </c>
      <c r="X86" s="193" t="s">
        <v>109</v>
      </c>
      <c r="Y86" s="193" t="s">
        <v>109</v>
      </c>
    </row>
    <row r="87" spans="1:25" x14ac:dyDescent="0.3">
      <c r="A87" s="193">
        <v>86</v>
      </c>
      <c r="B87" s="194" t="s">
        <v>23</v>
      </c>
      <c r="C87" s="194" t="s">
        <v>3595</v>
      </c>
      <c r="D87" s="194">
        <v>50326060</v>
      </c>
      <c r="E87" s="194">
        <v>150</v>
      </c>
      <c r="F87" s="193">
        <v>188</v>
      </c>
      <c r="G87" s="193">
        <v>132</v>
      </c>
      <c r="H87" s="212" t="s">
        <v>970</v>
      </c>
      <c r="I87" s="193" t="s">
        <v>109</v>
      </c>
      <c r="J87" s="193" t="s">
        <v>130</v>
      </c>
      <c r="K87" s="198">
        <v>0.79513888888888884</v>
      </c>
      <c r="L87" s="193" t="s">
        <v>109</v>
      </c>
      <c r="M87" s="193" t="s">
        <v>109</v>
      </c>
      <c r="N87" s="209" t="s">
        <v>110</v>
      </c>
      <c r="O87" s="194" t="s">
        <v>61</v>
      </c>
      <c r="P87" s="193" t="s">
        <v>131</v>
      </c>
      <c r="Q87" s="193" t="s">
        <v>87</v>
      </c>
      <c r="R87" s="193" t="s">
        <v>62</v>
      </c>
      <c r="S87" s="193" t="s">
        <v>123</v>
      </c>
      <c r="T87" s="194" t="s">
        <v>424</v>
      </c>
      <c r="U87" s="197">
        <f t="shared" si="1"/>
        <v>0.88</v>
      </c>
      <c r="V87" s="193" t="s">
        <v>152</v>
      </c>
      <c r="W87" s="193" t="s">
        <v>3596</v>
      </c>
      <c r="X87" s="193" t="s">
        <v>109</v>
      </c>
      <c r="Y87" s="193" t="s">
        <v>109</v>
      </c>
    </row>
    <row r="88" spans="1:25" x14ac:dyDescent="0.3">
      <c r="A88" s="193">
        <v>87</v>
      </c>
      <c r="B88" s="194" t="s">
        <v>23</v>
      </c>
      <c r="C88" s="194" t="s">
        <v>3597</v>
      </c>
      <c r="D88" s="194">
        <v>50326063</v>
      </c>
      <c r="E88" s="194">
        <v>120</v>
      </c>
      <c r="F88" s="193">
        <v>172</v>
      </c>
      <c r="G88" s="193">
        <v>77</v>
      </c>
      <c r="H88" s="193" t="s">
        <v>2595</v>
      </c>
      <c r="I88" s="193" t="s">
        <v>109</v>
      </c>
      <c r="J88" s="193" t="s">
        <v>130</v>
      </c>
      <c r="K88" s="198">
        <v>0.77013888888888893</v>
      </c>
      <c r="L88" s="193" t="s">
        <v>109</v>
      </c>
      <c r="M88" s="193" t="s">
        <v>109</v>
      </c>
      <c r="N88" s="209" t="s">
        <v>110</v>
      </c>
      <c r="O88" s="194" t="s">
        <v>61</v>
      </c>
      <c r="P88" s="193" t="s">
        <v>131</v>
      </c>
      <c r="Q88" s="193" t="s">
        <v>184</v>
      </c>
      <c r="R88" s="193" t="s">
        <v>62</v>
      </c>
      <c r="S88" s="193" t="s">
        <v>123</v>
      </c>
      <c r="T88" s="194" t="s">
        <v>424</v>
      </c>
      <c r="U88" s="197">
        <f t="shared" si="1"/>
        <v>0.64166666666666672</v>
      </c>
      <c r="V88" s="193" t="s">
        <v>152</v>
      </c>
      <c r="W88" s="193" t="s">
        <v>3598</v>
      </c>
      <c r="X88" s="193" t="s">
        <v>109</v>
      </c>
      <c r="Y88" s="193" t="s">
        <v>109</v>
      </c>
    </row>
    <row r="89" spans="1:25" x14ac:dyDescent="0.3">
      <c r="A89" s="193">
        <v>88</v>
      </c>
      <c r="B89" s="194" t="s">
        <v>23</v>
      </c>
      <c r="C89" s="194" t="s">
        <v>3599</v>
      </c>
      <c r="D89" s="194">
        <v>50326050</v>
      </c>
      <c r="E89" s="194">
        <v>150</v>
      </c>
      <c r="F89" s="193">
        <v>199</v>
      </c>
      <c r="G89" s="193">
        <v>166</v>
      </c>
      <c r="H89" s="212" t="s">
        <v>2975</v>
      </c>
      <c r="I89" s="193" t="s">
        <v>109</v>
      </c>
      <c r="J89" s="193" t="s">
        <v>130</v>
      </c>
      <c r="K89" s="198">
        <v>0.75694444444444442</v>
      </c>
      <c r="L89" s="198">
        <v>0.75694444444444442</v>
      </c>
      <c r="M89" s="193" t="s">
        <v>109</v>
      </c>
      <c r="N89" s="209" t="s">
        <v>110</v>
      </c>
      <c r="O89" s="194" t="s">
        <v>61</v>
      </c>
      <c r="P89" s="193" t="s">
        <v>131</v>
      </c>
      <c r="Q89" s="193" t="s">
        <v>93</v>
      </c>
      <c r="R89" s="193" t="s">
        <v>62</v>
      </c>
      <c r="S89" s="193" t="s">
        <v>123</v>
      </c>
      <c r="T89" s="194" t="s">
        <v>424</v>
      </c>
      <c r="U89" s="197">
        <f t="shared" si="1"/>
        <v>1.1066666666666667</v>
      </c>
      <c r="V89" s="193" t="s">
        <v>152</v>
      </c>
      <c r="W89" s="193" t="s">
        <v>3600</v>
      </c>
      <c r="X89" s="193" t="s">
        <v>109</v>
      </c>
      <c r="Y89" s="193" t="s">
        <v>109</v>
      </c>
    </row>
    <row r="90" spans="1:25" x14ac:dyDescent="0.3">
      <c r="A90" s="193">
        <v>89</v>
      </c>
      <c r="B90" s="194" t="s">
        <v>23</v>
      </c>
      <c r="C90" s="194" t="s">
        <v>3601</v>
      </c>
      <c r="D90" s="194">
        <v>50326051</v>
      </c>
      <c r="E90" s="194">
        <v>150</v>
      </c>
      <c r="F90" s="193">
        <v>194</v>
      </c>
      <c r="G90" s="193">
        <v>155</v>
      </c>
      <c r="H90" s="193" t="s">
        <v>3530</v>
      </c>
      <c r="I90" s="193" t="s">
        <v>109</v>
      </c>
      <c r="J90" s="193" t="s">
        <v>130</v>
      </c>
      <c r="K90" s="198">
        <v>0.75972222222222219</v>
      </c>
      <c r="L90" s="193" t="s">
        <v>109</v>
      </c>
      <c r="M90" s="193" t="s">
        <v>109</v>
      </c>
      <c r="N90" s="209" t="s">
        <v>110</v>
      </c>
      <c r="O90" s="194" t="s">
        <v>61</v>
      </c>
      <c r="P90" s="193" t="s">
        <v>131</v>
      </c>
      <c r="Q90" s="193" t="s">
        <v>1082</v>
      </c>
      <c r="R90" s="193" t="s">
        <v>62</v>
      </c>
      <c r="S90" s="193" t="s">
        <v>123</v>
      </c>
      <c r="T90" s="194" t="s">
        <v>424</v>
      </c>
      <c r="U90" s="197">
        <f t="shared" si="1"/>
        <v>1.0333333333333334</v>
      </c>
      <c r="V90" s="193" t="s">
        <v>1945</v>
      </c>
      <c r="W90" s="193" t="s">
        <v>3602</v>
      </c>
      <c r="X90" s="193" t="s">
        <v>109</v>
      </c>
      <c r="Y90" s="193" t="s">
        <v>109</v>
      </c>
    </row>
    <row r="91" spans="1:25" x14ac:dyDescent="0.3">
      <c r="A91" s="193">
        <v>90</v>
      </c>
      <c r="B91" s="194" t="s">
        <v>23</v>
      </c>
      <c r="C91" s="194" t="s">
        <v>3603</v>
      </c>
      <c r="D91" s="194">
        <v>50326052</v>
      </c>
      <c r="E91" s="194">
        <v>55</v>
      </c>
      <c r="F91" s="193">
        <v>66</v>
      </c>
      <c r="G91" s="193">
        <v>47</v>
      </c>
      <c r="H91" s="199" t="s">
        <v>69</v>
      </c>
      <c r="I91" s="193" t="s">
        <v>109</v>
      </c>
      <c r="J91" s="193" t="s">
        <v>130</v>
      </c>
      <c r="K91" s="198">
        <v>0.73333333333333328</v>
      </c>
      <c r="L91" s="193" t="s">
        <v>109</v>
      </c>
      <c r="M91" s="193" t="s">
        <v>109</v>
      </c>
      <c r="N91" s="209" t="s">
        <v>110</v>
      </c>
      <c r="O91" s="194" t="s">
        <v>61</v>
      </c>
      <c r="P91" s="193" t="s">
        <v>131</v>
      </c>
      <c r="Q91" s="193" t="s">
        <v>69</v>
      </c>
      <c r="R91" s="193" t="s">
        <v>62</v>
      </c>
      <c r="S91" s="193" t="s">
        <v>123</v>
      </c>
      <c r="T91" s="194" t="s">
        <v>424</v>
      </c>
      <c r="U91" s="197">
        <f t="shared" si="1"/>
        <v>0.8545454545454545</v>
      </c>
      <c r="V91" s="193" t="s">
        <v>152</v>
      </c>
      <c r="W91" s="193" t="s">
        <v>3604</v>
      </c>
      <c r="X91" s="193" t="s">
        <v>109</v>
      </c>
      <c r="Y91" s="193" t="s">
        <v>109</v>
      </c>
    </row>
    <row r="92" spans="1:25" x14ac:dyDescent="0.3">
      <c r="A92" s="193">
        <v>91</v>
      </c>
      <c r="B92" s="194" t="s">
        <v>23</v>
      </c>
      <c r="C92" s="194" t="s">
        <v>3605</v>
      </c>
      <c r="D92" s="194">
        <v>50326053</v>
      </c>
      <c r="E92" s="194">
        <v>150</v>
      </c>
      <c r="F92" s="193">
        <v>200</v>
      </c>
      <c r="G92" s="193">
        <v>158</v>
      </c>
      <c r="H92" s="193" t="s">
        <v>2927</v>
      </c>
      <c r="I92" s="193" t="s">
        <v>109</v>
      </c>
      <c r="J92" s="193" t="s">
        <v>130</v>
      </c>
      <c r="K92" s="198">
        <v>0.76597222222222228</v>
      </c>
      <c r="L92" s="193" t="s">
        <v>109</v>
      </c>
      <c r="M92" s="193" t="s">
        <v>109</v>
      </c>
      <c r="N92" s="209" t="s">
        <v>110</v>
      </c>
      <c r="O92" s="194" t="s">
        <v>61</v>
      </c>
      <c r="P92" s="193" t="s">
        <v>131</v>
      </c>
      <c r="Q92" s="193" t="s">
        <v>209</v>
      </c>
      <c r="R92" s="193" t="s">
        <v>62</v>
      </c>
      <c r="S92" s="193" t="s">
        <v>123</v>
      </c>
      <c r="T92" s="194" t="s">
        <v>424</v>
      </c>
      <c r="U92" s="197">
        <f t="shared" si="1"/>
        <v>1.0533333333333332</v>
      </c>
      <c r="V92" s="193" t="s">
        <v>1945</v>
      </c>
      <c r="W92" s="193" t="s">
        <v>3606</v>
      </c>
      <c r="X92" s="193" t="s">
        <v>109</v>
      </c>
      <c r="Y92" s="193" t="s">
        <v>109</v>
      </c>
    </row>
    <row r="93" spans="1:25" x14ac:dyDescent="0.3">
      <c r="A93" s="193">
        <v>92</v>
      </c>
      <c r="B93" s="194" t="s">
        <v>23</v>
      </c>
      <c r="C93" s="194" t="s">
        <v>3607</v>
      </c>
      <c r="D93" s="194">
        <v>50326054</v>
      </c>
      <c r="E93" s="194">
        <v>150</v>
      </c>
      <c r="F93" s="193">
        <v>209</v>
      </c>
      <c r="G93" s="193">
        <v>169</v>
      </c>
      <c r="H93" s="211" t="s">
        <v>1549</v>
      </c>
      <c r="I93" s="193" t="s">
        <v>109</v>
      </c>
      <c r="J93" s="193" t="s">
        <v>130</v>
      </c>
      <c r="K93" s="198">
        <v>0.80694444444444446</v>
      </c>
      <c r="L93" s="193" t="s">
        <v>109</v>
      </c>
      <c r="M93" s="193" t="s">
        <v>109</v>
      </c>
      <c r="N93" s="209" t="s">
        <v>110</v>
      </c>
      <c r="O93" s="194" t="s">
        <v>61</v>
      </c>
      <c r="P93" s="193" t="s">
        <v>131</v>
      </c>
      <c r="Q93" s="193" t="s">
        <v>94</v>
      </c>
      <c r="R93" s="193" t="s">
        <v>62</v>
      </c>
      <c r="S93" s="193" t="s">
        <v>123</v>
      </c>
      <c r="T93" s="194" t="s">
        <v>424</v>
      </c>
      <c r="U93" s="197">
        <f t="shared" si="1"/>
        <v>1.1266666666666667</v>
      </c>
      <c r="V93" s="193" t="s">
        <v>1945</v>
      </c>
      <c r="W93" s="193" t="s">
        <v>3608</v>
      </c>
      <c r="X93" s="193" t="s">
        <v>109</v>
      </c>
      <c r="Y93" s="193" t="s">
        <v>109</v>
      </c>
    </row>
    <row r="94" spans="1:25" x14ac:dyDescent="0.3">
      <c r="A94" s="193">
        <v>93</v>
      </c>
      <c r="B94" s="194" t="s">
        <v>23</v>
      </c>
      <c r="C94" s="194" t="s">
        <v>3609</v>
      </c>
      <c r="D94" s="194">
        <v>50326058</v>
      </c>
      <c r="E94" s="194">
        <v>100</v>
      </c>
      <c r="F94" s="193">
        <v>150</v>
      </c>
      <c r="G94" s="193">
        <v>91</v>
      </c>
      <c r="H94" s="212" t="s">
        <v>154</v>
      </c>
      <c r="I94" s="193" t="s">
        <v>109</v>
      </c>
      <c r="J94" s="193" t="s">
        <v>130</v>
      </c>
      <c r="K94" s="198">
        <v>0.85</v>
      </c>
      <c r="L94" s="193" t="s">
        <v>109</v>
      </c>
      <c r="M94" s="193" t="s">
        <v>109</v>
      </c>
      <c r="N94" s="209" t="s">
        <v>110</v>
      </c>
      <c r="O94" s="194" t="s">
        <v>61</v>
      </c>
      <c r="P94" s="193" t="s">
        <v>131</v>
      </c>
      <c r="Q94" s="193" t="s">
        <v>154</v>
      </c>
      <c r="R94" s="193" t="s">
        <v>62</v>
      </c>
      <c r="S94" s="193" t="s">
        <v>123</v>
      </c>
      <c r="T94" s="194" t="s">
        <v>424</v>
      </c>
      <c r="U94" s="197">
        <f t="shared" si="1"/>
        <v>0.91</v>
      </c>
      <c r="V94" s="193" t="s">
        <v>1945</v>
      </c>
      <c r="W94" s="193" t="s">
        <v>3610</v>
      </c>
      <c r="X94" s="193" t="s">
        <v>109</v>
      </c>
      <c r="Y94" s="193" t="s">
        <v>109</v>
      </c>
    </row>
    <row r="95" spans="1:25" x14ac:dyDescent="0.3">
      <c r="A95" s="193">
        <v>94</v>
      </c>
      <c r="B95" s="194" t="s">
        <v>23</v>
      </c>
      <c r="C95" s="194" t="s">
        <v>3611</v>
      </c>
      <c r="D95" s="194">
        <v>50326057</v>
      </c>
      <c r="E95" s="194">
        <v>100</v>
      </c>
      <c r="F95" s="193">
        <v>80</v>
      </c>
      <c r="G95" s="193">
        <v>75</v>
      </c>
      <c r="H95" s="212" t="s">
        <v>88</v>
      </c>
      <c r="I95" s="193" t="s">
        <v>109</v>
      </c>
      <c r="J95" s="193" t="s">
        <v>130</v>
      </c>
      <c r="K95" s="198">
        <v>0.93263888888888891</v>
      </c>
      <c r="L95" s="193" t="s">
        <v>109</v>
      </c>
      <c r="M95" s="193" t="s">
        <v>109</v>
      </c>
      <c r="N95" s="209" t="s">
        <v>110</v>
      </c>
      <c r="O95" s="194" t="s">
        <v>61</v>
      </c>
      <c r="P95" s="193" t="s">
        <v>131</v>
      </c>
      <c r="Q95" s="193" t="s">
        <v>88</v>
      </c>
      <c r="R95" s="193" t="s">
        <v>62</v>
      </c>
      <c r="S95" s="193" t="s">
        <v>123</v>
      </c>
      <c r="T95" s="194" t="s">
        <v>424</v>
      </c>
      <c r="U95" s="197">
        <f t="shared" si="1"/>
        <v>0.75</v>
      </c>
      <c r="V95" s="193" t="s">
        <v>152</v>
      </c>
      <c r="W95" s="193" t="s">
        <v>3612</v>
      </c>
      <c r="X95" s="193" t="s">
        <v>109</v>
      </c>
      <c r="Y95" s="193" t="s">
        <v>109</v>
      </c>
    </row>
    <row r="96" spans="1:25" x14ac:dyDescent="0.3">
      <c r="A96" s="193">
        <v>95</v>
      </c>
      <c r="B96" s="194" t="s">
        <v>23</v>
      </c>
      <c r="C96" s="194" t="s">
        <v>3613</v>
      </c>
      <c r="D96" s="194">
        <v>50326055</v>
      </c>
      <c r="E96" s="194">
        <v>100</v>
      </c>
      <c r="F96" s="193">
        <v>109</v>
      </c>
      <c r="G96" s="193">
        <v>29</v>
      </c>
      <c r="H96" s="211" t="s">
        <v>95</v>
      </c>
      <c r="I96" s="193" t="s">
        <v>109</v>
      </c>
      <c r="J96" s="193" t="s">
        <v>130</v>
      </c>
      <c r="K96" s="198">
        <v>0.72291666666666665</v>
      </c>
      <c r="L96" s="193" t="s">
        <v>109</v>
      </c>
      <c r="M96" s="193" t="s">
        <v>109</v>
      </c>
      <c r="N96" s="209" t="s">
        <v>110</v>
      </c>
      <c r="O96" s="194" t="s">
        <v>61</v>
      </c>
      <c r="P96" s="193" t="s">
        <v>131</v>
      </c>
      <c r="Q96" s="193" t="s">
        <v>95</v>
      </c>
      <c r="R96" s="193" t="s">
        <v>62</v>
      </c>
      <c r="S96" s="193" t="s">
        <v>123</v>
      </c>
      <c r="T96" s="194" t="s">
        <v>424</v>
      </c>
      <c r="U96" s="197">
        <f t="shared" si="1"/>
        <v>0.28999999999999998</v>
      </c>
      <c r="V96" s="193" t="s">
        <v>152</v>
      </c>
      <c r="W96" s="193" t="s">
        <v>3614</v>
      </c>
      <c r="X96" s="193" t="s">
        <v>109</v>
      </c>
      <c r="Y96" s="193" t="s">
        <v>109</v>
      </c>
    </row>
    <row r="97" spans="1:25" x14ac:dyDescent="0.3">
      <c r="A97" s="193">
        <v>96</v>
      </c>
      <c r="B97" s="194" t="s">
        <v>23</v>
      </c>
      <c r="C97" s="194" t="s">
        <v>3615</v>
      </c>
      <c r="D97" s="194">
        <v>50326056</v>
      </c>
      <c r="E97" s="194">
        <v>100</v>
      </c>
      <c r="F97" s="193">
        <v>110</v>
      </c>
      <c r="G97" s="193">
        <v>108</v>
      </c>
      <c r="H97" s="211" t="s">
        <v>209</v>
      </c>
      <c r="I97" s="193" t="s">
        <v>109</v>
      </c>
      <c r="J97" s="193" t="s">
        <v>130</v>
      </c>
      <c r="K97" s="198">
        <v>0.7944444444444444</v>
      </c>
      <c r="L97" s="193" t="s">
        <v>109</v>
      </c>
      <c r="M97" s="193" t="s">
        <v>109</v>
      </c>
      <c r="N97" s="209" t="s">
        <v>110</v>
      </c>
      <c r="O97" s="194" t="s">
        <v>61</v>
      </c>
      <c r="P97" s="193" t="s">
        <v>131</v>
      </c>
      <c r="Q97" s="193" t="s">
        <v>209</v>
      </c>
      <c r="R97" s="193" t="s">
        <v>62</v>
      </c>
      <c r="S97" s="193" t="s">
        <v>123</v>
      </c>
      <c r="T97" s="194" t="s">
        <v>424</v>
      </c>
      <c r="U97" s="197">
        <f t="shared" si="1"/>
        <v>1.08</v>
      </c>
      <c r="V97" s="193" t="s">
        <v>1945</v>
      </c>
      <c r="W97" s="193" t="s">
        <v>3616</v>
      </c>
      <c r="X97" s="193" t="s">
        <v>109</v>
      </c>
      <c r="Y97" s="193" t="s">
        <v>109</v>
      </c>
    </row>
    <row r="98" spans="1:25" x14ac:dyDescent="0.3">
      <c r="A98" s="193">
        <v>97</v>
      </c>
      <c r="B98" s="194" t="s">
        <v>23</v>
      </c>
      <c r="C98" s="194" t="s">
        <v>3617</v>
      </c>
      <c r="D98" s="194">
        <v>50326059</v>
      </c>
      <c r="E98" s="194">
        <v>300</v>
      </c>
      <c r="F98" s="193">
        <v>490</v>
      </c>
      <c r="G98" s="193">
        <v>312</v>
      </c>
      <c r="H98" s="212" t="s">
        <v>3174</v>
      </c>
      <c r="I98" s="193" t="s">
        <v>109</v>
      </c>
      <c r="J98" s="193" t="s">
        <v>130</v>
      </c>
      <c r="K98" s="198">
        <v>0.91388888888888886</v>
      </c>
      <c r="L98" s="193" t="s">
        <v>109</v>
      </c>
      <c r="M98" s="193" t="s">
        <v>109</v>
      </c>
      <c r="N98" s="209" t="s">
        <v>110</v>
      </c>
      <c r="O98" s="194" t="s">
        <v>61</v>
      </c>
      <c r="P98" s="193" t="s">
        <v>131</v>
      </c>
      <c r="Q98" s="193" t="s">
        <v>93</v>
      </c>
      <c r="R98" s="193" t="s">
        <v>62</v>
      </c>
      <c r="S98" s="193" t="s">
        <v>123</v>
      </c>
      <c r="T98" s="194" t="s">
        <v>424</v>
      </c>
      <c r="U98" s="197">
        <f t="shared" si="1"/>
        <v>1.04</v>
      </c>
      <c r="V98" s="193" t="s">
        <v>1945</v>
      </c>
      <c r="W98" s="193" t="s">
        <v>3618</v>
      </c>
      <c r="X98" s="193" t="s">
        <v>109</v>
      </c>
      <c r="Y98" s="193" t="s">
        <v>109</v>
      </c>
    </row>
    <row r="99" spans="1:25" x14ac:dyDescent="0.3">
      <c r="A99" s="193">
        <v>98</v>
      </c>
      <c r="B99" s="194" t="s">
        <v>23</v>
      </c>
      <c r="C99" s="194" t="s">
        <v>923</v>
      </c>
      <c r="D99" s="194">
        <v>50126259</v>
      </c>
      <c r="E99" s="194">
        <v>75</v>
      </c>
      <c r="F99" s="193">
        <v>91</v>
      </c>
      <c r="G99" s="193">
        <v>83</v>
      </c>
      <c r="H99" s="196" t="s">
        <v>196</v>
      </c>
      <c r="I99" s="193" t="s">
        <v>109</v>
      </c>
      <c r="J99" s="193" t="s">
        <v>130</v>
      </c>
      <c r="K99" s="198">
        <v>0.67986111111111114</v>
      </c>
      <c r="L99" s="193" t="s">
        <v>109</v>
      </c>
      <c r="M99" s="193" t="s">
        <v>109</v>
      </c>
      <c r="N99" s="194" t="s">
        <v>109</v>
      </c>
      <c r="O99" s="194" t="s">
        <v>61</v>
      </c>
      <c r="P99" s="193" t="s">
        <v>131</v>
      </c>
      <c r="Q99" s="193" t="s">
        <v>196</v>
      </c>
      <c r="R99" s="193" t="s">
        <v>62</v>
      </c>
      <c r="S99" s="193" t="s">
        <v>123</v>
      </c>
      <c r="T99" s="194" t="s">
        <v>424</v>
      </c>
      <c r="U99" s="197">
        <f t="shared" si="1"/>
        <v>1.1066666666666667</v>
      </c>
      <c r="V99" s="193" t="s">
        <v>1945</v>
      </c>
      <c r="W99" s="193" t="s">
        <v>3619</v>
      </c>
      <c r="X99" s="193" t="s">
        <v>109</v>
      </c>
      <c r="Y99" s="193" t="s">
        <v>109</v>
      </c>
    </row>
    <row r="100" spans="1:25" x14ac:dyDescent="0.3">
      <c r="A100" s="193">
        <v>99</v>
      </c>
      <c r="B100" s="194" t="s">
        <v>23</v>
      </c>
      <c r="C100" s="194" t="s">
        <v>1915</v>
      </c>
      <c r="D100" s="194">
        <v>50226019</v>
      </c>
      <c r="E100" s="194">
        <v>100</v>
      </c>
      <c r="F100" s="193">
        <v>172</v>
      </c>
      <c r="G100" s="193">
        <v>90</v>
      </c>
      <c r="H100" s="211" t="s">
        <v>86</v>
      </c>
      <c r="I100" s="193" t="s">
        <v>109</v>
      </c>
      <c r="J100" s="193" t="s">
        <v>130</v>
      </c>
      <c r="K100" s="198">
        <v>0.99583333333333335</v>
      </c>
      <c r="L100" s="193" t="s">
        <v>109</v>
      </c>
      <c r="M100" s="193" t="s">
        <v>109</v>
      </c>
      <c r="N100" s="194" t="s">
        <v>109</v>
      </c>
      <c r="O100" s="194" t="s">
        <v>61</v>
      </c>
      <c r="P100" s="193" t="s">
        <v>131</v>
      </c>
      <c r="Q100" s="193" t="s">
        <v>86</v>
      </c>
      <c r="R100" s="193" t="s">
        <v>62</v>
      </c>
      <c r="S100" s="193" t="s">
        <v>123</v>
      </c>
      <c r="T100" s="194" t="s">
        <v>424</v>
      </c>
      <c r="U100" s="197">
        <f t="shared" si="1"/>
        <v>0.9</v>
      </c>
      <c r="V100" s="193" t="s">
        <v>1945</v>
      </c>
      <c r="W100" s="193" t="s">
        <v>3620</v>
      </c>
      <c r="X100" s="193" t="s">
        <v>109</v>
      </c>
      <c r="Y100" s="193" t="s">
        <v>109</v>
      </c>
    </row>
    <row r="101" spans="1:25" x14ac:dyDescent="0.3">
      <c r="A101" s="193">
        <v>100</v>
      </c>
      <c r="B101" s="194" t="s">
        <v>23</v>
      </c>
      <c r="C101" s="194" t="s">
        <v>937</v>
      </c>
      <c r="D101" s="194">
        <v>50126267</v>
      </c>
      <c r="E101" s="194">
        <v>750</v>
      </c>
      <c r="F101" s="193">
        <v>926</v>
      </c>
      <c r="G101" s="193">
        <v>766</v>
      </c>
      <c r="H101" s="193" t="s">
        <v>3621</v>
      </c>
      <c r="I101" s="193" t="s">
        <v>109</v>
      </c>
      <c r="J101" s="193" t="s">
        <v>130</v>
      </c>
      <c r="K101" s="198">
        <v>4.791666666666667E-2</v>
      </c>
      <c r="L101" s="193" t="s">
        <v>109</v>
      </c>
      <c r="M101" s="193" t="s">
        <v>109</v>
      </c>
      <c r="N101" s="194" t="s">
        <v>109</v>
      </c>
      <c r="O101" s="194" t="s">
        <v>61</v>
      </c>
      <c r="P101" s="193" t="s">
        <v>131</v>
      </c>
      <c r="Q101" s="193" t="s">
        <v>91</v>
      </c>
      <c r="R101" s="193" t="s">
        <v>62</v>
      </c>
      <c r="S101" s="193" t="s">
        <v>123</v>
      </c>
      <c r="T101" s="194" t="s">
        <v>424</v>
      </c>
      <c r="U101" s="197">
        <f t="shared" si="1"/>
        <v>1.0213333333333334</v>
      </c>
      <c r="V101" s="193" t="s">
        <v>1945</v>
      </c>
      <c r="W101" s="193" t="s">
        <v>3200</v>
      </c>
      <c r="X101" s="193" t="s">
        <v>109</v>
      </c>
      <c r="Y101" s="193" t="s">
        <v>109</v>
      </c>
    </row>
    <row r="102" spans="1:25" x14ac:dyDescent="0.3">
      <c r="A102" s="193">
        <v>101</v>
      </c>
      <c r="B102" s="194" t="s">
        <v>23</v>
      </c>
      <c r="C102" s="194" t="s">
        <v>3622</v>
      </c>
      <c r="D102" s="194">
        <v>50326088</v>
      </c>
      <c r="E102" s="194">
        <v>260</v>
      </c>
      <c r="F102" s="193">
        <v>360</v>
      </c>
      <c r="G102" s="193">
        <v>271</v>
      </c>
      <c r="H102" s="193" t="s">
        <v>3174</v>
      </c>
      <c r="I102" s="193" t="s">
        <v>109</v>
      </c>
      <c r="J102" s="193" t="s">
        <v>130</v>
      </c>
      <c r="K102" s="198">
        <v>0.7368055555555556</v>
      </c>
      <c r="L102" s="193" t="s">
        <v>109</v>
      </c>
      <c r="M102" s="193" t="s">
        <v>109</v>
      </c>
      <c r="N102" s="194" t="s">
        <v>109</v>
      </c>
      <c r="O102" s="194" t="s">
        <v>61</v>
      </c>
      <c r="P102" s="193" t="s">
        <v>131</v>
      </c>
      <c r="Q102" s="193" t="s">
        <v>93</v>
      </c>
      <c r="R102" s="193" t="s">
        <v>62</v>
      </c>
      <c r="S102" s="193" t="s">
        <v>123</v>
      </c>
      <c r="T102" s="194" t="s">
        <v>424</v>
      </c>
      <c r="U102" s="197">
        <f t="shared" si="1"/>
        <v>1.0423076923076924</v>
      </c>
      <c r="V102" s="193" t="s">
        <v>1945</v>
      </c>
      <c r="W102" s="193" t="s">
        <v>3623</v>
      </c>
      <c r="X102" s="193" t="s">
        <v>109</v>
      </c>
      <c r="Y102" s="193" t="s">
        <v>109</v>
      </c>
    </row>
    <row r="103" spans="1:25" x14ac:dyDescent="0.3">
      <c r="A103" s="193">
        <v>102</v>
      </c>
      <c r="B103" s="194" t="s">
        <v>23</v>
      </c>
      <c r="C103" s="194" t="s">
        <v>3624</v>
      </c>
      <c r="D103" s="194">
        <v>50326089</v>
      </c>
      <c r="E103" s="194">
        <v>160</v>
      </c>
      <c r="F103" s="193">
        <v>172</v>
      </c>
      <c r="G103" s="193">
        <v>93</v>
      </c>
      <c r="H103" s="193" t="s">
        <v>3067</v>
      </c>
      <c r="I103" s="193" t="s">
        <v>109</v>
      </c>
      <c r="J103" s="193" t="s">
        <v>130</v>
      </c>
      <c r="K103" s="198">
        <v>0.74791666666666667</v>
      </c>
      <c r="L103" s="193" t="s">
        <v>109</v>
      </c>
      <c r="M103" s="193" t="s">
        <v>109</v>
      </c>
      <c r="N103" s="194" t="s">
        <v>109</v>
      </c>
      <c r="O103" s="194" t="s">
        <v>61</v>
      </c>
      <c r="P103" s="193" t="s">
        <v>131</v>
      </c>
      <c r="Q103" s="193" t="s">
        <v>86</v>
      </c>
      <c r="R103" s="193" t="s">
        <v>62</v>
      </c>
      <c r="S103" s="193" t="s">
        <v>123</v>
      </c>
      <c r="T103" s="194" t="s">
        <v>424</v>
      </c>
      <c r="U103" s="197">
        <f t="shared" si="1"/>
        <v>0.58125000000000004</v>
      </c>
      <c r="V103" s="193" t="s">
        <v>152</v>
      </c>
      <c r="W103" s="193" t="s">
        <v>3625</v>
      </c>
      <c r="X103" s="193" t="s">
        <v>109</v>
      </c>
      <c r="Y103" s="193" t="s">
        <v>109</v>
      </c>
    </row>
    <row r="104" spans="1:25" x14ac:dyDescent="0.3">
      <c r="A104" s="193">
        <v>103</v>
      </c>
      <c r="B104" s="194" t="s">
        <v>23</v>
      </c>
      <c r="C104" s="194" t="s">
        <v>3626</v>
      </c>
      <c r="D104" s="194">
        <v>50326090</v>
      </c>
      <c r="E104" s="194">
        <v>160</v>
      </c>
      <c r="F104" s="193">
        <v>205</v>
      </c>
      <c r="G104" s="193">
        <v>165</v>
      </c>
      <c r="H104" s="193" t="s">
        <v>970</v>
      </c>
      <c r="I104" s="193" t="s">
        <v>109</v>
      </c>
      <c r="J104" s="193" t="s">
        <v>130</v>
      </c>
      <c r="K104" s="198">
        <v>7.5694444444444439E-2</v>
      </c>
      <c r="L104" s="193" t="s">
        <v>109</v>
      </c>
      <c r="M104" s="193" t="s">
        <v>109</v>
      </c>
      <c r="N104" s="194" t="s">
        <v>109</v>
      </c>
      <c r="O104" s="194" t="s">
        <v>61</v>
      </c>
      <c r="P104" s="193" t="s">
        <v>131</v>
      </c>
      <c r="Q104" s="193" t="s">
        <v>87</v>
      </c>
      <c r="R104" s="193" t="s">
        <v>62</v>
      </c>
      <c r="S104" s="193" t="s">
        <v>123</v>
      </c>
      <c r="T104" s="194" t="s">
        <v>424</v>
      </c>
      <c r="U104" s="197">
        <f t="shared" si="1"/>
        <v>1.03125</v>
      </c>
      <c r="V104" s="193" t="s">
        <v>1945</v>
      </c>
      <c r="W104" s="193" t="s">
        <v>3627</v>
      </c>
      <c r="X104" s="193" t="s">
        <v>109</v>
      </c>
      <c r="Y104" s="193" t="s">
        <v>109</v>
      </c>
    </row>
    <row r="105" spans="1:25" x14ac:dyDescent="0.3">
      <c r="A105" s="193">
        <v>104</v>
      </c>
      <c r="B105" s="194" t="s">
        <v>23</v>
      </c>
      <c r="C105" s="194" t="s">
        <v>3421</v>
      </c>
      <c r="D105" s="194">
        <v>50326049</v>
      </c>
      <c r="E105" s="194">
        <v>150</v>
      </c>
      <c r="F105" s="193">
        <v>280</v>
      </c>
      <c r="G105" s="193">
        <v>97</v>
      </c>
      <c r="H105" s="193" t="s">
        <v>3076</v>
      </c>
      <c r="I105" s="193" t="s">
        <v>109</v>
      </c>
      <c r="J105" s="193" t="s">
        <v>130</v>
      </c>
      <c r="K105" s="198">
        <v>0.79027777777777775</v>
      </c>
      <c r="L105" s="193" t="s">
        <v>109</v>
      </c>
      <c r="M105" s="193" t="s">
        <v>109</v>
      </c>
      <c r="N105" s="194" t="s">
        <v>109</v>
      </c>
      <c r="O105" s="194" t="s">
        <v>61</v>
      </c>
      <c r="P105" s="193" t="s">
        <v>131</v>
      </c>
      <c r="Q105" s="193" t="s">
        <v>241</v>
      </c>
      <c r="R105" s="193" t="s">
        <v>62</v>
      </c>
      <c r="S105" s="193" t="s">
        <v>123</v>
      </c>
      <c r="T105" s="194" t="s">
        <v>2264</v>
      </c>
      <c r="U105" s="197">
        <f t="shared" si="1"/>
        <v>0.64666666666666661</v>
      </c>
      <c r="V105" s="193" t="s">
        <v>1313</v>
      </c>
      <c r="W105" s="193" t="s">
        <v>3458</v>
      </c>
      <c r="X105" s="193" t="s">
        <v>109</v>
      </c>
      <c r="Y105" s="193" t="s">
        <v>109</v>
      </c>
    </row>
    <row r="106" spans="1:25" x14ac:dyDescent="0.3">
      <c r="A106" s="193">
        <v>105</v>
      </c>
      <c r="B106" s="194" t="s">
        <v>23</v>
      </c>
      <c r="C106" s="194" t="s">
        <v>3628</v>
      </c>
      <c r="D106" s="194">
        <v>50326072</v>
      </c>
      <c r="E106" s="194">
        <v>50</v>
      </c>
      <c r="F106" s="193">
        <v>78</v>
      </c>
      <c r="G106" s="193">
        <v>13</v>
      </c>
      <c r="H106" s="196" t="s">
        <v>214</v>
      </c>
      <c r="I106" s="193" t="s">
        <v>109</v>
      </c>
      <c r="J106" s="193" t="s">
        <v>130</v>
      </c>
      <c r="K106" s="198">
        <v>0.68958333333333333</v>
      </c>
      <c r="L106" s="193" t="s">
        <v>109</v>
      </c>
      <c r="M106" s="193" t="s">
        <v>109</v>
      </c>
      <c r="N106" s="194" t="s">
        <v>109</v>
      </c>
      <c r="O106" s="194" t="s">
        <v>61</v>
      </c>
      <c r="P106" s="193" t="s">
        <v>131</v>
      </c>
      <c r="Q106" s="193" t="s">
        <v>214</v>
      </c>
      <c r="R106" s="193" t="s">
        <v>62</v>
      </c>
      <c r="S106" s="193" t="s">
        <v>123</v>
      </c>
      <c r="T106" s="194" t="s">
        <v>223</v>
      </c>
      <c r="U106" s="197">
        <f t="shared" si="1"/>
        <v>0.26</v>
      </c>
      <c r="V106" s="193" t="s">
        <v>152</v>
      </c>
      <c r="W106" s="193" t="s">
        <v>3629</v>
      </c>
      <c r="X106" s="193" t="s">
        <v>109</v>
      </c>
      <c r="Y106" s="193" t="s">
        <v>109</v>
      </c>
    </row>
    <row r="107" spans="1:25" x14ac:dyDescent="0.3">
      <c r="A107" s="193">
        <v>106</v>
      </c>
      <c r="B107" s="194" t="s">
        <v>23</v>
      </c>
      <c r="C107" s="194" t="s">
        <v>3630</v>
      </c>
      <c r="D107" s="194">
        <v>50326073</v>
      </c>
      <c r="E107" s="194">
        <v>50</v>
      </c>
      <c r="F107" s="193">
        <v>56</v>
      </c>
      <c r="G107" s="193">
        <v>6</v>
      </c>
      <c r="H107" s="196" t="s">
        <v>71</v>
      </c>
      <c r="I107" s="193" t="s">
        <v>109</v>
      </c>
      <c r="J107" s="193" t="s">
        <v>130</v>
      </c>
      <c r="K107" s="198">
        <v>6.9444444444444441E-3</v>
      </c>
      <c r="L107" s="193" t="s">
        <v>109</v>
      </c>
      <c r="M107" s="193" t="s">
        <v>109</v>
      </c>
      <c r="N107" s="194" t="s">
        <v>109</v>
      </c>
      <c r="O107" s="194" t="s">
        <v>61</v>
      </c>
      <c r="P107" s="193" t="s">
        <v>131</v>
      </c>
      <c r="Q107" s="193" t="s">
        <v>71</v>
      </c>
      <c r="R107" s="193" t="s">
        <v>62</v>
      </c>
      <c r="S107" s="193" t="s">
        <v>123</v>
      </c>
      <c r="T107" s="194" t="s">
        <v>223</v>
      </c>
      <c r="U107" s="197">
        <f t="shared" si="1"/>
        <v>0.12</v>
      </c>
      <c r="V107" s="193" t="s">
        <v>152</v>
      </c>
      <c r="W107" s="193" t="s">
        <v>3631</v>
      </c>
      <c r="X107" s="193" t="s">
        <v>109</v>
      </c>
      <c r="Y107" s="193" t="s">
        <v>109</v>
      </c>
    </row>
    <row r="108" spans="1:25" x14ac:dyDescent="0.3">
      <c r="A108" s="193">
        <v>107</v>
      </c>
      <c r="B108" s="194" t="s">
        <v>23</v>
      </c>
      <c r="C108" s="194" t="s">
        <v>3632</v>
      </c>
      <c r="D108" s="194">
        <v>50326074</v>
      </c>
      <c r="E108" s="194">
        <v>50</v>
      </c>
      <c r="F108" s="193">
        <v>62</v>
      </c>
      <c r="G108" s="193">
        <v>14</v>
      </c>
      <c r="H108" s="196" t="s">
        <v>241</v>
      </c>
      <c r="I108" s="193" t="s">
        <v>109</v>
      </c>
      <c r="J108" s="193" t="s">
        <v>130</v>
      </c>
      <c r="K108" s="198">
        <v>0.68402777777777779</v>
      </c>
      <c r="L108" s="193" t="s">
        <v>109</v>
      </c>
      <c r="M108" s="193" t="s">
        <v>109</v>
      </c>
      <c r="N108" s="194" t="s">
        <v>109</v>
      </c>
      <c r="O108" s="194" t="s">
        <v>61</v>
      </c>
      <c r="P108" s="193" t="s">
        <v>131</v>
      </c>
      <c r="Q108" s="193" t="s">
        <v>241</v>
      </c>
      <c r="R108" s="193" t="s">
        <v>62</v>
      </c>
      <c r="S108" s="193" t="s">
        <v>123</v>
      </c>
      <c r="T108" s="194" t="s">
        <v>223</v>
      </c>
      <c r="U108" s="197">
        <f t="shared" si="1"/>
        <v>0.28000000000000003</v>
      </c>
      <c r="V108" s="193" t="s">
        <v>152</v>
      </c>
      <c r="W108" s="193" t="s">
        <v>3633</v>
      </c>
      <c r="X108" s="193" t="s">
        <v>109</v>
      </c>
      <c r="Y108" s="193" t="s">
        <v>109</v>
      </c>
    </row>
    <row r="109" spans="1:25" x14ac:dyDescent="0.3">
      <c r="A109" s="193">
        <v>108</v>
      </c>
      <c r="B109" s="194" t="s">
        <v>23</v>
      </c>
      <c r="C109" s="194" t="s">
        <v>3634</v>
      </c>
      <c r="D109" s="194">
        <v>50326075</v>
      </c>
      <c r="E109" s="194">
        <v>50</v>
      </c>
      <c r="F109" s="193">
        <v>90</v>
      </c>
      <c r="G109" s="193">
        <v>34</v>
      </c>
      <c r="H109" s="196" t="s">
        <v>196</v>
      </c>
      <c r="I109" s="193" t="s">
        <v>109</v>
      </c>
      <c r="J109" s="193" t="s">
        <v>130</v>
      </c>
      <c r="K109" s="198">
        <v>3.6805555555555557E-2</v>
      </c>
      <c r="L109" s="193" t="s">
        <v>109</v>
      </c>
      <c r="M109" s="193" t="s">
        <v>109</v>
      </c>
      <c r="N109" s="194" t="s">
        <v>109</v>
      </c>
      <c r="O109" s="194" t="s">
        <v>61</v>
      </c>
      <c r="P109" s="193" t="s">
        <v>131</v>
      </c>
      <c r="Q109" s="193" t="s">
        <v>196</v>
      </c>
      <c r="R109" s="193" t="s">
        <v>62</v>
      </c>
      <c r="S109" s="193" t="s">
        <v>123</v>
      </c>
      <c r="T109" s="194" t="s">
        <v>223</v>
      </c>
      <c r="U109" s="197">
        <f t="shared" si="1"/>
        <v>0.68</v>
      </c>
      <c r="V109" s="193" t="s">
        <v>152</v>
      </c>
      <c r="W109" s="193" t="s">
        <v>3635</v>
      </c>
      <c r="X109" s="193" t="s">
        <v>109</v>
      </c>
      <c r="Y109" s="193" t="s">
        <v>109</v>
      </c>
    </row>
    <row r="110" spans="1:25" x14ac:dyDescent="0.3">
      <c r="A110" s="193">
        <v>109</v>
      </c>
      <c r="B110" s="194" t="s">
        <v>23</v>
      </c>
      <c r="C110" s="194" t="s">
        <v>3636</v>
      </c>
      <c r="D110" s="194">
        <v>50326076</v>
      </c>
      <c r="E110" s="194">
        <v>50</v>
      </c>
      <c r="F110" s="193">
        <v>0</v>
      </c>
      <c r="G110" s="193">
        <v>0</v>
      </c>
      <c r="H110" s="196" t="s">
        <v>200</v>
      </c>
      <c r="I110" s="193" t="s">
        <v>109</v>
      </c>
      <c r="J110" s="193" t="s">
        <v>130</v>
      </c>
      <c r="K110" s="198">
        <v>9.8611111111111108E-2</v>
      </c>
      <c r="L110" s="193" t="s">
        <v>109</v>
      </c>
      <c r="M110" s="193" t="s">
        <v>109</v>
      </c>
      <c r="N110" s="194" t="s">
        <v>109</v>
      </c>
      <c r="O110" s="194" t="s">
        <v>61</v>
      </c>
      <c r="P110" s="193" t="s">
        <v>131</v>
      </c>
      <c r="Q110" s="193" t="s">
        <v>200</v>
      </c>
      <c r="R110" s="193" t="s">
        <v>62</v>
      </c>
      <c r="S110" s="193" t="s">
        <v>123</v>
      </c>
      <c r="T110" s="194" t="s">
        <v>223</v>
      </c>
      <c r="U110" s="197">
        <f t="shared" si="1"/>
        <v>0</v>
      </c>
      <c r="V110" s="193" t="s">
        <v>3728</v>
      </c>
      <c r="W110" s="193" t="s">
        <v>3637</v>
      </c>
      <c r="X110" s="193" t="s">
        <v>109</v>
      </c>
      <c r="Y110" s="193" t="s">
        <v>109</v>
      </c>
    </row>
    <row r="111" spans="1:25" x14ac:dyDescent="0.3">
      <c r="A111" s="193">
        <v>110</v>
      </c>
      <c r="B111" s="194" t="s">
        <v>23</v>
      </c>
      <c r="C111" s="194" t="s">
        <v>3638</v>
      </c>
      <c r="D111" s="194">
        <v>50326077</v>
      </c>
      <c r="E111" s="194">
        <v>50</v>
      </c>
      <c r="F111" s="193">
        <v>15</v>
      </c>
      <c r="G111" s="193">
        <v>5</v>
      </c>
      <c r="H111" s="196" t="s">
        <v>82</v>
      </c>
      <c r="I111" s="193" t="s">
        <v>109</v>
      </c>
      <c r="J111" s="193" t="s">
        <v>130</v>
      </c>
      <c r="K111" s="198">
        <v>6.1805555555555558E-2</v>
      </c>
      <c r="L111" s="193" t="s">
        <v>109</v>
      </c>
      <c r="M111" s="193" t="s">
        <v>109</v>
      </c>
      <c r="N111" s="194" t="s">
        <v>109</v>
      </c>
      <c r="O111" s="194" t="s">
        <v>61</v>
      </c>
      <c r="P111" s="193" t="s">
        <v>131</v>
      </c>
      <c r="Q111" s="193" t="s">
        <v>82</v>
      </c>
      <c r="R111" s="193" t="s">
        <v>62</v>
      </c>
      <c r="S111" s="193" t="s">
        <v>123</v>
      </c>
      <c r="T111" s="194" t="s">
        <v>223</v>
      </c>
      <c r="U111" s="197">
        <f t="shared" si="1"/>
        <v>0.1</v>
      </c>
      <c r="V111" s="193" t="s">
        <v>152</v>
      </c>
      <c r="W111" s="193" t="s">
        <v>3639</v>
      </c>
      <c r="X111" s="193" t="s">
        <v>109</v>
      </c>
      <c r="Y111" s="193" t="s">
        <v>109</v>
      </c>
    </row>
    <row r="112" spans="1:25" x14ac:dyDescent="0.3">
      <c r="A112" s="193">
        <v>111</v>
      </c>
      <c r="B112" s="194" t="s">
        <v>23</v>
      </c>
      <c r="C112" s="194" t="s">
        <v>3640</v>
      </c>
      <c r="D112" s="194">
        <v>50326078</v>
      </c>
      <c r="E112" s="194">
        <v>15</v>
      </c>
      <c r="F112" s="193">
        <v>25</v>
      </c>
      <c r="G112" s="193">
        <v>10</v>
      </c>
      <c r="H112" s="199" t="s">
        <v>70</v>
      </c>
      <c r="I112" s="193" t="s">
        <v>109</v>
      </c>
      <c r="J112" s="193" t="s">
        <v>130</v>
      </c>
      <c r="K112" s="198">
        <v>0.64166666666666672</v>
      </c>
      <c r="L112" s="193" t="s">
        <v>109</v>
      </c>
      <c r="M112" s="193" t="s">
        <v>109</v>
      </c>
      <c r="N112" s="194" t="s">
        <v>109</v>
      </c>
      <c r="O112" s="194" t="s">
        <v>61</v>
      </c>
      <c r="P112" s="193" t="s">
        <v>131</v>
      </c>
      <c r="Q112" s="193" t="s">
        <v>70</v>
      </c>
      <c r="R112" s="193" t="s">
        <v>62</v>
      </c>
      <c r="S112" s="193" t="s">
        <v>123</v>
      </c>
      <c r="T112" s="194" t="s">
        <v>223</v>
      </c>
      <c r="U112" s="197">
        <f t="shared" si="1"/>
        <v>0.66666666666666663</v>
      </c>
      <c r="V112" s="193" t="s">
        <v>152</v>
      </c>
      <c r="W112" s="193" t="s">
        <v>3641</v>
      </c>
      <c r="X112" s="193" t="s">
        <v>109</v>
      </c>
      <c r="Y112" s="193" t="s">
        <v>109</v>
      </c>
    </row>
    <row r="113" spans="1:25" x14ac:dyDescent="0.3">
      <c r="A113" s="193">
        <v>112</v>
      </c>
      <c r="B113" s="194" t="s">
        <v>23</v>
      </c>
      <c r="C113" s="194" t="s">
        <v>3642</v>
      </c>
      <c r="D113" s="194">
        <v>50326079</v>
      </c>
      <c r="E113" s="194">
        <v>100</v>
      </c>
      <c r="F113" s="193">
        <v>128</v>
      </c>
      <c r="G113" s="193">
        <v>99</v>
      </c>
      <c r="H113" s="196" t="s">
        <v>222</v>
      </c>
      <c r="I113" s="193" t="s">
        <v>109</v>
      </c>
      <c r="J113" s="193" t="s">
        <v>130</v>
      </c>
      <c r="K113" s="198">
        <v>0.86944444444444446</v>
      </c>
      <c r="L113" s="193" t="s">
        <v>109</v>
      </c>
      <c r="M113" s="193" t="s">
        <v>109</v>
      </c>
      <c r="N113" s="194" t="s">
        <v>109</v>
      </c>
      <c r="O113" s="194" t="s">
        <v>61</v>
      </c>
      <c r="P113" s="193" t="s">
        <v>131</v>
      </c>
      <c r="Q113" s="193" t="s">
        <v>109</v>
      </c>
      <c r="R113" s="193" t="s">
        <v>62</v>
      </c>
      <c r="S113" s="193" t="s">
        <v>123</v>
      </c>
      <c r="T113" s="194" t="s">
        <v>223</v>
      </c>
      <c r="U113" s="197">
        <f t="shared" si="1"/>
        <v>0.99</v>
      </c>
      <c r="V113" s="193" t="s">
        <v>1945</v>
      </c>
      <c r="W113" s="193" t="s">
        <v>3643</v>
      </c>
      <c r="X113" s="193" t="s">
        <v>109</v>
      </c>
      <c r="Y113" s="193" t="s">
        <v>109</v>
      </c>
    </row>
    <row r="114" spans="1:25" x14ac:dyDescent="0.3">
      <c r="A114" s="193">
        <v>113</v>
      </c>
      <c r="B114" s="194" t="s">
        <v>23</v>
      </c>
      <c r="C114" s="194" t="s">
        <v>3644</v>
      </c>
      <c r="D114" s="194">
        <v>50326080</v>
      </c>
      <c r="E114" s="194">
        <v>100</v>
      </c>
      <c r="F114" s="193">
        <v>89</v>
      </c>
      <c r="G114" s="193">
        <v>51</v>
      </c>
      <c r="H114" s="196" t="s">
        <v>65</v>
      </c>
      <c r="I114" s="193" t="s">
        <v>109</v>
      </c>
      <c r="J114" s="193" t="s">
        <v>130</v>
      </c>
      <c r="K114" s="198">
        <v>6.5972222222222224E-2</v>
      </c>
      <c r="L114" s="193" t="s">
        <v>109</v>
      </c>
      <c r="M114" s="193" t="s">
        <v>109</v>
      </c>
      <c r="N114" s="194" t="s">
        <v>109</v>
      </c>
      <c r="O114" s="194" t="s">
        <v>61</v>
      </c>
      <c r="P114" s="193" t="s">
        <v>131</v>
      </c>
      <c r="Q114" s="193" t="s">
        <v>65</v>
      </c>
      <c r="R114" s="193" t="s">
        <v>62</v>
      </c>
      <c r="S114" s="193" t="s">
        <v>123</v>
      </c>
      <c r="T114" s="194" t="s">
        <v>223</v>
      </c>
      <c r="U114" s="197">
        <f t="shared" si="1"/>
        <v>0.51</v>
      </c>
      <c r="V114" s="193" t="s">
        <v>152</v>
      </c>
      <c r="W114" s="193" t="s">
        <v>3645</v>
      </c>
      <c r="X114" s="193" t="s">
        <v>109</v>
      </c>
      <c r="Y114" s="193" t="s">
        <v>109</v>
      </c>
    </row>
    <row r="115" spans="1:25" x14ac:dyDescent="0.3">
      <c r="A115" s="193">
        <v>114</v>
      </c>
      <c r="B115" s="194" t="s">
        <v>23</v>
      </c>
      <c r="C115" s="194" t="s">
        <v>3646</v>
      </c>
      <c r="D115" s="194">
        <v>50326081</v>
      </c>
      <c r="E115" s="194">
        <v>110</v>
      </c>
      <c r="F115" s="193">
        <v>172</v>
      </c>
      <c r="G115" s="193">
        <v>117</v>
      </c>
      <c r="H115" s="193" t="s">
        <v>2943</v>
      </c>
      <c r="I115" s="193" t="s">
        <v>109</v>
      </c>
      <c r="J115" s="193" t="s">
        <v>130</v>
      </c>
      <c r="K115" s="198">
        <v>7.9166666666666663E-2</v>
      </c>
      <c r="L115" s="193" t="s">
        <v>109</v>
      </c>
      <c r="M115" s="193" t="s">
        <v>109</v>
      </c>
      <c r="N115" s="194" t="s">
        <v>109</v>
      </c>
      <c r="O115" s="194" t="s">
        <v>61</v>
      </c>
      <c r="P115" s="193" t="s">
        <v>131</v>
      </c>
      <c r="Q115" s="193" t="s">
        <v>200</v>
      </c>
      <c r="R115" s="193" t="s">
        <v>62</v>
      </c>
      <c r="S115" s="193" t="s">
        <v>123</v>
      </c>
      <c r="T115" s="194" t="s">
        <v>223</v>
      </c>
      <c r="U115" s="197">
        <f t="shared" si="1"/>
        <v>1.0636363636363637</v>
      </c>
      <c r="V115" s="193" t="s">
        <v>1945</v>
      </c>
      <c r="W115" s="193" t="s">
        <v>3647</v>
      </c>
      <c r="X115" s="193" t="s">
        <v>109</v>
      </c>
      <c r="Y115" s="193" t="s">
        <v>109</v>
      </c>
    </row>
    <row r="116" spans="1:25" x14ac:dyDescent="0.3">
      <c r="A116" s="193">
        <v>115</v>
      </c>
      <c r="B116" s="194" t="s">
        <v>23</v>
      </c>
      <c r="C116" s="194" t="s">
        <v>3648</v>
      </c>
      <c r="D116" s="194">
        <v>50326082</v>
      </c>
      <c r="E116" s="194">
        <v>110</v>
      </c>
      <c r="F116" s="193">
        <v>190</v>
      </c>
      <c r="G116" s="193">
        <v>140</v>
      </c>
      <c r="H116" s="193" t="s">
        <v>3406</v>
      </c>
      <c r="I116" s="193" t="s">
        <v>109</v>
      </c>
      <c r="J116" s="193" t="s">
        <v>130</v>
      </c>
      <c r="K116" s="198">
        <v>0.93263888888888891</v>
      </c>
      <c r="L116" s="193" t="s">
        <v>109</v>
      </c>
      <c r="M116" s="193" t="s">
        <v>109</v>
      </c>
      <c r="N116" s="194" t="s">
        <v>109</v>
      </c>
      <c r="O116" s="194" t="s">
        <v>61</v>
      </c>
      <c r="P116" s="193" t="s">
        <v>131</v>
      </c>
      <c r="Q116" s="193" t="s">
        <v>241</v>
      </c>
      <c r="R116" s="193" t="s">
        <v>62</v>
      </c>
      <c r="S116" s="193" t="s">
        <v>123</v>
      </c>
      <c r="T116" s="194" t="s">
        <v>223</v>
      </c>
      <c r="U116" s="197">
        <f t="shared" si="1"/>
        <v>1.2727272727272727</v>
      </c>
      <c r="V116" s="193" t="s">
        <v>1945</v>
      </c>
      <c r="W116" s="193" t="s">
        <v>3649</v>
      </c>
      <c r="X116" s="193" t="s">
        <v>109</v>
      </c>
      <c r="Y116" s="193" t="s">
        <v>109</v>
      </c>
    </row>
    <row r="117" spans="1:25" x14ac:dyDescent="0.3">
      <c r="A117" s="193">
        <v>116</v>
      </c>
      <c r="B117" s="194" t="s">
        <v>23</v>
      </c>
      <c r="C117" s="194" t="s">
        <v>3650</v>
      </c>
      <c r="D117" s="194">
        <v>50326086</v>
      </c>
      <c r="E117" s="194">
        <v>50</v>
      </c>
      <c r="F117" s="193">
        <v>100</v>
      </c>
      <c r="G117" s="193">
        <v>11</v>
      </c>
      <c r="H117" s="196" t="s">
        <v>68</v>
      </c>
      <c r="I117" s="193" t="s">
        <v>109</v>
      </c>
      <c r="J117" s="193" t="s">
        <v>130</v>
      </c>
      <c r="K117" s="198">
        <v>7.6388888888888886E-3</v>
      </c>
      <c r="L117" s="193" t="s">
        <v>109</v>
      </c>
      <c r="M117" s="193" t="s">
        <v>109</v>
      </c>
      <c r="N117" s="194" t="s">
        <v>109</v>
      </c>
      <c r="O117" s="194" t="s">
        <v>61</v>
      </c>
      <c r="P117" s="193" t="s">
        <v>131</v>
      </c>
      <c r="Q117" s="193" t="s">
        <v>68</v>
      </c>
      <c r="R117" s="193" t="s">
        <v>62</v>
      </c>
      <c r="S117" s="193" t="s">
        <v>123</v>
      </c>
      <c r="T117" s="194" t="s">
        <v>223</v>
      </c>
      <c r="U117" s="197">
        <f t="shared" si="1"/>
        <v>0.22</v>
      </c>
      <c r="V117" s="193" t="s">
        <v>1313</v>
      </c>
      <c r="W117" s="193" t="s">
        <v>3651</v>
      </c>
      <c r="X117" s="193" t="s">
        <v>109</v>
      </c>
      <c r="Y117" s="193" t="s">
        <v>109</v>
      </c>
    </row>
    <row r="118" spans="1:25" x14ac:dyDescent="0.3">
      <c r="A118" s="193">
        <v>117</v>
      </c>
      <c r="B118" s="194" t="s">
        <v>23</v>
      </c>
      <c r="C118" s="194" t="s">
        <v>3652</v>
      </c>
      <c r="D118" s="194">
        <v>50326087</v>
      </c>
      <c r="E118" s="194">
        <v>50</v>
      </c>
      <c r="F118" s="193">
        <v>102</v>
      </c>
      <c r="G118" s="193">
        <v>44</v>
      </c>
      <c r="H118" s="212" t="s">
        <v>64</v>
      </c>
      <c r="I118" s="193" t="s">
        <v>109</v>
      </c>
      <c r="J118" s="193" t="s">
        <v>130</v>
      </c>
      <c r="K118" s="198">
        <v>0.96944444444444444</v>
      </c>
      <c r="L118" s="193" t="s">
        <v>109</v>
      </c>
      <c r="M118" s="193" t="s">
        <v>109</v>
      </c>
      <c r="N118" s="194" t="s">
        <v>109</v>
      </c>
      <c r="O118" s="194" t="s">
        <v>61</v>
      </c>
      <c r="P118" s="193" t="s">
        <v>131</v>
      </c>
      <c r="Q118" s="193" t="s">
        <v>64</v>
      </c>
      <c r="R118" s="193" t="s">
        <v>62</v>
      </c>
      <c r="S118" s="193" t="s">
        <v>123</v>
      </c>
      <c r="T118" s="194" t="s">
        <v>223</v>
      </c>
      <c r="U118" s="197">
        <f t="shared" si="1"/>
        <v>0.88</v>
      </c>
      <c r="V118" s="193" t="s">
        <v>1313</v>
      </c>
      <c r="W118" s="193" t="s">
        <v>3653</v>
      </c>
      <c r="X118" s="193" t="s">
        <v>109</v>
      </c>
      <c r="Y118" s="193" t="s">
        <v>109</v>
      </c>
    </row>
    <row r="119" spans="1:25" x14ac:dyDescent="0.3">
      <c r="A119" s="193">
        <v>118</v>
      </c>
      <c r="B119" s="194" t="s">
        <v>23</v>
      </c>
      <c r="C119" s="194" t="s">
        <v>3654</v>
      </c>
      <c r="D119" s="194">
        <v>50326092</v>
      </c>
      <c r="E119" s="194">
        <v>60</v>
      </c>
      <c r="F119" s="193">
        <v>101</v>
      </c>
      <c r="G119" s="193">
        <v>18</v>
      </c>
      <c r="H119" s="196" t="s">
        <v>241</v>
      </c>
      <c r="I119" s="193" t="s">
        <v>109</v>
      </c>
      <c r="J119" s="193" t="s">
        <v>130</v>
      </c>
      <c r="K119" s="198">
        <v>5.9722222222222225E-2</v>
      </c>
      <c r="L119" s="193" t="s">
        <v>109</v>
      </c>
      <c r="M119" s="193" t="s">
        <v>109</v>
      </c>
      <c r="N119" s="194" t="s">
        <v>109</v>
      </c>
      <c r="O119" s="194" t="s">
        <v>61</v>
      </c>
      <c r="P119" s="193" t="s">
        <v>131</v>
      </c>
      <c r="Q119" s="193" t="s">
        <v>109</v>
      </c>
      <c r="R119" s="193" t="s">
        <v>62</v>
      </c>
      <c r="S119" s="193" t="s">
        <v>123</v>
      </c>
      <c r="T119" s="194" t="s">
        <v>223</v>
      </c>
      <c r="U119" s="197">
        <f t="shared" si="1"/>
        <v>0.3</v>
      </c>
      <c r="V119" s="193" t="s">
        <v>2391</v>
      </c>
      <c r="W119" s="193" t="s">
        <v>3655</v>
      </c>
      <c r="X119" s="193" t="s">
        <v>109</v>
      </c>
      <c r="Y119" s="193" t="s">
        <v>109</v>
      </c>
    </row>
    <row r="120" spans="1:25" x14ac:dyDescent="0.3">
      <c r="A120" s="193">
        <v>119</v>
      </c>
      <c r="B120" s="194" t="s">
        <v>23</v>
      </c>
      <c r="C120" s="194" t="s">
        <v>3656</v>
      </c>
      <c r="D120" s="194">
        <v>50326094</v>
      </c>
      <c r="E120" s="194">
        <v>100</v>
      </c>
      <c r="F120" s="193">
        <v>157</v>
      </c>
      <c r="G120" s="193">
        <v>85</v>
      </c>
      <c r="H120" s="196" t="s">
        <v>184</v>
      </c>
      <c r="I120" s="193" t="s">
        <v>109</v>
      </c>
      <c r="J120" s="193" t="s">
        <v>130</v>
      </c>
      <c r="K120" s="198">
        <v>0.99930555555555556</v>
      </c>
      <c r="L120" s="193" t="s">
        <v>109</v>
      </c>
      <c r="M120" s="193" t="s">
        <v>109</v>
      </c>
      <c r="N120" s="194" t="s">
        <v>109</v>
      </c>
      <c r="O120" s="194" t="s">
        <v>61</v>
      </c>
      <c r="P120" s="193" t="s">
        <v>131</v>
      </c>
      <c r="Q120" s="193" t="s">
        <v>184</v>
      </c>
      <c r="R120" s="193" t="s">
        <v>62</v>
      </c>
      <c r="S120" s="193" t="s">
        <v>123</v>
      </c>
      <c r="T120" s="194" t="s">
        <v>223</v>
      </c>
      <c r="U120" s="197">
        <f t="shared" si="1"/>
        <v>0.85</v>
      </c>
      <c r="V120" s="193" t="s">
        <v>1313</v>
      </c>
      <c r="W120" s="193" t="s">
        <v>3657</v>
      </c>
      <c r="X120" s="193" t="s">
        <v>109</v>
      </c>
      <c r="Y120" s="193" t="s">
        <v>109</v>
      </c>
    </row>
    <row r="121" spans="1:25" x14ac:dyDescent="0.3">
      <c r="A121" s="193">
        <v>120</v>
      </c>
      <c r="B121" s="194" t="s">
        <v>23</v>
      </c>
      <c r="C121" s="194" t="s">
        <v>3658</v>
      </c>
      <c r="D121" s="194">
        <v>50326096</v>
      </c>
      <c r="E121" s="194">
        <v>110</v>
      </c>
      <c r="F121" s="193">
        <v>139</v>
      </c>
      <c r="G121" s="193">
        <v>110</v>
      </c>
      <c r="H121" s="193" t="s">
        <v>1560</v>
      </c>
      <c r="I121" s="193" t="s">
        <v>109</v>
      </c>
      <c r="J121" s="193" t="s">
        <v>130</v>
      </c>
      <c r="K121" s="198">
        <v>0.93541666666666667</v>
      </c>
      <c r="L121" s="193" t="s">
        <v>109</v>
      </c>
      <c r="M121" s="193" t="s">
        <v>109</v>
      </c>
      <c r="N121" s="194" t="s">
        <v>109</v>
      </c>
      <c r="O121" s="194" t="s">
        <v>61</v>
      </c>
      <c r="P121" s="193" t="s">
        <v>131</v>
      </c>
      <c r="Q121" s="193" t="s">
        <v>153</v>
      </c>
      <c r="R121" s="193" t="s">
        <v>62</v>
      </c>
      <c r="S121" s="193" t="s">
        <v>123</v>
      </c>
      <c r="T121" s="194" t="s">
        <v>223</v>
      </c>
      <c r="U121" s="197">
        <f t="shared" si="1"/>
        <v>1</v>
      </c>
      <c r="V121" s="193" t="s">
        <v>1945</v>
      </c>
      <c r="W121" s="193" t="s">
        <v>3659</v>
      </c>
      <c r="X121" s="193" t="s">
        <v>109</v>
      </c>
      <c r="Y121" s="193" t="s">
        <v>109</v>
      </c>
    </row>
    <row r="122" spans="1:25" x14ac:dyDescent="0.3">
      <c r="A122" s="193">
        <v>121</v>
      </c>
      <c r="B122" s="194" t="s">
        <v>23</v>
      </c>
      <c r="C122" s="194" t="s">
        <v>3660</v>
      </c>
      <c r="D122" s="194">
        <v>50326095</v>
      </c>
      <c r="E122" s="194">
        <v>50</v>
      </c>
      <c r="F122" s="193">
        <v>97</v>
      </c>
      <c r="G122" s="193">
        <v>40</v>
      </c>
      <c r="H122" s="196" t="s">
        <v>222</v>
      </c>
      <c r="I122" s="193" t="s">
        <v>109</v>
      </c>
      <c r="J122" s="193" t="s">
        <v>130</v>
      </c>
      <c r="K122" s="198">
        <v>0.9868055555555556</v>
      </c>
      <c r="L122" s="193" t="s">
        <v>109</v>
      </c>
      <c r="M122" s="193" t="s">
        <v>109</v>
      </c>
      <c r="N122" s="194" t="s">
        <v>109</v>
      </c>
      <c r="O122" s="194" t="s">
        <v>61</v>
      </c>
      <c r="P122" s="193" t="s">
        <v>131</v>
      </c>
      <c r="Q122" s="193" t="s">
        <v>222</v>
      </c>
      <c r="R122" s="193" t="s">
        <v>62</v>
      </c>
      <c r="S122" s="193" t="s">
        <v>123</v>
      </c>
      <c r="T122" s="194" t="s">
        <v>223</v>
      </c>
      <c r="U122" s="197">
        <f t="shared" si="1"/>
        <v>0.8</v>
      </c>
      <c r="V122" s="193" t="s">
        <v>1313</v>
      </c>
      <c r="W122" s="193" t="s">
        <v>3661</v>
      </c>
      <c r="X122" s="193" t="s">
        <v>109</v>
      </c>
      <c r="Y122" s="193" t="s">
        <v>109</v>
      </c>
    </row>
    <row r="123" spans="1:25" x14ac:dyDescent="0.3">
      <c r="A123" s="193">
        <v>122</v>
      </c>
      <c r="B123" s="194" t="s">
        <v>23</v>
      </c>
      <c r="C123" s="194" t="s">
        <v>3662</v>
      </c>
      <c r="D123" s="194">
        <v>50326093</v>
      </c>
      <c r="E123" s="194">
        <v>75</v>
      </c>
      <c r="F123" s="193">
        <v>126</v>
      </c>
      <c r="G123" s="193">
        <v>76</v>
      </c>
      <c r="H123" s="196" t="s">
        <v>200</v>
      </c>
      <c r="I123" s="193" t="s">
        <v>109</v>
      </c>
      <c r="J123" s="193" t="s">
        <v>130</v>
      </c>
      <c r="K123" s="198">
        <v>5.1388888888888887E-2</v>
      </c>
      <c r="L123" s="193" t="s">
        <v>109</v>
      </c>
      <c r="M123" s="193" t="s">
        <v>109</v>
      </c>
      <c r="N123" s="194" t="s">
        <v>109</v>
      </c>
      <c r="O123" s="194" t="s">
        <v>61</v>
      </c>
      <c r="P123" s="193" t="s">
        <v>131</v>
      </c>
      <c r="Q123" s="193" t="s">
        <v>200</v>
      </c>
      <c r="R123" s="193" t="s">
        <v>62</v>
      </c>
      <c r="S123" s="193" t="s">
        <v>123</v>
      </c>
      <c r="T123" s="194" t="s">
        <v>223</v>
      </c>
      <c r="U123" s="197">
        <f t="shared" si="1"/>
        <v>1.0133333333333334</v>
      </c>
      <c r="V123" s="193" t="s">
        <v>1945</v>
      </c>
      <c r="W123" s="193" t="s">
        <v>3663</v>
      </c>
      <c r="X123" s="193" t="s">
        <v>109</v>
      </c>
      <c r="Y123" s="193" t="s">
        <v>109</v>
      </c>
    </row>
    <row r="124" spans="1:25" x14ac:dyDescent="0.3">
      <c r="A124" s="193">
        <v>123</v>
      </c>
      <c r="B124" s="194" t="s">
        <v>23</v>
      </c>
      <c r="C124" s="194" t="s">
        <v>3664</v>
      </c>
      <c r="D124" s="194">
        <v>50326105</v>
      </c>
      <c r="E124" s="194">
        <v>40</v>
      </c>
      <c r="F124" s="193">
        <v>63</v>
      </c>
      <c r="G124" s="193">
        <v>17</v>
      </c>
      <c r="H124" s="196" t="s">
        <v>241</v>
      </c>
      <c r="I124" s="193" t="s">
        <v>109</v>
      </c>
      <c r="J124" s="193" t="s">
        <v>130</v>
      </c>
      <c r="K124" s="198">
        <v>0.98263888888888884</v>
      </c>
      <c r="L124" s="193" t="s">
        <v>109</v>
      </c>
      <c r="M124" s="193" t="s">
        <v>109</v>
      </c>
      <c r="N124" s="194" t="s">
        <v>109</v>
      </c>
      <c r="O124" s="194" t="s">
        <v>61</v>
      </c>
      <c r="P124" s="193" t="s">
        <v>131</v>
      </c>
      <c r="Q124" s="193" t="s">
        <v>241</v>
      </c>
      <c r="R124" s="193" t="s">
        <v>62</v>
      </c>
      <c r="S124" s="193" t="s">
        <v>123</v>
      </c>
      <c r="T124" s="194" t="s">
        <v>223</v>
      </c>
      <c r="U124" s="197">
        <f t="shared" si="1"/>
        <v>0.42499999999999999</v>
      </c>
      <c r="V124" s="193" t="s">
        <v>152</v>
      </c>
      <c r="W124" s="193" t="s">
        <v>3665</v>
      </c>
      <c r="X124" s="193" t="s">
        <v>109</v>
      </c>
      <c r="Y124" s="193" t="s">
        <v>109</v>
      </c>
    </row>
    <row r="125" spans="1:25" x14ac:dyDescent="0.3">
      <c r="A125" s="193">
        <v>124</v>
      </c>
      <c r="B125" s="194" t="s">
        <v>23</v>
      </c>
      <c r="C125" s="194" t="s">
        <v>3666</v>
      </c>
      <c r="D125" s="194">
        <v>50326106</v>
      </c>
      <c r="E125" s="194">
        <v>40</v>
      </c>
      <c r="F125" s="193">
        <v>50</v>
      </c>
      <c r="G125" s="193">
        <v>36</v>
      </c>
      <c r="H125" s="196" t="s">
        <v>200</v>
      </c>
      <c r="I125" s="193" t="s">
        <v>109</v>
      </c>
      <c r="J125" s="193" t="s">
        <v>130</v>
      </c>
      <c r="K125" s="198">
        <v>0.11458333333333333</v>
      </c>
      <c r="L125" s="193" t="s">
        <v>109</v>
      </c>
      <c r="M125" s="193" t="s">
        <v>109</v>
      </c>
      <c r="N125" s="194" t="s">
        <v>109</v>
      </c>
      <c r="O125" s="194" t="s">
        <v>61</v>
      </c>
      <c r="P125" s="193" t="s">
        <v>131</v>
      </c>
      <c r="Q125" s="193" t="s">
        <v>200</v>
      </c>
      <c r="R125" s="193" t="s">
        <v>62</v>
      </c>
      <c r="S125" s="193" t="s">
        <v>123</v>
      </c>
      <c r="T125" s="194" t="s">
        <v>223</v>
      </c>
      <c r="U125" s="197">
        <f t="shared" si="1"/>
        <v>0.9</v>
      </c>
      <c r="V125" s="193" t="s">
        <v>1945</v>
      </c>
      <c r="W125" s="193" t="s">
        <v>3667</v>
      </c>
      <c r="X125" s="193" t="s">
        <v>109</v>
      </c>
      <c r="Y125" s="193" t="s">
        <v>109</v>
      </c>
    </row>
    <row r="126" spans="1:25" x14ac:dyDescent="0.3">
      <c r="A126" s="193">
        <v>125</v>
      </c>
      <c r="B126" s="194" t="s">
        <v>23</v>
      </c>
      <c r="C126" s="194" t="s">
        <v>3668</v>
      </c>
      <c r="D126" s="194">
        <v>50326104</v>
      </c>
      <c r="E126" s="194">
        <v>35</v>
      </c>
      <c r="F126" s="193">
        <v>55</v>
      </c>
      <c r="G126" s="193">
        <v>19</v>
      </c>
      <c r="H126" s="196" t="s">
        <v>68</v>
      </c>
      <c r="I126" s="193" t="s">
        <v>109</v>
      </c>
      <c r="J126" s="193" t="s">
        <v>130</v>
      </c>
      <c r="K126" s="198">
        <v>2.8472222222222222E-2</v>
      </c>
      <c r="L126" s="193" t="s">
        <v>109</v>
      </c>
      <c r="M126" s="193" t="s">
        <v>109</v>
      </c>
      <c r="N126" s="194" t="s">
        <v>109</v>
      </c>
      <c r="O126" s="194" t="s">
        <v>61</v>
      </c>
      <c r="P126" s="193" t="s">
        <v>131</v>
      </c>
      <c r="Q126" s="193" t="s">
        <v>68</v>
      </c>
      <c r="R126" s="193" t="s">
        <v>62</v>
      </c>
      <c r="S126" s="193" t="s">
        <v>123</v>
      </c>
      <c r="T126" s="194" t="s">
        <v>223</v>
      </c>
      <c r="U126" s="197">
        <f t="shared" si="1"/>
        <v>0.54285714285714282</v>
      </c>
      <c r="V126" s="193" t="s">
        <v>152</v>
      </c>
      <c r="W126" s="193" t="s">
        <v>3669</v>
      </c>
      <c r="X126" s="193" t="s">
        <v>109</v>
      </c>
      <c r="Y126" s="193" t="s">
        <v>109</v>
      </c>
    </row>
    <row r="127" spans="1:25" x14ac:dyDescent="0.3">
      <c r="A127" s="193">
        <v>126</v>
      </c>
      <c r="B127" s="194" t="s">
        <v>23</v>
      </c>
      <c r="C127" s="194" t="s">
        <v>3670</v>
      </c>
      <c r="D127" s="194">
        <v>50326115</v>
      </c>
      <c r="E127" s="194">
        <v>50</v>
      </c>
      <c r="F127" s="193">
        <v>81</v>
      </c>
      <c r="G127" s="193">
        <v>8</v>
      </c>
      <c r="H127" s="196" t="s">
        <v>65</v>
      </c>
      <c r="I127" s="193" t="s">
        <v>109</v>
      </c>
      <c r="J127" s="193" t="s">
        <v>130</v>
      </c>
      <c r="K127" s="198">
        <v>3.7499999999999999E-2</v>
      </c>
      <c r="L127" s="193" t="s">
        <v>109</v>
      </c>
      <c r="M127" s="193" t="s">
        <v>109</v>
      </c>
      <c r="N127" s="194" t="s">
        <v>109</v>
      </c>
      <c r="O127" s="194" t="s">
        <v>61</v>
      </c>
      <c r="P127" s="193" t="s">
        <v>131</v>
      </c>
      <c r="Q127" s="193" t="s">
        <v>65</v>
      </c>
      <c r="R127" s="193" t="s">
        <v>62</v>
      </c>
      <c r="S127" s="193" t="s">
        <v>123</v>
      </c>
      <c r="T127" s="194" t="s">
        <v>223</v>
      </c>
      <c r="U127" s="197">
        <f t="shared" si="1"/>
        <v>0.16</v>
      </c>
      <c r="V127" s="193" t="s">
        <v>2391</v>
      </c>
      <c r="W127" s="193" t="s">
        <v>3671</v>
      </c>
      <c r="X127" s="193" t="s">
        <v>109</v>
      </c>
      <c r="Y127" s="193" t="s">
        <v>109</v>
      </c>
    </row>
    <row r="128" spans="1:25" x14ac:dyDescent="0.3">
      <c r="A128" s="193">
        <v>127</v>
      </c>
      <c r="B128" s="194" t="s">
        <v>23</v>
      </c>
      <c r="C128" s="194" t="s">
        <v>3672</v>
      </c>
      <c r="D128" s="194">
        <v>50326116</v>
      </c>
      <c r="E128" s="194">
        <v>50</v>
      </c>
      <c r="F128" s="193">
        <v>88</v>
      </c>
      <c r="G128" s="193">
        <v>54</v>
      </c>
      <c r="H128" s="196" t="s">
        <v>184</v>
      </c>
      <c r="I128" s="193" t="s">
        <v>109</v>
      </c>
      <c r="J128" s="193" t="s">
        <v>130</v>
      </c>
      <c r="K128" s="198">
        <v>0.99097222222222225</v>
      </c>
      <c r="L128" s="193" t="s">
        <v>109</v>
      </c>
      <c r="M128" s="193" t="s">
        <v>109</v>
      </c>
      <c r="N128" s="194" t="s">
        <v>109</v>
      </c>
      <c r="O128" s="194" t="s">
        <v>61</v>
      </c>
      <c r="P128" s="193" t="s">
        <v>131</v>
      </c>
      <c r="Q128" s="193" t="s">
        <v>184</v>
      </c>
      <c r="R128" s="193" t="s">
        <v>62</v>
      </c>
      <c r="S128" s="193" t="s">
        <v>123</v>
      </c>
      <c r="T128" s="194" t="s">
        <v>223</v>
      </c>
      <c r="U128" s="197">
        <f t="shared" si="1"/>
        <v>1.08</v>
      </c>
      <c r="V128" s="193" t="s">
        <v>1945</v>
      </c>
      <c r="W128" s="193" t="s">
        <v>3673</v>
      </c>
      <c r="X128" s="193" t="s">
        <v>109</v>
      </c>
      <c r="Y128" s="193" t="s">
        <v>109</v>
      </c>
    </row>
    <row r="129" spans="1:25" x14ac:dyDescent="0.3">
      <c r="A129" s="193">
        <v>128</v>
      </c>
      <c r="B129" s="194" t="s">
        <v>23</v>
      </c>
      <c r="C129" s="194" t="s">
        <v>3674</v>
      </c>
      <c r="D129" s="194">
        <v>50326114</v>
      </c>
      <c r="E129" s="194">
        <v>40</v>
      </c>
      <c r="F129" s="193">
        <v>86</v>
      </c>
      <c r="G129" s="193">
        <v>25</v>
      </c>
      <c r="H129" s="199" t="s">
        <v>69</v>
      </c>
      <c r="I129" s="193" t="s">
        <v>109</v>
      </c>
      <c r="J129" s="193" t="s">
        <v>130</v>
      </c>
      <c r="K129" s="198">
        <v>0.89861111111111114</v>
      </c>
      <c r="L129" s="193" t="s">
        <v>109</v>
      </c>
      <c r="M129" s="193" t="s">
        <v>109</v>
      </c>
      <c r="N129" s="194" t="s">
        <v>109</v>
      </c>
      <c r="O129" s="194" t="s">
        <v>61</v>
      </c>
      <c r="P129" s="193" t="s">
        <v>131</v>
      </c>
      <c r="Q129" s="193" t="s">
        <v>69</v>
      </c>
      <c r="R129" s="193" t="s">
        <v>62</v>
      </c>
      <c r="S129" s="193" t="s">
        <v>123</v>
      </c>
      <c r="T129" s="194" t="s">
        <v>223</v>
      </c>
      <c r="U129" s="197">
        <f t="shared" si="1"/>
        <v>0.625</v>
      </c>
      <c r="V129" s="193" t="s">
        <v>1313</v>
      </c>
      <c r="W129" s="193" t="s">
        <v>3675</v>
      </c>
      <c r="X129" s="193" t="s">
        <v>109</v>
      </c>
      <c r="Y129" s="193" t="s">
        <v>109</v>
      </c>
    </row>
    <row r="130" spans="1:25" x14ac:dyDescent="0.3">
      <c r="A130" s="193">
        <v>129</v>
      </c>
      <c r="B130" s="194" t="s">
        <v>23</v>
      </c>
      <c r="C130" s="194" t="s">
        <v>3676</v>
      </c>
      <c r="D130" s="194">
        <v>50326098</v>
      </c>
      <c r="E130" s="194">
        <v>50</v>
      </c>
      <c r="F130" s="193">
        <v>100</v>
      </c>
      <c r="G130" s="193">
        <v>41</v>
      </c>
      <c r="H130" s="199" t="s">
        <v>69</v>
      </c>
      <c r="I130" s="193" t="s">
        <v>109</v>
      </c>
      <c r="J130" s="193" t="s">
        <v>130</v>
      </c>
      <c r="K130" s="198">
        <v>0.95138888888888884</v>
      </c>
      <c r="L130" s="193" t="s">
        <v>109</v>
      </c>
      <c r="M130" s="193" t="s">
        <v>109</v>
      </c>
      <c r="N130" s="194" t="s">
        <v>109</v>
      </c>
      <c r="O130" s="194" t="s">
        <v>61</v>
      </c>
      <c r="P130" s="193" t="s">
        <v>131</v>
      </c>
      <c r="Q130" s="193" t="s">
        <v>69</v>
      </c>
      <c r="R130" s="193" t="s">
        <v>62</v>
      </c>
      <c r="S130" s="193" t="s">
        <v>123</v>
      </c>
      <c r="T130" s="194" t="s">
        <v>223</v>
      </c>
      <c r="U130" s="197">
        <f t="shared" si="1"/>
        <v>0.82</v>
      </c>
      <c r="V130" s="193" t="s">
        <v>1313</v>
      </c>
      <c r="W130" s="193" t="s">
        <v>3677</v>
      </c>
      <c r="X130" s="193" t="s">
        <v>109</v>
      </c>
      <c r="Y130" s="193" t="s">
        <v>109</v>
      </c>
    </row>
    <row r="131" spans="1:25" x14ac:dyDescent="0.3">
      <c r="A131" s="193">
        <v>130</v>
      </c>
      <c r="B131" s="194" t="s">
        <v>23</v>
      </c>
      <c r="C131" s="194" t="s">
        <v>3678</v>
      </c>
      <c r="D131" s="194">
        <v>50326100</v>
      </c>
      <c r="E131" s="194">
        <v>75</v>
      </c>
      <c r="F131" s="193">
        <v>84</v>
      </c>
      <c r="G131" s="193">
        <v>56</v>
      </c>
      <c r="H131" s="199" t="s">
        <v>84</v>
      </c>
      <c r="I131" s="193" t="s">
        <v>109</v>
      </c>
      <c r="J131" s="193" t="s">
        <v>130</v>
      </c>
      <c r="K131" s="198">
        <v>5.7638888888888892E-2</v>
      </c>
      <c r="L131" s="193" t="s">
        <v>109</v>
      </c>
      <c r="M131" s="193" t="s">
        <v>109</v>
      </c>
      <c r="N131" s="194" t="s">
        <v>109</v>
      </c>
      <c r="O131" s="194" t="s">
        <v>61</v>
      </c>
      <c r="P131" s="193" t="s">
        <v>131</v>
      </c>
      <c r="Q131" s="193" t="s">
        <v>84</v>
      </c>
      <c r="R131" s="193" t="s">
        <v>62</v>
      </c>
      <c r="S131" s="193" t="s">
        <v>123</v>
      </c>
      <c r="T131" s="194" t="s">
        <v>223</v>
      </c>
      <c r="U131" s="197">
        <f t="shared" ref="U131:U155" si="2">G131/E131</f>
        <v>0.7466666666666667</v>
      </c>
      <c r="V131" s="193" t="s">
        <v>152</v>
      </c>
      <c r="W131" s="193" t="s">
        <v>3679</v>
      </c>
      <c r="X131" s="193" t="s">
        <v>109</v>
      </c>
      <c r="Y131" s="193" t="s">
        <v>109</v>
      </c>
    </row>
    <row r="132" spans="1:25" x14ac:dyDescent="0.3">
      <c r="A132" s="193">
        <v>131</v>
      </c>
      <c r="B132" s="194" t="s">
        <v>23</v>
      </c>
      <c r="C132" s="194" t="s">
        <v>3680</v>
      </c>
      <c r="D132" s="194">
        <v>50326102</v>
      </c>
      <c r="E132" s="194">
        <v>60</v>
      </c>
      <c r="F132" s="193">
        <v>62</v>
      </c>
      <c r="G132" s="193">
        <v>29</v>
      </c>
      <c r="H132" s="196" t="s">
        <v>196</v>
      </c>
      <c r="I132" s="193" t="s">
        <v>109</v>
      </c>
      <c r="J132" s="193" t="s">
        <v>130</v>
      </c>
      <c r="K132" s="198">
        <v>8.4722222222222227E-2</v>
      </c>
      <c r="L132" s="193" t="s">
        <v>109</v>
      </c>
      <c r="M132" s="193" t="s">
        <v>109</v>
      </c>
      <c r="N132" s="194" t="s">
        <v>109</v>
      </c>
      <c r="O132" s="194" t="s">
        <v>61</v>
      </c>
      <c r="P132" s="193" t="s">
        <v>131</v>
      </c>
      <c r="Q132" s="193" t="s">
        <v>196</v>
      </c>
      <c r="R132" s="193" t="s">
        <v>62</v>
      </c>
      <c r="S132" s="193" t="s">
        <v>123</v>
      </c>
      <c r="T132" s="194" t="s">
        <v>223</v>
      </c>
      <c r="U132" s="197">
        <f t="shared" si="2"/>
        <v>0.48333333333333334</v>
      </c>
      <c r="V132" s="193" t="s">
        <v>152</v>
      </c>
      <c r="W132" s="193" t="s">
        <v>3681</v>
      </c>
      <c r="X132" s="193" t="s">
        <v>109</v>
      </c>
      <c r="Y132" s="193" t="s">
        <v>109</v>
      </c>
    </row>
    <row r="133" spans="1:25" x14ac:dyDescent="0.3">
      <c r="A133" s="193">
        <v>132</v>
      </c>
      <c r="B133" s="194" t="s">
        <v>23</v>
      </c>
      <c r="C133" s="194" t="s">
        <v>3682</v>
      </c>
      <c r="D133" s="194">
        <v>50326101</v>
      </c>
      <c r="E133" s="194">
        <v>50</v>
      </c>
      <c r="F133" s="193">
        <v>59</v>
      </c>
      <c r="G133" s="193">
        <v>39</v>
      </c>
      <c r="H133" s="199" t="s">
        <v>84</v>
      </c>
      <c r="I133" s="193" t="s">
        <v>109</v>
      </c>
      <c r="J133" s="193" t="s">
        <v>130</v>
      </c>
      <c r="K133" s="198">
        <v>8.1250000000000003E-2</v>
      </c>
      <c r="L133" s="193" t="s">
        <v>109</v>
      </c>
      <c r="M133" s="193" t="s">
        <v>109</v>
      </c>
      <c r="N133" s="194" t="s">
        <v>109</v>
      </c>
      <c r="O133" s="194" t="s">
        <v>61</v>
      </c>
      <c r="P133" s="193" t="s">
        <v>131</v>
      </c>
      <c r="Q133" s="193" t="s">
        <v>84</v>
      </c>
      <c r="R133" s="193" t="s">
        <v>62</v>
      </c>
      <c r="S133" s="193" t="s">
        <v>123</v>
      </c>
      <c r="T133" s="194" t="s">
        <v>223</v>
      </c>
      <c r="U133" s="197">
        <f t="shared" si="2"/>
        <v>0.78</v>
      </c>
      <c r="V133" s="193" t="s">
        <v>109</v>
      </c>
      <c r="W133" s="193" t="s">
        <v>3683</v>
      </c>
      <c r="X133" s="193" t="s">
        <v>109</v>
      </c>
      <c r="Y133" s="193" t="s">
        <v>109</v>
      </c>
    </row>
    <row r="134" spans="1:25" x14ac:dyDescent="0.3">
      <c r="A134" s="193">
        <v>133</v>
      </c>
      <c r="B134" s="194" t="s">
        <v>23</v>
      </c>
      <c r="C134" s="194" t="s">
        <v>3684</v>
      </c>
      <c r="D134" s="194">
        <v>50326099</v>
      </c>
      <c r="E134" s="194">
        <v>50</v>
      </c>
      <c r="F134" s="193">
        <v>90</v>
      </c>
      <c r="G134" s="193">
        <v>46</v>
      </c>
      <c r="H134" s="199" t="s">
        <v>70</v>
      </c>
      <c r="I134" s="193" t="s">
        <v>109</v>
      </c>
      <c r="J134" s="193" t="s">
        <v>130</v>
      </c>
      <c r="K134" s="198">
        <v>0.97222222222222221</v>
      </c>
      <c r="L134" s="193" t="s">
        <v>109</v>
      </c>
      <c r="M134" s="193" t="s">
        <v>109</v>
      </c>
      <c r="N134" s="194" t="s">
        <v>109</v>
      </c>
      <c r="O134" s="194" t="s">
        <v>61</v>
      </c>
      <c r="P134" s="193" t="s">
        <v>131</v>
      </c>
      <c r="Q134" s="193" t="s">
        <v>70</v>
      </c>
      <c r="R134" s="193" t="s">
        <v>62</v>
      </c>
      <c r="S134" s="193" t="s">
        <v>123</v>
      </c>
      <c r="T134" s="194" t="s">
        <v>223</v>
      </c>
      <c r="U134" s="197">
        <f t="shared" si="2"/>
        <v>0.92</v>
      </c>
      <c r="V134" s="193" t="s">
        <v>1945</v>
      </c>
      <c r="W134" s="193" t="s">
        <v>3685</v>
      </c>
      <c r="X134" s="193" t="s">
        <v>109</v>
      </c>
      <c r="Y134" s="193" t="s">
        <v>109</v>
      </c>
    </row>
    <row r="135" spans="1:25" x14ac:dyDescent="0.3">
      <c r="A135" s="193">
        <v>134</v>
      </c>
      <c r="B135" s="194" t="s">
        <v>23</v>
      </c>
      <c r="C135" s="194" t="s">
        <v>3686</v>
      </c>
      <c r="D135" s="194">
        <v>50326108</v>
      </c>
      <c r="E135" s="194">
        <v>50</v>
      </c>
      <c r="F135" s="193">
        <v>100</v>
      </c>
      <c r="G135" s="193">
        <v>47</v>
      </c>
      <c r="H135" s="210" t="s">
        <v>274</v>
      </c>
      <c r="I135" s="193" t="s">
        <v>109</v>
      </c>
      <c r="J135" s="193" t="s">
        <v>130</v>
      </c>
      <c r="K135" s="198">
        <v>1.1805555555555555E-2</v>
      </c>
      <c r="L135" s="193" t="s">
        <v>109</v>
      </c>
      <c r="M135" s="193" t="s">
        <v>109</v>
      </c>
      <c r="N135" s="194" t="s">
        <v>109</v>
      </c>
      <c r="O135" s="194" t="s">
        <v>61</v>
      </c>
      <c r="P135" s="193" t="s">
        <v>131</v>
      </c>
      <c r="Q135" s="193" t="s">
        <v>274</v>
      </c>
      <c r="R135" s="193" t="s">
        <v>62</v>
      </c>
      <c r="S135" s="193" t="s">
        <v>123</v>
      </c>
      <c r="T135" s="194" t="s">
        <v>223</v>
      </c>
      <c r="U135" s="197">
        <f t="shared" si="2"/>
        <v>0.94</v>
      </c>
      <c r="V135" s="193" t="s">
        <v>1945</v>
      </c>
      <c r="W135" s="193" t="s">
        <v>3687</v>
      </c>
      <c r="X135" s="193" t="s">
        <v>109</v>
      </c>
      <c r="Y135" s="193" t="s">
        <v>109</v>
      </c>
    </row>
    <row r="136" spans="1:25" x14ac:dyDescent="0.3">
      <c r="A136" s="193">
        <v>135</v>
      </c>
      <c r="B136" s="194" t="s">
        <v>23</v>
      </c>
      <c r="C136" s="194" t="s">
        <v>3688</v>
      </c>
      <c r="D136" s="194">
        <v>50326110</v>
      </c>
      <c r="E136" s="194">
        <v>60</v>
      </c>
      <c r="F136" s="193">
        <v>50</v>
      </c>
      <c r="G136" s="193">
        <v>41</v>
      </c>
      <c r="H136" s="196" t="s">
        <v>200</v>
      </c>
      <c r="I136" s="193" t="s">
        <v>109</v>
      </c>
      <c r="J136" s="193" t="s">
        <v>130</v>
      </c>
      <c r="K136" s="198">
        <v>9.583333333333334E-2</v>
      </c>
      <c r="L136" s="193" t="s">
        <v>109</v>
      </c>
      <c r="M136" s="193" t="s">
        <v>109</v>
      </c>
      <c r="N136" s="194" t="s">
        <v>109</v>
      </c>
      <c r="O136" s="194" t="s">
        <v>61</v>
      </c>
      <c r="P136" s="193" t="s">
        <v>131</v>
      </c>
      <c r="Q136" s="193" t="s">
        <v>200</v>
      </c>
      <c r="R136" s="193" t="s">
        <v>62</v>
      </c>
      <c r="S136" s="193" t="s">
        <v>123</v>
      </c>
      <c r="T136" s="194" t="s">
        <v>223</v>
      </c>
      <c r="U136" s="197">
        <f t="shared" si="2"/>
        <v>0.68333333333333335</v>
      </c>
      <c r="V136" s="193" t="s">
        <v>1945</v>
      </c>
      <c r="W136" s="193" t="s">
        <v>3689</v>
      </c>
      <c r="X136" s="193" t="s">
        <v>109</v>
      </c>
      <c r="Y136" s="193" t="s">
        <v>109</v>
      </c>
    </row>
    <row r="137" spans="1:25" x14ac:dyDescent="0.3">
      <c r="A137" s="193">
        <v>136</v>
      </c>
      <c r="B137" s="194" t="s">
        <v>23</v>
      </c>
      <c r="C137" s="194" t="s">
        <v>3690</v>
      </c>
      <c r="D137" s="194">
        <v>50326112</v>
      </c>
      <c r="E137" s="194">
        <v>75</v>
      </c>
      <c r="F137" s="193">
        <v>140</v>
      </c>
      <c r="G137" s="193">
        <v>74</v>
      </c>
      <c r="H137" s="199" t="s">
        <v>70</v>
      </c>
      <c r="I137" s="193" t="s">
        <v>109</v>
      </c>
      <c r="J137" s="193" t="s">
        <v>130</v>
      </c>
      <c r="K137" s="198">
        <v>2.9166666666666667E-2</v>
      </c>
      <c r="L137" s="193" t="s">
        <v>109</v>
      </c>
      <c r="M137" s="193" t="s">
        <v>109</v>
      </c>
      <c r="N137" s="194" t="s">
        <v>109</v>
      </c>
      <c r="O137" s="194" t="s">
        <v>61</v>
      </c>
      <c r="P137" s="193" t="s">
        <v>131</v>
      </c>
      <c r="Q137" s="193" t="s">
        <v>70</v>
      </c>
      <c r="R137" s="193" t="s">
        <v>62</v>
      </c>
      <c r="S137" s="193" t="s">
        <v>123</v>
      </c>
      <c r="T137" s="194" t="s">
        <v>223</v>
      </c>
      <c r="U137" s="197">
        <f t="shared" si="2"/>
        <v>0.98666666666666669</v>
      </c>
      <c r="V137" s="193" t="s">
        <v>1945</v>
      </c>
      <c r="W137" s="193" t="s">
        <v>3691</v>
      </c>
      <c r="X137" s="193" t="s">
        <v>109</v>
      </c>
      <c r="Y137" s="193" t="s">
        <v>109</v>
      </c>
    </row>
    <row r="138" spans="1:25" x14ac:dyDescent="0.3">
      <c r="A138" s="193">
        <v>137</v>
      </c>
      <c r="B138" s="194" t="s">
        <v>23</v>
      </c>
      <c r="C138" s="194" t="s">
        <v>3692</v>
      </c>
      <c r="D138" s="194">
        <v>50326111</v>
      </c>
      <c r="E138" s="194">
        <v>50</v>
      </c>
      <c r="F138" s="193">
        <v>95</v>
      </c>
      <c r="G138" s="193">
        <v>47</v>
      </c>
      <c r="H138" s="210" t="s">
        <v>67</v>
      </c>
      <c r="I138" s="193" t="s">
        <v>109</v>
      </c>
      <c r="J138" s="193" t="s">
        <v>130</v>
      </c>
      <c r="K138" s="198">
        <v>0.98402777777777772</v>
      </c>
      <c r="L138" s="193" t="s">
        <v>109</v>
      </c>
      <c r="M138" s="193" t="s">
        <v>109</v>
      </c>
      <c r="N138" s="194" t="s">
        <v>109</v>
      </c>
      <c r="O138" s="194" t="s">
        <v>61</v>
      </c>
      <c r="P138" s="193" t="s">
        <v>131</v>
      </c>
      <c r="Q138" s="193" t="s">
        <v>67</v>
      </c>
      <c r="R138" s="193" t="s">
        <v>62</v>
      </c>
      <c r="S138" s="193" t="s">
        <v>123</v>
      </c>
      <c r="T138" s="194" t="s">
        <v>223</v>
      </c>
      <c r="U138" s="197">
        <f t="shared" si="2"/>
        <v>0.94</v>
      </c>
      <c r="V138" s="193" t="s">
        <v>1945</v>
      </c>
      <c r="W138" s="193" t="s">
        <v>3693</v>
      </c>
      <c r="X138" s="193" t="s">
        <v>109</v>
      </c>
      <c r="Y138" s="193" t="s">
        <v>109</v>
      </c>
    </row>
    <row r="139" spans="1:25" x14ac:dyDescent="0.3">
      <c r="A139" s="193">
        <v>138</v>
      </c>
      <c r="B139" s="194" t="s">
        <v>23</v>
      </c>
      <c r="C139" s="194" t="s">
        <v>3694</v>
      </c>
      <c r="D139" s="194">
        <v>50326109</v>
      </c>
      <c r="E139" s="194">
        <v>60</v>
      </c>
      <c r="F139" s="193">
        <v>108</v>
      </c>
      <c r="G139" s="193">
        <v>57</v>
      </c>
      <c r="H139" s="196" t="s">
        <v>82</v>
      </c>
      <c r="I139" s="193" t="s">
        <v>109</v>
      </c>
      <c r="J139" s="193" t="s">
        <v>130</v>
      </c>
      <c r="K139" s="198">
        <v>6.2500000000000003E-3</v>
      </c>
      <c r="L139" s="193" t="s">
        <v>109</v>
      </c>
      <c r="M139" s="193" t="s">
        <v>109</v>
      </c>
      <c r="N139" s="194" t="s">
        <v>109</v>
      </c>
      <c r="O139" s="194" t="s">
        <v>61</v>
      </c>
      <c r="P139" s="193" t="s">
        <v>131</v>
      </c>
      <c r="Q139" s="193" t="s">
        <v>82</v>
      </c>
      <c r="R139" s="193" t="s">
        <v>62</v>
      </c>
      <c r="S139" s="193" t="s">
        <v>123</v>
      </c>
      <c r="T139" s="194" t="s">
        <v>223</v>
      </c>
      <c r="U139" s="197">
        <f t="shared" si="2"/>
        <v>0.95</v>
      </c>
      <c r="V139" s="193" t="s">
        <v>1945</v>
      </c>
      <c r="W139" s="193" t="s">
        <v>3695</v>
      </c>
      <c r="X139" s="193" t="s">
        <v>109</v>
      </c>
      <c r="Y139" s="193" t="s">
        <v>109</v>
      </c>
    </row>
    <row r="140" spans="1:25" x14ac:dyDescent="0.3">
      <c r="A140" s="193">
        <v>139</v>
      </c>
      <c r="B140" s="194" t="s">
        <v>23</v>
      </c>
      <c r="C140" s="194" t="s">
        <v>3696</v>
      </c>
      <c r="D140" s="194">
        <v>50326097</v>
      </c>
      <c r="E140" s="194">
        <v>60</v>
      </c>
      <c r="F140" s="193">
        <v>112</v>
      </c>
      <c r="G140" s="193">
        <v>23</v>
      </c>
      <c r="H140" s="196" t="s">
        <v>68</v>
      </c>
      <c r="I140" s="193" t="s">
        <v>109</v>
      </c>
      <c r="J140" s="193" t="s">
        <v>130</v>
      </c>
      <c r="K140" s="198">
        <v>0.98750000000000004</v>
      </c>
      <c r="L140" s="193" t="s">
        <v>109</v>
      </c>
      <c r="M140" s="193" t="s">
        <v>109</v>
      </c>
      <c r="N140" s="194" t="s">
        <v>109</v>
      </c>
      <c r="O140" s="194" t="s">
        <v>61</v>
      </c>
      <c r="P140" s="193" t="s">
        <v>131</v>
      </c>
      <c r="Q140" s="193" t="s">
        <v>68</v>
      </c>
      <c r="R140" s="193" t="s">
        <v>62</v>
      </c>
      <c r="S140" s="193" t="s">
        <v>123</v>
      </c>
      <c r="T140" s="194" t="s">
        <v>223</v>
      </c>
      <c r="U140" s="197">
        <f t="shared" si="2"/>
        <v>0.38333333333333336</v>
      </c>
      <c r="V140" s="193" t="s">
        <v>1313</v>
      </c>
      <c r="W140" s="193" t="s">
        <v>3697</v>
      </c>
      <c r="X140" s="193" t="s">
        <v>109</v>
      </c>
      <c r="Y140" s="193" t="s">
        <v>109</v>
      </c>
    </row>
    <row r="141" spans="1:25" x14ac:dyDescent="0.3">
      <c r="A141" s="193">
        <v>140</v>
      </c>
      <c r="B141" s="194" t="s">
        <v>23</v>
      </c>
      <c r="C141" s="194" t="s">
        <v>3698</v>
      </c>
      <c r="D141" s="194">
        <v>50326107</v>
      </c>
      <c r="E141" s="194">
        <v>55</v>
      </c>
      <c r="F141" s="193">
        <v>90</v>
      </c>
      <c r="G141" s="193">
        <v>26</v>
      </c>
      <c r="H141" s="196" t="s">
        <v>241</v>
      </c>
      <c r="I141" s="193" t="s">
        <v>109</v>
      </c>
      <c r="J141" s="193" t="s">
        <v>130</v>
      </c>
      <c r="K141" s="198">
        <v>4.3749999999999997E-2</v>
      </c>
      <c r="L141" s="193" t="s">
        <v>109</v>
      </c>
      <c r="M141" s="193" t="s">
        <v>109</v>
      </c>
      <c r="N141" s="194" t="s">
        <v>109</v>
      </c>
      <c r="O141" s="194" t="s">
        <v>61</v>
      </c>
      <c r="P141" s="193" t="s">
        <v>131</v>
      </c>
      <c r="Q141" s="193" t="s">
        <v>241</v>
      </c>
      <c r="R141" s="193" t="s">
        <v>62</v>
      </c>
      <c r="S141" s="193" t="s">
        <v>123</v>
      </c>
      <c r="T141" s="194" t="s">
        <v>223</v>
      </c>
      <c r="U141" s="197">
        <f t="shared" si="2"/>
        <v>0.47272727272727272</v>
      </c>
      <c r="V141" s="193" t="s">
        <v>1313</v>
      </c>
      <c r="W141" s="193" t="s">
        <v>3699</v>
      </c>
      <c r="X141" s="193" t="s">
        <v>109</v>
      </c>
      <c r="Y141" s="193" t="s">
        <v>109</v>
      </c>
    </row>
    <row r="142" spans="1:25" s="124" customFormat="1" x14ac:dyDescent="0.3">
      <c r="A142" s="202">
        <v>141</v>
      </c>
      <c r="B142" s="203" t="s">
        <v>23</v>
      </c>
      <c r="C142" s="203" t="s">
        <v>2117</v>
      </c>
      <c r="D142" s="203">
        <v>50226054</v>
      </c>
      <c r="E142" s="203">
        <v>100</v>
      </c>
      <c r="F142" s="202" t="s">
        <v>109</v>
      </c>
      <c r="G142" s="202" t="s">
        <v>109</v>
      </c>
      <c r="H142" s="204" t="s">
        <v>69</v>
      </c>
      <c r="I142" s="202" t="s">
        <v>109</v>
      </c>
      <c r="J142" s="202" t="s">
        <v>85</v>
      </c>
      <c r="K142" s="202" t="s">
        <v>109</v>
      </c>
      <c r="L142" s="202" t="s">
        <v>109</v>
      </c>
      <c r="M142" s="202" t="s">
        <v>109</v>
      </c>
      <c r="N142" s="203" t="s">
        <v>109</v>
      </c>
      <c r="O142" s="203" t="s">
        <v>61</v>
      </c>
      <c r="P142" s="202" t="s">
        <v>109</v>
      </c>
      <c r="Q142" s="202" t="s">
        <v>109</v>
      </c>
      <c r="R142" s="202" t="s">
        <v>62</v>
      </c>
      <c r="S142" s="202" t="s">
        <v>123</v>
      </c>
      <c r="T142" s="203" t="s">
        <v>289</v>
      </c>
      <c r="U142" s="205" t="e">
        <f t="shared" si="2"/>
        <v>#VALUE!</v>
      </c>
      <c r="V142" s="202" t="s">
        <v>109</v>
      </c>
      <c r="W142" s="202" t="s">
        <v>3256</v>
      </c>
      <c r="X142" s="202" t="s">
        <v>109</v>
      </c>
      <c r="Y142" s="202" t="s">
        <v>109</v>
      </c>
    </row>
    <row r="143" spans="1:25" x14ac:dyDescent="0.3">
      <c r="A143" s="193">
        <v>142</v>
      </c>
      <c r="B143" s="194" t="s">
        <v>23</v>
      </c>
      <c r="C143" s="194" t="s">
        <v>2115</v>
      </c>
      <c r="D143" s="194">
        <v>50226055</v>
      </c>
      <c r="E143" s="194">
        <v>150</v>
      </c>
      <c r="F143" s="193">
        <v>272</v>
      </c>
      <c r="G143" s="193">
        <v>61</v>
      </c>
      <c r="H143" s="193" t="s">
        <v>3700</v>
      </c>
      <c r="I143" s="193" t="s">
        <v>109</v>
      </c>
      <c r="J143" s="193" t="s">
        <v>130</v>
      </c>
      <c r="K143" s="198">
        <v>6.0416666666666667E-2</v>
      </c>
      <c r="L143" s="193" t="s">
        <v>109</v>
      </c>
      <c r="M143" s="193" t="s">
        <v>109</v>
      </c>
      <c r="N143" s="194" t="s">
        <v>109</v>
      </c>
      <c r="O143" s="194" t="s">
        <v>61</v>
      </c>
      <c r="P143" s="193" t="s">
        <v>131</v>
      </c>
      <c r="Q143" s="193" t="s">
        <v>82</v>
      </c>
      <c r="R143" s="193" t="s">
        <v>62</v>
      </c>
      <c r="S143" s="193" t="s">
        <v>123</v>
      </c>
      <c r="T143" s="194" t="s">
        <v>289</v>
      </c>
      <c r="U143" s="197">
        <f t="shared" si="2"/>
        <v>0.40666666666666668</v>
      </c>
      <c r="V143" s="193" t="s">
        <v>1313</v>
      </c>
      <c r="W143" s="193" t="s">
        <v>3701</v>
      </c>
      <c r="X143" s="193" t="s">
        <v>109</v>
      </c>
      <c r="Y143" s="193" t="s">
        <v>109</v>
      </c>
    </row>
    <row r="144" spans="1:25" s="124" customFormat="1" x14ac:dyDescent="0.3">
      <c r="A144" s="202">
        <v>143</v>
      </c>
      <c r="B144" s="203" t="s">
        <v>23</v>
      </c>
      <c r="C144" s="203" t="s">
        <v>3702</v>
      </c>
      <c r="D144" s="203">
        <v>50326064</v>
      </c>
      <c r="E144" s="203">
        <v>150</v>
      </c>
      <c r="F144" s="202">
        <v>206</v>
      </c>
      <c r="G144" s="202">
        <v>140</v>
      </c>
      <c r="H144" s="206" t="s">
        <v>3065</v>
      </c>
      <c r="I144" s="202" t="s">
        <v>109</v>
      </c>
      <c r="J144" s="202" t="s">
        <v>130</v>
      </c>
      <c r="K144" s="207">
        <v>0.11180555555555556</v>
      </c>
      <c r="L144" s="202" t="s">
        <v>109</v>
      </c>
      <c r="M144" s="202" t="s">
        <v>109</v>
      </c>
      <c r="N144" s="203" t="s">
        <v>109</v>
      </c>
      <c r="O144" s="203" t="s">
        <v>61</v>
      </c>
      <c r="P144" s="202" t="s">
        <v>131</v>
      </c>
      <c r="Q144" s="202" t="s">
        <v>71</v>
      </c>
      <c r="R144" s="202" t="s">
        <v>62</v>
      </c>
      <c r="S144" s="202" t="s">
        <v>123</v>
      </c>
      <c r="T144" s="203" t="s">
        <v>334</v>
      </c>
      <c r="U144" s="205">
        <f t="shared" si="2"/>
        <v>0.93333333333333335</v>
      </c>
      <c r="V144" s="202" t="s">
        <v>1945</v>
      </c>
      <c r="W144" s="202" t="s">
        <v>3703</v>
      </c>
      <c r="X144" s="202" t="s">
        <v>109</v>
      </c>
      <c r="Y144" s="202" t="s">
        <v>109</v>
      </c>
    </row>
    <row r="145" spans="1:25" x14ac:dyDescent="0.3">
      <c r="A145" s="193">
        <v>144</v>
      </c>
      <c r="B145" s="194" t="s">
        <v>23</v>
      </c>
      <c r="C145" s="194" t="s">
        <v>3704</v>
      </c>
      <c r="D145" s="194">
        <v>50326065</v>
      </c>
      <c r="E145" s="194">
        <v>60</v>
      </c>
      <c r="F145" s="193">
        <v>76</v>
      </c>
      <c r="G145" s="193">
        <v>61</v>
      </c>
      <c r="H145" s="212" t="s">
        <v>64</v>
      </c>
      <c r="I145" s="193" t="s">
        <v>109</v>
      </c>
      <c r="J145" s="193" t="s">
        <v>130</v>
      </c>
      <c r="K145" s="198">
        <v>0.66388888888888886</v>
      </c>
      <c r="L145" s="193" t="s">
        <v>109</v>
      </c>
      <c r="M145" s="193" t="s">
        <v>109</v>
      </c>
      <c r="N145" s="194" t="s">
        <v>109</v>
      </c>
      <c r="O145" s="194" t="s">
        <v>61</v>
      </c>
      <c r="P145" s="193" t="s">
        <v>131</v>
      </c>
      <c r="Q145" s="193" t="s">
        <v>64</v>
      </c>
      <c r="R145" s="193" t="s">
        <v>62</v>
      </c>
      <c r="S145" s="193" t="s">
        <v>123</v>
      </c>
      <c r="T145" s="194" t="s">
        <v>334</v>
      </c>
      <c r="U145" s="197">
        <f t="shared" si="2"/>
        <v>1.0166666666666666</v>
      </c>
      <c r="V145" s="193" t="s">
        <v>1945</v>
      </c>
      <c r="W145" s="193" t="s">
        <v>3705</v>
      </c>
      <c r="X145" s="193" t="s">
        <v>109</v>
      </c>
      <c r="Y145" s="193" t="s">
        <v>109</v>
      </c>
    </row>
    <row r="146" spans="1:25" x14ac:dyDescent="0.3">
      <c r="A146" s="193">
        <v>145</v>
      </c>
      <c r="B146" s="194" t="s">
        <v>23</v>
      </c>
      <c r="C146" s="194" t="s">
        <v>3706</v>
      </c>
      <c r="D146" s="194">
        <v>50326066</v>
      </c>
      <c r="E146" s="194">
        <v>150</v>
      </c>
      <c r="F146" s="193">
        <v>232</v>
      </c>
      <c r="G146" s="193">
        <v>164</v>
      </c>
      <c r="H146" s="193" t="s">
        <v>2131</v>
      </c>
      <c r="I146" s="193" t="s">
        <v>109</v>
      </c>
      <c r="J146" s="193" t="s">
        <v>130</v>
      </c>
      <c r="K146" s="198">
        <v>0.94374999999999998</v>
      </c>
      <c r="L146" s="193" t="s">
        <v>109</v>
      </c>
      <c r="M146" s="193" t="s">
        <v>109</v>
      </c>
      <c r="N146" s="194" t="s">
        <v>109</v>
      </c>
      <c r="O146" s="194" t="s">
        <v>61</v>
      </c>
      <c r="P146" s="193" t="s">
        <v>131</v>
      </c>
      <c r="Q146" s="193" t="s">
        <v>274</v>
      </c>
      <c r="R146" s="193" t="s">
        <v>62</v>
      </c>
      <c r="S146" s="193" t="s">
        <v>123</v>
      </c>
      <c r="T146" s="194" t="s">
        <v>334</v>
      </c>
      <c r="U146" s="197">
        <f t="shared" si="2"/>
        <v>1.0933333333333333</v>
      </c>
      <c r="V146" s="193" t="s">
        <v>1945</v>
      </c>
      <c r="W146" s="193" t="s">
        <v>3707</v>
      </c>
      <c r="X146" s="193" t="s">
        <v>109</v>
      </c>
      <c r="Y146" s="193" t="s">
        <v>109</v>
      </c>
    </row>
    <row r="147" spans="1:25" x14ac:dyDescent="0.3">
      <c r="A147" s="193">
        <v>146</v>
      </c>
      <c r="B147" s="194" t="s">
        <v>23</v>
      </c>
      <c r="C147" s="194" t="s">
        <v>3708</v>
      </c>
      <c r="D147" s="194">
        <v>50326068</v>
      </c>
      <c r="E147" s="194">
        <v>75</v>
      </c>
      <c r="F147" s="193">
        <v>100</v>
      </c>
      <c r="G147" s="193">
        <v>52</v>
      </c>
      <c r="H147" s="210" t="s">
        <v>274</v>
      </c>
      <c r="I147" s="193" t="s">
        <v>109</v>
      </c>
      <c r="J147" s="193" t="s">
        <v>130</v>
      </c>
      <c r="K147" s="198">
        <v>5.8333333333333334E-2</v>
      </c>
      <c r="L147" s="193" t="s">
        <v>109</v>
      </c>
      <c r="M147" s="193" t="s">
        <v>109</v>
      </c>
      <c r="N147" s="194" t="s">
        <v>109</v>
      </c>
      <c r="O147" s="194" t="s">
        <v>61</v>
      </c>
      <c r="P147" s="193" t="s">
        <v>131</v>
      </c>
      <c r="Q147" s="193" t="s">
        <v>274</v>
      </c>
      <c r="R147" s="193" t="s">
        <v>62</v>
      </c>
      <c r="S147" s="193" t="s">
        <v>123</v>
      </c>
      <c r="T147" s="194" t="s">
        <v>334</v>
      </c>
      <c r="U147" s="197">
        <f t="shared" si="2"/>
        <v>0.69333333333333336</v>
      </c>
      <c r="V147" s="193" t="s">
        <v>1313</v>
      </c>
      <c r="W147" s="193" t="s">
        <v>3709</v>
      </c>
      <c r="X147" s="193" t="s">
        <v>109</v>
      </c>
      <c r="Y147" s="193" t="s">
        <v>109</v>
      </c>
    </row>
    <row r="148" spans="1:25" x14ac:dyDescent="0.3">
      <c r="A148" s="193">
        <v>147</v>
      </c>
      <c r="B148" s="194" t="s">
        <v>23</v>
      </c>
      <c r="C148" s="194" t="s">
        <v>3710</v>
      </c>
      <c r="D148" s="194">
        <v>50326069</v>
      </c>
      <c r="E148" s="194">
        <v>75</v>
      </c>
      <c r="F148" s="193">
        <v>140</v>
      </c>
      <c r="G148" s="193">
        <v>58</v>
      </c>
      <c r="H148" s="193" t="s">
        <v>67</v>
      </c>
      <c r="I148" s="193" t="s">
        <v>109</v>
      </c>
      <c r="J148" s="193" t="s">
        <v>130</v>
      </c>
      <c r="K148" s="198">
        <v>2.2222222222222223E-2</v>
      </c>
      <c r="L148" s="193" t="s">
        <v>109</v>
      </c>
      <c r="M148" s="193" t="s">
        <v>109</v>
      </c>
      <c r="N148" s="194" t="s">
        <v>109</v>
      </c>
      <c r="O148" s="194" t="s">
        <v>61</v>
      </c>
      <c r="P148" s="193" t="s">
        <v>131</v>
      </c>
      <c r="Q148" s="193" t="s">
        <v>67</v>
      </c>
      <c r="R148" s="193" t="s">
        <v>62</v>
      </c>
      <c r="S148" s="193" t="s">
        <v>123</v>
      </c>
      <c r="T148" s="194" t="s">
        <v>334</v>
      </c>
      <c r="U148" s="197">
        <f t="shared" si="2"/>
        <v>0.77333333333333332</v>
      </c>
      <c r="V148" s="193" t="s">
        <v>152</v>
      </c>
      <c r="W148" s="193" t="s">
        <v>3711</v>
      </c>
      <c r="X148" s="193" t="s">
        <v>109</v>
      </c>
      <c r="Y148" s="193" t="s">
        <v>109</v>
      </c>
    </row>
    <row r="149" spans="1:25" x14ac:dyDescent="0.3">
      <c r="A149" s="193">
        <v>148</v>
      </c>
      <c r="B149" s="194" t="s">
        <v>23</v>
      </c>
      <c r="C149" s="194" t="s">
        <v>3712</v>
      </c>
      <c r="D149" s="194">
        <v>50326070</v>
      </c>
      <c r="E149" s="194">
        <v>60</v>
      </c>
      <c r="F149" s="193">
        <v>89</v>
      </c>
      <c r="G149" s="193">
        <v>61</v>
      </c>
      <c r="H149" s="196" t="s">
        <v>222</v>
      </c>
      <c r="I149" s="193" t="s">
        <v>109</v>
      </c>
      <c r="J149" s="193" t="s">
        <v>130</v>
      </c>
      <c r="K149" s="198">
        <v>0.95208333333333328</v>
      </c>
      <c r="L149" s="193" t="s">
        <v>109</v>
      </c>
      <c r="M149" s="193" t="s">
        <v>109</v>
      </c>
      <c r="N149" s="194" t="s">
        <v>109</v>
      </c>
      <c r="O149" s="194" t="s">
        <v>61</v>
      </c>
      <c r="P149" s="193" t="s">
        <v>131</v>
      </c>
      <c r="Q149" s="193" t="s">
        <v>222</v>
      </c>
      <c r="R149" s="193" t="s">
        <v>62</v>
      </c>
      <c r="S149" s="193" t="s">
        <v>123</v>
      </c>
      <c r="T149" s="194" t="s">
        <v>334</v>
      </c>
      <c r="U149" s="197">
        <f t="shared" si="2"/>
        <v>1.0166666666666666</v>
      </c>
      <c r="V149" s="193" t="s">
        <v>1945</v>
      </c>
      <c r="W149" s="193" t="s">
        <v>3713</v>
      </c>
      <c r="X149" s="193" t="s">
        <v>109</v>
      </c>
      <c r="Y149" s="193" t="s">
        <v>109</v>
      </c>
    </row>
    <row r="150" spans="1:25" x14ac:dyDescent="0.3">
      <c r="A150" s="193">
        <v>149</v>
      </c>
      <c r="B150" s="194" t="s">
        <v>23</v>
      </c>
      <c r="C150" s="194" t="s">
        <v>3714</v>
      </c>
      <c r="D150" s="194">
        <v>50326071</v>
      </c>
      <c r="E150" s="194">
        <v>75</v>
      </c>
      <c r="F150" s="193">
        <v>100</v>
      </c>
      <c r="G150" s="193">
        <v>35</v>
      </c>
      <c r="H150" s="196" t="s">
        <v>65</v>
      </c>
      <c r="I150" s="193" t="s">
        <v>109</v>
      </c>
      <c r="J150" s="193" t="s">
        <v>130</v>
      </c>
      <c r="K150" s="198">
        <v>3.888888888888889E-2</v>
      </c>
      <c r="L150" s="193" t="s">
        <v>109</v>
      </c>
      <c r="M150" s="193" t="s">
        <v>109</v>
      </c>
      <c r="N150" s="194" t="s">
        <v>109</v>
      </c>
      <c r="O150" s="194" t="s">
        <v>61</v>
      </c>
      <c r="P150" s="193" t="s">
        <v>131</v>
      </c>
      <c r="Q150" s="193" t="s">
        <v>65</v>
      </c>
      <c r="R150" s="193" t="s">
        <v>62</v>
      </c>
      <c r="S150" s="193" t="s">
        <v>123</v>
      </c>
      <c r="T150" s="194" t="s">
        <v>334</v>
      </c>
      <c r="U150" s="197">
        <f t="shared" si="2"/>
        <v>0.46666666666666667</v>
      </c>
      <c r="V150" s="193" t="s">
        <v>2391</v>
      </c>
      <c r="W150" s="193" t="s">
        <v>3715</v>
      </c>
      <c r="X150" s="193" t="s">
        <v>109</v>
      </c>
      <c r="Y150" s="193" t="s">
        <v>109</v>
      </c>
    </row>
    <row r="151" spans="1:25" x14ac:dyDescent="0.3">
      <c r="A151" s="193">
        <v>150</v>
      </c>
      <c r="B151" s="194" t="s">
        <v>23</v>
      </c>
      <c r="C151" s="194" t="s">
        <v>3716</v>
      </c>
      <c r="D151" s="194">
        <v>50326067</v>
      </c>
      <c r="E151" s="194">
        <v>50</v>
      </c>
      <c r="F151" s="193">
        <v>95</v>
      </c>
      <c r="G151" s="193">
        <v>52</v>
      </c>
      <c r="H151" s="210" t="s">
        <v>153</v>
      </c>
      <c r="I151" s="193" t="s">
        <v>109</v>
      </c>
      <c r="J151" s="193" t="s">
        <v>130</v>
      </c>
      <c r="K151" s="198">
        <v>4.7222222222222221E-2</v>
      </c>
      <c r="L151" s="193" t="s">
        <v>109</v>
      </c>
      <c r="M151" s="193" t="s">
        <v>109</v>
      </c>
      <c r="N151" s="194" t="s">
        <v>109</v>
      </c>
      <c r="O151" s="194" t="s">
        <v>61</v>
      </c>
      <c r="P151" s="193" t="s">
        <v>131</v>
      </c>
      <c r="Q151" s="193" t="s">
        <v>153</v>
      </c>
      <c r="R151" s="193" t="s">
        <v>62</v>
      </c>
      <c r="S151" s="193" t="s">
        <v>123</v>
      </c>
      <c r="T151" s="194" t="s">
        <v>3717</v>
      </c>
      <c r="U151" s="197">
        <f t="shared" si="2"/>
        <v>1.04</v>
      </c>
      <c r="V151" s="193" t="s">
        <v>1945</v>
      </c>
      <c r="W151" s="193" t="s">
        <v>3718</v>
      </c>
      <c r="X151" s="193" t="s">
        <v>109</v>
      </c>
      <c r="Y151" s="193" t="s">
        <v>109</v>
      </c>
    </row>
    <row r="152" spans="1:25" x14ac:dyDescent="0.3">
      <c r="A152" s="193">
        <v>151</v>
      </c>
      <c r="B152" s="194" t="s">
        <v>23</v>
      </c>
      <c r="C152" s="194" t="s">
        <v>1909</v>
      </c>
      <c r="D152" s="208">
        <v>50226025</v>
      </c>
      <c r="E152" s="194">
        <v>300</v>
      </c>
      <c r="F152" s="193">
        <v>591</v>
      </c>
      <c r="G152" s="193">
        <v>209</v>
      </c>
      <c r="H152" s="193" t="s">
        <v>3719</v>
      </c>
      <c r="I152" s="193" t="s">
        <v>3720</v>
      </c>
      <c r="J152" s="193" t="s">
        <v>130</v>
      </c>
      <c r="K152" s="198">
        <v>0.99236111111111114</v>
      </c>
      <c r="L152" s="198">
        <v>2.9166666666666667E-2</v>
      </c>
      <c r="M152" s="193" t="s">
        <v>109</v>
      </c>
      <c r="N152" s="209" t="s">
        <v>1621</v>
      </c>
      <c r="O152" s="194" t="s">
        <v>61</v>
      </c>
      <c r="P152" s="193" t="s">
        <v>131</v>
      </c>
      <c r="Q152" s="193" t="s">
        <v>91</v>
      </c>
      <c r="R152" s="193" t="s">
        <v>62</v>
      </c>
      <c r="S152" s="193" t="s">
        <v>123</v>
      </c>
      <c r="T152" s="194" t="s">
        <v>480</v>
      </c>
      <c r="U152" s="197">
        <f t="shared" si="2"/>
        <v>0.69666666666666666</v>
      </c>
      <c r="V152" s="193" t="s">
        <v>1313</v>
      </c>
      <c r="W152" s="193" t="s">
        <v>3463</v>
      </c>
      <c r="X152" s="193" t="s">
        <v>3281</v>
      </c>
      <c r="Y152" s="193" t="s">
        <v>3102</v>
      </c>
    </row>
    <row r="153" spans="1:25" x14ac:dyDescent="0.3">
      <c r="A153" s="193">
        <v>152</v>
      </c>
      <c r="B153" s="194" t="s">
        <v>23</v>
      </c>
      <c r="C153" s="194" t="s">
        <v>2022</v>
      </c>
      <c r="D153" s="194">
        <v>50226042</v>
      </c>
      <c r="E153" s="194">
        <v>100</v>
      </c>
      <c r="F153" s="193">
        <v>6</v>
      </c>
      <c r="G153" s="193">
        <v>3</v>
      </c>
      <c r="H153" s="199" t="s">
        <v>84</v>
      </c>
      <c r="I153" s="193" t="s">
        <v>109</v>
      </c>
      <c r="J153" s="193" t="s">
        <v>130</v>
      </c>
      <c r="K153" s="198">
        <v>8.4027777777777785E-2</v>
      </c>
      <c r="L153" s="193" t="s">
        <v>109</v>
      </c>
      <c r="M153" s="193" t="s">
        <v>109</v>
      </c>
      <c r="N153" s="194" t="s">
        <v>109</v>
      </c>
      <c r="O153" s="194" t="s">
        <v>61</v>
      </c>
      <c r="P153" s="193" t="s">
        <v>131</v>
      </c>
      <c r="Q153" s="193" t="s">
        <v>84</v>
      </c>
      <c r="R153" s="193" t="s">
        <v>62</v>
      </c>
      <c r="S153" s="193" t="s">
        <v>123</v>
      </c>
      <c r="T153" s="194" t="s">
        <v>464</v>
      </c>
      <c r="U153" s="197">
        <f t="shared" si="2"/>
        <v>0.03</v>
      </c>
      <c r="V153" s="193" t="s">
        <v>152</v>
      </c>
      <c r="W153" s="193" t="s">
        <v>3721</v>
      </c>
      <c r="X153" s="193" t="s">
        <v>109</v>
      </c>
      <c r="Y153" s="193" t="s">
        <v>109</v>
      </c>
    </row>
    <row r="154" spans="1:25" x14ac:dyDescent="0.3">
      <c r="A154" s="193">
        <v>153</v>
      </c>
      <c r="B154" s="194" t="s">
        <v>883</v>
      </c>
      <c r="C154" s="194" t="s">
        <v>1535</v>
      </c>
      <c r="D154" s="194">
        <v>60126011</v>
      </c>
      <c r="E154" s="194">
        <v>323</v>
      </c>
      <c r="F154" s="193">
        <v>524</v>
      </c>
      <c r="G154" s="193">
        <v>156</v>
      </c>
      <c r="H154" s="193" t="s">
        <v>3726</v>
      </c>
      <c r="I154" s="193" t="s">
        <v>3723</v>
      </c>
      <c r="J154" s="193" t="s">
        <v>130</v>
      </c>
      <c r="K154" s="198">
        <v>0.91597222222222219</v>
      </c>
      <c r="L154" s="198">
        <v>0.94166666666666665</v>
      </c>
      <c r="M154" s="215" t="s">
        <v>3724</v>
      </c>
      <c r="N154" s="209" t="s">
        <v>3722</v>
      </c>
      <c r="O154" s="194" t="s">
        <v>61</v>
      </c>
      <c r="P154" s="193" t="s">
        <v>131</v>
      </c>
      <c r="Q154" s="193" t="s">
        <v>3725</v>
      </c>
      <c r="R154" s="73" t="s">
        <v>63</v>
      </c>
      <c r="S154" s="193" t="s">
        <v>123</v>
      </c>
      <c r="T154" s="73" t="s">
        <v>1536</v>
      </c>
      <c r="U154" s="197">
        <f t="shared" si="2"/>
        <v>0.48297213622291024</v>
      </c>
      <c r="V154" s="193" t="s">
        <v>152</v>
      </c>
      <c r="W154" s="180" t="s">
        <v>3286</v>
      </c>
      <c r="X154" s="193" t="s">
        <v>109</v>
      </c>
      <c r="Y154" s="193" t="s">
        <v>109</v>
      </c>
    </row>
    <row r="155" spans="1:25" x14ac:dyDescent="0.3">
      <c r="A155" s="193">
        <v>154</v>
      </c>
      <c r="B155" s="194" t="s">
        <v>23</v>
      </c>
      <c r="C155" s="194" t="s">
        <v>1702</v>
      </c>
      <c r="D155" s="200">
        <v>50126360</v>
      </c>
      <c r="E155" s="194">
        <v>20</v>
      </c>
      <c r="F155" s="193">
        <v>110</v>
      </c>
      <c r="G155" s="193">
        <v>87</v>
      </c>
      <c r="H155" s="193" t="s">
        <v>615</v>
      </c>
      <c r="I155" s="193" t="s">
        <v>109</v>
      </c>
      <c r="J155" s="193" t="s">
        <v>130</v>
      </c>
      <c r="K155" s="198">
        <v>0.1736111111111111</v>
      </c>
      <c r="L155" s="193" t="s">
        <v>109</v>
      </c>
      <c r="M155" s="193" t="s">
        <v>109</v>
      </c>
      <c r="N155" s="194" t="s">
        <v>3727</v>
      </c>
      <c r="O155" s="194" t="s">
        <v>145</v>
      </c>
      <c r="P155" s="193" t="s">
        <v>131</v>
      </c>
      <c r="Q155" s="193" t="s">
        <v>615</v>
      </c>
      <c r="R155" s="99" t="s">
        <v>62</v>
      </c>
      <c r="S155" s="193" t="s">
        <v>1525</v>
      </c>
      <c r="T155" s="193" t="s">
        <v>1568</v>
      </c>
      <c r="U155" s="197">
        <f t="shared" si="2"/>
        <v>4.3499999999999996</v>
      </c>
      <c r="V155" s="193" t="s">
        <v>3729</v>
      </c>
      <c r="W155" s="201" t="s">
        <v>3394</v>
      </c>
      <c r="X155" s="193" t="s">
        <v>109</v>
      </c>
      <c r="Y155" s="193" t="s">
        <v>109</v>
      </c>
    </row>
  </sheetData>
  <conditionalFormatting sqref="D1">
    <cfRule type="duplicateValues" dxfId="3" priority="31"/>
    <cfRule type="duplicateValues" dxfId="2" priority="32"/>
    <cfRule type="duplicateValues" dxfId="1" priority="33"/>
  </conditionalFormatting>
  <conditionalFormatting sqref="D1:D154 D156:D1048576">
    <cfRule type="duplicateValues" dxfId="0" priority="1"/>
  </conditionalFormatting>
  <hyperlinks>
    <hyperlink ref="W154" r:id="rId1" xr:uid="{A823BA9C-AA89-4400-AB74-EFF3B8A36E49}"/>
    <hyperlink ref="W155" r:id="rId2" xr:uid="{07C14563-8E1E-449D-8E8C-22DDEC865FE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AE3C5C13A9A654CB4D47764E2809772" ma:contentTypeVersion="11" ma:contentTypeDescription="Create a new document." ma:contentTypeScope="" ma:versionID="cb67585b39b26fb13e5b961d1c9dd80f">
  <xsd:schema xmlns:xsd="http://www.w3.org/2001/XMLSchema" xmlns:xs="http://www.w3.org/2001/XMLSchema" xmlns:p="http://schemas.microsoft.com/office/2006/metadata/properties" xmlns:ns2="2c1b4748-3061-40cc-b56b-f18475b81df5" xmlns:ns3="aad8368b-0d9f-4e5c-acb2-0c5f0a46d17d" targetNamespace="http://schemas.microsoft.com/office/2006/metadata/properties" ma:root="true" ma:fieldsID="64a99211f690d54dda1d6f9c4a429c1d" ns2:_="" ns3:_="">
    <xsd:import namespace="2c1b4748-3061-40cc-b56b-f18475b81df5"/>
    <xsd:import namespace="aad8368b-0d9f-4e5c-acb2-0c5f0a46d17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1b4748-3061-40cc-b56b-f18475b81d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f61ef09-d885-4ce1-a883-a0704ce6ce37"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d8368b-0d9f-4e5c-acb2-0c5f0a46d17d"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54e0937-d78b-4824-b8c6-8372b324b37a}" ma:internalName="TaxCatchAll" ma:showField="CatchAllData" ma:web="aad8368b-0d9f-4e5c-acb2-0c5f0a46d1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c1b4748-3061-40cc-b56b-f18475b81df5">
      <Terms xmlns="http://schemas.microsoft.com/office/infopath/2007/PartnerControls"/>
    </lcf76f155ced4ddcb4097134ff3c332f>
    <TaxCatchAll xmlns="aad8368b-0d9f-4e5c-acb2-0c5f0a46d17d" xsi:nil="true"/>
  </documentManagement>
</p:properties>
</file>

<file path=customXml/item4.xml>��
</file>

<file path=customXml/itemProps1.xml><?xml version="1.0" encoding="utf-8"?>
<ds:datastoreItem xmlns:ds="http://schemas.openxmlformats.org/officeDocument/2006/customXml" ds:itemID="{6D2D7E0E-75C0-475D-B15A-B20A94CC87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1b4748-3061-40cc-b56b-f18475b81df5"/>
    <ds:schemaRef ds:uri="aad8368b-0d9f-4e5c-acb2-0c5f0a46d1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3F1E09-2094-4513-8A46-4FFAA61FC72D}">
  <ds:schemaRefs>
    <ds:schemaRef ds:uri="http://schemas.microsoft.com/sharepoint/v3/contenttype/forms"/>
  </ds:schemaRefs>
</ds:datastoreItem>
</file>

<file path=customXml/itemProps3.xml><?xml version="1.0" encoding="utf-8"?>
<ds:datastoreItem xmlns:ds="http://schemas.openxmlformats.org/officeDocument/2006/customXml" ds:itemID="{514FC910-14CD-4DDF-B7DE-513DCC90A3F1}">
  <ds:schemaRefs>
    <ds:schemaRef ds:uri="http://schemas.microsoft.com/office/2006/metadata/properties"/>
    <ds:schemaRef ds:uri="http://schemas.microsoft.com/office/infopath/2007/PartnerControls"/>
    <ds:schemaRef ds:uri="2c1b4748-3061-40cc-b56b-f18475b81df5"/>
    <ds:schemaRef ds:uri="aad8368b-0d9f-4e5c-acb2-0c5f0a46d17d"/>
  </ds:schemaRefs>
</ds:datastoreItem>
</file>

<file path=customXml/itemProps4.xml><?xml version="1.0" encoding="utf-8"?>
<ds:datastoreItem xmlns:ds="http://schemas.openxmlformats.org/officeDocument/2006/customXml" ds:itemID="{6D2B5EBC-3EF4-4E7C-98D5-D070BDDCA8A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02nd Jan</vt:lpstr>
      <vt:lpstr>05th Jan</vt:lpstr>
      <vt:lpstr>06th Jan</vt:lpstr>
      <vt:lpstr>07th Jan</vt:lpstr>
      <vt:lpstr>8th Jan</vt:lpstr>
      <vt:lpstr>9th Jan</vt:lpstr>
      <vt:lpstr>12th Jan</vt:lpstr>
      <vt:lpstr>13th Jan</vt:lpstr>
      <vt:lpstr>14th Jan</vt:lpstr>
      <vt:lpstr>15th Jan</vt:lpstr>
      <vt:lpstr>16th Jan</vt:lpstr>
      <vt:lpstr>19th Jan</vt:lpstr>
      <vt:lpstr>20th Jan</vt:lpstr>
      <vt:lpstr>21st Jan</vt:lpstr>
      <vt:lpstr>22nd Jan</vt:lpstr>
      <vt:lpstr>23rd Jan</vt:lpstr>
      <vt:lpstr>26th Jan</vt:lpstr>
      <vt:lpstr>27th Jan</vt:lpstr>
      <vt:lpstr>28th Jan</vt:lpstr>
      <vt:lpstr>29th Jan</vt:lpstr>
      <vt:lpstr>30th Jan</vt:lpstr>
      <vt:lpstr>2nd Feb</vt:lpstr>
      <vt:lpstr>3rd Feb</vt:lpstr>
      <vt:lpstr>4th Feb</vt:lpstr>
      <vt:lpstr>5th Feb</vt:lpstr>
      <vt:lpstr>6th Feb</vt:lpstr>
      <vt:lpstr>9th Feb</vt:lpstr>
      <vt:lpstr>10th Feb</vt:lpstr>
      <vt:lpstr>11th Feb</vt:lpstr>
      <vt:lpstr>12th Feb</vt:lpstr>
      <vt:lpstr>13th Feb</vt:lpstr>
      <vt:lpstr>16th Feb</vt:lpstr>
      <vt:lpstr>17th Feb</vt:lpstr>
      <vt:lpstr>18th Feb</vt:lpstr>
      <vt:lpstr>19th Feb</vt:lpstr>
      <vt:lpstr>20th Feb</vt:lpstr>
      <vt:lpstr>23rd Feb</vt:lpstr>
      <vt:lpstr>24th Feb</vt:lpstr>
      <vt:lpstr>25th Feb</vt:lpstr>
      <vt:lpstr>26th Feb</vt:lpstr>
      <vt:lpstr>27th Feb</vt:lpstr>
      <vt:lpstr>02nd Mar</vt:lpstr>
      <vt:lpstr>03rd Mar</vt:lpstr>
      <vt:lpstr>4th Mar</vt:lpstr>
      <vt:lpstr>5th Mar</vt:lpstr>
      <vt:lpstr>6th Mar</vt:lpstr>
      <vt:lpstr>9th March</vt:lpstr>
      <vt:lpstr>10th March</vt:lpstr>
      <vt:lpstr>11th March</vt:lpstr>
      <vt:lpstr>12th March</vt:lpstr>
      <vt:lpstr>13th March</vt:lpstr>
      <vt:lpstr>16th March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Israr Shamshuddin Shaikh</dc:creator>
  <cp:lastModifiedBy>Shrinivas Shamsundar Garad</cp:lastModifiedBy>
  <dcterms:created xsi:type="dcterms:W3CDTF">2026-01-02T05:50:01Z</dcterms:created>
  <dcterms:modified xsi:type="dcterms:W3CDTF">2026-03-17T15:50:46Z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0x010100EAE3C5C13A9A654CB4D47764E2809772</vt:lpwstr>
  </property>
</Properties>
</file>